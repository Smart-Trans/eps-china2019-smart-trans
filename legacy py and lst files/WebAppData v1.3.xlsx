
<file path=[Content_Types].xml><?xml version="1.0" encoding="utf-8"?>
<Types xmlns="http://schemas.openxmlformats.org/package/2006/content-types">
  <Default Extension="vml" ContentType="application/vnd.openxmlformats-officedocument.vmlDrawing"/>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nnections.xml" ContentType="application/vnd.openxmlformats-officedocument.spreadsheetml.connection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1805" activeTab="2"/>
  </bookViews>
  <sheets>
    <sheet name="About" sheetId="10" r:id="rId1"/>
    <sheet name="Policy Characteristics" sheetId="19" r:id="rId2"/>
    <sheet name="PolicyLevers" sheetId="1" r:id="rId3"/>
    <sheet name="UnitControlCenter" sheetId="18" r:id="rId4"/>
    <sheet name="OutputGraphs" sheetId="8" r:id="rId5"/>
    <sheet name="Output Graph Color Key" sheetId="17" r:id="rId6"/>
    <sheet name="ReferenceScenarios" sheetId="9" r:id="rId7"/>
    <sheet name="Target Calculations" sheetId="15" r:id="rId8"/>
    <sheet name="MaxBoundCalculations" sheetId="13" r:id="rId9"/>
    <sheet name="Update Notes" sheetId="20" r:id="rId10"/>
  </sheets>
  <definedNames>
    <definedName name="_xlnm._FilterDatabase" localSheetId="2" hidden="1">PolicyLevers!$A$1:$S$1271</definedName>
    <definedName name="_xlnm._FilterDatabase" localSheetId="1" hidden="1">'Policy Characteristics'!$A$3:$N$101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266" authorId="0">
      <text>
        <r>
          <rPr>
            <sz val="11"/>
            <color rgb="FF000000"/>
            <rFont val="DengXian"/>
            <scheme val="minor"/>
            <charset val="0"/>
          </rPr>
          <t xml:space="preserve">Evaporative Emissions are accounted for in on-road transportation emissions
</t>
        </r>
      </text>
    </comment>
    <comment ref="G266" authorId="0">
      <text>
        <r>
          <rPr>
            <sz val="11"/>
            <color rgb="FF000000"/>
            <rFont val="DengXian"/>
            <scheme val="minor"/>
            <charset val="0"/>
          </rPr>
          <t xml:space="preserve">Evaporative Emissions are accounted for in on-road transportation emissions
</t>
        </r>
      </text>
    </comment>
    <comment ref="B267" authorId="0">
      <text>
        <r>
          <rPr>
            <sz val="11"/>
            <color rgb="FF000000"/>
            <rFont val="DengXian"/>
            <scheme val="minor"/>
            <charset val="0"/>
          </rPr>
          <t xml:space="preserve">Evaporative Emissions are accounted for in on-road transportation emissions
</t>
        </r>
      </text>
    </comment>
    <comment ref="G267" authorId="0">
      <text>
        <r>
          <rPr>
            <sz val="11"/>
            <color rgb="FF000000"/>
            <rFont val="DengXian"/>
            <scheme val="minor"/>
            <charset val="0"/>
          </rPr>
          <t xml:space="preserve">Evaporative Emissions are accounted for in on-road transportation emissions
</t>
        </r>
      </text>
    </comment>
    <comment ref="B268" authorId="0">
      <text>
        <r>
          <rPr>
            <sz val="11"/>
            <color rgb="FF000000"/>
            <rFont val="DengXian"/>
            <scheme val="minor"/>
            <charset val="0"/>
          </rPr>
          <t xml:space="preserve">Evaporative Emissions are accounted for in on-road transportation emissions
</t>
        </r>
      </text>
    </comment>
    <comment ref="G268" authorId="0">
      <text>
        <r>
          <rPr>
            <sz val="11"/>
            <color rgb="FF000000"/>
            <rFont val="DengXian"/>
            <scheme val="minor"/>
            <charset val="0"/>
          </rPr>
          <t xml:space="preserve">Evaporative Emissions are accounted for in on-road transportation emissions
</t>
        </r>
      </text>
    </comment>
    <comment ref="B269" authorId="0">
      <text>
        <r>
          <rPr>
            <sz val="11"/>
            <color rgb="FF000000"/>
            <rFont val="DengXian"/>
            <scheme val="minor"/>
            <charset val="0"/>
          </rPr>
          <t xml:space="preserve">Evaporative Emissions are accounted for in on-road transportation emissions
</t>
        </r>
      </text>
    </comment>
    <comment ref="G269" authorId="0">
      <text>
        <r>
          <rPr>
            <sz val="11"/>
            <color rgb="FF000000"/>
            <rFont val="DengXian"/>
            <scheme val="minor"/>
            <charset val="0"/>
          </rPr>
          <t xml:space="preserve">Evaporative Emissions are accounted for in on-road transportation emissions
</t>
        </r>
      </text>
    </comment>
    <comment ref="B270" authorId="0">
      <text>
        <r>
          <rPr>
            <sz val="11"/>
            <color rgb="FF000000"/>
            <rFont val="DengXian"/>
            <scheme val="minor"/>
            <charset val="0"/>
          </rPr>
          <t xml:space="preserve">Evaporative Emissions are accounted for in on-road transportation emissions
</t>
        </r>
      </text>
    </comment>
    <comment ref="G270" authorId="0">
      <text>
        <r>
          <rPr>
            <sz val="11"/>
            <color rgb="FF000000"/>
            <rFont val="DengXian"/>
            <scheme val="minor"/>
            <charset val="0"/>
          </rPr>
          <t xml:space="preserve">Evaporative Emissions are accounted for in on-road transportation emissions
</t>
        </r>
      </text>
    </comment>
    <comment ref="B271" authorId="0">
      <text>
        <r>
          <rPr>
            <sz val="11"/>
            <color rgb="FF000000"/>
            <rFont val="DengXian"/>
            <scheme val="minor"/>
            <charset val="0"/>
          </rPr>
          <t xml:space="preserve">Evaporative Emissions are accounted for in on-road transportation emissions
</t>
        </r>
      </text>
    </comment>
    <comment ref="G271" authorId="0">
      <text>
        <r>
          <rPr>
            <sz val="11"/>
            <color rgb="FF000000"/>
            <rFont val="DengXian"/>
            <scheme val="minor"/>
            <charset val="0"/>
          </rPr>
          <t xml:space="preserve">Evaporative Emissions are accounted for in on-road transportation emissions
</t>
        </r>
      </text>
    </comment>
    <comment ref="B272" authorId="0">
      <text>
        <r>
          <rPr>
            <sz val="11"/>
            <color rgb="FF000000"/>
            <rFont val="DengXian"/>
            <scheme val="minor"/>
            <charset val="0"/>
          </rPr>
          <t xml:space="preserve">Evaporative Emissions are accounted for in on-road transportation emissions
</t>
        </r>
      </text>
    </comment>
    <comment ref="G272" authorId="0">
      <text>
        <r>
          <rPr>
            <sz val="11"/>
            <color rgb="FF000000"/>
            <rFont val="DengXian"/>
            <scheme val="minor"/>
            <charset val="0"/>
          </rPr>
          <t xml:space="preserve">Evaporative Emissions are accounted for in on-road transportation emissions
</t>
        </r>
      </text>
    </comment>
    <comment ref="H272" authorId="0">
      <text>
        <r>
          <rPr>
            <sz val="11"/>
            <color rgb="FF000000"/>
            <rFont val="DengXian"/>
            <scheme val="minor"/>
            <charset val="0"/>
          </rPr>
          <t xml:space="preserve">Evaporative Emissions are accounted for in on-road transportation emissions
</t>
        </r>
      </text>
    </comment>
    <comment ref="I272" authorId="0">
      <text>
        <r>
          <rPr>
            <sz val="11"/>
            <color rgb="FF000000"/>
            <rFont val="DengXian"/>
            <scheme val="minor"/>
            <charset val="0"/>
          </rPr>
          <t xml:space="preserve">Evaporative Emissions are accounted for in on-road transportation emissions
</t>
        </r>
      </text>
    </comment>
    <comment ref="E590" authorId="0">
      <text>
        <r>
          <rPr>
            <sz val="11"/>
            <color rgb="FF000000"/>
            <rFont val="DengXian"/>
            <scheme val="minor"/>
            <charset val="0"/>
          </rPr>
          <t>Reported under Grassland Remaining Grassland in the LULUCF Sector</t>
        </r>
      </text>
    </comment>
    <comment ref="F590" authorId="0">
      <text>
        <r>
          <rPr>
            <sz val="11"/>
            <color rgb="FF000000"/>
            <rFont val="DengXian"/>
            <scheme val="minor"/>
            <charset val="0"/>
          </rPr>
          <t>Reported under Grassland Remaining Grassland in the LULUCF Sector.</t>
        </r>
      </text>
    </comment>
    <comment ref="G608" authorId="0">
      <text>
        <r>
          <rPr>
            <sz val="11"/>
            <color rgb="FF000000"/>
            <rFont val="DengXian"/>
            <scheme val="minor"/>
            <charset val="0"/>
          </rPr>
          <t>VOCs are not estimated in the forest land category.</t>
        </r>
      </text>
    </comment>
    <comment ref="E620" authorId="0">
      <text>
        <r>
          <rPr>
            <sz val="11"/>
            <color rgb="FF000000"/>
            <rFont val="DengXian"/>
            <scheme val="minor"/>
            <charset val="0"/>
          </rPr>
          <t>Activity data not available on biomass burning in settlements.</t>
        </r>
      </text>
    </comment>
    <comment ref="F620" authorId="0">
      <text>
        <r>
          <rPr>
            <sz val="11"/>
            <color rgb="FF000000"/>
            <rFont val="DengXian"/>
            <scheme val="minor"/>
            <charset val="0"/>
          </rPr>
          <t>Activity data not available on biomass burning in settlements.</t>
        </r>
      </text>
    </comment>
    <comment ref="E621" authorId="0">
      <text>
        <r>
          <rPr>
            <sz val="11"/>
            <color rgb="FF000000"/>
            <rFont val="DengXian"/>
            <scheme val="minor"/>
            <charset val="0"/>
          </rPr>
          <t>Activity data not available.</t>
        </r>
      </text>
    </comment>
    <comment ref="F621" authorId="0">
      <text>
        <r>
          <rPr>
            <sz val="11"/>
            <color rgb="FF000000"/>
            <rFont val="DengXian"/>
            <scheme val="minor"/>
            <charset val="0"/>
          </rPr>
          <t>Activity data not available.</t>
        </r>
      </text>
    </comment>
  </commentList>
</comments>
</file>

<file path=xl/connections.xml><?xml version="1.0" encoding="utf-8"?>
<connections xmlns="http://schemas.openxmlformats.org/spreadsheetml/2006/main">
  <connection id="1" name="OuputGraphSchema" type="4" background="1" refreshedVersion="2" saveData="1">
    <webPr parsePre="1" consecutive="1" xl2000="1" sourceData="1" xml="1" url="Z:\todd\Projects\PolicySolutions\tools\lib\OuputGraphSchema.xml" htmlFormat="all" htmlTables="1"/>
  </connection>
  <connection id="2" name="PolicyLeverSchema" type="4" background="1" refreshedVersion="2" saveData="1">
    <webPr parsePre="1" consecutive="1" xl2000="1" sourceData="1" xml="1" url="Z:\todd\Projects\PolicySolutions\tools\lib\PolicyLeverSchema.xml" htmlFormat="all" htmlTables="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<sst xmlns="http://schemas.openxmlformats.org/spreadsheetml/2006/main" count="15306" uniqueCount="3686">
  <si>
    <t>Web App Data</t>
  </si>
  <si>
    <t>This spreadsheet contains data that is used to populate the web application interface</t>
  </si>
  <si>
    <t>for the Energy Policy Simulator.  The data in other tabs in this spreadsheet are used</t>
  </si>
  <si>
    <t>to establish the policy levers, lever bounds, descriptive text for pop-over</t>
  </si>
  <si>
    <t>panels, output graphs, and reference scenarios available in the web app.</t>
  </si>
  <si>
    <t>A live version of the web application interface powered by a copy of this model</t>
  </si>
  <si>
    <t>can be found at:</t>
  </si>
  <si>
    <t>https://www.energypolicy.solutions</t>
  </si>
  <si>
    <t>You are unlikely to need to use or change the contents of this spreadsheet, unless</t>
  </si>
  <si>
    <t>you are adapting the Energy Policy Simulator to a new country and desire</t>
  </si>
  <si>
    <t>a web application interface customized for your country-specific model version.</t>
  </si>
  <si>
    <t>Checks for Policy ID Number Validity</t>
  </si>
  <si>
    <t>Max policy ID number in use</t>
  </si>
  <si>
    <t>Lowest duplicate ID number</t>
  </si>
  <si>
    <t>Row of first policy missing a valid ID number</t>
  </si>
  <si>
    <t>Customizing Policy Levers</t>
  </si>
  <si>
    <r>
      <rPr>
        <sz val="11"/>
        <rFont val="DengXian"/>
        <charset val="134"/>
        <scheme val="minor"/>
      </rPr>
      <t xml:space="preserve">Define most policy properties on the </t>
    </r>
    <r>
      <rPr>
        <b/>
        <sz val="11"/>
        <color rgb="FF740000"/>
        <rFont val="DengXian"/>
        <charset val="134"/>
        <scheme val="minor"/>
      </rPr>
      <t>"Policy Characteristics"</t>
    </r>
    <r>
      <rPr>
        <sz val="11"/>
        <rFont val="DengXian"/>
        <charset val="134"/>
        <scheme val="minor"/>
      </rPr>
      <t xml:space="preserve"> tab.</t>
    </r>
  </si>
  <si>
    <r>
      <rPr>
        <sz val="11"/>
        <rFont val="DengXian"/>
        <charset val="134"/>
        <scheme val="minor"/>
      </rPr>
      <t xml:space="preserve">Specify the subscripted elements of each policy and which are enabled/disabled on the </t>
    </r>
    <r>
      <rPr>
        <b/>
        <sz val="11"/>
        <color rgb="FF740000"/>
        <rFont val="DengXian"/>
        <charset val="134"/>
        <scheme val="minor"/>
      </rPr>
      <t>"PolicyLevers"</t>
    </r>
    <r>
      <rPr>
        <sz val="11"/>
        <rFont val="DengXian"/>
        <charset val="134"/>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</si>
  <si>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</si>
  <si>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</si>
  <si>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</si>
  <si>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r>
      <rPr>
        <sz val="11"/>
        <rFont val="DengXian"/>
        <charset val="134"/>
        <scheme val="minor"/>
      </rPr>
      <t>Leave the "</t>
    </r>
    <r>
      <rPr>
        <b/>
        <sz val="11"/>
        <color rgb="FF740000"/>
        <rFont val="DengXian"/>
        <charset val="134"/>
        <scheme val="minor"/>
      </rPr>
      <t>Policy Schedule Subscript</t>
    </r>
    <r>
      <rPr>
        <sz val="11"/>
        <rFont val="DengXian"/>
        <charset val="134"/>
        <scheme val="minor"/>
      </rPr>
      <t>" cell blank to deny the ability to edit the implementation</t>
    </r>
  </si>
  <si>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</si>
  <si>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</si>
  <si>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</si>
  <si>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</si>
  <si>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r>
      <rPr>
        <sz val="11"/>
        <rFont val="DengXian"/>
        <charset val="134"/>
        <scheme val="minor"/>
      </rPr>
      <t>Leave the "</t>
    </r>
    <r>
      <rPr>
        <b/>
        <sz val="11"/>
        <color rgb="FF740000"/>
        <rFont val="DengXian"/>
        <charset val="134"/>
        <scheme val="minor"/>
      </rPr>
      <t>Policy Group</t>
    </r>
    <r>
      <rPr>
        <sz val="11"/>
        <rFont val="DengXian"/>
        <charset val="134"/>
        <scheme val="minor"/>
      </rPr>
      <t>" cell blank to exclude a lever from wedge diagrams and abatement cost curves.</t>
    </r>
  </si>
  <si>
    <t>This should always be done for "Control Settings" (which affect both the BAU and policy cases),</t>
  </si>
  <si>
    <t>and should generally never be done for actual policy levers.</t>
  </si>
  <si>
    <r>
      <rPr>
        <sz val="11"/>
        <rFont val="DengXian"/>
        <charset val="134"/>
        <scheme val="minor"/>
      </rPr>
      <t>Leave the "</t>
    </r>
    <r>
      <rPr>
        <b/>
        <sz val="11"/>
        <color rgb="FF740000"/>
        <rFont val="DengXian"/>
        <charset val="134"/>
        <scheme val="minor"/>
      </rPr>
      <t>URL for "How the model handles this policy" links</t>
    </r>
    <r>
      <rPr>
        <sz val="11"/>
        <rFont val="DengXian"/>
        <charset val="134"/>
        <scheme val="minor"/>
      </rPr>
      <t>" cell blank to exclude this link from</t>
    </r>
  </si>
  <si>
    <t>the policy's pop-over pane.  You should generally do this whenever there is no on-topic place</t>
  </si>
  <si>
    <t>in the documentation to which to send a user.</t>
  </si>
  <si>
    <r>
      <rPr>
        <sz val="11"/>
        <rFont val="DengXian"/>
        <charset val="134"/>
        <scheme val="minor"/>
      </rPr>
      <t>Leave the "</t>
    </r>
    <r>
      <rPr>
        <b/>
        <sz val="11"/>
        <color rgb="FF740000"/>
        <rFont val="DengXian"/>
        <charset val="134"/>
        <scheme val="minor"/>
      </rPr>
      <t>URL for "How to design this policy well" links</t>
    </r>
    <r>
      <rPr>
        <sz val="11"/>
        <rFont val="DengXian"/>
        <charset val="134"/>
        <scheme val="minor"/>
      </rPr>
      <t>" cell blank to exclude this link from</t>
    </r>
  </si>
  <si>
    <t>the policy's pop-over pane.  You should generally do this whenever no documentation page</t>
  </si>
  <si>
    <t>for that policy exists.</t>
  </si>
  <si>
    <t>Notes on Unit Formatting on Policy Characteristics Tab</t>
  </si>
  <si>
    <t>If you want a policy lever to be formatted as a percentage in the web interface, the percent</t>
  </si>
  <si>
    <t>symbol (%) must appear somewhere in the "Units" field for that policy.</t>
  </si>
  <si>
    <t>For percentages, the web interface will choose the number of decimal places to show for</t>
  </si>
  <si>
    <r>
      <rPr>
        <sz val="11"/>
        <rFont val="DengXian"/>
        <charset val="134"/>
        <scheme val="minor"/>
      </rPr>
      <t>policy settings based on the "</t>
    </r>
    <r>
      <rPr>
        <b/>
        <sz val="11"/>
        <color rgb="FF740000"/>
        <rFont val="DengXian"/>
        <charset val="134"/>
        <scheme val="minor"/>
      </rPr>
      <t>Slider Step Size</t>
    </r>
    <r>
      <rPr>
        <sz val="11"/>
        <rFont val="DengXian"/>
        <charset val="134"/>
        <scheme val="minor"/>
      </rPr>
      <t>."  Up to 2 decimal places (e.g. showing values as</t>
    </r>
  </si>
  <si>
    <t>small as 0.01%) are supported.  If the slider step size is 1% or larger, you must use an integer</t>
  </si>
  <si>
    <r>
      <rPr>
        <sz val="11"/>
        <rFont val="DengXian"/>
        <charset val="134"/>
        <scheme val="minor"/>
      </rPr>
      <t xml:space="preserve">step size (e.g. 1.5% is </t>
    </r>
    <r>
      <rPr>
        <b/>
        <sz val="11"/>
        <color theme="1"/>
        <rFont val="DengXian"/>
        <charset val="134"/>
        <scheme val="minor"/>
      </rPr>
      <t>not</t>
    </r>
    <r>
      <rPr>
        <sz val="11"/>
        <rFont val="DengXian"/>
        <charset val="134"/>
        <scheme val="minor"/>
      </rPr>
      <t xml:space="preserve"> a valid step size, but 1%, 2%, 0.5% and 0.05% are all valid).</t>
    </r>
  </si>
  <si>
    <t>This tab contains information about each policy that does not vary by subscripted element of that policy.</t>
  </si>
  <si>
    <t>It matches policies to the listing in the "PolicyLevers" tab using the "Vensim Variable Name" column.</t>
  </si>
  <si>
    <t>Sector</t>
  </si>
  <si>
    <t>Short Name</t>
  </si>
  <si>
    <t>Vensim Variable Name</t>
  </si>
  <si>
    <t>Policy Group</t>
  </si>
  <si>
    <t>Policy Schedule Subscript</t>
  </si>
  <si>
    <t>Min Slider Value</t>
  </si>
  <si>
    <t>Max Slider Value</t>
  </si>
  <si>
    <t>Slider Step Size</t>
  </si>
  <si>
    <t>Units</t>
  </si>
  <si>
    <t>Text for Pop-Over Panel Description</t>
  </si>
  <si>
    <t>URL for "How the model handles this policy" links</t>
  </si>
  <si>
    <t>URL for "How to design this policy well" links</t>
  </si>
  <si>
    <t>Source for Guidance Text (if any)</t>
  </si>
  <si>
    <t>Source for Max Slider Value (if any)</t>
  </si>
  <si>
    <t>Transportation</t>
  </si>
  <si>
    <t>Conventional Pollutant Standards</t>
  </si>
  <si>
    <t>Percentage Reduction of Separately Regulated Pollutants</t>
  </si>
  <si>
    <t>Conventional Pollutant Standard</t>
  </si>
  <si>
    <t>trans reduce regulated pollutants</t>
  </si>
  <si>
    <t>% reduction in emissions</t>
  </si>
  <si>
    <t>**Description:**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t>
  </si>
  <si>
    <t>transportation-sector-main.html#conv-pol-stds</t>
  </si>
  <si>
    <t>conventional-pollutant-standards.html</t>
  </si>
  <si>
    <t>Electric Vehicle Charger Deployment</t>
  </si>
  <si>
    <t>EV Charger Deployment</t>
  </si>
  <si>
    <t>trans EV charger deployment</t>
  </si>
  <si>
    <t>chargers / 100k pop</t>
  </si>
  <si>
    <r>
      <rPr>
        <sz val="9"/>
        <rFont val="Apotos"/>
        <charset val="134"/>
      </rPr>
      <t xml:space="preserve">**Description:** This policy represents increasing the deployment of EV charging stations, including DC Fast and Level 2 charging stations.  It is set in chargers per 100,000 people (cumulative, not per year), additional to chargers in the BAU case.  This policy only affects passenger LDVs.  // **Guidance for setting values:** </t>
    </r>
    <r>
      <rPr>
        <sz val="9"/>
        <color rgb="FFFF0000"/>
        <rFont val="Apotos"/>
        <charset val="134"/>
      </rPr>
      <t>The Implementation Program for Accelerating the Construction of Charging and Switching Infrastructure in the Inner Mongolia Autonomous Region (2021-2025) makes it clear that by 2025, all types of charging and switching facilities in the region will strive to reach about 40,000 units.</t>
    </r>
  </si>
  <si>
    <t>ev-charger-deployment.html</t>
  </si>
  <si>
    <r>
      <rPr>
        <b/>
        <sz val="11"/>
        <rFont val="DengXian"/>
        <charset val="134"/>
        <scheme val="minor"/>
      </rPr>
      <t>Number of EV chargers:</t>
    </r>
    <r>
      <rPr>
        <sz val="11"/>
        <rFont val="DengXian"/>
        <charset val="134"/>
        <scheme val="minor"/>
      </rPr>
      <t xml:space="preserve"> https://evadoption.com/ev-charging-stations-statistics/</t>
    </r>
    <r>
      <rPr>
        <b/>
        <sz val="11"/>
        <rFont val="DengXian"/>
        <charset val="134"/>
        <scheme val="minor"/>
      </rPr>
      <t xml:space="preserve">
Number of gas stations:</t>
    </r>
    <r>
      <rPr>
        <sz val="11"/>
        <rFont val="DengXian"/>
        <charset val="134"/>
        <scheme val="minor"/>
      </rPr>
      <t xml:space="preserve"> U.S. Census, Statistics of U.S. Businesses, https://www.census.gov/data/tables/2016/econ/susb/2016-susb-annual.html
</t>
    </r>
    <r>
      <rPr>
        <b/>
        <sz val="11"/>
        <rFont val="DengXian"/>
        <charset val="134"/>
        <scheme val="minor"/>
      </rPr>
      <t>Pumps per station:</t>
    </r>
    <r>
      <rPr>
        <sz val="11"/>
        <rFont val="DengXian"/>
        <charset val="134"/>
        <scheme val="minor"/>
      </rPr>
      <t xml:space="preserve"> https://247wallst.com/economy/2014/05/22/why-are-there-115000-or-150000-gas-stations-in-america/</t>
    </r>
  </si>
  <si>
    <t>Electric Vehicle Range &amp; Charging Time</t>
  </si>
  <si>
    <t>Reduce EV Range Anxiety and Charging Time</t>
  </si>
  <si>
    <t>EV Range &amp; Charging Time</t>
  </si>
  <si>
    <t>trans reduce EV range anxiety and charging time</t>
  </si>
  <si>
    <t>% reduction in concern</t>
  </si>
  <si>
    <r>
      <rPr>
        <sz val="9"/>
        <rFont val="Apotos"/>
        <charset val="134"/>
      </rPr>
      <t>**Description:** This policy specifies a percentage reduction in vehicle buyers' aversion to electric vehicles due to concerns over the vehicles' range (how far the EV can travel on a charge) and charging time.  A 100% setting implies consumers are no more concerned about EV range and charging time than they are about range and fueling time of gasoline vehicles.  It does not imply that range is infinite, nor that charging is instantaneous.  This policy only affects passenger LDVs.  // **Guidance for setting values:**</t>
    </r>
    <r>
      <rPr>
        <sz val="9"/>
        <color rgb="FFFF0000"/>
        <rFont val="Apotos"/>
        <charset val="134"/>
      </rPr>
      <t>Technology roadmap 2.0 proposes that by 2030, the high ratio of charging facilities will cover residential communities and surrounding areas, as well as unit parking Spaces, social parking lots, and main areas of cities above the county level, key areas of townships, intercity connections, and highway service areas.</t>
    </r>
  </si>
  <si>
    <t>reduce-range-anxiety-charging-time.html</t>
  </si>
  <si>
    <r>
      <rPr>
        <b/>
        <sz val="11"/>
        <rFont val="DengXian"/>
        <charset val="134"/>
        <scheme val="minor"/>
      </rPr>
      <t xml:space="preserve">Ranges: </t>
    </r>
    <r>
      <rPr>
        <sz val="11"/>
        <rFont val="DengXian"/>
        <charset val="134"/>
        <scheme val="minor"/>
      </rPr>
      <t xml:space="preserve">https://www.energy.gov/eere/vehicles/articles/fotw-1010-january-1-2018-all-electric-light-vehicle-ranges-can-exceed-those                                              </t>
    </r>
    <r>
      <rPr>
        <b/>
        <sz val="11"/>
        <rFont val="DengXian"/>
        <charset val="134"/>
        <scheme val="minor"/>
      </rPr>
      <t xml:space="preserve">Charging Times: </t>
    </r>
    <r>
      <rPr>
        <sz val="11"/>
        <rFont val="DengXian"/>
        <charset val="134"/>
        <scheme val="minor"/>
      </rPr>
      <t>https://www.chargepoint.com/files/Quick_Guide_to_Fast_Charging.pdf</t>
    </r>
  </si>
  <si>
    <t>Zero-Emission Vehicle Sales Standard</t>
  </si>
  <si>
    <t>Minimum Required ZEV Sales Percentage</t>
  </si>
  <si>
    <t>ZEV Sales Standard</t>
  </si>
  <si>
    <t>trans ZEV minimum</t>
  </si>
  <si>
    <t>% of new vehicles sold</t>
  </si>
  <si>
    <r>
      <rPr>
        <sz val="9"/>
        <rFont val="Apotos"/>
        <charset val="134"/>
      </rPr>
      <t xml:space="preserve">**Description:**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t>
    </r>
    <r>
      <rPr>
        <sz val="9"/>
        <color rgb="FFFF0000"/>
        <rFont val="Apotos"/>
        <charset val="134"/>
      </rPr>
      <t>**Passenger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t>
    </r>
  </si>
  <si>
    <t>transportation-sector-main.html#ev-mandate</t>
  </si>
  <si>
    <t>ev-mandate.html</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</si>
  <si>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</si>
  <si>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Non BAU ZEV Qualifying Vehicles</t>
  </si>
  <si>
    <t>Boolean Use Non BAU ZEV Qualifying Vehicle Defintions</t>
  </si>
  <si>
    <t>trans non BAU ZEV vehicle definitions</t>
  </si>
  <si>
    <t>on/off</t>
  </si>
  <si>
    <t>**Description:** This lever changes which vehicles qualify under the ZEV standard. With the lever off, ZEV qualifying vehicles include: battery electric vehicles, plugin hybrid vehicles, and hydrogen fueled vehicles. With the lever on, only battery electric vehicles and hydrogen fueled vehicles qualify.</t>
  </si>
  <si>
    <t>Electric Vehicle Subsidy</t>
  </si>
  <si>
    <t>Additional EV Subsidy Percentage</t>
  </si>
  <si>
    <t>EV Subsidy</t>
  </si>
  <si>
    <t>trans EV subsidy</t>
  </si>
  <si>
    <t>% of vehicle cost</t>
  </si>
  <si>
    <r>
      <rPr>
        <sz val="9"/>
        <rFont val="Apotos"/>
        <charset val="134"/>
      </rPr>
      <t xml:space="preserve">**Description:** This policy causes government to pay for the specified percentage of the purchase price of new battery electric passenger LDVs.  This is in addition to EV subsidies that exist in the BAU case.  // **Guidance for setting values:**  </t>
    </r>
    <r>
      <rPr>
        <sz val="9"/>
        <color rgb="FFFF0000"/>
        <rFont val="Apotos"/>
        <charset val="134"/>
      </rPr>
      <t>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t>
    </r>
  </si>
  <si>
    <t>transportation-sector-main.html#ev-subsidy</t>
  </si>
  <si>
    <t>ev-subsidy.html</t>
  </si>
  <si>
    <t>https://www.fueleconomy.gov/feg/taxevb.shtml plus Chevrolet and Tesla websites</t>
  </si>
  <si>
    <t>Feebate</t>
  </si>
  <si>
    <t>LDVs Feebate Rate</t>
  </si>
  <si>
    <t>trans LDVs feebate</t>
  </si>
  <si>
    <t>% of global best practice rate</t>
  </si>
  <si>
    <t>**Description:** This policy implements a fee on sales of inefficient light-duty vehicles (LDVs; namely cars and SUVs)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 China does not have feebate currently</t>
  </si>
  <si>
    <t>transportation-sector-main.html#feebate</t>
  </si>
  <si>
    <t>feebate.html</t>
  </si>
  <si>
    <t>Greene et al., 2005, "Feebates, rebates and gas-guzzler taxes: a study of incentives for increased fuel economy", Energy Policy, 33(6), 757-775, http://cta.ornl.gov/cta/Publications/Reports/FeebateEnergyPolicy_FINAL.pdf.</t>
  </si>
  <si>
    <t>John German and Dan Meszler, 2010, "Best Practices for Feebate Program Design and Implementation", ICCT, http://www.theicct.org/sites/default/files/publications/ICCT_feebates_may2010.pdf, Table 2</t>
  </si>
  <si>
    <t>Fuel Economy Standard</t>
  </si>
  <si>
    <t>Percentage Additional Improvement of Fuel Economy Std</t>
  </si>
  <si>
    <t>Vehicle Fuel Economy Standards</t>
  </si>
  <si>
    <t>trans fuel economy standards</t>
  </si>
  <si>
    <t>% increase in miles/gal</t>
  </si>
  <si>
    <r>
      <rPr>
        <sz val="9"/>
        <rFont val="Apotos"/>
        <charset val="134"/>
      </rPr>
      <t>**Description:**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
    </r>
    <r>
      <rPr>
        <sz val="9"/>
        <color rgb="FFFF0000"/>
        <rFont val="Apotos"/>
        <charset val="134"/>
      </rPr>
      <t>The Inner Mongolia Autonomous Region has not issued updated policies related to the economic fuel efficiency of vehicles.</t>
    </r>
  </si>
  <si>
    <t>transportation-sector-main.html#fuel-econ-std</t>
  </si>
  <si>
    <t>fuel-economy-standard.html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</si>
  <si>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</si>
  <si>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</si>
  <si>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Low Carbon Fuel Standard</t>
  </si>
  <si>
    <t>Additional LCFS Percentage</t>
  </si>
  <si>
    <t>trans LCFS</t>
  </si>
  <si>
    <t>% reduction in carbon emissions</t>
  </si>
  <si>
    <t>**Description:** This policy specifies the percentage reduction in carbon emissions from the transportation sector that must be achieved via fuel switching.  This value is in addition to BAU requirements. // **Guidance for setting values:** China does not have LCFS. The U.S. National Renewable Fuel Standard equates to a BAU LCFS of 2.2% - 4.6% (varying by year).  California adopted an LCFS that requires a 10% reduction in carbon intensity of the transportation fuel pool by 2020.</t>
  </si>
  <si>
    <t>transportation-sector-main.html#lcfs</t>
  </si>
  <si>
    <t>low-carbon-fuel-standard.html</t>
  </si>
  <si>
    <t>https://www.arb.ca.gov/fuels/lcfs/background/basics.htm</t>
  </si>
  <si>
    <t>Mode Shifting</t>
  </si>
  <si>
    <t>Percent of Travel Demand Shifted to Other Modes or Eliminated</t>
  </si>
  <si>
    <t>trans mode shifting</t>
  </si>
  <si>
    <t>% of trips shifted</t>
  </si>
  <si>
    <r>
      <rPr>
        <sz val="9"/>
        <rFont val="Apotos"/>
        <charset val="134"/>
      </rPr>
      <t>**Description:**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t>
    </r>
    <r>
      <rPr>
        <sz val="9"/>
        <color rgb="FF92D050"/>
        <rFont val="Apotos"/>
        <charset val="134"/>
      </rPr>
      <t xml:space="preserve"> </t>
    </r>
    <r>
      <rPr>
        <sz val="9"/>
        <color rgb="FFFF0000"/>
        <rFont val="Apotos"/>
        <charset val="134"/>
      </rPr>
      <t>The Inner Mongolia Autonomous Region has not issued any updated relevant official policies.</t>
    </r>
  </si>
  <si>
    <t>transportation-sector-main.html#tdm</t>
  </si>
  <si>
    <t>transportation-demand-management.html</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</si>
  <si>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</si>
  <si>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t>Buildings and Appliances</t>
  </si>
  <si>
    <t>Building Component Electrification</t>
  </si>
  <si>
    <t>Fraction of New Bldg Components Shifted to Other Fuels</t>
  </si>
  <si>
    <t>bldgs new component fuel shifting</t>
  </si>
  <si>
    <t>% of newly sold non-electric building components</t>
  </si>
  <si>
    <r>
      <rPr>
        <sz val="9"/>
        <rFont val="Apotos"/>
        <charset val="134"/>
      </rPr>
      <t xml:space="preserve">**Description:** This policy replaces the specified fraction of newly sold non-electric building components of the selected type(s) in buildings of the selected type(s) with electricity-using components. // **Guidance for setting values:** </t>
    </r>
    <r>
      <rPr>
        <sz val="9"/>
        <color rgb="FFFF0000"/>
        <rFont val="Apotos"/>
        <charset val="134"/>
      </rPr>
      <t>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t>
    </r>
  </si>
  <si>
    <t>buildings-sector-main.html#component-elec</t>
  </si>
  <si>
    <t>building-component-electrification.html</t>
  </si>
  <si>
    <t>EIA AEO</t>
  </si>
  <si>
    <t>Building Energy Efficiency Standards</t>
  </si>
  <si>
    <t>Reduction in E Use Allowed by Component Eff Std</t>
  </si>
  <si>
    <t>bldgs efficiency standards</t>
  </si>
  <si>
    <t>% reduction in energy use</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</si>
  <si>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t>
  </si>
  <si>
    <t>buildings-sector-main.html#eff-stds</t>
  </si>
  <si>
    <t>building-energy-efficiency-standards.html</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</si>
  <si>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</si>
  <si>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Itron, 2007, "ASSESSMENT OF LONG-TERM
ELECTRIC ENERGY EFFICIENCY
POTENTIAL IN CALIFORNIA’S
RESIDENTIAL SECTOR," http://www.energy.ca.gov/2007publications/CEC-500-2007-002/CEC-500-2007-002.PDF, p.33, Table 5-1</t>
  </si>
  <si>
    <t>Contractor Training</t>
  </si>
  <si>
    <t>Boolean Improved Contractor Edu and Training</t>
  </si>
  <si>
    <t>bldgs contractor training</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</si>
  <si>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</si>
  <si>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buildings-sector-main.html#contractor-ed</t>
  </si>
  <si>
    <t>contractor-training.html</t>
  </si>
  <si>
    <t>Distributed Solar Carve-Out</t>
  </si>
  <si>
    <t>Min Fraction of Total Elec Demand to be Met by Distributed Solar PV</t>
  </si>
  <si>
    <t>Distributed Solar Promotion</t>
  </si>
  <si>
    <t>bldgs min fraction distributed solar</t>
  </si>
  <si>
    <t>minimum % elec from solar</t>
  </si>
  <si>
    <t>**Description:** This policy requires at least the specified percentage of total retail electricity demand to be generated by residential and commercial buildings' distributed solar systems (typically rooftop PV). // **Guidance for setting values:**The proportion of electricity from rooftop PV in the total electricity consumption.</t>
  </si>
  <si>
    <t>buildings-sector-main.html#solar-carve-out</t>
  </si>
  <si>
    <t>solar-carve-out.html</t>
  </si>
  <si>
    <t>MASSACHUSETTS: http://www.mass.gov/eea/energy-utilities-clean-tech/renewable-energy/solar/rps-solar-carve-out/current-status-of-the-rps-solar-carve-out-program.html  COLORADO: http://www.seia.org/research-resources/rps-solar-carve-out-colorado</t>
  </si>
  <si>
    <t>RMI, 2011, "Reinventing Fire Electricity Sector Methodology," http://www.rmi.org/cms/Download.aspx?id=10765&amp;file=Reinventing+Fire+Electricity+Sector+Methodology.pdf&amp;title=Reinventing+Fire+Electricity+Sector+Methodology, Page 11, 2050 Generation by Case</t>
  </si>
  <si>
    <t>Distributed Solar Subsidy</t>
  </si>
  <si>
    <t>Perc Subsidy for Distributed Solar PV Capacity</t>
  </si>
  <si>
    <t>bldgs distributed solar subsidy</t>
  </si>
  <si>
    <t>% of PV system cost</t>
  </si>
  <si>
    <t>**Description:**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t>
  </si>
  <si>
    <t>buildings-sector-main.html#distributed-solar-subsidy</t>
  </si>
  <si>
    <t>distributed-solar-subsidy.html</t>
  </si>
  <si>
    <t>Department of Energy.  Business Energy Investment Tax Credit (ITC).  http://energy.gov/savings/business-energy-investment-tax-credit-itc</t>
  </si>
  <si>
    <t>Improved Labeling</t>
  </si>
  <si>
    <t>Boolean Improved Device Labeling</t>
  </si>
  <si>
    <t>bldgs device labeling</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</si>
  <si>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 **Guidance for setting values:**  China has implemented the "Energy Efficiency Labeling Management Measures" since 2016.</t>
  </si>
  <si>
    <t>buildings-sector-main.html#device-labeling</t>
  </si>
  <si>
    <t>improved-labeling.html</t>
  </si>
  <si>
    <t>none</t>
  </si>
  <si>
    <t>Retrofit Existing Buildings</t>
  </si>
  <si>
    <t>Share of Preexisting Buildings Subject to Retrofitting</t>
  </si>
  <si>
    <t>Increased Retrofitting</t>
  </si>
  <si>
    <t>bldgs retrofitting</t>
  </si>
  <si>
    <t>% of existing buildings</t>
  </si>
  <si>
    <t>**Description:**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t>
  </si>
  <si>
    <t>buildings-sector-main.html#retrofitting</t>
  </si>
  <si>
    <t>increased-retrofitting.html</t>
  </si>
  <si>
    <t>Calculated from model data; see the relevant variable(s) in the InputData folder for source information.</t>
  </si>
  <si>
    <t>Rebate for Efficient Products</t>
  </si>
  <si>
    <t>Boolean Rebate Program for Efficient Components</t>
  </si>
  <si>
    <t>bldgs rebate</t>
  </si>
  <si>
    <t xml:space="preserve">**Description:**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t>
  </si>
  <si>
    <t>buildings-sector-main.html#rebate</t>
  </si>
  <si>
    <t>rebate-for-efficient-products.html</t>
  </si>
  <si>
    <t>Electricity Supply</t>
  </si>
  <si>
    <t>Ban New Power Plants</t>
  </si>
  <si>
    <t>Boolean Ban New Power Plants</t>
  </si>
  <si>
    <t>elec ban new power plants</t>
  </si>
  <si>
    <t>**Description:** This policy prevents new capacity of the selected type(s) from being built or deployed.</t>
  </si>
  <si>
    <t>electricity-sector-main.html#ban</t>
  </si>
  <si>
    <t>ban-new-capacity.html</t>
  </si>
  <si>
    <t>Carbon Capture and Sequestration</t>
  </si>
  <si>
    <t>Electricity Sector Fraction of Potential Additional CCS Achieved</t>
  </si>
  <si>
    <t>Clean Electricity Standard</t>
  </si>
  <si>
    <t>elec CCS</t>
  </si>
  <si>
    <t>% of CO2 captured</t>
  </si>
  <si>
    <t>**Description:**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t>
  </si>
  <si>
    <t>ccs.html#ccs</t>
  </si>
  <si>
    <t>carbon-capture-and-sequestration.html</t>
  </si>
  <si>
    <t>Renewable Energy</t>
  </si>
  <si>
    <t>Renewable Portfolio Std Percentage</t>
  </si>
  <si>
    <t>elec renewable portfolio standards</t>
  </si>
  <si>
    <t>% of electricity generation</t>
  </si>
  <si>
    <r>
      <rPr>
        <sz val="9"/>
        <rFont val="Apotos"/>
        <charset val="134"/>
      </rPr>
      <t xml:space="preserve">**Description:** This policy specifies an increase in the fraction of electricity generation that must come from qualifying carbon-free sources (wind, solar, biomass, nuclear, hydro, and geothermal) in 2060.  This policy has no effect until the user-set value exceeds the existing fraction of carbon-free electricity and any carbon-free electricity standards reflected in BAU.  // **Guidance for setting values:** </t>
    </r>
    <r>
      <rPr>
        <sz val="9"/>
        <color rgb="FFFF0000"/>
        <rFont val="Apotos"/>
        <charset val="134"/>
      </rPr>
      <t>China came out with new RPS policies to reach about 33% in 2025. A request for public opinion, a goal of 40% for all provinces except Tibet in 2030 was proposed. Inner Mongolia's Energy 14th FYP declared the that share of non-fossil power generation will rise from 17.3% in 2020, to 30% by 2035.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t>
    </r>
  </si>
  <si>
    <t>electricity-sector-main.html#ces</t>
  </si>
  <si>
    <t>clean-energy-standard.html</t>
  </si>
  <si>
    <t>White House, 2015, "Fact Sheet: President Obama to Announce Historic Carbon Pollution Standards for Power Plants", https://www.whitehouse.gov/the-press-office/2015/08/03/fact-sheet-president-obama-announce-historic-carbon-pollution-standards.</t>
  </si>
  <si>
    <t>Change Electricity Exports</t>
  </si>
  <si>
    <t>Percent Change in Electricity Exports</t>
  </si>
  <si>
    <t>Electricity Imports and Exports</t>
  </si>
  <si>
    <t>elec change exports</t>
  </si>
  <si>
    <t>% change in exports</t>
  </si>
  <si>
    <r>
      <rPr>
        <sz val="9"/>
        <rFont val="Apotos"/>
        <charset val="134"/>
      </rPr>
      <t xml:space="preserve">**Description:** This policy increases or decreases the amount of electricity exported from Shandong.  It does not cause the construction or removal of transmission lines linking the province. // **Guidance for setting values:** </t>
    </r>
    <r>
      <rPr>
        <sz val="9"/>
        <color rgb="FFFF0000"/>
        <rFont val="Apotos"/>
        <charset val="134"/>
      </rPr>
      <t>Thanks to its vast land area, great solar and wind resource, and abundant coal reserve. Inner Mongolia has always been a major power provider in China, the construction of new export powerline enhances its capability to export. Between 2017 and 2021, Inner Mongolia's annual electricity export has increased from 156TWh to 247TWh, and is seeking to continuely increase its capacity to export renewable energy.</t>
    </r>
  </si>
  <si>
    <t>electricity-sector-main.html#elec-exports</t>
  </si>
  <si>
    <t>electricity-imports-exports.html</t>
  </si>
  <si>
    <t>Energy Information Administation.  2016.  Electric Power Annual.  Table 2.13.</t>
  </si>
  <si>
    <t>Change Electricity Imports</t>
  </si>
  <si>
    <t>Percent Change in Electricity Imports</t>
  </si>
  <si>
    <t>elec change imports</t>
  </si>
  <si>
    <t>% change in imports</t>
  </si>
  <si>
    <r>
      <rPr>
        <sz val="9"/>
        <rFont val="Apotos"/>
        <charset val="134"/>
      </rPr>
      <t xml:space="preserve">**Description:** This policy increases or decreases the amount of electricity imported to Shandong.  It does not cause the construction or removal of transmission lines linking the province. // **Guidance for setting values:** </t>
    </r>
    <r>
      <rPr>
        <sz val="9"/>
        <color rgb="FFFF0000"/>
        <rFont val="Apotos"/>
        <charset val="134"/>
      </rPr>
      <t>Eastern Inner Mongolia accepts power from China's northeast regions, particular Jilin province, whereas western Inner Mongolia imports power from Shanxi and Ningxia Province, but its electricity import is much smaller than export.</t>
    </r>
  </si>
  <si>
    <t>electricity-sector-main.html#elec-imports</t>
  </si>
  <si>
    <t>Non BAU Guaranteed Dispatch</t>
  </si>
  <si>
    <t>Boolean Use Non BAU Guaranteed Dispatch Settings</t>
  </si>
  <si>
    <t>elec non BAU guaranteed dispatch</t>
  </si>
  <si>
    <r>
      <rPr>
        <sz val="9"/>
        <rFont val="Apotos"/>
        <charset val="134"/>
      </rPr>
      <t>**Description:** This policy uses an alternative garanteed dispatched percentage for each type of generation. //  **Guidance for setting values:**</t>
    </r>
    <r>
      <rPr>
        <sz val="9"/>
        <color rgb="FFFF0000"/>
        <rFont val="Apotos"/>
        <charset val="134"/>
      </rPr>
      <t xml:space="preserve"> China currently has a garanteed full purchase of renewable generation (wind, solar, biomass, geothermal and tidal energy). However, the policy may not be preferable as renewable penetration continues to grow. An alternative garanteed dispatch percentage is set at 80% for wind and solar, and 50% for all other renewable generation.</t>
    </r>
  </si>
  <si>
    <t>Demand Response</t>
  </si>
  <si>
    <t>Fraction of Additional Demand Response Potential Achieved</t>
  </si>
  <si>
    <t>elec demand response</t>
  </si>
  <si>
    <t>% of potential achieved</t>
  </si>
  <si>
    <r>
      <rPr>
        <sz val="9"/>
        <rFont val="Apotos"/>
        <charset val="134"/>
      </rPr>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 **Guidance for setting values:** </t>
    </r>
    <r>
      <rPr>
        <sz val="9"/>
        <color rgb="FFFF0000"/>
        <rFont val="Apotos"/>
        <charset val="134"/>
      </rPr>
      <t>A 100% setting provides will make Inner Mongolia's DR capacity to reach 20% of peak hour demand capacity by 2035, instead of the 3% requirement released in 2016. The announced policy scenario increases the DR capacity to 8% by 2030, as laid out in Western Inner Mongolia New Power System Action Plan.</t>
    </r>
  </si>
  <si>
    <t>electricity-sector-main.html#dr</t>
  </si>
  <si>
    <t>demand-response.html</t>
  </si>
  <si>
    <t>Early Retirement of Power Plants</t>
  </si>
  <si>
    <t>Annual Additional Capacity Retired due to Early Retirement Policy</t>
  </si>
  <si>
    <t>elec early retirement</t>
  </si>
  <si>
    <t>MW/year</t>
  </si>
  <si>
    <t>**Description:** This policy causes the specified quantity of otherwise non-retiring capacity of the selected type(s) to be retired each year.</t>
  </si>
  <si>
    <t>electricity-sector-main.html#early-ret</t>
  </si>
  <si>
    <t>early-retirement-of-power-plants.html</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</si>
  <si>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</si>
  <si>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The Brattle Group, 2012, "Potential Coal Plant Retirements: 2012 Update," http://greatlakeslegalfoundation.org/wwcms/wp-content/uploads/documents/regulatory/TrainWreck/12Oct15_BrattleStudy.pdf, Page 8, Table 4</t>
  </si>
  <si>
    <t>Grid-Scale Electricity Storage</t>
  </si>
  <si>
    <t>Fraction of Additional Grid Battery Storage Potential Achieved</t>
  </si>
  <si>
    <t>elec storage growth</t>
  </si>
  <si>
    <r>
      <rPr>
        <sz val="9"/>
        <rFont val="Apotos"/>
        <charset val="134"/>
      </rPr>
      <t xml:space="preserve">**Description:** This policy causes grid-scale electricity storage from chemical batteries to increase above the amount predicted in the BAU Scenario. // **Guidance for setting values:** </t>
    </r>
    <r>
      <rPr>
        <sz val="9"/>
        <color rgb="FFFF0000"/>
        <rFont val="Apotos"/>
        <charset val="134"/>
      </rPr>
      <t>A 100% setting provides will double Inner Mongolia's grid side battery installation from 31 GW to 205 GW in 2060.</t>
    </r>
  </si>
  <si>
    <t>electricity-sector-main.html#storage</t>
  </si>
  <si>
    <t>grid-scale-electricity-storage.html</t>
  </si>
  <si>
    <t>National Renewable Energy Laboratory, 2014, Renewable Electricity Futures Scenario Viewer,
http://www.nrel.gov/analysis/re_futures/data_viewer/#
80% RE-ITI (2014) scenario</t>
  </si>
  <si>
    <t>Increase Transmission</t>
  </si>
  <si>
    <t>Percentage Increase in Transmission Capacity vs BAU</t>
  </si>
  <si>
    <t>elec transmission growth</t>
  </si>
  <si>
    <t>% increase in transmission capacity</t>
  </si>
  <si>
    <r>
      <rPr>
        <sz val="9"/>
        <rFont val="Apotos"/>
        <charset val="134"/>
      </rPr>
      <t xml:space="preserve">**Description:** This policy causes additional transmission capacity to be built relative to the BAU case.  Transmission increases the flexibility of the grid, allowing for the integration of more wind and solar PV, if the electricity system is flexibility-constrained. // **Guidance for setting values:** </t>
    </r>
    <r>
      <rPr>
        <sz val="9"/>
        <color rgb="FFFF0000"/>
        <rFont val="Apotos"/>
        <charset val="134"/>
      </rPr>
      <t>According to our current setting, Inner Mongolia's transmission capacity grows proportionally with its total generation capacity. The renewable generation growth generally is not constrained by transmission or system flexibility. Increasing transmission will not significantly alter the model's output.</t>
    </r>
  </si>
  <si>
    <t>electricity-sector-main.html#transmission</t>
  </si>
  <si>
    <t>increase-transmission.html</t>
  </si>
  <si>
    <t>National Renewable Energy Laboratory, 2014, Renewable Electricity Futures (Vol. 1),
http://www.nrel.gov/docs/fy12osti/52409-1.pdf, Page xli, Figure ES-8, 80% RE scenario.</t>
  </si>
  <si>
    <t>National Renewable Energy Laboratory, 2014, Renewable Electricity Futures (Vol. 1),
http://www.nrel.gov/docs/fy12osti/52409-1.pdf, Page 2-10, 90% RE scenario.</t>
  </si>
  <si>
    <t>Non BAU Capacity Retirement Schedule</t>
  </si>
  <si>
    <t>Boolean Use Non BAU Capacity Retirement Schedule</t>
  </si>
  <si>
    <t>**Description:**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t>
  </si>
  <si>
    <t>Non BAU Mandated Capacity Construction</t>
  </si>
  <si>
    <t>Boolean Use Non BAU Mandated Capacity Construction Schedule</t>
  </si>
  <si>
    <r>
      <rPr>
        <sz val="9"/>
        <rFont val="Apotos"/>
        <charset val="134"/>
      </rPr>
      <t xml:space="preserve">**Description:** The business-as-usual case includes all planned capacity additions. // **Guidance for setting values:**  </t>
    </r>
    <r>
      <rPr>
        <sz val="9"/>
        <color rgb="FFFF0000"/>
        <rFont val="Apotos"/>
        <charset val="134"/>
      </rPr>
      <t>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t>
    </r>
  </si>
  <si>
    <t>Non BAU RPS Qualifying Resources</t>
  </si>
  <si>
    <t>Boolean Use Non BAU RPS Qualifying Resource Definitions</t>
  </si>
  <si>
    <t>elec non BAU RPS qualifying resources</t>
  </si>
  <si>
    <r>
      <rPr>
        <sz val="9"/>
        <rFont val="Apotos"/>
        <charset val="134"/>
      </rPr>
      <t xml:space="preserve">**Description:** This policy uses an alternative definition of what qualifies as renewable generation. //  **Guidance for setting values:** </t>
    </r>
    <r>
      <rPr>
        <sz val="9"/>
        <color rgb="FFFF0000"/>
        <rFont val="Apotos"/>
        <charset val="134"/>
      </rPr>
      <t>Under BAU scenario, all non-fossil fuel generation are viewed as Renewable in China. Under alternative assumption, nuclear and hydro are excluded for environmental and safety concerns. Biomass and municipal solid waste generation are also excluded as they are not truly carbon-neutral.</t>
    </r>
  </si>
  <si>
    <t>Nuclear Plant Lifetime Extension</t>
  </si>
  <si>
    <t>Nuclear Capacity Lifetime Extension</t>
  </si>
  <si>
    <t>Nuclear Lifetime Extension</t>
  </si>
  <si>
    <t>year(s)</t>
  </si>
  <si>
    <t>**Description:** This policy extends the lifetime of all nuclear plants by the specified number of years.</t>
  </si>
  <si>
    <t>electricity-sector-main.html#life-ext</t>
  </si>
  <si>
    <t>nuclear-lifetime-extension.html</t>
  </si>
  <si>
    <t>U.S. Energy Information Administration, 2014, "Almost all U.S. nuclear plants require life extension past 60 years to operate beyond 2050", http://www.eia.gov/todayinenergy/detail.cfm?id=19091.</t>
  </si>
  <si>
    <t>Reduce Plant Downtime</t>
  </si>
  <si>
    <t>Percentage Reduction in Plant Downtime</t>
  </si>
  <si>
    <t>elec reduce plant downtime</t>
  </si>
  <si>
    <t>% reduction in downtime</t>
  </si>
  <si>
    <t>**Description:**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t>
  </si>
  <si>
    <t>electricity-sector-main.html#red-downtime</t>
  </si>
  <si>
    <t>reduce-downtime.html</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</si>
  <si>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</si>
  <si>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Reduce Soft Costs</t>
  </si>
  <si>
    <t>Percent Reduction in Soft Costs of Capacity Construction</t>
  </si>
  <si>
    <t>elec reduce soft costs</t>
  </si>
  <si>
    <t>% reduction in soft costs</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</si>
  <si>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</si>
  <si>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endogenous-learning.html#red-soft-costs</t>
  </si>
  <si>
    <t>reduce-soft-costs.html</t>
  </si>
  <si>
    <t>Reduce Transmission &amp; Distribution Losses</t>
  </si>
  <si>
    <t>Percentage TnD Losses Avoided</t>
  </si>
  <si>
    <t>Reduce T&amp;D Losses</t>
  </si>
  <si>
    <t>elec avoid TND loss</t>
  </si>
  <si>
    <t>% of losses avoided</t>
  </si>
  <si>
    <r>
      <rPr>
        <sz val="9"/>
        <rFont val="Apotos"/>
        <charset val="134"/>
      </rPr>
      <t xml:space="preserve">**Description:** This policy specifies the reduction in transmission and distribution losses that will be achieved by 2050. // **Guidance for setting values:** </t>
    </r>
    <r>
      <rPr>
        <sz val="9"/>
        <color rgb="FFFF0000"/>
        <rFont val="Apotos"/>
        <charset val="134"/>
      </rPr>
      <t>In 2020, Inner Mongolia's electricity transmission losses is about 3.82% according to statistics, which is lower than the national average by 1.4%. In its 14th FYP, the Autonomous Region announced to reduce losses to 3.5% by 2025, or 8.46% decrease compared to BAU.</t>
    </r>
  </si>
  <si>
    <t>electricity-sector-main.html#red-tnd-losses</t>
  </si>
  <si>
    <t>reduce-tnd-losses.html</t>
  </si>
  <si>
    <t>The World Bank.  Electric power transmission and distribution losses (% of output).  http://data.worldbank.org/indicator/EG.ELC.LOSS.ZS</t>
  </si>
  <si>
    <t>Subsidy for Capacity Construction</t>
  </si>
  <si>
    <t>Perc Subsidy for Elec Capacity Construction</t>
  </si>
  <si>
    <t>elec capacity construction subsidy</t>
  </si>
  <si>
    <t>% of construction cost</t>
  </si>
  <si>
    <t xml:space="preserve">**Description:**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t>
  </si>
  <si>
    <t>electricity-sector-main.html#subsidies</t>
  </si>
  <si>
    <t>https://www.energy.gov/articles/secretary-perry-announces-financial-close-additional-loan-guarantees-during-trip-vogtle
https://www.energysage.com/solar/cost-benefit/solar-investment-tax-credit/
http://biomassmagazine.com/articles/8185/usda-loan-guarantees-support-3-biomass-power-plants</t>
  </si>
  <si>
    <t>Subsidy for Electricity Production</t>
  </si>
  <si>
    <t>Subsidy for Elec Production by Fuel</t>
  </si>
  <si>
    <t>elec generation subsidy</t>
  </si>
  <si>
    <t xml:space="preserve">**Description:**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t>
  </si>
  <si>
    <t>subsidy-for-electricity-production.html</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</si>
  <si>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</si>
  <si>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Industry</t>
  </si>
  <si>
    <t>Buy In-Region Products</t>
  </si>
  <si>
    <t>Fraction of Imported Industrial Outputs Shifted to In Region Suppliers</t>
  </si>
  <si>
    <t>indst buy in region outputs</t>
  </si>
  <si>
    <t>% of imports shifted</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</si>
  <si>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</si>
  <si>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Industry Sector Fraction of Potential Additional CCS Achieved</t>
  </si>
  <si>
    <t>Industry CCS</t>
  </si>
  <si>
    <t>indst CCS</t>
  </si>
  <si>
    <t>Cement Clinker Substitution</t>
  </si>
  <si>
    <t>Fraction of Cement Measures Achieved</t>
  </si>
  <si>
    <t>indst cement measures</t>
  </si>
  <si>
    <r>
      <rPr>
        <sz val="9"/>
        <rFont val="Apotos"/>
        <charset val="134"/>
      </rPr>
      <t xml:space="preserve">**Description:** This policy reduces CO2 emissions from the cement industry by substituting other inputs, such as fly ash, for a portion of the clinker in cement. // **Guidance for setting values:** </t>
    </r>
    <r>
      <rPr>
        <sz val="9"/>
        <color rgb="FFFF0000"/>
        <rFont val="Apotos"/>
        <charset val="134"/>
      </rPr>
      <t xml:space="preserve"> If this policy is fully implemented, the share of clinker in cement is reduced from 74% to 60%, clinker percentage will decrease by 18.9%.</t>
    </r>
  </si>
  <si>
    <t>industry-ag-main.html#clinker</t>
  </si>
  <si>
    <t>cement-clinker-substitution.html</t>
  </si>
  <si>
    <t>International Energy Agency and Cement Sustainability Initiative. 2018. Technology Roadmap: Low-Carbon Transition in the Cement Industry. p41. http://www.iea.org/publications/freepublications/publication/TechnologyRoadmapLowCarbonTransitionintheCementIndustry.pdf</t>
  </si>
  <si>
    <t>Cogeneration and Waste Heat Recovery</t>
  </si>
  <si>
    <t>Fraction of Potential Cogeneration and Waste Heat Recovery Adopted</t>
  </si>
  <si>
    <t>indst CHP</t>
  </si>
  <si>
    <t>**Description:** This policy reduces fuel consumption in the industry sector by increasing the use of cogeneration (also known as combined heat and power) and recovery of waste heat (to perform useful work).</t>
  </si>
  <si>
    <t>industry-ag-main.html#cogen</t>
  </si>
  <si>
    <t>cogeneration-and-waste-heat-recovery.html</t>
  </si>
  <si>
    <t>Early Retirement of Industrial Facilities</t>
  </si>
  <si>
    <t>Fraction of Energy Savings from Early Facility Retirement Achieved</t>
  </si>
  <si>
    <t>indst early retirement</t>
  </si>
  <si>
    <r>
      <rPr>
        <sz val="9"/>
        <rFont val="Apotos"/>
        <charset val="134"/>
      </rPr>
      <t xml:space="preserve">**Description:**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t>
    </r>
    <r>
      <rPr>
        <sz val="9"/>
        <color rgb="FFFF0000"/>
        <rFont val="Apotos"/>
        <charset val="134"/>
      </rPr>
      <t>In Inner Mongolia, if this policy is fully implemented, fuel use in the 6 high energy-consuming industriesis will reduced between 1% and 11% in 2025.</t>
    </r>
  </si>
  <si>
    <t>industry-ag-main.html#early-ret</t>
  </si>
  <si>
    <t>early-retirement-of-industrial-facilities.html</t>
  </si>
  <si>
    <t>Industry Energy Efficiency Standards</t>
  </si>
  <si>
    <t>Percentage Improvement in Eqpt Efficiency Standards above BAU</t>
  </si>
  <si>
    <t>indst efficiency standards</t>
  </si>
  <si>
    <r>
      <rPr>
        <sz val="9"/>
        <rFont val="Apotos"/>
        <charset val="134"/>
      </rPr>
      <t xml:space="preserve">**Description:**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t>
    </r>
    <r>
      <rPr>
        <sz val="9"/>
        <color rgb="FFFF0000"/>
        <rFont val="Apotos"/>
        <charset val="134"/>
      </rPr>
      <t>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t>
    </r>
  </si>
  <si>
    <t>industry-ag-main.html#eff-stds</t>
  </si>
  <si>
    <t>industry-energy-efficiency-standards.html</t>
  </si>
  <si>
    <t>U.S. DOE, 2016, Industrial Energy Efficiency Potential Analysis, https://energy.gov/sites/prod/files/2017/04/f34/energy-savings-by-state-industrial-methodology.pdf</t>
  </si>
  <si>
    <t>Improved System Design</t>
  </si>
  <si>
    <t>Fraction of Installation and System Integration Issues Remedied</t>
  </si>
  <si>
    <t>indst system integration</t>
  </si>
  <si>
    <t>**Description:** This policy reduces fuel consumption in the industry sector by improving the way components are put together and the way material or energy flows between them.</t>
  </si>
  <si>
    <t>industry-ag-main.html#system-integ</t>
  </si>
  <si>
    <t>improved-system-design.html</t>
  </si>
  <si>
    <t>Electrification + Hydrogen (Med &amp; High Temp)</t>
  </si>
  <si>
    <t>Fraction of Med and High Temp Industrial Heat Shifted to Other Fuels</t>
  </si>
  <si>
    <t>Electrification + Hydrogen</t>
  </si>
  <si>
    <t>indst med and high temp fuel type shifting</t>
  </si>
  <si>
    <t>% of fuel shifted</t>
  </si>
  <si>
    <r>
      <rPr>
        <sz val="9"/>
        <rFont val="Apotos"/>
        <charset val="134"/>
      </rPr>
      <t>**Description:**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t>
    </r>
    <r>
      <rPr>
        <sz val="9"/>
        <color rgb="FFFF0000"/>
        <rFont val="Apotos"/>
        <charset val="134"/>
      </rPr>
      <t>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t>
    </r>
  </si>
  <si>
    <t>industry-ag-main.html#fuel-switching</t>
  </si>
  <si>
    <t>industry-elec-and-hydrogen.html</t>
  </si>
  <si>
    <t>Electrification (Low Temp)</t>
  </si>
  <si>
    <t>Fraction of Low Temp Industrial Heat Shifted to Other Fuels</t>
  </si>
  <si>
    <t>indst low temp fuel type shifting</t>
  </si>
  <si>
    <r>
      <rPr>
        <sz val="9"/>
        <rFont val="Apotos"/>
        <charset val="134"/>
      </rPr>
      <t>**Description:**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t>
    </r>
    <r>
      <rPr>
        <sz val="9"/>
        <color rgb="FFFF0000"/>
        <rFont val="Apotos"/>
        <charset val="134"/>
      </rPr>
      <t xml:space="preserve">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t>
    </r>
  </si>
  <si>
    <t>F-Gas Substitution</t>
  </si>
  <si>
    <t>Fraction of F Gas Substitution Achieved</t>
  </si>
  <si>
    <t>F-gas Measures</t>
  </si>
  <si>
    <t>indst f gas substitution</t>
  </si>
  <si>
    <t>**Description:** This policy reduces emissions of high-GWP, fluorinated gases (F-gases) from the industry sector by substituting less-harmful chemicals. // **Guidance for setting values:** If this policy is fully implemented, its emission reduction potential in that year would be that of all cost-effective measures based on the level of the carbon price in that year.</t>
  </si>
  <si>
    <t>industry-ag-main.html#avoid-f-gases</t>
  </si>
  <si>
    <t>avoid-f-gases.html</t>
  </si>
  <si>
    <t>F-Gas Destruction</t>
  </si>
  <si>
    <t>Fraction of F Gas Destruction Achieved</t>
  </si>
  <si>
    <t>indst f gas destruction</t>
  </si>
  <si>
    <t>**Description:** This policy reduces emissions of high-GWP, fluorinated gases (F-gases) from the industry sector by destroying F-gases created as byproducts during the creation of desired products. // **Guidance for setting values:** If this policy is fully implemented, its emission reduction potential in that year would be that of all cost-effective measures based on the level of the carbon price in that year.</t>
  </si>
  <si>
    <t>F-Gas Recovery</t>
  </si>
  <si>
    <t>Fraction of F Gas Recovery Achieved</t>
  </si>
  <si>
    <t>indst f gas recovery</t>
  </si>
  <si>
    <t>**Description:**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t>
  </si>
  <si>
    <t>F-Gas Eqpt. Maintenance &amp; Retrofits</t>
  </si>
  <si>
    <t>Fraction of F Gas Inspct Maint Retrofit Achieved</t>
  </si>
  <si>
    <t>indst f gas inspct maint retrofit</t>
  </si>
  <si>
    <t>Material Efficiency, Longevity, &amp; Re-Use</t>
  </si>
  <si>
    <t>Percent Reduction in Nonenergy Nonagriculture Industry Product Demand</t>
  </si>
  <si>
    <t>indst reduce nonenergy product demand</t>
  </si>
  <si>
    <t>% demand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</si>
  <si>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</si>
  <si>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material-efficiency-longevity-reuse.html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</si>
  <si>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</si>
  <si>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Methane Capture</t>
  </si>
  <si>
    <t>Fraction of Methane Capture Opportunities Achieved</t>
  </si>
  <si>
    <t>Methane Capture and Destruction</t>
  </si>
  <si>
    <t>indst methane capture</t>
  </si>
  <si>
    <r>
      <rPr>
        <sz val="9"/>
        <rFont val="Apotos"/>
        <charset val="134"/>
      </rPr>
      <t>**Description:** This policy reduces methane emissions from the selected industry by increasing the capture of methane that is currently being released into the atmosphere (for example, stopping leaks from wellheads, pipes, coal mines, landfills, etc.). // **Guidance for setting values:**</t>
    </r>
    <r>
      <rPr>
        <sz val="9"/>
        <color theme="8" tint="-0.249977111117893"/>
        <rFont val="Apotos"/>
        <charset val="134"/>
      </rPr>
      <t xml:space="preserve"> </t>
    </r>
    <r>
      <rPr>
        <sz val="9"/>
        <color rgb="FFFF0000"/>
        <rFont val="Apotos"/>
        <charset val="134"/>
      </rPr>
      <t>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t>
    </r>
  </si>
  <si>
    <t>industry-ag-main.html#methane-capture</t>
  </si>
  <si>
    <t>methane-capture.html</t>
  </si>
  <si>
    <t>Methane Destruction</t>
  </si>
  <si>
    <t>Fraction of Methane Destruction Opportunities Achieved</t>
  </si>
  <si>
    <t>indst methane destruction</t>
  </si>
  <si>
    <t>**Description:** This policy reduces methane emissions from the selected industry by increasing the burning of methane that is currently being released into the atmosphere (i.e. flaring instead of venting/leaking).</t>
  </si>
  <si>
    <t>industry-ag-main.html#methane-destr</t>
  </si>
  <si>
    <t>methane-destruction.html</t>
  </si>
  <si>
    <t>N2O Abatement</t>
  </si>
  <si>
    <t>Fraction of N2O Abatement Achieved</t>
  </si>
  <si>
    <t>indst N2O abatement</t>
  </si>
  <si>
    <t>**Description:** This policy reduces nitrous oxide (N2O) process emissions from the chemicals industry (primarily from the production of nitric acid and adipic acid) by destroying the N2O rather than venting it to the atmosphere.</t>
  </si>
  <si>
    <t>Reduce Fossil Fuel Exports</t>
  </si>
  <si>
    <t>Percent Reduction in Fossil Fuel Exports</t>
  </si>
  <si>
    <t>indst reduce fossil fuel exports</t>
  </si>
  <si>
    <t>% reduction in exports</t>
  </si>
  <si>
    <r>
      <rPr>
        <sz val="9"/>
        <rFont val="Apotos"/>
        <charset val="134"/>
      </rPr>
      <t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
    </r>
    <r>
      <rPr>
        <sz val="9"/>
        <color rgb="FFFF0000"/>
        <rFont val="Apotos"/>
        <charset val="134"/>
      </rPr>
      <t>Inner Mongolia is a major coal export hub in China. The region produced more than 1 billion tonnes to coal in 2020, approximately a quarter of China's total production, and exported 579 million tons of coal, 56% of its total production.</t>
    </r>
  </si>
  <si>
    <t>reduce-fuel-exports.html</t>
  </si>
  <si>
    <t>Agriculture, Land Use, and Forestry</t>
  </si>
  <si>
    <t>Afforestation and Reforestation</t>
  </si>
  <si>
    <t>Fraction of Afforestation and Reforestation Achieved</t>
  </si>
  <si>
    <t>land afforestation and reforestation</t>
  </si>
  <si>
    <r>
      <rPr>
        <sz val="9"/>
        <rFont val="Apotos"/>
        <charset val="134"/>
      </rPr>
      <t>**Description:** This policy increases the sequestration of CO2 by planting forests.  Planted forests are assumed to be managed with best practices and are not used for timber harvesting. //**Guidance for setting values:**</t>
    </r>
    <r>
      <rPr>
        <sz val="9"/>
        <color rgb="FFFF0000"/>
        <rFont val="Apotos"/>
        <charset val="134"/>
      </rPr>
      <t>"Inner Mongolia Autonomous Region's 14th Five-Year Plan for Forestry and Grassland Conservation and Development" outlines the main objectives for forestry and grassland conservation and development in Inner Mongolia Autonomous Region during the 14th Five-Year Plan period. The goal is to increase the forest coverage rate from 23% to 23.5% over five years.</t>
    </r>
  </si>
  <si>
    <t>lulucf.html#aff-ref</t>
  </si>
  <si>
    <t>afforestation-and-reforestation.html</t>
  </si>
  <si>
    <t>Ross W. Gorte, 2009, "U.S. Tree Planting for Carbon Sequestration," Congressional Research Service, https://www.fas.org/sgp/crs/misc/R40562.pdf, p.3, paragraph 1</t>
  </si>
  <si>
    <t>Avoid Deforestation</t>
  </si>
  <si>
    <t>Fraction of Avoided Deforestation Achieved</t>
  </si>
  <si>
    <t>land avoid deforestation</t>
  </si>
  <si>
    <t>**Description:** This policy prevents clear cutting of forests that would otherwise be cleared.  Preserved forests are assumed to be managed with best practices.</t>
  </si>
  <si>
    <t>lulucf.html#avoid-def</t>
  </si>
  <si>
    <t>avoid-deforestation.html</t>
  </si>
  <si>
    <t>Forest Restoration</t>
  </si>
  <si>
    <t>Fraction of Forest Restoration Achieved</t>
  </si>
  <si>
    <t>land forest restoration</t>
  </si>
  <si>
    <t>**Description:** This policy increases CO2 sequestration by avoiding the conversion of forests and restoring forested areas.</t>
  </si>
  <si>
    <t>forest-restoration.html</t>
  </si>
  <si>
    <t>See file PLANAbPiaSY</t>
  </si>
  <si>
    <t>Forest Set-Asides</t>
  </si>
  <si>
    <t>Fraction of Forest Set Asides Achieved</t>
  </si>
  <si>
    <t>land forest set asides</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</si>
  <si>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</si>
  <si>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lulucf.html#set-asides</t>
  </si>
  <si>
    <t>forest-set-asides.html</t>
  </si>
  <si>
    <t>Cropland and Rice Measures</t>
  </si>
  <si>
    <t>Fraction of Cropland and Rice Measures Achieved</t>
  </si>
  <si>
    <t>indst cropland and rice measures</t>
  </si>
  <si>
    <t>**Description:** This policy reduces greenhouse gas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values:**If this policy is fully implemented, its emission reduction potential in that year would be that of all cost-effective measures based on the level of the carbon price in that year.</t>
  </si>
  <si>
    <t>industry-ag-main.html#cropland</t>
  </si>
  <si>
    <t>cropland-management.html</t>
  </si>
  <si>
    <t>Improved Soil Measures</t>
  </si>
  <si>
    <t>Fraction of CO2 Storage Through Tillage Practices</t>
  </si>
  <si>
    <t>indst tillage</t>
  </si>
  <si>
    <t>**Description:** This policy stores CO2 in agricultural soils through improved tillage practices.</t>
  </si>
  <si>
    <t>Improved Forest Management</t>
  </si>
  <si>
    <t>Fraction of Improved Forest Management Achieved</t>
  </si>
  <si>
    <t>land forest management</t>
  </si>
  <si>
    <t xml:space="preserve">**Description:** This policy increases CO2 sequestration by forests through improved forest management practices.  </t>
  </si>
  <si>
    <t>lulucf.html#forest-mgmt</t>
  </si>
  <si>
    <t>improved-forest-management.html</t>
  </si>
  <si>
    <t>Livestock Measures</t>
  </si>
  <si>
    <t>Fraction of Livestock Measures Achieved</t>
  </si>
  <si>
    <t>indst livestock measures</t>
  </si>
  <si>
    <r>
      <rPr>
        <sz val="9"/>
        <rFont val="Apotos"/>
        <charset val="134"/>
      </rPr>
      <t xml:space="preserve">**Description:** This policy reduces greenhouse gas emissions from agriculture through livestock-related measures, such as feed supplements or drugs to prevent enteric methane formation. // **Guidance for setting values:** </t>
    </r>
    <r>
      <rPr>
        <sz val="9"/>
        <color rgb="FFFF0000"/>
        <rFont val="Apotos"/>
        <charset val="134"/>
      </rPr>
      <t>According to "Work Plan for the Resource Utilization of Livestock and Poultry Manure(2017-2020)",the utilization rate of animal manure in Inner Mongolia was 75% in 2020. According to "Implementation Plan for Energy Conservation and Emission Reduction in Inner Mongolia Autonomous Region during the 14th Five-Year Plan",the utilization rate is expected to reach 84% or higher in 2025. The utilization rate of animal manure is expected to increase by 36% in 2025 compared to 2020. According to "Energy Conservation and Emission Reduction 13th Five-Year Plan for Inner Mongolia Autonomous Region", the comprehensive utilization rate of crop straw was 85% in 2020. According to "Implementation Plan for Energy Conservation and Emission Reduction in Inner Mongolia Autonomous Region during the 14th Five-Year Plan", the comprehensive utilization rate of crop straw is projected to stabilize at 90% or higher in 2025. the comprehensive utilization rate of crop straw is expected to increase by 33.3% in 2025 compared to 2020. According to "Recommendations for Promoting Methane Emission Reduction and Pollution Control in Livestock Industry", China's agricultural methane emissions were approximately 20.493 million tons (ranging from 18.696 to 22.289 million tons), with emissions from livestock manure management and straw burning accounting for 10.2% and 2.2% respectively. After weighted calculation, livestock measures are projected to reduce greenhouse gas emissions by 4.41% in 2025.</t>
    </r>
  </si>
  <si>
    <t>industry-ag-main.html#livestock</t>
  </si>
  <si>
    <t>livestock-measures.html</t>
  </si>
  <si>
    <t>Wetland Restoration</t>
  </si>
  <si>
    <t>Fraction of Peatland Restoration Achieved</t>
  </si>
  <si>
    <t>land peatland restoration</t>
  </si>
  <si>
    <t>**Description:** This policy increases CO2 sequestration by restoring wetlands and riparian forest buffers.</t>
  </si>
  <si>
    <t>peatland-restoration.html</t>
  </si>
  <si>
    <t>https://www.usda.gov/sites/default/files/documents/White_Paper_WEB71816.pdf</t>
  </si>
  <si>
    <t>Shift to Non-Animal Products</t>
  </si>
  <si>
    <t>Percent Animal Products Shifted to Nonanimal Products</t>
  </si>
  <si>
    <t>indst shift to nonanimal products</t>
  </si>
  <si>
    <t>% reduction in animal products</t>
  </si>
  <si>
    <t>**Description:** This policy causes non-animal products to be substituted for 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Meat consmption value is based on the recommended value from the Dietary Guidelines for Chinese Residents</t>
  </si>
  <si>
    <t>shift-to-non-animal-products.html</t>
  </si>
  <si>
    <t>https://en.wikipedia.org/wiki/List_of_countries_by_meat_consumption_per_capita (article revision 00:12, 22 Feb 2019)</t>
  </si>
  <si>
    <t>District Heat and Hydrogen</t>
  </si>
  <si>
    <t>Use CHP for District Heat</t>
  </si>
  <si>
    <t>Fraction of Non CHP Heat Production Converted to CHP</t>
  </si>
  <si>
    <t>District Heat CHP</t>
  </si>
  <si>
    <t>heat convert heat to CHP</t>
  </si>
  <si>
    <t>% non-CHP heat converted</t>
  </si>
  <si>
    <t xml:space="preserve">**Description:**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t>
  </si>
  <si>
    <t>district-heating.html#chp</t>
  </si>
  <si>
    <t>convert-non-chp-heat-production.html</t>
  </si>
  <si>
    <t>Produce District Heat with Hydrogen</t>
  </si>
  <si>
    <t>Fraction of District Heat Fuel Use Shifted to Other Fuels</t>
  </si>
  <si>
    <t>District Heat Fuel Switching</t>
  </si>
  <si>
    <t>heat fuel type shifting</t>
  </si>
  <si>
    <t>% of fuel use</t>
  </si>
  <si>
    <t>**Description:** This policy causes a percentage of the district heat to be generated by burning hydrogen instead of the fuels used in the BAU case. // **Guidance for setting values:** In China in 2020, around 90% of district heat is from coal, 6% from natural gas, and 4% from biomass.  Hydrogen technologies are still emerging, and it is not yet clear if it will be more economical to electrify end uses of heat (ceasing to use district heat), or if decarbonizing district heat facilities will be an economical pathway.</t>
  </si>
  <si>
    <t>district-heating.html#convert-coal</t>
  </si>
  <si>
    <t>district-heat-fuel-switching.html</t>
  </si>
  <si>
    <t>Shift Hydrogen Production to Electrolysis</t>
  </si>
  <si>
    <t>Fraction of Hydrogen Production Pathways Shifted</t>
  </si>
  <si>
    <t>Hydrogen Electrolysis</t>
  </si>
  <si>
    <t>hydgn shift production pathways</t>
  </si>
  <si>
    <t>% of hydrogen production</t>
  </si>
  <si>
    <r>
      <rPr>
        <sz val="9"/>
        <rFont val="Apotos"/>
        <charset val="134"/>
      </rPr>
      <t>**Description:** This policy causes a percentage of merchant hydrogen (i.e. hydrogen produced for sale, not hydrogen produced and consumed on-site within a facility) to be produced via electrolysis rather than via other production pathways. // **Guidance for setting values:**</t>
    </r>
    <r>
      <rPr>
        <sz val="9"/>
        <color rgb="FFFF0000"/>
        <rFont val="Apotos"/>
        <charset val="134"/>
      </rPr>
      <t xml:space="preserve"> In China in 2020, 63.5% of hydrogen production is through coal gasification, 13.8% from natural gas reforming, 21.2%% from biomass, and 1.5% from electrolysis. These shares are not projected to change in the BAU case.</t>
    </r>
  </si>
  <si>
    <t>switch-hydrogen-production-pathway.html</t>
  </si>
  <si>
    <t>Cross-Sector</t>
  </si>
  <si>
    <t>Carbon Price</t>
  </si>
  <si>
    <t>Additional Carbon Tax Rate</t>
  </si>
  <si>
    <t>cross carbon tax</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</si>
  <si>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t>
  </si>
  <si>
    <t>fuels.html#carbon-tax</t>
  </si>
  <si>
    <t>carbon-tax.html</t>
  </si>
  <si>
    <t>U.S. EPA, 2015, "The Social Cost of Carbon", https://www.epa.gov/climatechange/social-cost-carbon, Row "2050".  (For source for adjustment to 2018 dollars, see cpi.xlsx in InputData.)</t>
  </si>
  <si>
    <t>U.S. EPA, 2016, "Social Cost of CO2, 2015-2020," https://www.epa.gov/climatechange/social-cost-carbon</t>
  </si>
  <si>
    <t>End Existing Subsidies</t>
  </si>
  <si>
    <t>Percent Reduction in BAU Subsidies</t>
  </si>
  <si>
    <t>cross reduce BAU subsidies</t>
  </si>
  <si>
    <t>% reduction in BAU subsidies</t>
  </si>
  <si>
    <t>**Description:** This policy reduces the subsidies paid for the production of the selected energy source(s) in the BAU case.</t>
  </si>
  <si>
    <t>fuels.html#end-subsidies</t>
  </si>
  <si>
    <t>end-existing-subsidies.html</t>
  </si>
  <si>
    <t>Exempt Non-CO2 Emissions from C Tax</t>
  </si>
  <si>
    <t>Toggle Whether Carbon Tax Affects Non CO2 Emissions</t>
  </si>
  <si>
    <t>cross toggle whether carbon tax affects non CO2 emissions</t>
  </si>
  <si>
    <t>**Description:** By default, the carbon tax applies to CO2 and non-CO2 emissions. This policy exempts non-CO2 emissions, meaning the carbon tax will only apply to CO2 emissions.</t>
  </si>
  <si>
    <t>Exempt Process Emissions from C Tax</t>
  </si>
  <si>
    <t>BEPEfCT Boolean Exempt Process Emissions from Carbon Tax</t>
  </si>
  <si>
    <t>cross toggle whether carbon tax affects process emissions</t>
  </si>
  <si>
    <t>**Description:** This policy prevents the carbon tax from being levied on process emissions (non-energy greenhouse gas emissions from industrial and agricultural operations).</t>
  </si>
  <si>
    <t>Toggle Carbon Tax Border Adjustment</t>
  </si>
  <si>
    <t>BDCTBA Boolean Disable Carbon Tax Border Adjustment</t>
  </si>
  <si>
    <t>**Description:** By default, carbon taxes apply to only domestically produced goods. If set to zero, this policy enables carbon tax border adjustments, meaning the carbon tax will apply to both domestically produced and imported goods.</t>
  </si>
  <si>
    <t>Fixed Energy Prices</t>
  </si>
  <si>
    <t>Toggle Whether Policies Affect Energy Prices</t>
  </si>
  <si>
    <t>cross toggle whether policies affect energy prices</t>
  </si>
  <si>
    <t>**Description:** By default, policies affect energy prices. Turning on this policy prevents policy from affecting energy prices.</t>
  </si>
  <si>
    <t>Fuel Price Deregulation</t>
  </si>
  <si>
    <t>cross fuel price deregulation</t>
  </si>
  <si>
    <t>% of price deregulated</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</si>
  <si>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</si>
  <si>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fuels.html#fuel-price-deregulation</t>
  </si>
  <si>
    <t>Fuel Taxes or Subsidies</t>
  </si>
  <si>
    <t>Additional Fuel Tax or Subsidy Rate by Fuel</t>
  </si>
  <si>
    <t>cross fuel tax</t>
  </si>
  <si>
    <t>% of BAU price</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</si>
  <si>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</si>
  <si>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fuels.html#fuel-taxes</t>
  </si>
  <si>
    <t>fuel-taxes.html</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</si>
  <si>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</si>
  <si>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Research and Development</t>
  </si>
  <si>
    <t>Capital Cost Reduction</t>
  </si>
  <si>
    <t>RnD Building Capital Cost Perc Reduction</t>
  </si>
  <si>
    <t>R&amp;D Capital Cost Reductions</t>
  </si>
  <si>
    <t>RnD building capital cost reduction</t>
  </si>
  <si>
    <t>% reduction in cost</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</si>
  <si>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</si>
  <si>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architectural-design.html#rnd</t>
  </si>
  <si>
    <t>research-and-development.html</t>
  </si>
  <si>
    <t>RnD CCS Capital Cost Perc Reduction</t>
  </si>
  <si>
    <t>RnD CCS capital cost reduction</t>
  </si>
  <si>
    <t>RnD Electricity Capital Cost Perc Reduction</t>
  </si>
  <si>
    <t>RnD electricity capital cost reduction</t>
  </si>
  <si>
    <t>RnD Industry Capital Cost Perc Reduction</t>
  </si>
  <si>
    <t>RnD industry capital cost reduction</t>
  </si>
  <si>
    <t>RnD Transportation Capital Cost Perc Reduction</t>
  </si>
  <si>
    <t>RnD transportation capital cost reduction</t>
  </si>
  <si>
    <t>Direct Air Capture</t>
  </si>
  <si>
    <t>Fraction of Direct Air Capture Potential Achieved</t>
  </si>
  <si>
    <t>geoeng direct air capture</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</si>
  <si>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aggressive deployment in line with a global 1.5-degree-compatible trajectory from a 2019 Nature paper from Realmonte et al.  That paper's global deployment rate has been scaled for the U.S. by the U.S.'s share of world GDP in 2017 (about 24%).</t>
  </si>
  <si>
    <t>direct-air-capture.html#dac</t>
  </si>
  <si>
    <t>direct-air-capture.html</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</si>
  <si>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</si>
  <si>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Fuel Use Reduction</t>
  </si>
  <si>
    <t>RnD Building Fuel Use Perc Reduction</t>
  </si>
  <si>
    <t>R&amp;D Fuel Use Reductions</t>
  </si>
  <si>
    <t>RnD building fuel use reduction</t>
  </si>
  <si>
    <t>% reduction in fuel use</t>
  </si>
  <si>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</si>
  <si>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RnD CCS Fuel Use Perc Reduction</t>
  </si>
  <si>
    <t>RnD CCS fuel use reduction</t>
  </si>
  <si>
    <t>RnD Electricity Fuel Use Perc Reduction</t>
  </si>
  <si>
    <t>RnD electricity fuel use reduction</t>
  </si>
  <si>
    <t>RnD Industry Fuel Use Perc Reduction</t>
  </si>
  <si>
    <t>RnD industry fuel use reduction</t>
  </si>
  <si>
    <t>RnD Transportation Fuel Use Perc Reduction</t>
  </si>
  <si>
    <t>RnD transportation fuel use reduction</t>
  </si>
  <si>
    <t>Control Settings</t>
  </si>
  <si>
    <t>COVID-19 Recession</t>
  </si>
  <si>
    <t>EGGRA Boolean Use Exogenous GDP Growth Rate Adjustment</t>
  </si>
  <si>
    <t>settings exogenous GDP adjustment</t>
  </si>
  <si>
    <t>**Description:** This control setting enables or disables the GDP impact of the recession caused by SARS-CoV-2 (COVID-19).  This adjusts energy demand to account for the fact that Chinese energy demand forecasts (used as input data in the EPS) have generally not yet been updated to account for pandemic impacts and associated lockdowns, shipping delays, etc.</t>
  </si>
  <si>
    <t>Government Revenue Accounting</t>
  </si>
  <si>
    <t>Carbon Tax Revenue</t>
  </si>
  <si>
    <t>GRA for Carbon Tax Revenue</t>
  </si>
  <si>
    <t>GRA carbon tax revenue</t>
  </si>
  <si>
    <t>weight</t>
  </si>
  <si>
    <t>**Description:**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t>
  </si>
  <si>
    <t>io-model.html</t>
  </si>
  <si>
    <t>Fuel Tax Revenue</t>
  </si>
  <si>
    <t>GRA for Fuel Tax Revenue</t>
  </si>
  <si>
    <t>GRA fuel tax revenue</t>
  </si>
  <si>
    <t>GRA for EV Subsidy</t>
  </si>
  <si>
    <t>GRA EV subsidy</t>
  </si>
  <si>
    <t>Electricity Generation Subsidy</t>
  </si>
  <si>
    <t>GRA for Electricity Generation Subsidies</t>
  </si>
  <si>
    <t>GRA elec gen subsidy</t>
  </si>
  <si>
    <t>Electricity Capacity Construction Subsidy</t>
  </si>
  <si>
    <t>GRA for Electricity Capacity Construction Subsidies</t>
  </si>
  <si>
    <t>GRA elec cap const subsidy</t>
  </si>
  <si>
    <t>GRA for Distributed Solar Subsidy</t>
  </si>
  <si>
    <t>GRA dist solar subsidy</t>
  </si>
  <si>
    <t>Fuel Subsidy</t>
  </si>
  <si>
    <t>GRA for Fuel Subsidies</t>
  </si>
  <si>
    <t>GRA fuel subsidy</t>
  </si>
  <si>
    <t>National Debt Interest</t>
  </si>
  <si>
    <t>GRA for National Debt Interest</t>
  </si>
  <si>
    <t>GRA national debt interest</t>
  </si>
  <si>
    <t>Remaining Government Cash Flows</t>
  </si>
  <si>
    <t>GRA for Remaining Government Cash Flow Changes</t>
  </si>
  <si>
    <t>GRA remaining cash flow changes</t>
  </si>
  <si>
    <t>Use 20-Year GWP Values</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</si>
  <si>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</si>
  <si>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</si>
  <si>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Subscript 1 Value</t>
  </si>
  <si>
    <t>Subscript 2 Value</t>
  </si>
  <si>
    <t>Subscript 1 Display Name</t>
  </si>
  <si>
    <t>Subscript 2 Display Name</t>
  </si>
  <si>
    <t>Policy ID Number</t>
  </si>
  <si>
    <t>Include in Web App</t>
  </si>
  <si>
    <t>LDVs</t>
  </si>
  <si>
    <t>VOC</t>
  </si>
  <si>
    <t>Passenger cars, SUVs, Light and Medium Commercial Trucks</t>
  </si>
  <si>
    <t>VOCs</t>
  </si>
  <si>
    <t>Yes</t>
  </si>
  <si>
    <t>CO</t>
  </si>
  <si>
    <t>NOx</t>
  </si>
  <si>
    <t>PM10</t>
  </si>
  <si>
    <t>PM25</t>
  </si>
  <si>
    <t>PM2.5</t>
  </si>
  <si>
    <t>SOx</t>
  </si>
  <si>
    <t>BC</t>
  </si>
  <si>
    <t>OC</t>
  </si>
  <si>
    <t>CH4</t>
  </si>
  <si>
    <t>No</t>
  </si>
  <si>
    <t>N2O</t>
  </si>
  <si>
    <t>HDVs</t>
  </si>
  <si>
    <t>Buses and Heavy Duty Trucks</t>
  </si>
  <si>
    <t>aircraft</t>
  </si>
  <si>
    <t>Commercial passenger and freight flights</t>
  </si>
  <si>
    <t>rail</t>
  </si>
  <si>
    <t>Passenger and freight rail</t>
  </si>
  <si>
    <t>ships</t>
  </si>
  <si>
    <t>Recreational boats and cargo ships</t>
  </si>
  <si>
    <t>motorbikes</t>
  </si>
  <si>
    <t>Passenger motorbikes</t>
  </si>
  <si>
    <t>passenger</t>
  </si>
  <si>
    <t>Passenger</t>
  </si>
  <si>
    <t>Cars and SUVs</t>
  </si>
  <si>
    <t>freight</t>
  </si>
  <si>
    <t>Freight</t>
  </si>
  <si>
    <t>Light and Medium Commercial Trucks</t>
  </si>
  <si>
    <t>Buses</t>
  </si>
  <si>
    <t>Heavy Duty Trucks</t>
  </si>
  <si>
    <t>Commercial flights</t>
  </si>
  <si>
    <t>Rail</t>
  </si>
  <si>
    <t>Recreational boats</t>
  </si>
  <si>
    <t>Cargo ships</t>
  </si>
  <si>
    <t>Motorbikes</t>
  </si>
  <si>
    <t>heating</t>
  </si>
  <si>
    <t>urban residential</t>
  </si>
  <si>
    <t>Heating</t>
  </si>
  <si>
    <t>Urban Residential</t>
  </si>
  <si>
    <t>cooling and ventilation</t>
  </si>
  <si>
    <t>Cooling and Ventilation</t>
  </si>
  <si>
    <t>lighting</t>
  </si>
  <si>
    <t>Lighting</t>
  </si>
  <si>
    <t>appliances</t>
  </si>
  <si>
    <t>Appliances</t>
  </si>
  <si>
    <t>other component</t>
  </si>
  <si>
    <t>Other Components</t>
  </si>
  <si>
    <t>rural residential</t>
  </si>
  <si>
    <t>Rural Residential</t>
  </si>
  <si>
    <t>commercial</t>
  </si>
  <si>
    <t>Commercial</t>
  </si>
  <si>
    <t>envelope</t>
  </si>
  <si>
    <t>Envelope</t>
  </si>
  <si>
    <t>hard coal es</t>
  </si>
  <si>
    <t>Hard Coal</t>
  </si>
  <si>
    <t>natural gas nonpeaker es</t>
  </si>
  <si>
    <t>Natural Gas Nonpeaker</t>
  </si>
  <si>
    <t>nuclear es</t>
  </si>
  <si>
    <t>Nuclear</t>
  </si>
  <si>
    <t>hydro es</t>
  </si>
  <si>
    <t>Hydro</t>
  </si>
  <si>
    <t>onshore wind es</t>
  </si>
  <si>
    <t>Onshore Wind</t>
  </si>
  <si>
    <t>solar PV es</t>
  </si>
  <si>
    <t>Solar PV</t>
  </si>
  <si>
    <t>solar thermal es</t>
  </si>
  <si>
    <t>Solar Thermal</t>
  </si>
  <si>
    <t>biomass es</t>
  </si>
  <si>
    <t>Biomass</t>
  </si>
  <si>
    <t>geothermal es</t>
  </si>
  <si>
    <t>Geothermal</t>
  </si>
  <si>
    <t>petroleum es</t>
  </si>
  <si>
    <t>Petroleum</t>
  </si>
  <si>
    <t>natural gas peaker es</t>
  </si>
  <si>
    <t>Natural Gas Peaker</t>
  </si>
  <si>
    <t>lignite es</t>
  </si>
  <si>
    <t>Gangue</t>
  </si>
  <si>
    <t>offshore wind es</t>
  </si>
  <si>
    <t>Offshore Wind</t>
  </si>
  <si>
    <t>crude oil es</t>
  </si>
  <si>
    <t>Crude Oil</t>
  </si>
  <si>
    <t>heavy or residual fuel oil es</t>
  </si>
  <si>
    <t>Heavy or Residual Fuel Oil</t>
  </si>
  <si>
    <t>municipal solid waste es</t>
  </si>
  <si>
    <t>Municipal Solid Waste</t>
  </si>
  <si>
    <t>preexisting retiring</t>
  </si>
  <si>
    <t>preexisting nonretiring</t>
  </si>
  <si>
    <t>newly built</t>
  </si>
  <si>
    <t>Preexisting</t>
  </si>
  <si>
    <t>New</t>
  </si>
  <si>
    <t>agriculture and forestry 01T03</t>
  </si>
  <si>
    <t>Agriculture and Forestry</t>
  </si>
  <si>
    <t>coal mining 05</t>
  </si>
  <si>
    <t>Coal Mining</t>
  </si>
  <si>
    <t>oil and gas extraction 06</t>
  </si>
  <si>
    <t>Oil and Gas Extraction</t>
  </si>
  <si>
    <t>other mining and quarrying 07T08</t>
  </si>
  <si>
    <t>Other Mining and Quarrying</t>
  </si>
  <si>
    <t>food beverage and tobacco 10T12</t>
  </si>
  <si>
    <t>Food Beverage and Tobacco</t>
  </si>
  <si>
    <t>textiles apparel and leather 13T15</t>
  </si>
  <si>
    <t>Textiles Apparel and Leather</t>
  </si>
  <si>
    <t>wood products 16</t>
  </si>
  <si>
    <t>Wood Products and Furniture</t>
  </si>
  <si>
    <t>pulp paper and printing 17T18</t>
  </si>
  <si>
    <t>Pulp Paper and Printing</t>
  </si>
  <si>
    <t>refined petroleum and coke 19</t>
  </si>
  <si>
    <t>Refined Petroleum and Coke</t>
  </si>
  <si>
    <t>chemicals 20</t>
  </si>
  <si>
    <t>Chemicals</t>
  </si>
  <si>
    <t>rubber and plastic products 22</t>
  </si>
  <si>
    <t>Rubber and Plastic Products</t>
  </si>
  <si>
    <t>glass and glass products 231</t>
  </si>
  <si>
    <t>Specialized Equipment Manufacturing</t>
  </si>
  <si>
    <t>cement and other nonmetallic minerals 239</t>
  </si>
  <si>
    <t>Cement Glass and Other Nonmetallic Minerals</t>
  </si>
  <si>
    <t>iron and steel 241</t>
  </si>
  <si>
    <t>Iron and Steel</t>
  </si>
  <si>
    <t>other metals 242</t>
  </si>
  <si>
    <t>Other Metals</t>
  </si>
  <si>
    <t>metal products except machinery and vehicles 25</t>
  </si>
  <si>
    <t>Metal Products Except Machinery and Vehicles</t>
  </si>
  <si>
    <t>computers and electronics 26</t>
  </si>
  <si>
    <t>Computers and Electronics</t>
  </si>
  <si>
    <t>appliances and electrical equipment 27</t>
  </si>
  <si>
    <t>Appliances and Electrical Equipment</t>
  </si>
  <si>
    <t>other machinery 28</t>
  </si>
  <si>
    <t>Other Machinery</t>
  </si>
  <si>
    <t>road vehicles 29</t>
  </si>
  <si>
    <t>Road Vehicles</t>
  </si>
  <si>
    <t>nonroad vehicles 30</t>
  </si>
  <si>
    <t>Nonroad Vehicles</t>
  </si>
  <si>
    <t>other manufacturing 31T33</t>
  </si>
  <si>
    <t>Other Manufacturing</t>
  </si>
  <si>
    <t>energy pipelines and gas processing 352T353</t>
  </si>
  <si>
    <t>Gas Production and Supply</t>
  </si>
  <si>
    <t>water and waste 36T39</t>
  </si>
  <si>
    <t>Water and Waste</t>
  </si>
  <si>
    <t>construction 41T43</t>
  </si>
  <si>
    <t>Construction</t>
  </si>
  <si>
    <t>energy related emissions</t>
  </si>
  <si>
    <t>Energy Related Emissions</t>
  </si>
  <si>
    <t>process emissions</t>
  </si>
  <si>
    <t>Process Emissions</t>
  </si>
  <si>
    <t>electricity if</t>
  </si>
  <si>
    <t>Shift to Electricity</t>
  </si>
  <si>
    <t>hard coal if</t>
  </si>
  <si>
    <t>Shift to Coal</t>
  </si>
  <si>
    <t>natural gas if</t>
  </si>
  <si>
    <t>Shift to Natural Gas</t>
  </si>
  <si>
    <t>biomass if</t>
  </si>
  <si>
    <t>Shift to Biomass</t>
  </si>
  <si>
    <t>petroleum diesel if</t>
  </si>
  <si>
    <t>Shift to Petroleum</t>
  </si>
  <si>
    <t>heat if</t>
  </si>
  <si>
    <t>Shift to Purchased Heat</t>
  </si>
  <si>
    <t>crude oil if</t>
  </si>
  <si>
    <t>Shift to Crude Oil</t>
  </si>
  <si>
    <t>heavy or residual fuel oil if</t>
  </si>
  <si>
    <t>Shift to Heavy or Residual Oil</t>
  </si>
  <si>
    <t>LPG propane or butane if</t>
  </si>
  <si>
    <t>Shift to LPG Propane or Butane</t>
  </si>
  <si>
    <t>hydrogen if</t>
  </si>
  <si>
    <t>Shift to Hydrogen</t>
  </si>
  <si>
    <t>Electricity Use</t>
  </si>
  <si>
    <t>Coal Use</t>
  </si>
  <si>
    <t>Natural Gas Use</t>
  </si>
  <si>
    <t>Biomass Use</t>
  </si>
  <si>
    <t>Petroleum Use</t>
  </si>
  <si>
    <t>Purchased Heat Use</t>
  </si>
  <si>
    <t>Crude Oil Use</t>
  </si>
  <si>
    <t>Heavy or Residual Fuel Oil Use</t>
  </si>
  <si>
    <t>LPG Propane or Butane Use</t>
  </si>
  <si>
    <t>Hydrogen Use</t>
  </si>
  <si>
    <t>Cement and Other Nonmetallic Minerals</t>
  </si>
  <si>
    <t>hard coal</t>
  </si>
  <si>
    <t>natural gas</t>
  </si>
  <si>
    <t>Natural Gas</t>
  </si>
  <si>
    <t>petroleum gasoline</t>
  </si>
  <si>
    <t>Petroleum Gasoline</t>
  </si>
  <si>
    <t>petroleum diesel</t>
  </si>
  <si>
    <t>Petroleum Diesel</t>
  </si>
  <si>
    <t>jet fuel or kerosene</t>
  </si>
  <si>
    <t>Jet Fuel/Kerosene</t>
  </si>
  <si>
    <t>lignite</t>
  </si>
  <si>
    <t>crude oil</t>
  </si>
  <si>
    <t>heavy or residual fuel oil</t>
  </si>
  <si>
    <t>Heavy/Residual Fuel Oil</t>
  </si>
  <si>
    <t>LPG propane or butane</t>
  </si>
  <si>
    <t>LPG/Propane/Butane</t>
  </si>
  <si>
    <t>transportation sector</t>
  </si>
  <si>
    <t>Transportation Sector</t>
  </si>
  <si>
    <t>electricity sector</t>
  </si>
  <si>
    <t>Electricity Sector</t>
  </si>
  <si>
    <t>residential buildings sector</t>
  </si>
  <si>
    <t>Residential Bldg Sector</t>
  </si>
  <si>
    <t>commercial buildings sector</t>
  </si>
  <si>
    <t>Commercial Bldg Sector</t>
  </si>
  <si>
    <t>industry sector</t>
  </si>
  <si>
    <t>Industry Sector</t>
  </si>
  <si>
    <t>district heat and hydrogen sector</t>
  </si>
  <si>
    <t>District Heat &amp; Hydrogen Sector</t>
  </si>
  <si>
    <t>electricity</t>
  </si>
  <si>
    <t>Electricity</t>
  </si>
  <si>
    <t>nuclear</t>
  </si>
  <si>
    <t>hydro</t>
  </si>
  <si>
    <t>wind</t>
  </si>
  <si>
    <t>solar</t>
  </si>
  <si>
    <t>Solar</t>
  </si>
  <si>
    <t>biomass</t>
  </si>
  <si>
    <t>biofuel gasoline</t>
  </si>
  <si>
    <t>Biofuel Gasoline</t>
  </si>
  <si>
    <t>biofuel diesel</t>
  </si>
  <si>
    <t>Biofuel Diesel</t>
  </si>
  <si>
    <t>heat</t>
  </si>
  <si>
    <t>Heat</t>
  </si>
  <si>
    <t>geothermal</t>
  </si>
  <si>
    <t>municipal solid waste</t>
  </si>
  <si>
    <t>hydrogen</t>
  </si>
  <si>
    <t>Hydrogen</t>
  </si>
  <si>
    <t>Specialzed Equipment Manufacturing</t>
  </si>
  <si>
    <t>Buildings: Heating</t>
  </si>
  <si>
    <t>Buildings: Cooling and Ventilation</t>
  </si>
  <si>
    <t>Buildings: Envelope</t>
  </si>
  <si>
    <t>Buildings: Lighting</t>
  </si>
  <si>
    <t>Buildings: Appliances</t>
  </si>
  <si>
    <t>Buildings: Other Components</t>
  </si>
  <si>
    <t>Electricity: Hard Coal</t>
  </si>
  <si>
    <t>Electricity: Natural Gas Nonpeaker</t>
  </si>
  <si>
    <t>Electricity: Nuclear</t>
  </si>
  <si>
    <t>Electricity: Hydro</t>
  </si>
  <si>
    <t>Electricity: Onshore Wind</t>
  </si>
  <si>
    <t>Electricity: Solar PV</t>
  </si>
  <si>
    <t>Electricity: Solar Thermal</t>
  </si>
  <si>
    <t>Electricity: Biomass</t>
  </si>
  <si>
    <t>Electricity: Natural Gas Peaker</t>
  </si>
  <si>
    <t>Electricity: Gangue</t>
  </si>
  <si>
    <t>Electricity: Offshore Wind</t>
  </si>
  <si>
    <t>Industry: Agriculture and Forestry</t>
  </si>
  <si>
    <t>Industry: Coal Mining</t>
  </si>
  <si>
    <t>Industry: Oil and Gas Extraction</t>
  </si>
  <si>
    <t>Industry: Other Mining and Quarrying</t>
  </si>
  <si>
    <t>Industry: Food Beverage and Tobacco</t>
  </si>
  <si>
    <t>Industry: Textiles Apparel and Leather</t>
  </si>
  <si>
    <t>Industry: Wood Products and Furniture</t>
  </si>
  <si>
    <t>Industry: Pulp Paper and Printing</t>
  </si>
  <si>
    <t>Industry: Refined Petroleum and Coke</t>
  </si>
  <si>
    <t>Industry: Chemicals</t>
  </si>
  <si>
    <t>Industry: Rubber and Plastic Products</t>
  </si>
  <si>
    <t>Industry: Specialized Eqiupment Manufacturing</t>
  </si>
  <si>
    <t>Industry: Cement Glassand Other Nonmetallic Minerals</t>
  </si>
  <si>
    <t>Industry: Iron and Steel</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</si>
  <si>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</si>
  <si>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</si>
  <si>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</si>
  <si>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</si>
  <si>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</si>
  <si>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</si>
  <si>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</si>
  <si>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</si>
  <si>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Gas Production and Supply</t>
  </si>
  <si>
    <t>Industry: Water and Waste</t>
  </si>
  <si>
    <t>Industry: Construction</t>
  </si>
  <si>
    <t>battery electric vehicle</t>
  </si>
  <si>
    <t>Vehicles: Battery Electric</t>
  </si>
  <si>
    <t>natural gas vehicle</t>
  </si>
  <si>
    <t>Vehicles: Natural Gas</t>
  </si>
  <si>
    <t>gasoline vehicle</t>
  </si>
  <si>
    <t>Vehicles: Gasoline Engine</t>
  </si>
  <si>
    <t>diesel vehicle</t>
  </si>
  <si>
    <t>Vehicles: Diesel Engine</t>
  </si>
  <si>
    <t>plugin hybrid vehicle</t>
  </si>
  <si>
    <t>Vehicles: Plug-in Hybrid</t>
  </si>
  <si>
    <t>LPG vehicle</t>
  </si>
  <si>
    <t>Vehicles: LPG</t>
  </si>
  <si>
    <t>hydrogen vehicle</t>
  </si>
  <si>
    <t>Vehicles: Hydrogen</t>
  </si>
  <si>
    <t>Industry: Specialized Equipment Manufacturing</t>
  </si>
  <si>
    <t>Industry: Cement Glass and Other Nonmetallic Minerals</t>
  </si>
  <si>
    <t>regular spending</t>
  </si>
  <si>
    <t>Regular Spending</t>
  </si>
  <si>
    <t>deficit spending</t>
  </si>
  <si>
    <t>Budget Deficit</t>
  </si>
  <si>
    <t>household taxes</t>
  </si>
  <si>
    <t>Household Taxes</t>
  </si>
  <si>
    <t>payroll taxes</t>
  </si>
  <si>
    <t>Payroll Taxes</t>
  </si>
  <si>
    <t>corporate taxes</t>
  </si>
  <si>
    <t>Corporate Income Taxes</t>
  </si>
  <si>
    <t>Graph Units</t>
  </si>
  <si>
    <t>Default Unit</t>
  </si>
  <si>
    <t>New Unit</t>
  </si>
  <si>
    <t>Reference</t>
  </si>
  <si>
    <t>million metric tons / year</t>
  </si>
  <si>
    <t>10^8 tons / year</t>
  </si>
  <si>
    <t>MOU-large</t>
  </si>
  <si>
    <t>g CO2e / 2020 dollar</t>
  </si>
  <si>
    <t>g CO2e / 2020 RMB</t>
  </si>
  <si>
    <t>OCCF-DpSOCU</t>
  </si>
  <si>
    <t>thousand metric tons / year</t>
  </si>
  <si>
    <t>10^4 tons / year</t>
  </si>
  <si>
    <t>MOU-small</t>
  </si>
  <si>
    <t>g CO2 / 2020 dollar</t>
  </si>
  <si>
    <t>g CO2 / 2020 RMB</t>
  </si>
  <si>
    <t>2020 dollars / metric ton CO2e abated, Annual average abatement (million metric tons CO2e)</t>
  </si>
  <si>
    <t>2020 RMB / metric ton CO2e abated, Annual average abatement (million metric tons CO2e)</t>
  </si>
  <si>
    <t>billion 2020 dollars / year</t>
  </si>
  <si>
    <t>yi (10^8) 2020 RMB / year</t>
  </si>
  <si>
    <t>OCCF-DpLOCU</t>
  </si>
  <si>
    <t>billion 2020 dollars</t>
  </si>
  <si>
    <t>yi (10^8) 2020 RMB</t>
  </si>
  <si>
    <t>jobs</t>
  </si>
  <si>
    <t>incidents / year</t>
  </si>
  <si>
    <t>% change</t>
  </si>
  <si>
    <t>2020 dollars / employee-year</t>
  </si>
  <si>
    <t>2020 RMB / employee-year</t>
  </si>
  <si>
    <t>lives / year</t>
  </si>
  <si>
    <t>terawatt-hours (TWh) / year</t>
  </si>
  <si>
    <t>%</t>
  </si>
  <si>
    <t>metric tons CO2e / megawatt-hour (MWh)</t>
  </si>
  <si>
    <t>kilowatt-hour / 2020 dollar</t>
  </si>
  <si>
    <t>kilowatt-hour / 2020 RMB</t>
  </si>
  <si>
    <t>gigawatts (GW) / year</t>
  </si>
  <si>
    <t>2020 dollars / megawatt-hour (MWh)</t>
  </si>
  <si>
    <t>2020 RMB / MWh</t>
  </si>
  <si>
    <t>cubic km / yr</t>
  </si>
  <si>
    <t>10^8 cubic meters / yr</t>
  </si>
  <si>
    <t>LpWOU</t>
  </si>
  <si>
    <t>trillion passenger-miles / year</t>
  </si>
  <si>
    <t>yi (10^8) passenger-km / year</t>
  </si>
  <si>
    <t>CDCF-PMpPDOU</t>
  </si>
  <si>
    <t>trillion freight ton-miles / year</t>
  </si>
  <si>
    <t>yi (10^8) freight ton-km / year</t>
  </si>
  <si>
    <t>CDCF-FTMpFDOU</t>
  </si>
  <si>
    <t>million vehicles / year</t>
  </si>
  <si>
    <t>thousand vehicles / year</t>
  </si>
  <si>
    <t>million vehicles</t>
  </si>
  <si>
    <t>thousand vehicles</t>
  </si>
  <si>
    <t>quads / year</t>
  </si>
  <si>
    <t>10^4 tce / yr</t>
  </si>
  <si>
    <t>BpTPEU-large</t>
  </si>
  <si>
    <t>thousand BTU / 2020 dollar</t>
  </si>
  <si>
    <t>kgce / 2020 RMB</t>
  </si>
  <si>
    <t>BpTPEU-small, OCCF-DpSOCU</t>
  </si>
  <si>
    <t>millions of short tons / year</t>
  </si>
  <si>
    <t>BpLFOU</t>
  </si>
  <si>
    <t>trillion cubic feet / year</t>
  </si>
  <si>
    <t>million barrels of oil / year</t>
  </si>
  <si>
    <t>million gallons / year</t>
  </si>
  <si>
    <t>trillion BTU / year</t>
  </si>
  <si>
    <t>BpSFOU, OCCF-DpSOCU</t>
  </si>
  <si>
    <t>2020 dollars / short ton</t>
  </si>
  <si>
    <t>2020 RMB / ton</t>
  </si>
  <si>
    <t>2020 dollars / thousand cubic feet</t>
  </si>
  <si>
    <t>2020 RMB / 10^3 cubic meters</t>
  </si>
  <si>
    <t>2020 dollars / gallon</t>
  </si>
  <si>
    <t>2020 dollars / barrel of oil</t>
  </si>
  <si>
    <t>2020 dollars / kg</t>
  </si>
  <si>
    <t>2020 RMB / kg</t>
  </si>
  <si>
    <t>2020 dollars / kilowatt-hour (kWh)</t>
  </si>
  <si>
    <t>2020 RMB / kilowatt-hour (kWh)</t>
  </si>
  <si>
    <t>cost of eqpt. to capture 1 metric ton CO2e/yr (2020 dollars)</t>
  </si>
  <si>
    <t>cost of eqpt. to capture 1 metric ton CO2e/yr (2020 RMB)</t>
  </si>
  <si>
    <t>million 2020 dollars / megawatt (MW)</t>
  </si>
  <si>
    <t>10^4 2020 RMB / megawatt (MW)</t>
  </si>
  <si>
    <t>OCCF-DpMOCU</t>
  </si>
  <si>
    <t>cost of eqpt. to produce 1 kg H2/yr (2020 dollars)</t>
  </si>
  <si>
    <t>cost of eqpt. to produce 1 kg H2/yr (2020 RMB)</t>
  </si>
  <si>
    <t>Policy Lever Units</t>
  </si>
  <si>
    <t>$/metric ton CO2e</t>
  </si>
  <si>
    <t>2020 RMB / metric ton CO2e</t>
  </si>
  <si>
    <t>$/MWh</t>
  </si>
  <si>
    <t>First Tier Menu Name</t>
  </si>
  <si>
    <t>Second Tier Menu Name</t>
  </si>
  <si>
    <t>Include?</t>
  </si>
  <si>
    <t>Single or Multiple Variable</t>
  </si>
  <si>
    <t>Graph Style</t>
  </si>
  <si>
    <t>Axis Unit Label(s)</t>
  </si>
  <si>
    <t>Vensim Names of Graphed Variables</t>
  </si>
  <si>
    <t>Variable Names in Graph Key (for multiple variable graphs)</t>
  </si>
  <si>
    <t>Colors for Variables (for multiple variable graphs)</t>
  </si>
  <si>
    <t>Target 1 Title</t>
  </si>
  <si>
    <t>Target 1 Year</t>
  </si>
  <si>
    <t>Target 1 Min Value</t>
  </si>
  <si>
    <t>Target 1 Max Value</t>
  </si>
  <si>
    <t>Target 1 Description</t>
  </si>
  <si>
    <t>Target 2 Title</t>
  </si>
  <si>
    <t>Target 2 Year</t>
  </si>
  <si>
    <t>Target 2 Min Value</t>
  </si>
  <si>
    <t>Target 2 Max Value</t>
  </si>
  <si>
    <t>Target 2 Description</t>
  </si>
  <si>
    <t>Emissions: CO2e</t>
  </si>
  <si>
    <t>Total (includes land use)</t>
  </si>
  <si>
    <t>single</t>
  </si>
  <si>
    <t>line</t>
  </si>
  <si>
    <t>Output Total CO2e Emissions</t>
  </si>
  <si>
    <t>Total (excludes land use)</t>
  </si>
  <si>
    <t>Output Total CO2e Emissions Excluding LULUCF</t>
  </si>
  <si>
    <t>By Sector</t>
  </si>
  <si>
    <t>multiple</t>
  </si>
  <si>
    <t>stacked area</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</si>
  <si>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</si>
  <si>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</si>
  <si>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</si>
  <si>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By Source Type</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</si>
  <si>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</si>
  <si>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</si>
  <si>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</si>
  <si>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By Pollutant</t>
  </si>
  <si>
    <t>Output Total CO2e Emissions by Pollutant[N2O]; Output Total CO2e Emissions by Pollutant[F gases]; Output Total CO2e Emissions by Pollutant[CH4]; Output Total CO2e Emissions by Pollutant[CO2]</t>
  </si>
  <si>
    <t>N2O, F-gases, CH4, CO2</t>
  </si>
  <si>
    <t>00b050, 000000, c01b00, 969696</t>
  </si>
  <si>
    <t>Per Unit GDP</t>
  </si>
  <si>
    <t>Output Total CO2e Emissions per Unit GDP</t>
  </si>
  <si>
    <t>Agriculture</t>
  </si>
  <si>
    <t>Output Agriculture CO2e Emissions</t>
  </si>
  <si>
    <t>Buildings</t>
  </si>
  <si>
    <t>Output Buildings Sector CO2e Emissions</t>
  </si>
  <si>
    <t>District Heat &amp; Hydrogen</t>
  </si>
  <si>
    <t>Output Total CO2e Emissions by Sector[district heat and hydrogen sector]</t>
  </si>
  <si>
    <t>Output Total CO2e Emissions by Sector[electricity sector]</t>
  </si>
  <si>
    <t>Output Industry Sector Excluding Ag and Waste CO2e Emissions</t>
  </si>
  <si>
    <t>Land Use</t>
  </si>
  <si>
    <t>Output Total CO2e Emissions by Sector[LULUCF sector]</t>
  </si>
  <si>
    <t>Output Total CO2e Emissions by Sector[transportation sector]</t>
  </si>
  <si>
    <t>Water &amp; Waste</t>
  </si>
  <si>
    <t>Output Waste Management CO2e Emissions</t>
  </si>
  <si>
    <t>Emissions (by Pollutant)</t>
  </si>
  <si>
    <t>CO2</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</si>
  <si>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</si>
  <si>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</si>
  <si>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620e7a, f593e0, 04ffaf, 087bf1, c01b00, f1bb18, 969696, ad6600, 00b051</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</si>
  <si>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</si>
  <si>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620e7a, f593e0, 04ffaf, 087bf1, c01b00, f1bb18, 969696, ad6600, 00b052</t>
  </si>
  <si>
    <t>F-gases (in CO2e)</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</si>
  <si>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</si>
  <si>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620e7a, f593e0, 04ffaf, 087bf1, c01b00, f1bb18, 969696, ad6600, 00b053</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</si>
  <si>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</si>
  <si>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620e7a, f593e0, 04ffaf, 087bf1, c01b00, f1bb18, 969696, ad6600, 00b054</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</si>
  <si>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</si>
  <si>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620e7a, f593e0, 04ffaf, 087bf1, c01b00, f1bb18, 969696, ad6600, 00b055</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</si>
  <si>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</si>
  <si>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620e7a, f593e0, 04ffaf, 087bf1, c01b00, f1bb18, 969696, ad6600, 00b056</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</si>
  <si>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</si>
  <si>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620e7a, f593e0, 04ffaf, 087bf1, c01b00, f1bb18, 969696, ad6600, 00b057</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</si>
  <si>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</si>
  <si>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620e7a, f593e0, 04ffaf, 087bf1, c01b00, f1bb18, 969696, ad6600, 00b058</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</si>
  <si>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</si>
  <si>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620e7a, f593e0, 04ffaf, 087bf1, c01b00, f1bb18, 969696, ad6600, 00b059</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</si>
  <si>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</si>
  <si>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620e7a, f593e0, 04ffaf, 087bf1, c01b00, f1bb18, 969696, ad6600, 00b060</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</si>
  <si>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</si>
  <si>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620e7a, f593e0, 04ffaf, 087bf1, c01b00, f1bb18, 969696, ad6600, 00b061</t>
  </si>
  <si>
    <t>Emissions: Energy-Related CO2</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</si>
  <si>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</si>
  <si>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</si>
  <si>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</si>
  <si>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By Sector (reallocated energy carriers)</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</si>
  <si>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</si>
  <si>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</si>
  <si>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</si>
  <si>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By Fuel Type</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</si>
  <si>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</si>
  <si>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Gangue</t>
  </si>
  <si>
    <t>ad6600, 00b050, 000000, 740000, c01b00, 969696</t>
  </si>
  <si>
    <t>Output Energy Related CO2 per Unit GDP</t>
  </si>
  <si>
    <t>Effects by Policy: CO2e Wedge Diagrams</t>
  </si>
  <si>
    <t>Total</t>
  </si>
  <si>
    <t>reduction wedge</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</si>
  <si>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</si>
  <si>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</si>
  <si>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Effects by Policy: CO2e Abatement Cost Curve</t>
  </si>
  <si>
    <t>NPV through 2050</t>
  </si>
  <si>
    <t>cost curve</t>
  </si>
  <si>
    <t>Output First Year NPV of CapEx and OpEx through This Year</t>
  </si>
  <si>
    <t>NPV through 2030</t>
  </si>
  <si>
    <t>Financial: Policy Package Cost/Savings</t>
  </si>
  <si>
    <t>Change in CapEx + OpEx</t>
  </si>
  <si>
    <t>Output Total Change in Fuel and OM Expenditures; Output Total Change in Capital Expenditures; Output Carbon Tax on Process Emissions; Output Rebate of Taxes Less Subsidies; Output Total Change in CapEx and OpEx</t>
  </si>
  <si>
    <t>Fuel + O&amp;M, Capital Equipment, Carbon Tax on Process Emissions, Tax Rebate (Net), Total</t>
  </si>
  <si>
    <t>c01b00, 087bf1, f1bb18, 00b050, 000000</t>
  </si>
  <si>
    <t>^ Total Only</t>
  </si>
  <si>
    <t>Output Total Change in CapEx and OpEx</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</si>
  <si>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</si>
  <si>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</si>
  <si>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</si>
  <si>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</si>
  <si>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</si>
  <si>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</si>
  <si>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</si>
  <si>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</si>
  <si>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Change in Govt Cash Flow by Source</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</si>
  <si>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</si>
  <si>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Carbon Tax Revenue, Fuel Tax Revenue, EV Subsidy, Electricity Generation Subsidy, Electricity Capacity Construction Subsidy, Distributed Solar Subsidy, Fuel Subsidy, National Debt Interest, Remaining Government Cash Flows, Total</t>
  </si>
  <si>
    <t>ad6600, 087bf1, f593e0, 04ffaf, f1bb18, 969696, c01b00, 00b050, 620e7a, 000000</t>
  </si>
  <si>
    <t>Financial: Jobs, GDP, and Earnings</t>
  </si>
  <si>
    <t>Change in Jobs</t>
  </si>
  <si>
    <t>Output Change in Fossil and Utility Domestic Jobs; Output Change in Manufacturing and Construction Domestic Jobs; Output Change in Other Domestic Jobs; Output Change in Domestic Jobs</t>
  </si>
  <si>
    <t>Fossil Fuel and Utility Jobs, Manufacturing and Construction Jobs, Other Jobs, Total</t>
  </si>
  <si>
    <t>c01b00, 087bf1, f1bb18, 000000</t>
  </si>
  <si>
    <t>Change in Jobs by Gender</t>
  </si>
  <si>
    <t>Output Change in Domestic Jobs by Demographic Trait[female]; Output Change in Domestic Jobs by Demographic Trait[male]</t>
  </si>
  <si>
    <t>Female, Male</t>
  </si>
  <si>
    <t>00b050, ff6400</t>
  </si>
  <si>
    <t>Percent Change in Jobs by Gender</t>
  </si>
  <si>
    <t>Output Percent Change in Employment by Demographic Trait[female]; Output Percent Change in Employment by Demographic Trait[male]</t>
  </si>
  <si>
    <t>Change in Jobs by Race</t>
  </si>
  <si>
    <t>Output Change in Domestic Jobs by Demographic Trait[other race]; Output Change in Domestic Jobs by Demographic Trait[asian]; Output Change in Domestic Jobs by Demographic Trait[black]; Output Change in Domestic Jobs by Demographic Trait[white]</t>
  </si>
  <si>
    <t>Other Race or Multiple Races, Asian, Black, White</t>
  </si>
  <si>
    <t>087bf1, 00b050, f1bb18, c01b00</t>
  </si>
  <si>
    <t>Percent Change in Jobs by Race</t>
  </si>
  <si>
    <t>Output Percent Change in Employment by Demographic Trait[other race]; Output Percent Change in Employment by Demographic Trait[asian]; Output Percent Change in Employment by Demographic Trait[black]; Output Percent Change in Employment by Demographic Trait[white]</t>
  </si>
  <si>
    <t>Change in Jobs by Hispanic or Latino Status</t>
  </si>
  <si>
    <t>Output Change in Domestic Jobs by Demographic Trait[hispanic]; Output Change in Domestic Jobs by Demographic Trait[nonhispanic]</t>
  </si>
  <si>
    <t>Hispanic or Latino, Not Hispanic or Latino</t>
  </si>
  <si>
    <t>af64ff, 04ffaf</t>
  </si>
  <si>
    <t>Perc Change in Jobs by Hispanic or Latino Status</t>
  </si>
  <si>
    <t>Output Percent Change in Employment by Demographic Trait[hispanic]; Output Percent Change in Employment by Demographic Trait[nonhispanic]</t>
  </si>
  <si>
    <t>Change in Jobs by Age Bracket</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</si>
  <si>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</si>
  <si>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</si>
  <si>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</si>
  <si>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Percent Change in Jobs by Age Bracket</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</si>
  <si>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</si>
  <si>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</si>
  <si>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</si>
  <si>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</si>
  <si>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</si>
  <si>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</si>
  <si>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</si>
  <si>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Direct/Indirect/Induced Change in Jobs</t>
  </si>
  <si>
    <t>Output Direct Change in Jobs; Output Indirect Change in Jobs; Output Induced Change in Jobs; Output Change in Domestic Jobs</t>
  </si>
  <si>
    <t>Direct, Indirect, Induced, Total</t>
  </si>
  <si>
    <t>c01b00, af64ff, f593e0, 000000</t>
  </si>
  <si>
    <t>Direct Plus Indirect Change in Jobs</t>
  </si>
  <si>
    <t>Output Change in Fossil and Utility Direct and Indirect Jobs; Output Change in Manufacturing and Construction Direct and Indirect Jobs; Output Change in Other Direct and Indirect Jobs; Output Change in Direct and Indirect Jobs</t>
  </si>
  <si>
    <t>Change in GDP</t>
  </si>
  <si>
    <t>Output Change in Fossil and Utility GDP Contribution; Output Change in Manufacturing and Construction GDP Contribution; Output Change in Other GDP Contribution; Output Change in GDP</t>
  </si>
  <si>
    <t>Fossil Fuels and Utilities, Manufacturing and Construction, Other Contributors, Total</t>
  </si>
  <si>
    <t>Percent Change in GDP</t>
  </si>
  <si>
    <t>Output Fossil and Utility Contribution to Perc Change in GDP; Output Manufacturing and Construction Contribution to Perc Change in GDP; Output Other Contribution to Perc Change in GDP; Output Perc Change in GDP</t>
  </si>
  <si>
    <t>Direct/Indirect/Induced Change in GDP</t>
  </si>
  <si>
    <t>Output Direct Change in GDP; Output Indirect Change in GDP; Output Induced Change in GDP; Output Change in GDP</t>
  </si>
  <si>
    <t>Change in Employee Compensation</t>
  </si>
  <si>
    <t>Output Change in Fossil and Utility Domestic Employee Compensation; Output Change in Manufacturing and Construction Domestic Employee Compensation; Output Change in Other Domestic Employee Compensation; Output Change in Domestic Employee Compensation</t>
  </si>
  <si>
    <t>Fossil Fuels and Utilities, Manufacturing and Construction, Others, Total</t>
  </si>
  <si>
    <t>Change in Compensation per Employee</t>
  </si>
  <si>
    <t>Output Change in Compensation per Domestic Employee</t>
  </si>
  <si>
    <t>Direct/Indirect/Induced Change in Compensation</t>
  </si>
  <si>
    <t>Output Direct Change in Compensation; Output Indirect Change in Compensation; Output Induced Change in Compensation; Output Change in Domestic Employee Compensation</t>
  </si>
  <si>
    <t>Financial: Direct Cash Flow Changes</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</si>
  <si>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</si>
  <si>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</si>
  <si>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</si>
  <si>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000000, 087bf1, f593e0, 04ffaf, f1bb18, 969696, c01b00, 00b050, 620e7a</t>
  </si>
  <si>
    <t>Government Cash Flow Components</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</si>
  <si>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</si>
  <si>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</si>
  <si>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</si>
  <si>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Non-Energy Industries Cash Flow Components</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</si>
  <si>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</si>
  <si>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Change in Domestic Revenue, Change in Export Revenue, Change in Energy Expenditures (inverted), Change in Non-Energy Expenditures (inverted), Total</t>
  </si>
  <si>
    <t>00b050, f1bb18, c01b00, 087bf1, 000001</t>
  </si>
  <si>
    <t>Labor and Consumers Cash Flow Components</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</si>
  <si>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</si>
  <si>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00b050, c01b00, 087bf1, 000002</t>
  </si>
  <si>
    <t>Foreign Entities Cash Flow Components</t>
  </si>
  <si>
    <t>Output Change in Revenue by Entity[foreign entities]; Output Change in Energy Expenditures by Entity Inverted[foreign entities]; Output Change in Nonenergy Expenditures by Entity Inverted[foreign entities]; Output Change in Cash Flow by Entity[foreign entities]</t>
  </si>
  <si>
    <t>00b050, c01b00, 087bf1, 000003</t>
  </si>
  <si>
    <t>Electricity Supplier Cash Flow Components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</si>
  <si>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</si>
  <si>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Coal Supplier Cash Flow Components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</si>
  <si>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</si>
  <si>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Natural Gas and Petroleum Supplier Cash Flow Components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</si>
  <si>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</si>
  <si>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Biomass and Biofuel Supplier Cash Flow Components</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</si>
  <si>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</si>
  <si>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00b050, f1bb18, c01b00, 087bf1, 000002</t>
  </si>
  <si>
    <t>Other Energy Supplier Cash Flow Components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</si>
  <si>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</si>
  <si>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00b050, f1bb18, c01b00, 087bf1, 000003</t>
  </si>
  <si>
    <t>Human Health &amp; Social Benefits</t>
  </si>
  <si>
    <t>Avoided Deaths Wedge Diagram</t>
  </si>
  <si>
    <t>increase wedge</t>
  </si>
  <si>
    <t>Output Avoided Premature Mortality</t>
  </si>
  <si>
    <t>Percent Change in Deaths</t>
  </si>
  <si>
    <t>Output Percent Change in Deaths</t>
  </si>
  <si>
    <t>Avoided Deaths by Gender</t>
  </si>
  <si>
    <t>Output Avoided Premature Mortality by Demographic Trait[female]; Output Avoided Premature Mortality by Demographic Trait[male]</t>
  </si>
  <si>
    <t>Percent Change in Deaths by Gender</t>
  </si>
  <si>
    <t>Output Percent Change in Deaths by Demographic Trait[female]; Output Percent Change in Deaths by Demographic Trait[male]</t>
  </si>
  <si>
    <t>Avoided Deaths by Race</t>
  </si>
  <si>
    <t>Output Avoided Premature Mortality by Demographic Trait[other race]; Output Avoided Premature Mortality by Demographic Trait[asian]; Output Avoided Premature Mortality by Demographic Trait[black]; Output Avoided Premature Mortality by Demographic Trait[white]</t>
  </si>
  <si>
    <t>Percent Change in Deaths by Race</t>
  </si>
  <si>
    <t>Output Percent Change in Deaths by Demographic Trait[other race]; Output Percent Change in Deaths by Demographic Trait[asian]; Output Percent Change in Deaths by Demographic Trait[black]; Output Percent Change in Deaths by Demographic Trait[white]</t>
  </si>
  <si>
    <t>Avoided Deaths by Hispanic or Latino Status</t>
  </si>
  <si>
    <t>Output Avoided Premature Mortality by Demographic Trait[hispanic]; Output Avoided Premature Mortality by Demographic Trait[nonhispanic]</t>
  </si>
  <si>
    <t>Perc Change in Deaths by Hispanic or Latino Status</t>
  </si>
  <si>
    <t>Output Percent Change in Deaths by Demographic Trait[hispanic]; Output Percent Change in Deaths by Demographic Trait[nonhispanic]</t>
  </si>
  <si>
    <t>Avoided Premature Deaths</t>
  </si>
  <si>
    <t>Monetized Avoided Deaths &amp; Climate Benefits</t>
  </si>
  <si>
    <t>Output Social Benefits from Emissions Reduction</t>
  </si>
  <si>
    <t>Avoided Lost Workdays</t>
  </si>
  <si>
    <t>Output Avoided Lost Workdays</t>
  </si>
  <si>
    <t>Avoided Respiratory Symptoms and Bronchitis</t>
  </si>
  <si>
    <t>Output Avoided Respiratory Symptoms and Bronchitis</t>
  </si>
  <si>
    <t>Avoided Asthma Attacks</t>
  </si>
  <si>
    <t>Output Avoided Asthma Attacks</t>
  </si>
  <si>
    <t>Avoided Nonfatal Heart Attacks</t>
  </si>
  <si>
    <t>Output Avoided Nonfatal Heart Attacks</t>
  </si>
  <si>
    <t>Avoided Hospital Admissions</t>
  </si>
  <si>
    <t>Output Avoided Hospital Admissions</t>
  </si>
  <si>
    <t>Avoided Respiratory ER Visits</t>
  </si>
  <si>
    <t>Output Avoided Respiratory ER Visits</t>
  </si>
  <si>
    <t>Avoided Minor Restricted Activity Days</t>
  </si>
  <si>
    <t>Output Avoided Minor Restricted Activity Days</t>
  </si>
  <si>
    <t>Electricity Generation, Capacity, and Demand</t>
  </si>
  <si>
    <t>Generation</t>
  </si>
  <si>
    <t>Output Electricity Generation by Type[geothermal es]; 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Type[nuclear es]; Output Non Solar Distributed Output; Output Electricity Generation by Type[municipal solid waste es]; Output Electricity Generation by Type[petroleum es]; Output Electricity Generation by Type[natural gas peaker es]; Output Electricity Generation by Type[natural gas nonpeaker es]; Output Electricity Generation by Type[lignite es]; Output Electricity Generation by Type[hard coal es]; Output Net Imports of Electricity</t>
  </si>
  <si>
    <t>Geothermal, Biomass, Solar Thermal, Distributed Solar PV, Utility Solar PV, Onshore Wind, Offshore Wind, Hydro, Nuclear, Distributed Non-Solar, Municipal Solid Waste, Petroleum, Natural Gas Peaker, Natural Gas Nonpeaker, Gangue, Hard Coal, Imported Electricity</t>
  </si>
  <si>
    <t>620e7a, 00b050, ff6400, f1bb18, ffff00, c2dffd, 087bf1, 004185, 04ffaf, bfb088, ff00ff, 000000, f593e0, c01b00, 004d10, 969696, af64ff</t>
  </si>
  <si>
    <t>Policy-Driven Change in Generation</t>
  </si>
  <si>
    <t>Output Change in Electricity Generation by Type[geothermal es]; 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 Output Change in Electricity Generation by Type[hydro es]; Output Change in Electricity Generation by Type[nuclear es]; Output Change in Electricity Generation by Type[municipal solid waste es]; Output Change in Electricity Generation by Type[petroleum es]; Output Change in Electricity Generation by Type[natural gas peaker es]; Output Change in Electricity Generation by Type[natural gas nonpeaker es]; Output Change in Electricity Generation by Type[lignite es]; Output Change in Electricity Generation by Type[hard coal es]; Output Change in Net Imports of Electricity</t>
  </si>
  <si>
    <t>Geothermal, Biomass, Solar Thermal, Distributed Solar PV, Utility Solar PV, Onshore Wind, Offshore Wind, Hydro, Nuclear, Municipal Solid Waste, Petroleum, Natural Gas Peaker, Natural Gas Nonpeaker, Gangue, Hard Coal, Imported Electricity</t>
  </si>
  <si>
    <t>620e7a, 00b050, ff6400, f1bb18, ffff00, c2dffd, 087bf1, 004185, 04ffaf, ff00ff, 000000, f593e0, c01b00, 004d10, 969696, af64ff</t>
  </si>
  <si>
    <t>Capacity</t>
  </si>
  <si>
    <t>Output Electricity Generation Capacity[geothermal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Capacity[nuclear es]; Output Non Solar Distributed Capacity; Output Electricity Generation Capacity[municipal solid waste es]; Output Electricity Generation Capacity[petroleum es]; Output Electricity Generation Capacity[natural gas peaker es]; Output Electricity Generation Capacity[natural gas nonpeaker es]; Output Electricity Generation Capacity[lignite es]; Output Electricity Generation Capacity[hard coal es]</t>
  </si>
  <si>
    <t>Geothermal, Biomass, Solar Thermal, Distributed Solar PV, Utility Solar PV, Onshore Wind, Offshore Wind, Hydro, Nuclear, Distributed Non-Solar, Municipal Solid Waste, Petroleum, Natural Gas Peaker, Natural Gas Nonpeaker, Gangue, Hard Coal</t>
  </si>
  <si>
    <t>620e7a, 00b050, ff6400, f1bb18, ffff00, c2dffd, 087bf1, 004185, 04ffaf, bfb088, ff00ff, 000000, f593e0, c01b00, 004d10, 969696</t>
  </si>
  <si>
    <t>Policy-Driven Change in Capacity</t>
  </si>
  <si>
    <t>Output Change in Electricity Generation Capacity[geothermal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Capacity[nuclear es]; Output Change in Electricity Generation Capacity[municipal solid waste es]; Output Change in Electricity Generation Capacity[petroleum es]; Output Change in Electricity Generation Capacity[natural gas peaker es]; Output Change in Electricity Generation Capacity[natural gas nonpeaker es]; Output Change in Electricity Generation Capacity[lignite es]; Output Change in Electricity Generation Capacity[hard coal es]</t>
  </si>
  <si>
    <t>Geothermal, Biomass, Solar Thermal, Distributed Solar PV, Utility Solar PV, Onshore Wind, Offshore Wind, Hydro, Nuclear, Municipal Solid Waste, Petroleum, Natural Gas Peaker, Natural Gas Nonpeaker, Gangue, Hard Coal</t>
  </si>
  <si>
    <t>620e7a, 00b050, ff6400, f1bb18, ffff00, c2dffd, 087bf1, 004185, 04ffaf, ff00ff, 000000, f593e0, c01b00, 004d10, 969696</t>
  </si>
  <si>
    <t>Electricity Demand by Sector</t>
  </si>
  <si>
    <t>Output District Heat and Hydrogen Electricity Use; Output Waste Management Electricity Use; Output Agriculture Electricity Use; Output Transportation Sector Electricity Use; Output Industry Sector Electricity Use; Output Buildings Sector Electricity Use</t>
  </si>
  <si>
    <t>District Heat &amp; Hydrogen, Water &amp; Waste, Agriculture, Transportation, Industry, Buildings</t>
  </si>
  <si>
    <t>620e7a, f593e0, 04ffaf, c01b00, 969696, 087bf1</t>
  </si>
  <si>
    <t>Share of Generation from Clean Sources</t>
  </si>
  <si>
    <t>Output Share of Generation from Clean Sources</t>
  </si>
  <si>
    <t>Carbon Intensity of Electricity Generation</t>
  </si>
  <si>
    <t>Output Carbon Intensity of Electricity Generation</t>
  </si>
  <si>
    <t>Electricity Intensity per Unit GDP</t>
  </si>
  <si>
    <t>Output Electricity Intensity per Unit GDP</t>
  </si>
  <si>
    <t>Electricity: Levelized Costs, Curtailment, Emissions and Water Use</t>
  </si>
  <si>
    <t>Levelized Cost of Electricity (after subsidies)</t>
  </si>
  <si>
    <t>decadal column</t>
  </si>
  <si>
    <t>Output Cost per Unit New Elec Output[geothermal es]; Output Cost per Unit New Elec Output[biomass es]; Output Cost per Unit New Elec Output[solar thermal es]; Output Cost per Unit New Elec Output[solar PV es]; Output Cost per Unit New Elec Output[onshore wind es]; Output Cost per Unit New Elec Output[offshore wind es]; Output Cost per Unit New Elec Output[hydro es]; Output Cost per Unit New Elec Output[nuclear es]; Output Cost per Unit New Elec Output[municipal solid waste es]; Output Cost per Unit New Elec Output[petroleum es]; Output Cost per Unit New Elec Output[natural gas peaker es]; Output Cost per Unit New Elec Output[natural gas nonpeaker es]; Output Cost per Unit New Elec Output[lignite es]; Output Cost per Unit New Elec Output[hard coal es]</t>
  </si>
  <si>
    <t>Geothermal, Biomass, Solar Thermal, Utility Solar PV, Onshore Wind, Offshore Wind, Hydro, Nuclear, Municipal Solid Waste, Petroleum, Natural Gas Peaker, Natural Gas Nonpeaker, Gangue, Hard Coal</t>
  </si>
  <si>
    <t>620e7a, 00b050, ff6400, ffff00, c2dffd, 087bf1, 004185, 04ffaf, ff00ff, 000000, f593e0, c01b00, 004d10, 969696</t>
  </si>
  <si>
    <t>Curtailed Electricity from Renewables</t>
  </si>
  <si>
    <t>Output Curtailed Electricity Output[offshore wind es];  Output Curtailed Electricity Output[onshore wind es]; Output Curtailed Electricity Output[solar PV es]</t>
  </si>
  <si>
    <t>Offshore Wind, Onshore Wind, Utility Solar PV</t>
  </si>
  <si>
    <t>087bf1, c2dffd, ffff00</t>
  </si>
  <si>
    <t>CO2e Emissions by Plant Type</t>
  </si>
  <si>
    <t>Output Electricity Sector CO2e Emissions[biomass es]; Output Electricity Sector CO2e Emissions[municipal solid waste es]; Output Electricity Sector CO2e Emissions[petroleum es]; Output Electricity Sector CO2e Emissions[natural gas peaker es]; Output Electricity Sector CO2e Emissions[natural gas nonpeaker es]; Output Electricity Sector CO2e Emissions[lignite es]; Output Electricity Sector CO2e Emissions[hard coal es]</t>
  </si>
  <si>
    <t>Biomass, Municipal Solid Waste, Petroleum, Natural Gas Peaker, Natural Gas Nonpeaker, Gangue, Hard Coal</t>
  </si>
  <si>
    <t>00b050, ff00ff, 000000, f593e0, c01b00, 004d10, 969696</t>
  </si>
  <si>
    <t>Water Withdrawals by Power Plants</t>
  </si>
  <si>
    <t>Output Water Withdrawn by Power Plants[geothermal es]; Output Water Withdrawn by Power Plants[biomass es]; Output Water Withdrawn by Power Plants[solar thermal es]; Output Water Withdrawn by Power Plants[solar PV es]; Output Water Withdrawn by Power Plants[nuclear es]; Output Water Withdrawn by Power Plants[municipal solid waste es]; Output Water Withdrawn by Power Plants[petroleum es]; Output Water Withdrawn by Power Plants[natural gas peaker es]; Output Water Withdrawn by Power Plants[natural gas nonpeaker es]; Output Water Withdrawn by Power Plants[lignite es]; Output Water Withdrawn by Power Plants[hard coal es]</t>
  </si>
  <si>
    <t>Geothermal, Biomass, Solar Thermal, Utility Solar PV, Nuclear, Municipal Solid Waste, Petroleum, Natural Gas Peaker, Natural Gas Nonpeaker, Gangue, Hard Coal</t>
  </si>
  <si>
    <t>620e7a, 00b050, ff6400, ffff00, 04ffaf, ff00ff, 000000, f593e0, c01b00, 004d10, 969696</t>
  </si>
  <si>
    <t>Water Consumption by Power Plants</t>
  </si>
  <si>
    <t>Output Water Consumed by Power Plants[geothermal es]; Output Water Consumed by Power Plants[biomass es]; Output Water Consumed by Power Plants[solar thermal es]; Output Water Consumed by Power Plants[solar PV es]; Output Water Consumed by Power Plants[hydro es]; Output Water Consumed by Power Plants[nuclear es]; Output Water Consumed by Power Plants[municipal solid waste es]; Output Water Consumed by Power Plants[petroleum es]; Output Water Consumed by Power Plants[natural gas peaker es]; Output Water Consumed by Power Plants[natural gas nonpeaker es]; Output Water Consumed by Power Plants[lignite es]; Output Water Consumed by Power Plants[hard coal es]</t>
  </si>
  <si>
    <t>Geothermal, Biomass, Solar Thermal, Utility Solar PV, Hydro, Nuclear, Municipal Solid Waste, Petroleum, Natural Gas Peaker, Natural Gas Nonpeaker, Gangue, Hard Coal</t>
  </si>
  <si>
    <t>620e7a, 00b050, ff6400, ffff00, 004185, 04ffaf, ff00ff, 000000, f593e0, c01b00, 004d10, 969696</t>
  </si>
  <si>
    <t>Transport: Vehicles by Technology</t>
  </si>
  <si>
    <t>Sales: Cars and SUVs</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</si>
  <si>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</si>
  <si>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</si>
  <si>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</si>
  <si>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Sales: Buses</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</si>
  <si>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</si>
  <si>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</si>
  <si>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</si>
  <si>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Sales: Light &amp; Medium Freight Trucks</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</si>
  <si>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</si>
  <si>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Sales: Heavy Freight Trucks</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</si>
  <si>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</si>
  <si>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Sales: Passenger Motorbikes</t>
  </si>
  <si>
    <t>Output New Vehicles in Thousands[motorbikes,passenger,battery electric vehicle]; Output New Vehicles in Thousands[motorbikes,passenger,gasoline vehicle]</t>
  </si>
  <si>
    <t>Battery Electric Vehicle, Gasoline Engine Vehicle</t>
  </si>
  <si>
    <t>f1bb18, 969696</t>
  </si>
  <si>
    <t>Sales: Freight Motorbikes</t>
  </si>
  <si>
    <t>Output New Vehicles in Thousands[motorbikes,freight,battery electric vehicle]; Output New Vehicles in Thousands[motorbikes,freight,gasoline vehicle]</t>
  </si>
  <si>
    <t>Fleet Composition: Cars and SUVs</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</si>
  <si>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</si>
  <si>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Fleet Composition: Buses</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</si>
  <si>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</si>
  <si>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Fleet Composition: Light &amp; Medium Freight Trucks</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</si>
  <si>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</si>
  <si>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Fleet Composition: Heavy Freight Trucks</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</si>
  <si>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</si>
  <si>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Fleet Composition: Passenger Motorbikes</t>
  </si>
  <si>
    <t>Output Vehicles in Millions[motorbikes,passenger,battery electric vehicle]; Output Vehicles in Millions[motorbikes,passenger,gasoline vehicle]</t>
  </si>
  <si>
    <t>Fleet Composition: Freight Motorbikes</t>
  </si>
  <si>
    <t>Output Vehicles in Millions[motorbikes,freight,battery electric vehicle]; Output Vehicles in Millions[motorbikes,freight,gasoline vehicle]</t>
  </si>
  <si>
    <t>Transport: Travel Demand, Fuel Use, and Emissions</t>
  </si>
  <si>
    <t>CO2 Emissions by Vehicle Type</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</si>
  <si>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</si>
  <si>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Motorbikes, Freight Ships, Recreational Boats, Freight Rail, Passenger Rail, Freight Aircraft, Passenger Aircraft, Heavy Trucks, Buses, Light &amp; Medium Freight Trucks, Cars and SUVs</t>
  </si>
  <si>
    <t>c01b00, 004185, af64ff, 00b050, 04ffaf, 087bf1, f1bb18, f593e0, c2dffd, 000000, 969696</t>
  </si>
  <si>
    <t>Fuel Use by Fuel Type</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</si>
  <si>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</si>
  <si>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Hydrogen, Electricity, Natural Gas, Jet Fuel, LPG, Biofuel Diesel, Biofuel Gasoline, Petroleum Diesel, Petroleum Gasoline</t>
  </si>
  <si>
    <t>620e7a, f1bb18, c01b00, c2dffd, 087bf1, 00b050, 04ffaf, 000000, 969696</t>
  </si>
  <si>
    <t>Fuel Use by Vehicle Type</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</si>
  <si>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</si>
  <si>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Fuel Use (Total)</t>
  </si>
  <si>
    <t>Output Transportation Sector Fuel Used</t>
  </si>
  <si>
    <t>Travel Demand (Passenger Modes)</t>
  </si>
  <si>
    <t>Output Passenger Dist Transported[motorbikes,passenger]; Output Passenger Dist Transported[rail,passenger]; Output Passenger Dist Transported[aircraft,passenger]; Output Passenger Dist Transported[HDVs,passenger]; Output Passenger Dist Transported[LDVs,passenger]</t>
  </si>
  <si>
    <t>Motorbikes, Passenger Rail, Passenger Aircraft, Buses, Cars &amp; SUVs</t>
  </si>
  <si>
    <t>c01b00, 04ffaf, c2dffd, f1bb18, 969696</t>
  </si>
  <si>
    <t>Travel Demand (Freight Modes)</t>
  </si>
  <si>
    <t>Output Freight Dist Transported[aircraft,freight]; Output Freight Dist Transported[LDVs,freight]; Output Freight Dist Transported[ships,freight]; Output Freight Dist Transported[rail,freight]; Output Freight Dist Transported[HDVs,freight]</t>
  </si>
  <si>
    <t>Freight Aircraft, Light &amp; Medium Freight Trucks, Freight Ships, Freight Rail, Heavy Trucks</t>
  </si>
  <si>
    <t>087bf1, f593e0, 004185, 00b050, 000000</t>
  </si>
  <si>
    <t>Industry: Fuel Use</t>
  </si>
  <si>
    <t>By Industry (Excluding Feedstocks)</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</si>
  <si>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</si>
  <si>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Construction, Gas Production and Supply, Other Manufacturing, Nonroad Vehicles, Road Vehicles, Other Machinery, Appliances and Electrical Equipment, Computers and Electronics, Metal Products Except Machinery and Vehicles, Other Metals, Iron and Steel, Cement and Glass and Other Nonmetallic Minerals, Specialized Equipment Manufacturing, Rubber and Plastic Products, Chemicals, Refined Petroleum and Coke, Pulp Paper and Printing, Wood Products and Furniture,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</si>
  <si>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</si>
  <si>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</si>
  <si>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</si>
  <si>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Hydrogen, District Heat, Biomass, Electricity, Natural Gas, LPG Propane and Butane, Hard Coal, Heavy or Residual Fuel Oil, Crude Oil, Other Petroleum</t>
  </si>
  <si>
    <t>620e7a, f593e0, 00b050, f1bb18, c01b00, 087bf1, 969696, ad6600, 740000, 000000</t>
  </si>
  <si>
    <t>Total (Excluding Feedstocks)</t>
  </si>
  <si>
    <t>Output Total Industrial Fuel Use for Energy Purposes</t>
  </si>
  <si>
    <t>By Industry (Including Feedstocks)</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</si>
  <si>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</si>
  <si>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By Fuel (Including Feedstocks)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</si>
  <si>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</si>
  <si>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Total (Including Feedstocks)</t>
  </si>
  <si>
    <t>Output Total Industrial Fuel Use</t>
  </si>
  <si>
    <t>Industry: CO2e Emissions</t>
  </si>
  <si>
    <t>Total by Industry</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</si>
  <si>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</si>
  <si>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Total by Pollutant</t>
  </si>
  <si>
    <t>Output Industry Sector CO2e Emissions by Pollutant[N2O]; Output Industry Sector CO2e Emissions by Pollutant[F gases]; Output Industry Sector CO2e Emissions by Pollutant[CH4]; Output Industry Sector CO2e Emissions by Pollutant[CO2]</t>
  </si>
  <si>
    <t>Process Emissions by Industry</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</si>
  <si>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</si>
  <si>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Process Emissions by Pollutant</t>
  </si>
  <si>
    <t>Output Process Emissions in CO2e by Pollutant[N2O]; Output Process Emissions in CO2e by Pollutant[F gases]; Output Process Emissions in CO2e by Pollutant[CH4]; Output Process Emissions in CO2e by Pollutant[CO2]</t>
  </si>
  <si>
    <t>Energy-Related Emissions by Industry</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</si>
  <si>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</si>
  <si>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Energy-Related Emissions by Pollutant</t>
  </si>
  <si>
    <t>Output Industry Sector Energy Related CO2e Emissions by Pollutant[N2O]; Output Industry Sector Energy Related CO2e Emissions by Pollutant[CH4]; Output Industry Sector Energy Related CO2e Emissions by Pollutant[CO2]</t>
  </si>
  <si>
    <t>N2O, CH4, CO2</t>
  </si>
  <si>
    <t>00b050, c01b00, 969696</t>
  </si>
  <si>
    <t>CO2 Emissions by Source Type</t>
  </si>
  <si>
    <t>Output Process CO2 Emissions; Output Industry Sector Energy Related CO2 Emissions</t>
  </si>
  <si>
    <t>Process Emissions, Energy-Related Emissions</t>
  </si>
  <si>
    <t>969696, c01b00</t>
  </si>
  <si>
    <t>Process CO2 Emissions by Industry</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</si>
  <si>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</si>
  <si>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Energy-Related CO2 Emissions by Industry</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</si>
  <si>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</si>
  <si>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Buildings: Energy Use</t>
  </si>
  <si>
    <t>By Building Component</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</si>
  <si>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</si>
  <si>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</si>
  <si>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000000, 00b050, f1bb18, 087bf1, c01b00</t>
  </si>
  <si>
    <t>By Building Type</t>
  </si>
  <si>
    <t>Output Components Energy Use by Building Type[commercial]; Output Components Energy Use by Building Type[rural residential]; Output Components Energy Use by Building Type[urban residential]</t>
  </si>
  <si>
    <t>Commercial, Rural Residential, Urban Residential</t>
  </si>
  <si>
    <t>004185, 00b050, 969696</t>
  </si>
  <si>
    <t>By Energy Source</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</si>
  <si>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</si>
  <si>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Hydrogen, Hard Coal, District Heat, Biomass, Other Petroleum, LPG Propane and Butane, Natural Gas, Electricity</t>
  </si>
  <si>
    <t>620e7a, 969696, f593e0, 00b050, 000000, 087bf1, c01b00, f1bb18</t>
  </si>
  <si>
    <t>Output Total Buildings Energy Use</t>
  </si>
  <si>
    <t>Energy Consumption</t>
  </si>
  <si>
    <t>Primary Energy by Source</t>
  </si>
  <si>
    <t>Output Total Primary Energy Use by Type[geothermal]; Output Liquid Biofuels Primary Energy Use;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Refined Petroleum Fuels Primary Energy Use; Output Total Primary Energy Use by Type[crude oil]; Output Total Primary Energy Use by Type[natural gas]; Output Total Primary Energy Use by Type[lignite]; Output Total Primary Energy Use by Type[hard coal]</t>
  </si>
  <si>
    <t>Geothermal, Liquid Biofuels, Municipal Solid Waste, Biomass, Solar, Wind, Hydro, Nuclear, Refined Petroleum Fuels, Crude Oil, Natural Gas, Gangue, Hard Coal</t>
  </si>
  <si>
    <t>620e7a, af64ff, ff00ff, 00b050, f1bb18, c2dffd, 004185, 04ffaf, 000000, 740000, c01b00, 004d10, 969696</t>
  </si>
  <si>
    <t>Primary Energy by End Use Sector</t>
  </si>
  <si>
    <t>Output Primary Energy Use by Geoengineering Sector; Output Primary Energy Use by District Heat Sector; Output Primary Energy Use by Agriculture Sector; Output Primary Energy Use by Buildings Sector; Output Primary Energy Use by Water and Waste Sector; Output Primary Energy Use by Transportation Sector; Output Primary Energy Use by Electricity Sector; Output Primary Energy Use by Industry Sector</t>
  </si>
  <si>
    <t>Geoengineering, District Heat &amp; Hydrogen, Agriculture, Buildings, Water &amp; Waste, Transportation, Electricity, Industry</t>
  </si>
  <si>
    <t>ad6600, 620e7a, 04ffaf, 087bf1, f593e0, c01b00, f1bb18, 969696</t>
  </si>
  <si>
    <t>Output Total Primary Energy Use per Unit GDP</t>
  </si>
  <si>
    <t>Electricity Consumption</t>
  </si>
  <si>
    <t>Output Total Electricity Demand</t>
  </si>
  <si>
    <t>Hard Coal Consumption</t>
  </si>
  <si>
    <t>Output Total Hard Coal Consumption</t>
  </si>
  <si>
    <t>Lignite Consumption</t>
  </si>
  <si>
    <t>Output Total Lignite Consumption</t>
  </si>
  <si>
    <t>Natural Gas Consumption</t>
  </si>
  <si>
    <t>Output Total Natural Gas Consumption</t>
  </si>
  <si>
    <t>Petroleum Fuels Consumption</t>
  </si>
  <si>
    <t>Output Total Petroleum Fuels Consumption</t>
  </si>
  <si>
    <t>Liquid Biofuels Consumption</t>
  </si>
  <si>
    <t>Output Total Liquid Biofuels Consumption</t>
  </si>
  <si>
    <t>Biomass Consumption</t>
  </si>
  <si>
    <t>Output Total Biomass Consumption</t>
  </si>
  <si>
    <t>LPG Propane &amp; Butane Consumption</t>
  </si>
  <si>
    <t>Output Total LPG Propane and Butane Consumption</t>
  </si>
  <si>
    <t>Municipal Solid Waste Consumption</t>
  </si>
  <si>
    <t>Output Total Municipal Solid Waste Consumption</t>
  </si>
  <si>
    <t>Hydrogen Consumption</t>
  </si>
  <si>
    <t>Output Total Hydrogen Consumption</t>
  </si>
  <si>
    <t>Exports, Imports, Production, and Consumption</t>
  </si>
  <si>
    <t>Energy: Exports</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</si>
  <si>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</si>
  <si>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</si>
  <si>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</si>
  <si>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Energy: Change in Exports</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</si>
  <si>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</si>
  <si>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Energy: Export Revenue</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</si>
  <si>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</si>
  <si>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Energy: Change in Export Revenue</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</si>
  <si>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</si>
  <si>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Energy: Embedded CO2 in Exports</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</si>
  <si>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</si>
  <si>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Liquid Biofuels, Biomass, Coal, Natural Gas, Refined Petroleum Fuels, Crude Oil</t>
  </si>
  <si>
    <t>af64ff, 00b050, 969696, c01b00, 000000, 740000</t>
  </si>
  <si>
    <t>Energy: Change in Embedded CO2 in Exports</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</si>
  <si>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</si>
  <si>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Energy: Imports</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</si>
  <si>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</si>
  <si>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Electricity, Liquid Biofuels, Biomass, Uranium, Coal, Natural Gas, Refined Petroleum Fuels, Crude Oil</t>
  </si>
  <si>
    <t>f1bb18, af64ff, 00b050, 04ffaf, 969696, c01b00, 000000, 740000</t>
  </si>
  <si>
    <t>Energy: Change in Imports</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</si>
  <si>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</si>
  <si>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f1bb18, af64ff, 00b050, 04ffaf, 969696, c01b00, 000000, 740001</t>
  </si>
  <si>
    <t>Energy: Import Expenditures</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</si>
  <si>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</si>
  <si>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f1bb18, af64ff, 00b050, 04ffaf, 969696, c01b00, 000000, 740002</t>
  </si>
  <si>
    <t>Energy: Change in Import Expenditures</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</si>
  <si>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</si>
  <si>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f1bb18, af64ff, 00b050, 04ffaf, 969696, c01b00, 000000, 740003</t>
  </si>
  <si>
    <t>Energy: Production</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</si>
  <si>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</si>
  <si>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</si>
  <si>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</si>
  <si>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Energy: Change in Production</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</si>
  <si>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</si>
  <si>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Nonenergy Products: Exports</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</si>
  <si>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</si>
  <si>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Construction, Water and Waste, Other Manufacturing, Nonroad Vehicles, Road Vehicles, Other Machinery, Appliances and Electrical Equipment, Computers and Electronics, Metal Products Except Machinery and Vehicles, Other Metals, Iron and Steel, Cement and Other Nonmetallic Minerals, Specialized Equipment Manufacturing, Rubber and Plastic Products, Chemicals, Pulp Paper and Printing, Wood Products and Furniture, Textiles Apparel and Leather, Food Beverage and Tobacco, Other Mining and Quarrying, Agriculture and Forestry</t>
  </si>
  <si>
    <t>6E8000, c01b00, FF9999, 009999, bfb088, af64ff, 004d10, f593e0, 740000, 087bf1, 004185, c2dffd, ad6600, ff00ff, f1bb18, 04ffaf, 00b050, ffff00, ff6400, 620e7a, 969696</t>
  </si>
  <si>
    <t>Nonenergy Products: Change in Exports</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</si>
  <si>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</si>
  <si>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6E8000, c01b00, FF9999, 009999, bfb088, af64ff, 004d10, f593e0, 740000, 087bf1, 004185, c2dffd, ad6600, ff00ff, f1bb18, 04ffaf, 00b050, ffff00, ff6400, 620e7a, 969697</t>
  </si>
  <si>
    <t>Nonenergy Products: Imports</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</si>
  <si>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</si>
  <si>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6E8000, c01b00, FF9999, 009999, bfb088, af64ff, 004d10, f593e0, 740000, 087bf1, 004185, c2dffd, ad6600, ff00ff, f1bb18, 04ffaf, 00b050, ffff00, ff6400, 620e7a, 969698</t>
  </si>
  <si>
    <t>Nonenergy Products: Change in Imports</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</si>
  <si>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</si>
  <si>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6E8000, c01b00, FF9999, 009999, bfb088, af64ff, 004d10, f593e0, 740000, 087bf1, 004185, c2dffd, ad6600, ff00ff, f1bb18, 04ffaf, 00b050, ffff00, ff6400, 620e7a, 969699</t>
  </si>
  <si>
    <t>Nonenergy Products: Production</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</si>
  <si>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</si>
  <si>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6E8000, c01b00, FF9999, 009999, bfb088, af64ff, 004d10, f593e0, 740000, 087bf1, 004185, c2dffd, ad6600, ff00ff, f1bb18, 04ffaf, 00b050, ffff00, ff6400, 620e7a, 969700</t>
  </si>
  <si>
    <t>Nonenergy Products: Change in Production</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</si>
  <si>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</si>
  <si>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6E8000, c01b00, FF9999, 009999, bfb088, af64ff, 004d10, f593e0, 740000, 087bf1, 004185, c2dffd, ad6600, ff00ff, f1bb18, 04ffaf, 00b050, ffff00, ff6400, 620e7a, 969701</t>
  </si>
  <si>
    <t>Nonenergy Products: Domestic Consumption</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</si>
  <si>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</si>
  <si>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6E8000, c01b00, FF9999, 009999, bfb088, af64ff, 004d10, f593e0, 740000, 087bf1, 004185, c2dffd, ad6600, ff00ff, f1bb18, 04ffaf, 00b050, ffff00, ff6400, 620e7a, 969702</t>
  </si>
  <si>
    <t>Nonenergy Products: Change in Domestic Consumption</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</si>
  <si>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</si>
  <si>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6E8000, c01b00, FF9999, 009999, bfb088, af64ff, 004d10, f593e0, 740000, 087bf1, 004185, c2dffd, ad6600, ff00ff, f1bb18, 04ffaf, 00b050, ffff00, ff6400, 620e7a, 969703</t>
  </si>
  <si>
    <t>Fuel Costs (by Fuel, by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</si>
  <si>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</si>
  <si>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Transportation Sector, Industry Sector, District Heat &amp; Hydrogen Sectors, Geoenginnering Sector</t>
  </si>
  <si>
    <t>004185, 087bf1, c01b00, 969696, 620e7a</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</si>
  <si>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</si>
  <si>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</si>
  <si>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</si>
  <si>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Lignite</t>
  </si>
  <si>
    <t>Output Fuel Costs per Unit Energy by Sector[lignite,electricity sector]</t>
  </si>
  <si>
    <t>f1bb18</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</si>
  <si>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</si>
  <si>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Commercial Buildings Sector, Residential Buildings Sector, Electricity Sector, Transportation Sector, Industry Sector, District Heat &amp; Hydrogen Sectors, Geoengineering Sector</t>
  </si>
  <si>
    <t>004185, 087bf1, f1bb18, c01b00, 969696, 620e7a</t>
  </si>
  <si>
    <t>Output Fuel Costs per Unit Energy by Sector[petroleum gasoline,transportation sector]</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</si>
  <si>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</si>
  <si>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Commercial Buildings Sector, Residential Buildings Sector, Electricity Sector, Transportation Sector, Industry Sector, District Heat &amp; Hydrogen Sectors</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</si>
  <si>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</si>
  <si>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</si>
  <si>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</si>
  <si>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</si>
  <si>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</si>
  <si>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</si>
  <si>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LPG Propane or Butane</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</si>
  <si>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</si>
  <si>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Commercial Buildings Sector, Residential Buildings Sector, Transportation Sector, Industry Sector</t>
  </si>
  <si>
    <t>004185, 087bf1, c01b00, 969696</t>
  </si>
  <si>
    <t>Output Fuel Costs per Unit Energy by Sector[hydrogen,transportation sector]; Output Fuel Costs per Unit Energy by Sector[hydrogen,industry sector]</t>
  </si>
  <si>
    <t>Transportation Sector, Industry Sector</t>
  </si>
  <si>
    <t>c01b00, 969696</t>
  </si>
  <si>
    <t>Technology Costs</t>
  </si>
  <si>
    <t>Utility-Scale Batteries</t>
  </si>
  <si>
    <t>Output Battery Cost</t>
  </si>
  <si>
    <t>CCS Capital Equipment</t>
  </si>
  <si>
    <t>Output Capital Cost of Epqt to Sequester One Ton of CO2 per Year[industry sector]; Output Capital Cost of Epqt to Sequester One Ton of CO2 per Year[electricity sector]</t>
  </si>
  <si>
    <t>Industry Sector, Electricity Sector</t>
  </si>
  <si>
    <t>969696, f1bb18</t>
  </si>
  <si>
    <t>Onshore Wind Turbines</t>
  </si>
  <si>
    <t>Output Construction Cost per Unit Capacity before Construction Subsidies[onshore wind es]</t>
  </si>
  <si>
    <t>Offshore Wind Turbines</t>
  </si>
  <si>
    <t>Output Construction Cost per Unit Capacity before Construction Subsidies[offshore wind es]</t>
  </si>
  <si>
    <t>Solar PV (Utility-Scale)</t>
  </si>
  <si>
    <t>Output Construction Cost per Unit Capacity before Construction Subsidies[solar PV es]</t>
  </si>
  <si>
    <t>Hydrogen Electrolyzers</t>
  </si>
  <si>
    <t>Output Hydrogen Production Equipment CapEx[electrolysis]</t>
  </si>
  <si>
    <t>Electricity Sources</t>
  </si>
  <si>
    <t>RGB</t>
  </si>
  <si>
    <t>Hex</t>
  </si>
  <si>
    <t>Color</t>
  </si>
  <si>
    <t>Meaning</t>
  </si>
  <si>
    <t>98-14-122</t>
  </si>
  <si>
    <t>620e7a</t>
  </si>
  <si>
    <t>0-176-80</t>
  </si>
  <si>
    <t>00b050</t>
  </si>
  <si>
    <t>255-100-0</t>
  </si>
  <si>
    <t>ff6400</t>
  </si>
  <si>
    <t>241-187-24</t>
  </si>
  <si>
    <t>Distributed Solar PV</t>
  </si>
  <si>
    <t>255-255-0</t>
  </si>
  <si>
    <t>ffff00</t>
  </si>
  <si>
    <t>Utility Solar PV</t>
  </si>
  <si>
    <t>194-223-253</t>
  </si>
  <si>
    <t>c2dffd</t>
  </si>
  <si>
    <t>8-123-241</t>
  </si>
  <si>
    <t>087bf1</t>
  </si>
  <si>
    <t>0-65-133</t>
  </si>
  <si>
    <t>004185</t>
  </si>
  <si>
    <t>4-255-175</t>
  </si>
  <si>
    <t>04ffaf</t>
  </si>
  <si>
    <t>191-176-136</t>
  </si>
  <si>
    <t>bfb088</t>
  </si>
  <si>
    <t>Distributed Non-Solar</t>
  </si>
  <si>
    <t>255-0-255</t>
  </si>
  <si>
    <t>ff00ff</t>
  </si>
  <si>
    <t>0-0-0</t>
  </si>
  <si>
    <t>000000</t>
  </si>
  <si>
    <t>173-102-0</t>
  </si>
  <si>
    <t>ad6600</t>
  </si>
  <si>
    <t>116-0-0</t>
  </si>
  <si>
    <t>245-147-224</t>
  </si>
  <si>
    <t>f593e0</t>
  </si>
  <si>
    <t>192-27-0</t>
  </si>
  <si>
    <t>c01b00</t>
  </si>
  <si>
    <t>0-77-16</t>
  </si>
  <si>
    <t>004d10</t>
  </si>
  <si>
    <t>150-150-150</t>
  </si>
  <si>
    <t>969696</t>
  </si>
  <si>
    <t>175-100-255</t>
  </si>
  <si>
    <t>af64ff</t>
  </si>
  <si>
    <t>Imported Electricity</t>
  </si>
  <si>
    <t>Sectors</t>
  </si>
  <si>
    <t>Meaning 1</t>
  </si>
  <si>
    <t>Buildings / Residential Buildings</t>
  </si>
  <si>
    <t>Commercial Buildings</t>
  </si>
  <si>
    <t>Geoengineering</t>
  </si>
  <si>
    <t>Emissions Types</t>
  </si>
  <si>
    <t>energy-related emissions</t>
  </si>
  <si>
    <t>land use emissions</t>
  </si>
  <si>
    <t>geoengineering emissions</t>
  </si>
  <si>
    <t>GHGs</t>
  </si>
  <si>
    <t>F-gases</t>
  </si>
  <si>
    <t>Change in CapEx + OpEx Components</t>
  </si>
  <si>
    <t>Fuel + O&amp;M</t>
  </si>
  <si>
    <t>Capital Equipment</t>
  </si>
  <si>
    <t>Carbon Tax on Process Emissions</t>
  </si>
  <si>
    <t>Tax Rebate (Net)</t>
  </si>
  <si>
    <t>Government Cash Flow Accounting Mechanisms</t>
  </si>
  <si>
    <t>Change in Government Spending</t>
  </si>
  <si>
    <t>Change in Budget Deficit</t>
  </si>
  <si>
    <t>Change in Household Taxes</t>
  </si>
  <si>
    <t>Change in Payroll Taxes</t>
  </si>
  <si>
    <t>Change in Corporate Income Taxes</t>
  </si>
  <si>
    <t>Government Cash Flow Sources</t>
  </si>
  <si>
    <t>Change in Jobs, GDP, and Earnings (ISIC Code group)</t>
  </si>
  <si>
    <t>Fossil Fuels and Utilities</t>
  </si>
  <si>
    <t>Manufacturing and Construction</t>
  </si>
  <si>
    <t>Others</t>
  </si>
  <si>
    <t>male</t>
  </si>
  <si>
    <t>female</t>
  </si>
  <si>
    <t>white</t>
  </si>
  <si>
    <t>black</t>
  </si>
  <si>
    <t>asian</t>
  </si>
  <si>
    <t>other race</t>
  </si>
  <si>
    <t>hispanic or latino</t>
  </si>
  <si>
    <t>not hispanic or latino</t>
  </si>
  <si>
    <t>age 16 to 19</t>
  </si>
  <si>
    <t>age 20 to 24</t>
  </si>
  <si>
    <t>age 25 to 34</t>
  </si>
  <si>
    <t>age 35 to 44</t>
  </si>
  <si>
    <t>age 45 to 54</t>
  </si>
  <si>
    <t>age 55 to 64</t>
  </si>
  <si>
    <t>age 65+</t>
  </si>
  <si>
    <t>Change in Union and Non-Union Jobs</t>
  </si>
  <si>
    <t>Union Jobs</t>
  </si>
  <si>
    <t>Non-Union Jobs</t>
  </si>
  <si>
    <t>Change in Jobs, GDP, and Earnings (Macroecon impact type)</t>
  </si>
  <si>
    <t>Direct impacts</t>
  </si>
  <si>
    <t>Indirect impacts</t>
  </si>
  <si>
    <t>Induced impacts</t>
  </si>
  <si>
    <t>Cash Flow Entities</t>
  </si>
  <si>
    <t>Government</t>
  </si>
  <si>
    <t>Non-Energy Industries</t>
  </si>
  <si>
    <t>Labor and Consumers</t>
  </si>
  <si>
    <t>Foreign Entities</t>
  </si>
  <si>
    <t>Electricity Suppliers</t>
  </si>
  <si>
    <t>Coal Suppliers</t>
  </si>
  <si>
    <t>Petroleum and Natural Gas Suppliers</t>
  </si>
  <si>
    <t>Biomass and Biofuel Suppliers</t>
  </si>
  <si>
    <t>Other Energy Suppliers</t>
  </si>
  <si>
    <t>Cash Flow Components</t>
  </si>
  <si>
    <t>Change in Revenue / Change in Domestic Revenue</t>
  </si>
  <si>
    <t>Change in Export Revenue</t>
  </si>
  <si>
    <t>Change in Energy Expenditures (inverted)</t>
  </si>
  <si>
    <t>Change in Nonenergy Expenditures (inverted)</t>
  </si>
  <si>
    <t>Vehicle Technologies</t>
  </si>
  <si>
    <t>plug-in hydrid vehicle</t>
  </si>
  <si>
    <t>Vehicle Types</t>
  </si>
  <si>
    <t>Freight Ships</t>
  </si>
  <si>
    <t>Passenger Ships</t>
  </si>
  <si>
    <t>Freight Rail</t>
  </si>
  <si>
    <t>Passenger Rail</t>
  </si>
  <si>
    <t>Freight Aircraft</t>
  </si>
  <si>
    <t>Passenger Aircraft</t>
  </si>
  <si>
    <t>Med &amp; Heavy Trucks</t>
  </si>
  <si>
    <t>Light &amp; Medium Freight Trucks</t>
  </si>
  <si>
    <t>Cars &amp; SUVs</t>
  </si>
  <si>
    <t>Industries</t>
  </si>
  <si>
    <t>Cement Glass and Other Nonmetallic Mineral Products</t>
  </si>
  <si>
    <t>0-99-99</t>
  </si>
  <si>
    <t>009999</t>
  </si>
  <si>
    <t>255-153-153</t>
  </si>
  <si>
    <t>FF9999</t>
  </si>
  <si>
    <t>204-255-51</t>
  </si>
  <si>
    <t>CCFF33</t>
  </si>
  <si>
    <t>110-128-0</t>
  </si>
  <si>
    <t>6E8000</t>
  </si>
  <si>
    <t>Building Components</t>
  </si>
  <si>
    <t>Building Types</t>
  </si>
  <si>
    <t>Transportation Fuels</t>
  </si>
  <si>
    <t>Jet Fuel</t>
  </si>
  <si>
    <t>LPG</t>
  </si>
  <si>
    <t>Industry Fuels</t>
  </si>
  <si>
    <t>District Heat</t>
  </si>
  <si>
    <t>LPG Propane and Butane</t>
  </si>
  <si>
    <t>Other Petroleum</t>
  </si>
  <si>
    <t>Buildings Fuels</t>
  </si>
  <si>
    <t>Kerosene</t>
  </si>
  <si>
    <t>Primary Energy Sources</t>
  </si>
  <si>
    <t>Liquid Biofuels</t>
  </si>
  <si>
    <t>Solar (total of all solar types)</t>
  </si>
  <si>
    <t>Wind (total of both wind types)</t>
  </si>
  <si>
    <t>Refined Petroleum Fuels</t>
  </si>
  <si>
    <t>Energy Export, Import, and Production Types</t>
  </si>
  <si>
    <t>Uranium</t>
  </si>
  <si>
    <t>Coal</t>
  </si>
  <si>
    <t>Scenario Name for Web App</t>
  </si>
  <si>
    <t>Corresponding .cin File</t>
  </si>
  <si>
    <t>Business as Usual</t>
  </si>
  <si>
    <t>BAU_Lever_Settings.txt</t>
  </si>
  <si>
    <r>
      <rPr>
        <sz val="11"/>
        <rFont val="DengXian"/>
        <charset val="134"/>
        <scheme val="minor"/>
      </rPr>
      <t xml:space="preserve">The scenario </t>
    </r>
    <r>
      <rPr>
        <b/>
        <i/>
        <sz val="11"/>
        <color theme="1"/>
        <rFont val="DengXian"/>
        <charset val="134"/>
        <scheme val="minor"/>
      </rPr>
      <t>in this row</t>
    </r>
    <r>
      <rPr>
        <sz val="11"/>
        <rFont val="DengXian"/>
        <charset val="134"/>
        <scheme val="minor"/>
      </rPr>
      <t xml:space="preserve"> is the scenario that all policy scenarios are based on.  It can be freely renamed (in column A), but we refer to it here as "BAU".  Column B should give the name of a properly-formatted file </t>
    </r>
    <r>
      <rPr>
        <b/>
        <sz val="11"/>
        <rFont val="DengXian"/>
        <charset val="134"/>
        <scheme val="minor"/>
      </rPr>
      <t>with a ".txt" extension</t>
    </r>
    <r>
      <rPr>
        <sz val="11"/>
        <rFont val="DengXian"/>
        <charset val="134"/>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</si>
  <si>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Announced Policies</t>
  </si>
  <si>
    <t>Currentpolicy.cin</t>
  </si>
  <si>
    <t>TABLE  1  SECTORAL REPORT FOR ENERGY</t>
  </si>
  <si>
    <t>Inventory 2005</t>
  </si>
  <si>
    <t>(Sheet 1 of 2)</t>
  </si>
  <si>
    <t>Submission 2022 v1</t>
  </si>
  <si>
    <t>UNITED STATES OF AMERICA</t>
  </si>
  <si>
    <t>GREENHOUSE GAS SOURCE AND SINK CATEGORIES</t>
  </si>
  <si>
    <r>
      <rPr>
        <b/>
        <sz val="9"/>
        <rFont val="Times New Roman"/>
        <charset val="134"/>
      </rPr>
      <t>CO</t>
    </r>
    <r>
      <rPr>
        <b/>
        <vertAlign val="subscript"/>
        <sz val="9"/>
        <rFont val="Times New Roman"/>
        <charset val="134"/>
      </rPr>
      <t>2</t>
    </r>
  </si>
  <si>
    <r>
      <rPr>
        <b/>
        <sz val="9"/>
        <rFont val="Times New Roman"/>
        <charset val="134"/>
      </rPr>
      <t>CH</t>
    </r>
    <r>
      <rPr>
        <b/>
        <vertAlign val="subscript"/>
        <sz val="9"/>
        <rFont val="Times New Roman"/>
        <charset val="134"/>
      </rPr>
      <t>4</t>
    </r>
  </si>
  <si>
    <r>
      <rPr>
        <b/>
        <sz val="9"/>
        <rFont val="Times New Roman"/>
        <charset val="134"/>
      </rPr>
      <t>N</t>
    </r>
    <r>
      <rPr>
        <b/>
        <vertAlign val="subscript"/>
        <sz val="9"/>
        <rFont val="Times New Roman"/>
        <charset val="134"/>
      </rPr>
      <t>2</t>
    </r>
    <r>
      <rPr>
        <b/>
        <sz val="9"/>
        <rFont val="Times New Roman"/>
        <charset val="134"/>
      </rPr>
      <t>O</t>
    </r>
  </si>
  <si>
    <r>
      <rPr>
        <b/>
        <sz val="9"/>
        <rFont val="Times New Roman"/>
        <charset val="134"/>
      </rPr>
      <t>NO</t>
    </r>
    <r>
      <rPr>
        <b/>
        <vertAlign val="subscript"/>
        <sz val="9"/>
        <rFont val="Times New Roman"/>
        <charset val="134"/>
      </rPr>
      <t>X</t>
    </r>
  </si>
  <si>
    <t>NMVOC</t>
  </si>
  <si>
    <r>
      <rPr>
        <b/>
        <sz val="9"/>
        <rFont val="Times New Roman"/>
        <charset val="134"/>
      </rPr>
      <t>SO</t>
    </r>
    <r>
      <rPr>
        <b/>
        <vertAlign val="subscript"/>
        <sz val="9"/>
        <rFont val="Times New Roman"/>
        <charset val="134"/>
      </rPr>
      <t>2</t>
    </r>
    <r>
      <rPr>
        <b/>
        <sz val="9"/>
        <rFont val="Times New Roman"/>
        <charset val="134"/>
      </rPr>
      <t xml:space="preserve">        </t>
    </r>
  </si>
  <si>
    <t>(kt)</t>
  </si>
  <si>
    <t>Total Energy</t>
  </si>
  <si>
    <t>A. Fuel combustion activities (sectoral approach)</t>
  </si>
  <si>
    <t>1. Energy industries</t>
  </si>
  <si>
    <t>a.  Public electricity and heat production</t>
  </si>
  <si>
    <t>b.  Petroleum refining</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</si>
  <si>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</si>
  <si>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</si>
  <si>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</si>
  <si>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</si>
  <si>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</si>
  <si>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</si>
  <si>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</si>
  <si>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</si>
  <si>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</si>
  <si>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g. Other (please specify)</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</si>
  <si>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</si>
  <si>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</si>
  <si>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</si>
  <si>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</si>
  <si>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</si>
  <si>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</si>
  <si>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</si>
  <si>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</si>
  <si>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</si>
  <si>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</si>
  <si>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5. Other (as specified in table 1.A(a) sheet 4)</t>
  </si>
  <si>
    <t>a.  Stationary</t>
  </si>
  <si>
    <t>b.  Mobile</t>
  </si>
  <si>
    <t>NA</t>
  </si>
  <si>
    <t>B. Fugitive emissions from fuels</t>
  </si>
  <si>
    <t>1. Solid fuels</t>
  </si>
  <si>
    <t>a.  Coal mining and handling</t>
  </si>
  <si>
    <t/>
  </si>
  <si>
    <t>b.  Solid fuel transformation</t>
  </si>
  <si>
    <t>c.  Other (as specified in table 1.B.1)</t>
  </si>
  <si>
    <t>NO</t>
  </si>
  <si>
    <t>2. Oil and natural gas and other emissions from energy production</t>
  </si>
  <si>
    <t>a.  Oil</t>
  </si>
  <si>
    <t>b.  Natural gas</t>
  </si>
  <si>
    <t>c.  Venting and flaring</t>
  </si>
  <si>
    <t>d. Other (as specified in table 1.B.2)</t>
  </si>
  <si>
    <t>C. CO2 Transport and storage</t>
  </si>
  <si>
    <t>IE,NA</t>
  </si>
  <si>
    <t>1.  Transport of CO2</t>
  </si>
  <si>
    <t>2.  Injection and storage</t>
  </si>
  <si>
    <t>3.  Other</t>
  </si>
  <si>
    <t>Memo items: (1)</t>
  </si>
  <si>
    <t>International bunkers</t>
  </si>
  <si>
    <t>NE</t>
  </si>
  <si>
    <t>Aviation</t>
  </si>
  <si>
    <t>NO,NA</t>
  </si>
  <si>
    <t>Navigation</t>
  </si>
  <si>
    <t>Multilateral operations</t>
  </si>
  <si>
    <t>CO2 emissions from biomass</t>
  </si>
  <si>
    <t>CO2 captured</t>
  </si>
  <si>
    <t>For domestic storage</t>
  </si>
  <si>
    <t>For storage in other countries</t>
  </si>
  <si>
    <t>Subtotals, excluding biomass, including bunkers</t>
  </si>
  <si>
    <t>Waste</t>
  </si>
  <si>
    <t>*adjustments made using Table 1.A(a) to move pipeline energy use from transportation into industry and to move waste incineration energy use from industry into waste</t>
  </si>
  <si>
    <t>TABLE 1.A(a)  SECTORAL BACKGROUND DATA  FOR  ENERGY</t>
  </si>
  <si>
    <t>Fuel combustion activities - sectoral approach</t>
  </si>
  <si>
    <t>AGGREGATE ACTIVITY DATA</t>
  </si>
  <si>
    <t>IMPLIED EMISSION FACTORS</t>
  </si>
  <si>
    <t>EMISSIONS</t>
  </si>
  <si>
    <t xml:space="preserve">Consumption </t>
  </si>
  <si>
    <r>
      <rPr>
        <b/>
        <sz val="9"/>
        <rFont val="Times New Roman"/>
        <charset val="134"/>
      </rPr>
      <t xml:space="preserve"> CO</t>
    </r>
    <r>
      <rPr>
        <b/>
        <vertAlign val="subscript"/>
        <sz val="9"/>
        <rFont val="Times New Roman"/>
        <charset val="134"/>
      </rPr>
      <t>2</t>
    </r>
    <r>
      <rPr>
        <b/>
        <vertAlign val="superscript"/>
        <sz val="9"/>
        <rFont val="Times New Roman"/>
        <charset val="134"/>
      </rPr>
      <t>(1)</t>
    </r>
  </si>
  <si>
    <r>
      <rPr>
        <b/>
        <sz val="9"/>
        <rFont val="Times New Roman"/>
        <charset val="134"/>
      </rPr>
      <t xml:space="preserve"> CO</t>
    </r>
    <r>
      <rPr>
        <b/>
        <vertAlign val="subscript"/>
        <sz val="9"/>
        <rFont val="Times New Roman"/>
        <charset val="134"/>
      </rPr>
      <t>2</t>
    </r>
    <r>
      <rPr>
        <b/>
        <vertAlign val="superscript"/>
        <sz val="9"/>
        <rFont val="Times New Roman"/>
        <charset val="134"/>
      </rPr>
      <t>(2)</t>
    </r>
  </si>
  <si>
    <t>Amount captured</t>
  </si>
  <si>
    <t>(TJ)</t>
  </si>
  <si>
    <r>
      <rPr>
        <b/>
        <sz val="9"/>
        <rFont val="Times New Roman"/>
        <charset val="134"/>
      </rPr>
      <t>NCV/GCV</t>
    </r>
    <r>
      <rPr>
        <b/>
        <vertAlign val="superscript"/>
        <sz val="9"/>
        <rFont val="Times New Roman"/>
        <charset val="134"/>
      </rPr>
      <t>(3)</t>
    </r>
  </si>
  <si>
    <t>(t/TJ)</t>
  </si>
  <si>
    <t>(kg/TJ)</t>
  </si>
  <si>
    <t>1.A. Fuel combustion</t>
  </si>
  <si>
    <t>GCV</t>
  </si>
  <si>
    <t>Liquid fuels</t>
  </si>
  <si>
    <t>Solid fuels</t>
  </si>
  <si>
    <t>Gaseous fuels</t>
  </si>
  <si>
    <r>
      <rPr>
        <b/>
        <sz val="9"/>
        <rFont val="Times New Roman"/>
        <charset val="134"/>
      </rPr>
      <t>Other fossil fuels</t>
    </r>
    <r>
      <rPr>
        <b/>
        <vertAlign val="superscript"/>
        <sz val="9"/>
        <rFont val="Times New Roman"/>
        <charset val="134"/>
      </rPr>
      <t>(4)</t>
    </r>
  </si>
  <si>
    <r>
      <rPr>
        <b/>
        <sz val="9"/>
        <rFont val="Times New Roman"/>
        <charset val="134"/>
      </rPr>
      <t>Peat</t>
    </r>
    <r>
      <rPr>
        <b/>
        <vertAlign val="superscript"/>
        <sz val="9"/>
        <rFont val="Times New Roman"/>
        <charset val="134"/>
      </rPr>
      <t>(5)</t>
    </r>
  </si>
  <si>
    <r>
      <rPr>
        <b/>
        <sz val="9"/>
        <rFont val="Times New Roman"/>
        <charset val="134"/>
      </rPr>
      <t>Biomass</t>
    </r>
    <r>
      <rPr>
        <b/>
        <vertAlign val="superscript"/>
        <sz val="9"/>
        <rFont val="Times New Roman"/>
        <charset val="134"/>
      </rPr>
      <t>(6)</t>
    </r>
  </si>
  <si>
    <t>1.A.1. Energy industries</t>
  </si>
  <si>
    <t>NO,IE,NA</t>
  </si>
  <si>
    <r>
      <rPr>
        <b/>
        <sz val="9"/>
        <rFont val="Times New Roman"/>
        <charset val="134"/>
      </rPr>
      <t>a.  Public electricity and heat production</t>
    </r>
    <r>
      <rPr>
        <b/>
        <vertAlign val="superscript"/>
        <sz val="9"/>
        <rFont val="Times New Roman"/>
        <charset val="134"/>
      </rPr>
      <t>(7)</t>
    </r>
  </si>
  <si>
    <t>1.A.1.a.i  Electricity Generation</t>
  </si>
  <si>
    <t>Liquid Fuels</t>
  </si>
  <si>
    <t>Solid Fuels</t>
  </si>
  <si>
    <t>Gaseous Fuels</t>
  </si>
  <si>
    <t>Other Fossil Fuels</t>
  </si>
  <si>
    <t>Peat</t>
  </si>
  <si>
    <t>1.A.1.a.ii  Combined heat and power generation</t>
  </si>
  <si>
    <t>IE,NO</t>
  </si>
  <si>
    <t>NO,IE</t>
  </si>
  <si>
    <t>1.A.1.a.iii  Heat plants</t>
  </si>
  <si>
    <r>
      <rPr>
        <b/>
        <sz val="9"/>
        <rFont val="Times New Roman"/>
        <charset val="134"/>
      </rPr>
      <t>c.  Manufacture of solid fuels and other energy industries</t>
    </r>
    <r>
      <rPr>
        <b/>
        <vertAlign val="superscript"/>
        <sz val="9"/>
        <rFont val="Times New Roman"/>
        <charset val="134"/>
      </rPr>
      <t>(8)</t>
    </r>
  </si>
  <si>
    <t>1.A.1.c.i  Manufacture of solid fuels</t>
  </si>
  <si>
    <t>1.A.1.c.ii  Oil and gas extraction</t>
  </si>
  <si>
    <t>1.A.1.c.iii  Other energy industries</t>
  </si>
  <si>
    <t>1.A.2 Manufacturing industries and construction</t>
  </si>
  <si>
    <r>
      <rPr>
        <b/>
        <sz val="9"/>
        <color indexed="8"/>
        <rFont val="Times New Roman"/>
        <charset val="134"/>
      </rPr>
      <t>Other fossil fuels</t>
    </r>
    <r>
      <rPr>
        <b/>
        <vertAlign val="superscript"/>
        <sz val="9"/>
        <color indexed="8"/>
        <rFont val="Times New Roman"/>
        <charset val="134"/>
      </rPr>
      <t>(4)</t>
    </r>
  </si>
  <si>
    <r>
      <rPr>
        <b/>
        <sz val="9"/>
        <color indexed="8"/>
        <rFont val="Times New Roman"/>
        <charset val="134"/>
      </rPr>
      <t>Peat</t>
    </r>
    <r>
      <rPr>
        <b/>
        <vertAlign val="superscript"/>
        <sz val="9"/>
        <color indexed="8"/>
        <rFont val="Times New Roman"/>
        <charset val="134"/>
      </rPr>
      <t>(5)</t>
    </r>
  </si>
  <si>
    <r>
      <rPr>
        <b/>
        <sz val="9"/>
        <color indexed="8"/>
        <rFont val="Times New Roman"/>
        <charset val="134"/>
      </rPr>
      <t>Biomass</t>
    </r>
    <r>
      <rPr>
        <b/>
        <vertAlign val="superscript"/>
        <sz val="9"/>
        <color indexed="8"/>
        <rFont val="Times New Roman"/>
        <charset val="134"/>
      </rPr>
      <t>(6)</t>
    </r>
  </si>
  <si>
    <r>
      <rPr>
        <b/>
        <sz val="9"/>
        <color indexed="8"/>
        <rFont val="Times New Roman"/>
        <charset val="134"/>
      </rPr>
      <t>g. Other (</t>
    </r>
    <r>
      <rPr>
        <b/>
        <i/>
        <sz val="9"/>
        <color indexed="8"/>
        <rFont val="Times New Roman"/>
        <charset val="134"/>
      </rPr>
      <t>please specify</t>
    </r>
    <r>
      <rPr>
        <b/>
        <sz val="9"/>
        <color indexed="8"/>
        <rFont val="Times New Roman"/>
        <charset val="134"/>
      </rPr>
      <t>)</t>
    </r>
    <r>
      <rPr>
        <b/>
        <vertAlign val="superscript"/>
        <sz val="9"/>
        <color indexed="8"/>
        <rFont val="Times New Roman"/>
        <charset val="134"/>
      </rPr>
      <t>(9)</t>
    </r>
  </si>
  <si>
    <t>1.A.2.g.viii  Other (please specify)</t>
  </si>
  <si>
    <t>Other non-specified</t>
  </si>
  <si>
    <t>1.A.3  Transport</t>
  </si>
  <si>
    <r>
      <rPr>
        <b/>
        <sz val="9"/>
        <rFont val="Times New Roman"/>
        <charset val="134"/>
      </rPr>
      <t>a.  Domestic aviation</t>
    </r>
    <r>
      <rPr>
        <b/>
        <vertAlign val="superscript"/>
        <sz val="9"/>
        <rFont val="Times New Roman"/>
        <charset val="134"/>
      </rPr>
      <t>(10)</t>
    </r>
  </si>
  <si>
    <t>Aviation gasoline</t>
  </si>
  <si>
    <t>Jet kerosene</t>
  </si>
  <si>
    <r>
      <rPr>
        <b/>
        <sz val="9"/>
        <rFont val="Times New Roman"/>
        <charset val="134"/>
      </rPr>
      <t>b.  Road transportation</t>
    </r>
    <r>
      <rPr>
        <b/>
        <vertAlign val="superscript"/>
        <sz val="9"/>
        <rFont val="Times New Roman"/>
        <charset val="134"/>
      </rPr>
      <t>(11)</t>
    </r>
  </si>
  <si>
    <t>Gasoline</t>
  </si>
  <si>
    <t>Diesel oil</t>
  </si>
  <si>
    <t>Liquefied petroleum gases (LPG)</t>
  </si>
  <si>
    <r>
      <rPr>
        <b/>
        <sz val="9"/>
        <rFont val="Times New Roman"/>
        <charset val="134"/>
      </rPr>
      <t>Other liquid fuels (</t>
    </r>
    <r>
      <rPr>
        <b/>
        <i/>
        <sz val="9"/>
        <rFont val="Times New Roman"/>
        <charset val="134"/>
      </rPr>
      <t>please specify</t>
    </r>
    <r>
      <rPr>
        <b/>
        <sz val="9"/>
        <rFont val="Times New Roman"/>
        <charset val="134"/>
      </rPr>
      <t>)</t>
    </r>
  </si>
  <si>
    <r>
      <rPr>
        <b/>
        <sz val="9"/>
        <rFont val="Times New Roman"/>
        <charset val="134"/>
      </rPr>
      <t xml:space="preserve">Other fossil fuels </t>
    </r>
    <r>
      <rPr>
        <b/>
        <i/>
        <sz val="9"/>
        <rFont val="Times New Roman"/>
        <charset val="134"/>
      </rPr>
      <t>(please specify)</t>
    </r>
    <r>
      <rPr>
        <b/>
        <vertAlign val="superscript"/>
        <sz val="9"/>
        <rFont val="Times New Roman"/>
        <charset val="134"/>
      </rPr>
      <t>(4)</t>
    </r>
  </si>
  <si>
    <t>i.  Cars</t>
  </si>
  <si>
    <t>LNG</t>
  </si>
  <si>
    <t>ii.  Light duty trucks</t>
  </si>
  <si>
    <t>iii.  Heavy duty trucks and buses</t>
  </si>
  <si>
    <r>
      <rPr>
        <b/>
        <sz val="9"/>
        <rFont val="Times New Roman"/>
        <charset val="134"/>
      </rPr>
      <t>Other liquid fFuels (</t>
    </r>
    <r>
      <rPr>
        <b/>
        <i/>
        <sz val="9"/>
        <rFont val="Times New Roman"/>
        <charset val="134"/>
      </rPr>
      <t>please specify</t>
    </r>
    <r>
      <rPr>
        <b/>
        <sz val="9"/>
        <rFont val="Times New Roman"/>
        <charset val="134"/>
      </rPr>
      <t>)</t>
    </r>
  </si>
  <si>
    <t>iv.  Motorcycles</t>
  </si>
  <si>
    <t>v.  Other (please specify)</t>
  </si>
  <si>
    <t>Evaporative Emissions</t>
  </si>
  <si>
    <t>Diesel Oil</t>
  </si>
  <si>
    <t>Liquefied Petroleum Gases (LPG)</t>
  </si>
  <si>
    <t>Other Liquid Fuels (please specify)</t>
  </si>
  <si>
    <t>Other Fossil Fuels (please specify)</t>
  </si>
  <si>
    <r>
      <rPr>
        <b/>
        <sz val="9"/>
        <rFont val="Times New Roman"/>
        <charset val="134"/>
      </rPr>
      <t>Other fossil  fuels (</t>
    </r>
    <r>
      <rPr>
        <b/>
        <i/>
        <sz val="9"/>
        <rFont val="Times New Roman"/>
        <charset val="134"/>
      </rPr>
      <t>please specify)</t>
    </r>
  </si>
  <si>
    <r>
      <rPr>
        <b/>
        <sz val="9"/>
        <rFont val="Times New Roman"/>
        <charset val="134"/>
      </rPr>
      <t>d.  Domestic Navigation</t>
    </r>
    <r>
      <rPr>
        <b/>
        <vertAlign val="superscript"/>
        <sz val="9"/>
        <rFont val="Times New Roman"/>
        <charset val="134"/>
      </rPr>
      <t>(10)</t>
    </r>
    <r>
      <rPr>
        <b/>
        <sz val="9"/>
        <rFont val="Times New Roman"/>
        <charset val="134"/>
      </rPr>
      <t xml:space="preserve"> </t>
    </r>
  </si>
  <si>
    <t>Residual fuel oil</t>
  </si>
  <si>
    <t>Gas/diesel oil</t>
  </si>
  <si>
    <r>
      <rPr>
        <b/>
        <sz val="9"/>
        <rFont val="Times New Roman"/>
        <charset val="134"/>
      </rPr>
      <t>Other liquid fuels</t>
    </r>
    <r>
      <rPr>
        <b/>
        <i/>
        <sz val="9"/>
        <rFont val="Times New Roman"/>
        <charset val="134"/>
      </rPr>
      <t xml:space="preserve"> (please specify)</t>
    </r>
  </si>
  <si>
    <r>
      <rPr>
        <b/>
        <sz val="9"/>
        <rFont val="Times New Roman"/>
        <charset val="134"/>
      </rPr>
      <t>Other fossil fuels (</t>
    </r>
    <r>
      <rPr>
        <b/>
        <i/>
        <sz val="9"/>
        <rFont val="Times New Roman"/>
        <charset val="134"/>
      </rPr>
      <t>please specify)</t>
    </r>
    <r>
      <rPr>
        <b/>
        <vertAlign val="superscript"/>
        <sz val="9"/>
        <rFont val="Times New Roman"/>
        <charset val="134"/>
      </rPr>
      <t>(4)</t>
    </r>
  </si>
  <si>
    <r>
      <rPr>
        <b/>
        <sz val="9"/>
        <rFont val="Times New Roman"/>
        <charset val="134"/>
      </rPr>
      <t xml:space="preserve">e.  Other transportation </t>
    </r>
    <r>
      <rPr>
        <b/>
        <i/>
        <sz val="9"/>
        <rFont val="Times New Roman"/>
        <charset val="134"/>
      </rPr>
      <t>(please specify)</t>
    </r>
  </si>
  <si>
    <t>NE,IE</t>
  </si>
  <si>
    <t>NO,NE</t>
  </si>
  <si>
    <t>i. Pipeline transport</t>
  </si>
  <si>
    <r>
      <rPr>
        <b/>
        <sz val="9"/>
        <color indexed="8"/>
        <rFont val="Times New Roman"/>
        <charset val="134"/>
      </rPr>
      <t>ii. Other</t>
    </r>
    <r>
      <rPr>
        <b/>
        <i/>
        <sz val="9"/>
        <color indexed="8"/>
        <rFont val="Times New Roman"/>
        <charset val="134"/>
      </rPr>
      <t xml:space="preserve"> (please specify)</t>
    </r>
  </si>
  <si>
    <t>Non-Transportation Mobile</t>
  </si>
  <si>
    <t>1.A.4  Other sectors</t>
  </si>
  <si>
    <r>
      <rPr>
        <b/>
        <sz val="9"/>
        <rFont val="Times New Roman"/>
        <charset val="134"/>
      </rPr>
      <t>a.  Commercial/institutional</t>
    </r>
    <r>
      <rPr>
        <b/>
        <vertAlign val="superscript"/>
        <sz val="9"/>
        <rFont val="Times New Roman"/>
        <charset val="134"/>
      </rPr>
      <t>(12)</t>
    </r>
  </si>
  <si>
    <t>1.A.4.a.i  Stationary combustion</t>
  </si>
  <si>
    <r>
      <rPr>
        <b/>
        <sz val="9"/>
        <rFont val="Times New Roman"/>
        <charset val="134"/>
      </rPr>
      <t>b.  Residential</t>
    </r>
    <r>
      <rPr>
        <b/>
        <vertAlign val="superscript"/>
        <sz val="9"/>
        <rFont val="Times New Roman"/>
        <charset val="134"/>
      </rPr>
      <t>(13)</t>
    </r>
  </si>
  <si>
    <t>1.A.4.b.iii  Other (please specify)</t>
  </si>
  <si>
    <t>Residential</t>
  </si>
  <si>
    <t>i. Stationary</t>
  </si>
  <si>
    <t>ii. Off-road vehicles and other machinery</t>
  </si>
  <si>
    <t>iii. Fishing</t>
  </si>
  <si>
    <r>
      <rPr>
        <b/>
        <sz val="9"/>
        <rFont val="Times New Roman"/>
        <charset val="134"/>
      </rPr>
      <t xml:space="preserve">1.A.5  Other </t>
    </r>
    <r>
      <rPr>
        <b/>
        <i/>
        <sz val="9"/>
        <rFont val="Times New Roman"/>
        <charset val="134"/>
      </rPr>
      <t>(Not specified elsewhere)</t>
    </r>
    <r>
      <rPr>
        <b/>
        <vertAlign val="superscript"/>
        <sz val="9"/>
        <rFont val="Times New Roman"/>
        <charset val="134"/>
      </rPr>
      <t>(14)</t>
    </r>
  </si>
  <si>
    <r>
      <rPr>
        <b/>
        <sz val="9"/>
        <rFont val="Times New Roman"/>
        <charset val="134"/>
      </rPr>
      <t xml:space="preserve">a. Stationary </t>
    </r>
    <r>
      <rPr>
        <b/>
        <i/>
        <sz val="9"/>
        <rFont val="Times New Roman"/>
        <charset val="134"/>
      </rPr>
      <t>(please specify)</t>
    </r>
  </si>
  <si>
    <t>Incineration of Waste</t>
  </si>
  <si>
    <t>U.S. Territories</t>
  </si>
  <si>
    <t>NE,NA</t>
  </si>
  <si>
    <t>Non Energy Use</t>
  </si>
  <si>
    <r>
      <rPr>
        <b/>
        <sz val="9"/>
        <rFont val="Times New Roman"/>
        <charset val="134"/>
      </rPr>
      <t xml:space="preserve">b. Mobile </t>
    </r>
    <r>
      <rPr>
        <b/>
        <i/>
        <sz val="9"/>
        <rFont val="Times New Roman"/>
        <charset val="134"/>
      </rPr>
      <t>(please specify)</t>
    </r>
  </si>
  <si>
    <t>Military</t>
  </si>
  <si>
    <r>
      <rPr>
        <b/>
        <sz val="9"/>
        <rFont val="Times New Roman"/>
        <charset val="134"/>
      </rPr>
      <t>Information item:</t>
    </r>
    <r>
      <rPr>
        <b/>
        <vertAlign val="superscript"/>
        <sz val="9"/>
        <rFont val="Times New Roman"/>
        <charset val="134"/>
      </rPr>
      <t>(15)</t>
    </r>
  </si>
  <si>
    <t>Waste incineration with energy recovery included as:</t>
  </si>
  <si>
    <r>
      <rPr>
        <b/>
        <sz val="9"/>
        <rFont val="Times New Roman"/>
        <charset val="134"/>
      </rPr>
      <t>Fossil fuels</t>
    </r>
    <r>
      <rPr>
        <b/>
        <vertAlign val="superscript"/>
        <sz val="9"/>
        <rFont val="Times New Roman"/>
        <charset val="134"/>
      </rPr>
      <t>(4)</t>
    </r>
  </si>
  <si>
    <t>Subtotal of transportation biomass</t>
  </si>
  <si>
    <t>TABLE 2(I) SECTORAL REPORT FOR INDUSTRIAL PROCESSES AND PRODUCT USE</t>
  </si>
  <si>
    <r>
      <rPr>
        <b/>
        <sz val="9"/>
        <rFont val="Times New Roman"/>
        <charset val="134"/>
      </rPr>
      <t>HFCs</t>
    </r>
    <r>
      <rPr>
        <b/>
        <vertAlign val="superscript"/>
        <sz val="9"/>
        <rFont val="Times New Roman"/>
        <charset val="134"/>
      </rPr>
      <t>(1)</t>
    </r>
  </si>
  <si>
    <r>
      <rPr>
        <b/>
        <sz val="9"/>
        <rFont val="Times New Roman"/>
        <charset val="134"/>
      </rPr>
      <t>PFCs</t>
    </r>
    <r>
      <rPr>
        <b/>
        <vertAlign val="superscript"/>
        <sz val="9"/>
        <rFont val="Times New Roman"/>
        <charset val="134"/>
      </rPr>
      <t>(1)</t>
    </r>
  </si>
  <si>
    <r>
      <rPr>
        <b/>
        <sz val="9"/>
        <rFont val="Times New Roman"/>
        <charset val="134"/>
      </rPr>
      <t>Unspecified mix of HFCs and PFCs</t>
    </r>
    <r>
      <rPr>
        <b/>
        <vertAlign val="superscript"/>
        <sz val="9"/>
        <rFont val="Times New Roman"/>
        <charset val="134"/>
      </rPr>
      <t>(1)</t>
    </r>
  </si>
  <si>
    <r>
      <rPr>
        <b/>
        <sz val="9"/>
        <rFont val="Times New Roman"/>
        <charset val="134"/>
      </rPr>
      <t>SF</t>
    </r>
    <r>
      <rPr>
        <b/>
        <vertAlign val="subscript"/>
        <sz val="9"/>
        <rFont val="Times New Roman"/>
        <charset val="134"/>
      </rPr>
      <t>6</t>
    </r>
  </si>
  <si>
    <r>
      <rPr>
        <b/>
        <sz val="9"/>
        <rFont val="Times New Roman"/>
        <charset val="134"/>
      </rPr>
      <t>NF</t>
    </r>
    <r>
      <rPr>
        <b/>
        <vertAlign val="subscript"/>
        <sz val="9"/>
        <rFont val="Times New Roman"/>
        <charset val="134"/>
      </rPr>
      <t>3</t>
    </r>
    <r>
      <rPr>
        <b/>
        <sz val="9"/>
        <rFont val="Times New Roman"/>
        <charset val="134"/>
      </rPr>
      <t xml:space="preserve"> </t>
    </r>
  </si>
  <si>
    <r>
      <rPr>
        <b/>
        <sz val="9"/>
        <rFont val="Times New Roman"/>
        <charset val="134"/>
      </rPr>
      <t>NO</t>
    </r>
    <r>
      <rPr>
        <b/>
        <vertAlign val="subscript"/>
        <sz val="9"/>
        <rFont val="Times New Roman"/>
        <charset val="134"/>
      </rPr>
      <t>x</t>
    </r>
  </si>
  <si>
    <r>
      <rPr>
        <b/>
        <sz val="9"/>
        <rFont val="Times New Roman"/>
        <charset val="134"/>
      </rPr>
      <t>SO</t>
    </r>
    <r>
      <rPr>
        <b/>
        <vertAlign val="subscript"/>
        <sz val="9"/>
        <rFont val="Times New Roman"/>
        <charset val="134"/>
      </rPr>
      <t>2</t>
    </r>
  </si>
  <si>
    <r>
      <rPr>
        <b/>
        <sz val="9"/>
        <rFont val="Times New Roman"/>
        <charset val="134"/>
      </rPr>
      <t>CO</t>
    </r>
    <r>
      <rPr>
        <b/>
        <vertAlign val="subscript"/>
        <sz val="9"/>
        <rFont val="Times New Roman"/>
        <charset val="134"/>
      </rPr>
      <t>2</t>
    </r>
    <r>
      <rPr>
        <b/>
        <sz val="9"/>
        <rFont val="Times New Roman"/>
        <charset val="134"/>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</si>
  <si>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</si>
  <si>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</si>
  <si>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</si>
  <si>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</si>
  <si>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</si>
  <si>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</si>
  <si>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</si>
  <si>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</si>
  <si>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</si>
  <si>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</si>
  <si>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</si>
  <si>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</si>
  <si>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</si>
  <si>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</si>
  <si>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</si>
  <si>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</si>
  <si>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r>
      <rPr>
        <b/>
        <sz val="9"/>
        <rFont val="Times New Roman"/>
        <charset val="134"/>
      </rPr>
      <t xml:space="preserve">10.  Other </t>
    </r>
    <r>
      <rPr>
        <b/>
        <i/>
        <sz val="9"/>
        <rFont val="Times New Roman"/>
        <charset val="134"/>
      </rPr>
      <t>(as specified in table 2(I).A-H)</t>
    </r>
  </si>
  <si>
    <t>C.  Metal industry</t>
  </si>
  <si>
    <t>1.  Iron and steel production</t>
  </si>
  <si>
    <t>2.  Ferroalloys production</t>
  </si>
  <si>
    <t>3.  Aluminium production</t>
  </si>
  <si>
    <t>4.  Magnesium production</t>
  </si>
  <si>
    <t>5. Lead production</t>
  </si>
  <si>
    <t>6. Zinc production</t>
  </si>
  <si>
    <r>
      <rPr>
        <b/>
        <sz val="9"/>
        <rFont val="Times New Roman"/>
        <charset val="134"/>
      </rPr>
      <t xml:space="preserve">7.  Other </t>
    </r>
    <r>
      <rPr>
        <b/>
        <i/>
        <sz val="9"/>
        <rFont val="Times New Roman"/>
        <charset val="134"/>
      </rPr>
      <t>(as specified in table 2(I).A-H)</t>
    </r>
  </si>
  <si>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</si>
  <si>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</si>
  <si>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</si>
  <si>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</si>
  <si>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</si>
  <si>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</si>
  <si>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</si>
  <si>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</si>
  <si>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</si>
  <si>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rPr>
        <b/>
        <sz val="9"/>
        <rFont val="Times New Roman"/>
        <charset val="134"/>
      </rPr>
      <t xml:space="preserve">5.  Other </t>
    </r>
    <r>
      <rPr>
        <b/>
        <i/>
        <sz val="9"/>
        <rFont val="Times New Roman"/>
        <charset val="134"/>
      </rPr>
      <t>(as specified in table 2(II))</t>
    </r>
  </si>
  <si>
    <r>
      <rPr>
        <b/>
        <sz val="9"/>
        <rFont val="Times New Roman"/>
        <charset val="134"/>
      </rPr>
      <t>F.  Product uses as substitutes for ODS</t>
    </r>
    <r>
      <rPr>
        <b/>
        <vertAlign val="superscript"/>
        <sz val="9"/>
        <rFont val="Times New Roman"/>
        <charset val="134"/>
      </rPr>
      <t>(2)</t>
    </r>
  </si>
  <si>
    <t>1.  Refrigeration and air conditioning</t>
  </si>
  <si>
    <t>2.  Foam blowing agents</t>
  </si>
  <si>
    <t>3.  Fire protection</t>
  </si>
  <si>
    <t>4.  Aerosols</t>
  </si>
  <si>
    <t>5.  Solvents</t>
  </si>
  <si>
    <t>6.  Other applications</t>
  </si>
  <si>
    <t>G.  Other product manufacture and use</t>
  </si>
  <si>
    <t>1.  Electrical equipment</t>
  </si>
  <si>
    <r>
      <rPr>
        <b/>
        <sz val="9"/>
        <rFont val="Times New Roman"/>
        <charset val="134"/>
      </rPr>
      <t>2.  SF</t>
    </r>
    <r>
      <rPr>
        <b/>
        <vertAlign val="subscript"/>
        <sz val="9"/>
        <rFont val="Times New Roman"/>
        <charset val="134"/>
      </rPr>
      <t>6</t>
    </r>
    <r>
      <rPr>
        <b/>
        <sz val="9"/>
        <rFont val="Times New Roman"/>
        <charset val="134"/>
      </rPr>
      <t xml:space="preserve"> and PFCs from other product use</t>
    </r>
  </si>
  <si>
    <r>
      <rPr>
        <b/>
        <sz val="9"/>
        <rFont val="Times New Roman"/>
        <charset val="134"/>
      </rPr>
      <t>3.  N</t>
    </r>
    <r>
      <rPr>
        <b/>
        <vertAlign val="subscript"/>
        <sz val="9"/>
        <rFont val="Times New Roman"/>
        <charset val="134"/>
      </rPr>
      <t>2</t>
    </r>
    <r>
      <rPr>
        <b/>
        <sz val="9"/>
        <rFont val="Times New Roman"/>
        <charset val="134"/>
      </rPr>
      <t>O from product uses</t>
    </r>
  </si>
  <si>
    <t xml:space="preserve">4.  Other </t>
  </si>
  <si>
    <r>
      <rPr>
        <b/>
        <sz val="9"/>
        <rFont val="Times New Roman"/>
        <charset val="134"/>
      </rPr>
      <t>H.  Other (as specified in tables 2(I).A-H and 2(II))</t>
    </r>
    <r>
      <rPr>
        <b/>
        <vertAlign val="superscript"/>
        <sz val="9"/>
        <rFont val="Times New Roman"/>
        <charset val="134"/>
      </rPr>
      <t>(3)</t>
    </r>
  </si>
  <si>
    <t>Subtotal of industry processes</t>
  </si>
  <si>
    <r>
      <rPr>
        <b/>
        <sz val="12"/>
        <rFont val="Times New Roman"/>
        <charset val="134"/>
      </rPr>
      <t>TABLE 2(II) SECTORAL REPORT FOR INDUSTRIAL PROCESSES AND PRODUCT USE - EMISSIONS OF HFCs, PFCs, SF</t>
    </r>
    <r>
      <rPr>
        <b/>
        <vertAlign val="subscript"/>
        <sz val="12"/>
        <rFont val="Times New Roman"/>
        <charset val="134"/>
      </rPr>
      <t>6</t>
    </r>
    <r>
      <rPr>
        <b/>
        <sz val="12"/>
        <rFont val="Times New Roman"/>
        <charset val="134"/>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</si>
  <si>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</si>
  <si>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</si>
  <si>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</si>
  <si>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</si>
  <si>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</si>
  <si>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</si>
  <si>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</si>
  <si>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</si>
  <si>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</si>
  <si>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</si>
  <si>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</si>
  <si>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</si>
  <si>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</si>
  <si>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</si>
  <si>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</si>
  <si>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</si>
  <si>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</si>
  <si>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</si>
  <si>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</si>
  <si>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</si>
  <si>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charset val="134"/>
      </rPr>
      <t>Unspecified mix of HFCs</t>
    </r>
    <r>
      <rPr>
        <b/>
        <vertAlign val="superscript"/>
        <sz val="9"/>
        <rFont val="Times New Roman"/>
        <charset val="134"/>
      </rPr>
      <t xml:space="preserve"> (1)</t>
    </r>
  </si>
  <si>
    <t>Total HFCs</t>
  </si>
  <si>
    <r>
      <rPr>
        <b/>
        <sz val="9"/>
        <rFont val="Times New Roman"/>
        <charset val="134"/>
      </rPr>
      <t>CF</t>
    </r>
    <r>
      <rPr>
        <b/>
        <vertAlign val="subscript"/>
        <sz val="9"/>
        <rFont val="Times New Roman"/>
        <charset val="134"/>
      </rPr>
      <t>4</t>
    </r>
  </si>
  <si>
    <r>
      <rPr>
        <b/>
        <sz val="9"/>
        <rFont val="Times New Roman"/>
        <charset val="134"/>
      </rPr>
      <t>C</t>
    </r>
    <r>
      <rPr>
        <b/>
        <vertAlign val="subscript"/>
        <sz val="9"/>
        <rFont val="Times New Roman"/>
        <charset val="134"/>
      </rPr>
      <t>2</t>
    </r>
    <r>
      <rPr>
        <b/>
        <sz val="9"/>
        <rFont val="Times New Roman"/>
        <charset val="134"/>
      </rPr>
      <t>F</t>
    </r>
    <r>
      <rPr>
        <b/>
        <vertAlign val="subscript"/>
        <sz val="9"/>
        <rFont val="Times New Roman"/>
        <charset val="134"/>
      </rPr>
      <t>6</t>
    </r>
  </si>
  <si>
    <r>
      <rPr>
        <b/>
        <sz val="9"/>
        <rFont val="Times New Roman"/>
        <charset val="134"/>
      </rPr>
      <t xml:space="preserve">C </t>
    </r>
    <r>
      <rPr>
        <b/>
        <vertAlign val="subscript"/>
        <sz val="9"/>
        <rFont val="Times New Roman"/>
        <charset val="134"/>
      </rPr>
      <t>3</t>
    </r>
    <r>
      <rPr>
        <b/>
        <sz val="9"/>
        <rFont val="Times New Roman"/>
        <charset val="134"/>
      </rPr>
      <t>F</t>
    </r>
    <r>
      <rPr>
        <b/>
        <vertAlign val="subscript"/>
        <sz val="9"/>
        <rFont val="Times New Roman"/>
        <charset val="134"/>
      </rPr>
      <t>8</t>
    </r>
  </si>
  <si>
    <r>
      <rPr>
        <b/>
        <sz val="9"/>
        <rFont val="Times New Roman"/>
        <charset val="134"/>
      </rPr>
      <t>C</t>
    </r>
    <r>
      <rPr>
        <b/>
        <vertAlign val="subscript"/>
        <sz val="9"/>
        <rFont val="Times New Roman"/>
        <charset val="134"/>
      </rPr>
      <t>4</t>
    </r>
    <r>
      <rPr>
        <b/>
        <sz val="9"/>
        <rFont val="Times New Roman"/>
        <charset val="134"/>
      </rPr>
      <t>F</t>
    </r>
    <r>
      <rPr>
        <b/>
        <vertAlign val="subscript"/>
        <sz val="9"/>
        <rFont val="Times New Roman"/>
        <charset val="134"/>
      </rPr>
      <t>10</t>
    </r>
  </si>
  <si>
    <r>
      <rPr>
        <b/>
        <sz val="9"/>
        <rFont val="Times New Roman"/>
        <charset val="134"/>
      </rPr>
      <t>c-C</t>
    </r>
    <r>
      <rPr>
        <b/>
        <vertAlign val="subscript"/>
        <sz val="9"/>
        <rFont val="Times New Roman"/>
        <charset val="134"/>
      </rPr>
      <t>4</t>
    </r>
    <r>
      <rPr>
        <b/>
        <sz val="9"/>
        <rFont val="Times New Roman"/>
        <charset val="134"/>
      </rPr>
      <t>F</t>
    </r>
    <r>
      <rPr>
        <b/>
        <vertAlign val="subscript"/>
        <sz val="9"/>
        <rFont val="Times New Roman"/>
        <charset val="134"/>
      </rPr>
      <t>8</t>
    </r>
  </si>
  <si>
    <r>
      <rPr>
        <b/>
        <sz val="9"/>
        <rFont val="Times New Roman"/>
        <charset val="134"/>
      </rPr>
      <t>C</t>
    </r>
    <r>
      <rPr>
        <b/>
        <vertAlign val="subscript"/>
        <sz val="9"/>
        <rFont val="Times New Roman"/>
        <charset val="134"/>
      </rPr>
      <t>5</t>
    </r>
    <r>
      <rPr>
        <b/>
        <sz val="9"/>
        <rFont val="Times New Roman"/>
        <charset val="134"/>
      </rPr>
      <t>F</t>
    </r>
    <r>
      <rPr>
        <b/>
        <vertAlign val="subscript"/>
        <sz val="9"/>
        <rFont val="Times New Roman"/>
        <charset val="134"/>
      </rPr>
      <t>12</t>
    </r>
  </si>
  <si>
    <r>
      <rPr>
        <b/>
        <sz val="9"/>
        <rFont val="Times New Roman"/>
        <charset val="134"/>
      </rPr>
      <t>C</t>
    </r>
    <r>
      <rPr>
        <b/>
        <vertAlign val="subscript"/>
        <sz val="9"/>
        <rFont val="Times New Roman"/>
        <charset val="134"/>
      </rPr>
      <t>6</t>
    </r>
    <r>
      <rPr>
        <b/>
        <sz val="9"/>
        <rFont val="Times New Roman"/>
        <charset val="134"/>
      </rPr>
      <t>F</t>
    </r>
    <r>
      <rPr>
        <b/>
        <vertAlign val="subscript"/>
        <sz val="9"/>
        <rFont val="Times New Roman"/>
        <charset val="134"/>
      </rPr>
      <t>14</t>
    </r>
  </si>
  <si>
    <r>
      <rPr>
        <b/>
        <sz val="9"/>
        <rFont val="Times New Roman"/>
        <charset val="134"/>
      </rPr>
      <t>C</t>
    </r>
    <r>
      <rPr>
        <b/>
        <vertAlign val="subscript"/>
        <sz val="9"/>
        <rFont val="Times New Roman"/>
        <charset val="134"/>
      </rPr>
      <t>10</t>
    </r>
    <r>
      <rPr>
        <b/>
        <sz val="9"/>
        <rFont val="Times New Roman"/>
        <charset val="134"/>
      </rPr>
      <t>F</t>
    </r>
    <r>
      <rPr>
        <b/>
        <vertAlign val="subscript"/>
        <sz val="9"/>
        <rFont val="Times New Roman"/>
        <charset val="134"/>
      </rPr>
      <t>18</t>
    </r>
  </si>
  <si>
    <r>
      <rPr>
        <b/>
        <sz val="9"/>
        <rFont val="Times New Roman"/>
        <charset val="134"/>
      </rPr>
      <t>c-C</t>
    </r>
    <r>
      <rPr>
        <b/>
        <vertAlign val="subscript"/>
        <sz val="9"/>
        <rFont val="Times New Roman"/>
        <charset val="134"/>
      </rPr>
      <t>3</t>
    </r>
    <r>
      <rPr>
        <b/>
        <sz val="9"/>
        <rFont val="Times New Roman"/>
        <charset val="134"/>
      </rPr>
      <t>F</t>
    </r>
    <r>
      <rPr>
        <b/>
        <vertAlign val="subscript"/>
        <sz val="9"/>
        <rFont val="Times New Roman"/>
        <charset val="134"/>
      </rPr>
      <t>6</t>
    </r>
  </si>
  <si>
    <r>
      <rPr>
        <b/>
        <sz val="9"/>
        <rFont val="Times New Roman"/>
        <charset val="134"/>
      </rPr>
      <t xml:space="preserve">Unspecified mix of PFCs </t>
    </r>
    <r>
      <rPr>
        <b/>
        <vertAlign val="superscript"/>
        <sz val="9"/>
        <rFont val="Times New Roman"/>
        <charset val="134"/>
      </rPr>
      <t>(1)</t>
    </r>
  </si>
  <si>
    <t>Total PFCs</t>
  </si>
  <si>
    <r>
      <rPr>
        <b/>
        <sz val="9"/>
        <rFont val="Times New Roman"/>
        <charset val="134"/>
      </rPr>
      <t>NF</t>
    </r>
    <r>
      <rPr>
        <b/>
        <vertAlign val="subscript"/>
        <sz val="9"/>
        <rFont val="Times New Roman"/>
        <charset val="134"/>
      </rPr>
      <t>3</t>
    </r>
  </si>
  <si>
    <t>(t)</t>
  </si>
  <si>
    <r>
      <rPr>
        <b/>
        <sz val="9"/>
        <rFont val="Times New Roman"/>
        <charset val="134"/>
      </rPr>
      <t>CO</t>
    </r>
    <r>
      <rPr>
        <b/>
        <vertAlign val="subscript"/>
        <sz val="9"/>
        <rFont val="Times New Roman"/>
        <charset val="134"/>
      </rPr>
      <t xml:space="preserve">2 </t>
    </r>
    <r>
      <rPr>
        <b/>
        <sz val="9"/>
        <rFont val="Times New Roman"/>
        <charset val="134"/>
      </rPr>
      <t>equivalent (kt)</t>
    </r>
  </si>
  <si>
    <r>
      <rPr>
        <b/>
        <sz val="9"/>
        <rFont val="Times New Roman"/>
        <charset val="134"/>
      </rPr>
      <t>Total actual emissions of halocarbons (by chemical) and SF</t>
    </r>
    <r>
      <rPr>
        <b/>
        <vertAlign val="subscript"/>
        <sz val="9"/>
        <rFont val="Times New Roman"/>
        <charset val="134"/>
      </rPr>
      <t>6</t>
    </r>
  </si>
  <si>
    <t>NO,NE,IE,NA</t>
  </si>
  <si>
    <t>NO,NE,NA</t>
  </si>
  <si>
    <t>B.   Chemical industry</t>
  </si>
  <si>
    <t>9. Flurochemical production</t>
  </si>
  <si>
    <t>By-product emissions</t>
  </si>
  <si>
    <t>Fugitive emissions</t>
  </si>
  <si>
    <t>10. Other</t>
  </si>
  <si>
    <t>C.   Metal industry</t>
  </si>
  <si>
    <t>3. Aluminium production</t>
  </si>
  <si>
    <t>4. Magnesium production</t>
  </si>
  <si>
    <t>7. Other</t>
  </si>
  <si>
    <t>NO,NE,IE</t>
  </si>
  <si>
    <r>
      <rPr>
        <sz val="9"/>
        <rFont val="Times New Roman"/>
        <charset val="134"/>
      </rPr>
      <t xml:space="preserve">5.  Other </t>
    </r>
    <r>
      <rPr>
        <i/>
        <sz val="9"/>
        <rFont val="Times New Roman"/>
        <charset val="134"/>
      </rPr>
      <t>(as specified in table 2(II))</t>
    </r>
  </si>
  <si>
    <r>
      <rPr>
        <sz val="9"/>
        <rFont val="Times New Roman"/>
        <charset val="134"/>
      </rPr>
      <t>2.  SF</t>
    </r>
    <r>
      <rPr>
        <vertAlign val="subscript"/>
        <sz val="9"/>
        <rFont val="Times New Roman"/>
        <charset val="134"/>
      </rPr>
      <t>6</t>
    </r>
    <r>
      <rPr>
        <sz val="9"/>
        <rFont val="Times New Roman"/>
        <charset val="134"/>
      </rPr>
      <t xml:space="preserve"> and PFCs from other product use</t>
    </r>
  </si>
  <si>
    <r>
      <rPr>
        <b/>
        <sz val="9"/>
        <rFont val="Times New Roman"/>
        <charset val="134"/>
      </rPr>
      <t xml:space="preserve">H.   Other </t>
    </r>
    <r>
      <rPr>
        <b/>
        <i/>
        <sz val="9"/>
        <rFont val="Times New Roman"/>
        <charset val="134"/>
      </rPr>
      <t>(please specify)</t>
    </r>
  </si>
  <si>
    <t>2.H.3  Other (please specify)</t>
  </si>
  <si>
    <t>.</t>
  </si>
  <si>
    <r>
      <rPr>
        <b/>
        <sz val="9"/>
        <rFont val="Times New Roman"/>
        <charset val="134"/>
      </rPr>
      <t xml:space="preserve">Total emissions </t>
    </r>
    <r>
      <rPr>
        <b/>
        <vertAlign val="superscript"/>
        <sz val="9"/>
        <rFont val="Times New Roman"/>
        <charset val="134"/>
      </rPr>
      <t>(3)</t>
    </r>
  </si>
  <si>
    <t>B.     Chemical industry</t>
  </si>
  <si>
    <t>C.     Metal production</t>
  </si>
  <si>
    <t>E.     Electronics industry</t>
  </si>
  <si>
    <r>
      <rPr>
        <sz val="9"/>
        <rFont val="Times New Roman"/>
        <charset val="134"/>
      </rPr>
      <t>F.     Product uses as substitutes for ODS</t>
    </r>
  </si>
  <si>
    <t>G.    Other product manufacture and use</t>
  </si>
  <si>
    <t xml:space="preserve">H.    Other </t>
  </si>
  <si>
    <t>Subtotal of Industry F-Gas Emissions</t>
  </si>
  <si>
    <t>TABLE 3 SECTORAL REPORT FOR AGRICULTURE</t>
  </si>
  <si>
    <t xml:space="preserve">GREENHOUSE GAS SOURCE AND </t>
  </si>
  <si>
    <t>SINK CATEGORIES</t>
  </si>
  <si>
    <t>3. Total agriculture</t>
  </si>
  <si>
    <t>I. Livestock</t>
  </si>
  <si>
    <t>A. Enteric fermentation</t>
  </si>
  <si>
    <r>
      <rPr>
        <sz val="9"/>
        <rFont val="Times New Roman"/>
        <charset val="134"/>
      </rPr>
      <t>1.   Cattle</t>
    </r>
    <r>
      <rPr>
        <vertAlign val="superscript"/>
        <sz val="9"/>
        <rFont val="Times New Roman"/>
        <charset val="134"/>
      </rPr>
      <t>(1)</t>
    </r>
  </si>
  <si>
    <t>Option A:</t>
  </si>
  <si>
    <t>Dairy cattle</t>
  </si>
  <si>
    <t>Non-dairy cattle</t>
  </si>
  <si>
    <t>Option B:</t>
  </si>
  <si>
    <t>Mature dairy cattle</t>
  </si>
  <si>
    <t>Other mature cattle</t>
  </si>
  <si>
    <t>Growing cattle</t>
  </si>
  <si>
    <t>Option C (country-specific):</t>
  </si>
  <si>
    <r>
      <rPr>
        <sz val="9"/>
        <rFont val="Times New Roman"/>
        <charset val="134"/>
      </rPr>
      <t xml:space="preserve">Other </t>
    </r>
    <r>
      <rPr>
        <i/>
        <sz val="9"/>
        <rFont val="Times New Roman"/>
        <charset val="134"/>
      </rPr>
      <t>(as specified in table 3(I).A)</t>
    </r>
  </si>
  <si>
    <t>Steer Stocker</t>
  </si>
  <si>
    <t>Heifer Stocker</t>
  </si>
  <si>
    <t>Beef Cows</t>
  </si>
  <si>
    <t>Dairy Replacements</t>
  </si>
  <si>
    <t>Beef Replacements</t>
  </si>
  <si>
    <t>Steer Feedlot</t>
  </si>
  <si>
    <t>Heifer Feedlot</t>
  </si>
  <si>
    <t>Bulls</t>
  </si>
  <si>
    <t>Dairy Cows</t>
  </si>
  <si>
    <t>Beef Calves</t>
  </si>
  <si>
    <t>Dairy Calves</t>
  </si>
  <si>
    <t>2.    Sheep</t>
  </si>
  <si>
    <t>3.    Swine</t>
  </si>
  <si>
    <t>4.    Other livestock</t>
  </si>
  <si>
    <t>Camels</t>
  </si>
  <si>
    <t>Goats</t>
  </si>
  <si>
    <t>Horses</t>
  </si>
  <si>
    <t>Mules and Asses</t>
  </si>
  <si>
    <t>Poultry</t>
  </si>
  <si>
    <t>Other (please specify)</t>
  </si>
  <si>
    <t>Other</t>
  </si>
  <si>
    <t>B.  Manure management</t>
  </si>
  <si>
    <r>
      <rPr>
        <sz val="9"/>
        <rFont val="Times New Roman"/>
        <charset val="134"/>
      </rPr>
      <t>1.    Cattle</t>
    </r>
    <r>
      <rPr>
        <vertAlign val="superscript"/>
        <sz val="9"/>
        <rFont val="Times New Roman"/>
        <charset val="134"/>
      </rPr>
      <t>(1)</t>
    </r>
  </si>
  <si>
    <r>
      <rPr>
        <sz val="9"/>
        <rFont val="Times New Roman"/>
        <charset val="134"/>
      </rPr>
      <t xml:space="preserve">Other </t>
    </r>
    <r>
      <rPr>
        <i/>
        <sz val="9"/>
        <rFont val="Times New Roman"/>
        <charset val="134"/>
      </rPr>
      <t>(as specified in table 3(I).B)</t>
    </r>
  </si>
  <si>
    <t>Dairy Cattle</t>
  </si>
  <si>
    <t>Non-Dairy Cattle</t>
  </si>
  <si>
    <r>
      <rPr>
        <sz val="9"/>
        <rFont val="Times New Roman"/>
        <charset val="134"/>
      </rPr>
      <t>5. Indirect N</t>
    </r>
    <r>
      <rPr>
        <vertAlign val="subscript"/>
        <sz val="9"/>
        <rFont val="Times New Roman"/>
        <charset val="134"/>
      </rPr>
      <t>2</t>
    </r>
    <r>
      <rPr>
        <sz val="9"/>
        <rFont val="Times New Roman"/>
        <charset val="134"/>
      </rPr>
      <t>O emissions</t>
    </r>
  </si>
  <si>
    <t>C.  Rice cultivation</t>
  </si>
  <si>
    <r>
      <rPr>
        <b/>
        <sz val="9"/>
        <rFont val="Times New Roman"/>
        <charset val="134"/>
      </rPr>
      <t>D.  Agricultural soils</t>
    </r>
    <r>
      <rPr>
        <b/>
        <vertAlign val="superscript"/>
        <sz val="9"/>
        <rFont val="Times New Roman"/>
        <charset val="134"/>
      </rPr>
      <t>(2) (3) (4)</t>
    </r>
  </si>
  <si>
    <t>E.  Prescribed burning of savannas</t>
  </si>
  <si>
    <t>F.  Field burning of agricultural residues</t>
  </si>
  <si>
    <t>G.  Liming</t>
  </si>
  <si>
    <t>H.  Urea application</t>
  </si>
  <si>
    <t>I.  Other carbon-containing fertilizers</t>
  </si>
  <si>
    <r>
      <rPr>
        <b/>
        <sz val="9"/>
        <rFont val="Times New Roman"/>
        <charset val="134"/>
      </rPr>
      <t>J.  Other</t>
    </r>
    <r>
      <rPr>
        <b/>
        <i/>
        <sz val="9"/>
        <rFont val="Times New Roman"/>
        <charset val="134"/>
      </rPr>
      <t xml:space="preserve"> (please specify)</t>
    </r>
  </si>
  <si>
    <t>Subtotal of Agriculture Emissions</t>
  </si>
  <si>
    <t>TABLE 4 SECTORAL REPORT FOR LAND USE, LAND-USE CHANGE AND FORESTRY</t>
  </si>
  <si>
    <r>
      <rPr>
        <b/>
        <sz val="9"/>
        <rFont val="Times New Roman"/>
        <charset val="134"/>
      </rPr>
      <t>Net CO</t>
    </r>
    <r>
      <rPr>
        <b/>
        <vertAlign val="subscript"/>
        <sz val="9"/>
        <rFont val="Times New Roman"/>
        <charset val="134"/>
      </rPr>
      <t>2</t>
    </r>
    <r>
      <rPr>
        <b/>
        <sz val="9"/>
        <rFont val="Times New Roman"/>
        <charset val="134"/>
      </rPr>
      <t xml:space="preserve"> emissions/removals</t>
    </r>
    <r>
      <rPr>
        <b/>
        <vertAlign val="superscript"/>
        <sz val="9"/>
        <rFont val="Times New Roman"/>
        <charset val="134"/>
      </rPr>
      <t>(1), (2)</t>
    </r>
  </si>
  <si>
    <r>
      <rPr>
        <b/>
        <sz val="9"/>
        <rFont val="Times New Roman"/>
        <charset val="134"/>
      </rPr>
      <t>CH</t>
    </r>
    <r>
      <rPr>
        <b/>
        <vertAlign val="subscript"/>
        <sz val="9"/>
        <rFont val="Times New Roman"/>
        <charset val="134"/>
      </rPr>
      <t>4</t>
    </r>
    <r>
      <rPr>
        <b/>
        <vertAlign val="superscript"/>
        <sz val="9"/>
        <rFont val="Times New Roman"/>
        <charset val="134"/>
      </rPr>
      <t>(2)</t>
    </r>
  </si>
  <si>
    <r>
      <rPr>
        <b/>
        <sz val="9"/>
        <rFont val="Times New Roman"/>
        <charset val="134"/>
      </rPr>
      <t>N</t>
    </r>
    <r>
      <rPr>
        <b/>
        <vertAlign val="subscript"/>
        <sz val="9"/>
        <rFont val="Times New Roman"/>
        <charset val="134"/>
      </rPr>
      <t>2</t>
    </r>
    <r>
      <rPr>
        <b/>
        <sz val="9"/>
        <rFont val="Times New Roman"/>
        <charset val="134"/>
      </rPr>
      <t>O</t>
    </r>
    <r>
      <rPr>
        <b/>
        <vertAlign val="superscript"/>
        <sz val="9"/>
        <rFont val="Times New Roman"/>
        <charset val="134"/>
      </rPr>
      <t>(2)</t>
    </r>
  </si>
  <si>
    <t>4. Total LULUCF</t>
  </si>
  <si>
    <t>A. Forest land</t>
  </si>
  <si>
    <t>1. Forest land remaining forest land</t>
  </si>
  <si>
    <t>2. Land converted to forest land</t>
  </si>
  <si>
    <t>B. Cropland</t>
  </si>
  <si>
    <t>NE,IE,NA</t>
  </si>
  <si>
    <t>1. Cropland remaining cropland</t>
  </si>
  <si>
    <t>2. Land converted to cropland</t>
  </si>
  <si>
    <t>C. Grassland</t>
  </si>
  <si>
    <t>1. Grassland remaining grassland</t>
  </si>
  <si>
    <t>2. Land converted to grassland</t>
  </si>
  <si>
    <r>
      <rPr>
        <b/>
        <sz val="9"/>
        <rFont val="Times New Roman"/>
        <charset val="134"/>
      </rPr>
      <t>D. Wetlands</t>
    </r>
    <r>
      <rPr>
        <b/>
        <vertAlign val="superscript"/>
        <sz val="9"/>
        <rFont val="Times New Roman"/>
        <charset val="134"/>
      </rPr>
      <t>(3)</t>
    </r>
  </si>
  <si>
    <r>
      <rPr>
        <sz val="9"/>
        <rFont val="Times New Roman"/>
        <charset val="134"/>
      </rPr>
      <t>1. Wetlands remaining wetlands</t>
    </r>
  </si>
  <si>
    <t>2. Land converted to wetlands</t>
  </si>
  <si>
    <t>E. Settlements</t>
  </si>
  <si>
    <r>
      <rPr>
        <sz val="9"/>
        <rFont val="Times New Roman"/>
        <charset val="134"/>
      </rPr>
      <t>1. Settlements remaining settlements</t>
    </r>
  </si>
  <si>
    <t>2. Land converted to settlements</t>
  </si>
  <si>
    <r>
      <rPr>
        <b/>
        <sz val="9"/>
        <rFont val="Times New Roman"/>
        <charset val="134"/>
      </rPr>
      <t xml:space="preserve">F. Other land </t>
    </r>
    <r>
      <rPr>
        <b/>
        <vertAlign val="superscript"/>
        <sz val="9"/>
        <rFont val="Times New Roman"/>
        <charset val="134"/>
      </rPr>
      <t>(4)</t>
    </r>
  </si>
  <si>
    <r>
      <rPr>
        <sz val="9"/>
        <rFont val="Times New Roman"/>
        <charset val="134"/>
      </rPr>
      <t>1. Other land remaining other land</t>
    </r>
  </si>
  <si>
    <t>2. Land converted to other land</t>
  </si>
  <si>
    <r>
      <rPr>
        <b/>
        <sz val="9"/>
        <rFont val="Times New Roman"/>
        <charset val="134"/>
      </rPr>
      <t xml:space="preserve">G. Harvested wood products </t>
    </r>
    <r>
      <rPr>
        <b/>
        <vertAlign val="superscript"/>
        <sz val="9"/>
        <rFont val="Times New Roman"/>
        <charset val="134"/>
      </rPr>
      <t>(5)</t>
    </r>
  </si>
  <si>
    <r>
      <rPr>
        <b/>
        <sz val="9"/>
        <rFont val="Times New Roman"/>
        <charset val="134"/>
      </rPr>
      <t xml:space="preserve">H. Other </t>
    </r>
    <r>
      <rPr>
        <b/>
        <i/>
        <sz val="9"/>
        <rFont val="Times New Roman"/>
        <charset val="134"/>
      </rPr>
      <t>(please specify)</t>
    </r>
  </si>
  <si>
    <t>Settlements Remaining Settlements</t>
  </si>
  <si>
    <t>Subtotal for LULUCF</t>
  </si>
  <si>
    <t>TABLE 5 SECTORAL REPORT FOR WASTE</t>
  </si>
  <si>
    <t>GREENHOUSE GAS SOURCE AND  SINK CATEGORIES</t>
  </si>
  <si>
    <r>
      <rPr>
        <b/>
        <sz val="9"/>
        <rFont val="Times New Roman"/>
        <charset val="134"/>
      </rPr>
      <t>CO</t>
    </r>
    <r>
      <rPr>
        <b/>
        <vertAlign val="subscript"/>
        <sz val="9"/>
        <rFont val="Times New Roman"/>
        <charset val="134"/>
      </rPr>
      <t>2</t>
    </r>
    <r>
      <rPr>
        <b/>
        <vertAlign val="superscript"/>
        <sz val="9"/>
        <rFont val="Times New Roman"/>
        <charset val="134"/>
      </rPr>
      <t>(1)</t>
    </r>
  </si>
  <si>
    <t xml:space="preserve">Total waste </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</si>
  <si>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</si>
  <si>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</si>
  <si>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</si>
  <si>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</si>
  <si>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</si>
  <si>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</si>
  <si>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</si>
  <si>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</si>
  <si>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</si>
  <si>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</si>
  <si>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</si>
  <si>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</si>
  <si>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</si>
  <si>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rPr>
        <sz val="9"/>
        <rFont val="Times New Roman"/>
        <charset val="134"/>
      </rPr>
      <t xml:space="preserve">3.  Other </t>
    </r>
    <r>
      <rPr>
        <i/>
        <sz val="9"/>
        <rFont val="Times New Roman"/>
        <charset val="134"/>
      </rPr>
      <t>(as specified in table 5.D)</t>
    </r>
  </si>
  <si>
    <r>
      <rPr>
        <b/>
        <sz val="9"/>
        <rFont val="Times New Roman"/>
        <charset val="134"/>
      </rPr>
      <t>E.  Other</t>
    </r>
    <r>
      <rPr>
        <b/>
        <i/>
        <sz val="9"/>
        <rFont val="Times New Roman"/>
        <charset val="134"/>
      </rPr>
      <t xml:space="preserve"> </t>
    </r>
    <r>
      <rPr>
        <i/>
        <sz val="9"/>
        <rFont val="Times New Roman"/>
        <charset val="134"/>
      </rPr>
      <t>(please specify)</t>
    </r>
  </si>
  <si>
    <r>
      <rPr>
        <b/>
        <sz val="9"/>
        <rFont val="Times New Roman"/>
        <charset val="134"/>
      </rPr>
      <t>Memo item:</t>
    </r>
    <r>
      <rPr>
        <b/>
        <vertAlign val="superscript"/>
        <sz val="9"/>
        <rFont val="Times New Roman"/>
        <charset val="134"/>
      </rPr>
      <t>(2)</t>
    </r>
  </si>
  <si>
    <t>Long-term storage of C in waste disposal sites</t>
  </si>
  <si>
    <t xml:space="preserve">Annual change in total long-term C storage </t>
  </si>
  <si>
    <r>
      <rPr>
        <sz val="9"/>
        <rFont val="Times New Roman"/>
        <charset val="134"/>
      </rPr>
      <t>Annual change in total long-term C storage in HWP waste</t>
    </r>
    <r>
      <rPr>
        <vertAlign val="superscript"/>
        <sz val="9"/>
        <rFont val="Times New Roman"/>
        <charset val="134"/>
      </rPr>
      <t>(3)</t>
    </r>
  </si>
  <si>
    <t>Subtotal for Waste</t>
  </si>
  <si>
    <t>Subtotals, Main GHGs (kt)</t>
  </si>
  <si>
    <r>
      <rPr>
        <b/>
        <sz val="11"/>
        <rFont val="DengXian"/>
        <charset val="134"/>
        <scheme val="minor"/>
      </rPr>
      <t>CO</t>
    </r>
    <r>
      <rPr>
        <b/>
        <vertAlign val="subscript"/>
        <sz val="11"/>
        <rFont val="DengXian"/>
        <charset val="134"/>
        <scheme val="minor"/>
      </rPr>
      <t>2</t>
    </r>
  </si>
  <si>
    <r>
      <rPr>
        <b/>
        <sz val="11"/>
        <rFont val="DengXian"/>
        <charset val="134"/>
        <scheme val="minor"/>
      </rPr>
      <t>CH</t>
    </r>
    <r>
      <rPr>
        <b/>
        <vertAlign val="subscript"/>
        <sz val="11"/>
        <rFont val="DengXian"/>
        <charset val="134"/>
        <scheme val="minor"/>
      </rPr>
      <t>4</t>
    </r>
  </si>
  <si>
    <r>
      <rPr>
        <b/>
        <sz val="11"/>
        <rFont val="DengXian"/>
        <charset val="134"/>
        <scheme val="minor"/>
      </rPr>
      <t>N</t>
    </r>
    <r>
      <rPr>
        <b/>
        <vertAlign val="subscript"/>
        <sz val="11"/>
        <rFont val="DengXian"/>
        <charset val="134"/>
        <scheme val="minor"/>
      </rPr>
      <t>2</t>
    </r>
    <r>
      <rPr>
        <b/>
        <sz val="11"/>
        <rFont val="DengXian"/>
        <charset val="134"/>
        <scheme val="minor"/>
      </rPr>
      <t>O</t>
    </r>
  </si>
  <si>
    <r>
      <rPr>
        <b/>
        <sz val="11"/>
        <rFont val="DengXian"/>
        <charset val="134"/>
        <scheme val="minor"/>
      </rPr>
      <t>NO</t>
    </r>
    <r>
      <rPr>
        <b/>
        <vertAlign val="subscript"/>
        <sz val="11"/>
        <rFont val="DengXian"/>
        <charset val="134"/>
        <scheme val="minor"/>
      </rPr>
      <t>X</t>
    </r>
  </si>
  <si>
    <r>
      <rPr>
        <b/>
        <sz val="11"/>
        <rFont val="DengXian"/>
        <charset val="134"/>
        <scheme val="minor"/>
      </rPr>
      <t>SO</t>
    </r>
    <r>
      <rPr>
        <b/>
        <vertAlign val="subscript"/>
        <sz val="11"/>
        <rFont val="DengXian"/>
        <charset val="134"/>
        <scheme val="minor"/>
      </rPr>
      <t>2</t>
    </r>
    <r>
      <rPr>
        <b/>
        <sz val="11"/>
        <rFont val="DengXian"/>
        <charset val="134"/>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</si>
  <si>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</si>
  <si>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</si>
  <si>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</si>
  <si>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</si>
  <si>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</si>
  <si>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</si>
  <si>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</si>
  <si>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</si>
  <si>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</si>
  <si>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</si>
  <si>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</si>
  <si>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</si>
  <si>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</si>
  <si>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</si>
  <si>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</si>
  <si>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</si>
  <si>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</si>
  <si>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</si>
  <si>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</si>
  <si>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</si>
  <si>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</si>
  <si>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</si>
  <si>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</si>
  <si>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</si>
  <si>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Subtotals, CO2e (MMT, AR5)</t>
  </si>
  <si>
    <t>Total Emissions</t>
  </si>
  <si>
    <t>LULUCF</t>
  </si>
  <si>
    <t>TOTAL 2005 US EMISSIONS, MMT CO2e</t>
  </si>
  <si>
    <r>
      <rPr>
        <b/>
        <sz val="12"/>
        <color rgb="FF18305C"/>
        <rFont val="Arial Narrow"/>
        <charset val="134"/>
      </rPr>
      <t>Appendix 8.A: Lifetimes, Radiative Efficiencies and Metric Values</t>
    </r>
  </si>
  <si>
    <r>
      <rPr>
        <b/>
        <sz val="8"/>
        <color rgb="FF18305C"/>
        <rFont val="Arial Narrow"/>
        <charset val="134"/>
      </rPr>
      <t>Table</t>
    </r>
    <r>
      <rPr>
        <b/>
        <sz val="8"/>
        <color rgb="FF18305C"/>
        <rFont val="Calibri"/>
        <charset val="134"/>
      </rPr>
      <t xml:space="preserve"> 8.A.1 | </t>
    </r>
    <r>
      <rPr>
        <sz val="8"/>
        <color rgb="FF231F20"/>
        <rFont val="Calibri"/>
        <charset val="134"/>
      </rPr>
      <t>Radiative efficiencies (REs), lifetimes/adjustment times, AGWP and GWP values for 20 and 100 years, and AGTP and GTP values for 20, 50 and 100 years. Climate–carbon feedbacks are included for CO</t>
    </r>
    <r>
      <rPr>
        <sz val="5"/>
        <color rgb="FF231F20"/>
        <rFont val="Calibri"/>
        <charset val="134"/>
      </rPr>
      <t xml:space="preserve">2 </t>
    </r>
    <r>
      <rPr>
        <sz val="8"/>
        <color rgb="FF231F20"/>
        <rFont val="Calibri"/>
        <charset val="134"/>
      </rPr>
      <t>while no climate</t>
    </r>
  </si>
  <si>
    <r>
      <rPr>
        <sz val="8"/>
        <color rgb="FF231F20"/>
        <rFont val="Calibri"/>
        <charset val="134"/>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charset val="134"/>
      </rPr>
      <t xml:space="preserve">2 </t>
    </r>
    <r>
      <rPr>
        <sz val="8"/>
        <color rgb="FF231F20"/>
        <rFont val="Calibri"/>
        <charset val="134"/>
      </rPr>
      <t>emissions). For a complete list of chemical names and CAS numbers, and for accurate replications of metric values, see Supplementary Material Section 8.SM.13 and references therein.</t>
    </r>
  </si>
  <si>
    <r>
      <rPr>
        <b/>
        <sz val="8"/>
        <color rgb="FF231F20"/>
        <rFont val="Arial Narrow"/>
        <charset val="134"/>
      </rPr>
      <t>Acronym, Common Name or Chemi- cal Name</t>
    </r>
  </si>
  <si>
    <r>
      <rPr>
        <b/>
        <sz val="8"/>
        <color rgb="FF231F20"/>
        <rFont val="Arial Narrow"/>
        <charset val="134"/>
      </rPr>
      <t>Chemical Formula</t>
    </r>
  </si>
  <si>
    <r>
      <rPr>
        <sz val="8"/>
        <color rgb="FF231F20"/>
        <rFont val="Calibri"/>
        <charset val="134"/>
      </rPr>
      <t>Lifetime (Years)</t>
    </r>
  </si>
  <si>
    <r>
      <rPr>
        <sz val="8"/>
        <color rgb="FF231F20"/>
        <rFont val="Calibri"/>
        <charset val="134"/>
      </rPr>
      <t>Radiative Efficiency (W m</t>
    </r>
    <r>
      <rPr>
        <sz val="5"/>
        <color rgb="FF231F20"/>
        <rFont val="Calibri"/>
        <charset val="134"/>
      </rPr>
      <t xml:space="preserve">–2
</t>
    </r>
    <r>
      <rPr>
        <sz val="8"/>
        <color rgb="FF231F20"/>
        <rFont val="Calibri"/>
        <charset val="134"/>
      </rPr>
      <t>ppb</t>
    </r>
    <r>
      <rPr>
        <sz val="5"/>
        <color rgb="FF231F20"/>
        <rFont val="Calibri"/>
        <charset val="134"/>
      </rPr>
      <t>–1</t>
    </r>
    <r>
      <rPr>
        <sz val="8"/>
        <color rgb="FF231F20"/>
        <rFont val="Calibri"/>
        <charset val="134"/>
      </rPr>
      <t>)</t>
    </r>
  </si>
  <si>
    <r>
      <rPr>
        <sz val="8"/>
        <color rgb="FF231F20"/>
        <rFont val="Calibri"/>
        <charset val="134"/>
      </rPr>
      <t xml:space="preserve">AGWP
</t>
    </r>
    <r>
      <rPr>
        <sz val="8"/>
        <color rgb="FF231F20"/>
        <rFont val="Calibri"/>
        <charset val="134"/>
      </rPr>
      <t>20-year (W m</t>
    </r>
    <r>
      <rPr>
        <sz val="5"/>
        <color rgb="FF231F20"/>
        <rFont val="Calibri"/>
        <charset val="134"/>
      </rPr>
      <t xml:space="preserve">–2
</t>
    </r>
    <r>
      <rPr>
        <sz val="8"/>
        <color rgb="FF231F20"/>
        <rFont val="Calibri"/>
        <charset val="134"/>
      </rPr>
      <t>yr kg</t>
    </r>
    <r>
      <rPr>
        <sz val="5"/>
        <color rgb="FF231F20"/>
        <rFont val="Calibri"/>
        <charset val="134"/>
      </rPr>
      <t>–1</t>
    </r>
    <r>
      <rPr>
        <sz val="8"/>
        <color rgb="FF231F20"/>
        <rFont val="Calibri"/>
        <charset val="134"/>
      </rPr>
      <t>)</t>
    </r>
  </si>
  <si>
    <r>
      <rPr>
        <b/>
        <sz val="8"/>
        <color rgb="FF231F20"/>
        <rFont val="Calibri"/>
        <charset val="134"/>
      </rPr>
      <t xml:space="preserve">GWP
</t>
    </r>
    <r>
      <rPr>
        <b/>
        <sz val="8"/>
        <color rgb="FF231F20"/>
        <rFont val="Calibri"/>
        <charset val="134"/>
      </rPr>
      <t>20-year</t>
    </r>
  </si>
  <si>
    <r>
      <rPr>
        <sz val="8"/>
        <color rgb="FF231F20"/>
        <rFont val="Calibri"/>
        <charset val="134"/>
      </rPr>
      <t xml:space="preserve">AGWP
</t>
    </r>
    <r>
      <rPr>
        <sz val="8"/>
        <color rgb="FF231F20"/>
        <rFont val="Calibri"/>
        <charset val="134"/>
      </rPr>
      <t>100-year (W m</t>
    </r>
    <r>
      <rPr>
        <sz val="5"/>
        <color rgb="FF231F20"/>
        <rFont val="Calibri"/>
        <charset val="134"/>
      </rPr>
      <t xml:space="preserve">–2
</t>
    </r>
    <r>
      <rPr>
        <sz val="8"/>
        <color rgb="FF231F20"/>
        <rFont val="Calibri"/>
        <charset val="134"/>
      </rPr>
      <t>yr kg</t>
    </r>
    <r>
      <rPr>
        <sz val="5"/>
        <color rgb="FF231F20"/>
        <rFont val="Calibri"/>
        <charset val="134"/>
      </rPr>
      <t>–1</t>
    </r>
    <r>
      <rPr>
        <sz val="8"/>
        <color rgb="FF231F20"/>
        <rFont val="Calibri"/>
        <charset val="134"/>
      </rPr>
      <t>)</t>
    </r>
  </si>
  <si>
    <r>
      <rPr>
        <b/>
        <sz val="8"/>
        <color rgb="FF231F20"/>
        <rFont val="Calibri"/>
        <charset val="134"/>
      </rPr>
      <t xml:space="preserve">GWP
</t>
    </r>
    <r>
      <rPr>
        <b/>
        <sz val="8"/>
        <color rgb="FF231F20"/>
        <rFont val="Calibri"/>
        <charset val="134"/>
      </rPr>
      <t>100-year</t>
    </r>
  </si>
  <si>
    <r>
      <rPr>
        <sz val="8"/>
        <color rgb="FF231F20"/>
        <rFont val="Calibri"/>
        <charset val="134"/>
      </rPr>
      <t xml:space="preserve">AGTP
</t>
    </r>
    <r>
      <rPr>
        <sz val="8"/>
        <color rgb="FF231F20"/>
        <rFont val="Calibri"/>
        <charset val="134"/>
      </rPr>
      <t>20-year (K kg</t>
    </r>
    <r>
      <rPr>
        <sz val="5"/>
        <color rgb="FF231F20"/>
        <rFont val="Calibri"/>
        <charset val="134"/>
      </rPr>
      <t>–1</t>
    </r>
    <r>
      <rPr>
        <sz val="8"/>
        <color rgb="FF231F20"/>
        <rFont val="Calibri"/>
        <charset val="134"/>
      </rPr>
      <t>)</t>
    </r>
  </si>
  <si>
    <r>
      <rPr>
        <b/>
        <sz val="8"/>
        <color rgb="FF231F20"/>
        <rFont val="Calibri"/>
        <charset val="134"/>
      </rPr>
      <t xml:space="preserve">GTP
</t>
    </r>
    <r>
      <rPr>
        <b/>
        <sz val="8"/>
        <color rgb="FF231F20"/>
        <rFont val="Calibri"/>
        <charset val="134"/>
      </rPr>
      <t>20-year</t>
    </r>
  </si>
  <si>
    <r>
      <rPr>
        <sz val="8"/>
        <color rgb="FF231F20"/>
        <rFont val="Calibri"/>
        <charset val="134"/>
      </rPr>
      <t xml:space="preserve">AGTP
</t>
    </r>
    <r>
      <rPr>
        <sz val="8"/>
        <color rgb="FF231F20"/>
        <rFont val="Calibri"/>
        <charset val="134"/>
      </rPr>
      <t>50-year (K kg</t>
    </r>
    <r>
      <rPr>
        <sz val="5"/>
        <color rgb="FF231F20"/>
        <rFont val="Calibri"/>
        <charset val="134"/>
      </rPr>
      <t>–1</t>
    </r>
    <r>
      <rPr>
        <sz val="8"/>
        <color rgb="FF231F20"/>
        <rFont val="Calibri"/>
        <charset val="134"/>
      </rPr>
      <t>)</t>
    </r>
  </si>
  <si>
    <r>
      <rPr>
        <b/>
        <sz val="8"/>
        <color rgb="FF231F20"/>
        <rFont val="Calibri"/>
        <charset val="134"/>
      </rPr>
      <t xml:space="preserve">GTP
</t>
    </r>
    <r>
      <rPr>
        <b/>
        <sz val="8"/>
        <color rgb="FF231F20"/>
        <rFont val="Calibri"/>
        <charset val="134"/>
      </rPr>
      <t>50-year</t>
    </r>
  </si>
  <si>
    <r>
      <rPr>
        <sz val="8"/>
        <color rgb="FF231F20"/>
        <rFont val="Calibri"/>
        <charset val="134"/>
      </rPr>
      <t xml:space="preserve">AGTP
</t>
    </r>
    <r>
      <rPr>
        <sz val="8"/>
        <color rgb="FF231F20"/>
        <rFont val="Calibri"/>
        <charset val="134"/>
      </rPr>
      <t>100-year (K kg</t>
    </r>
    <r>
      <rPr>
        <sz val="5"/>
        <color rgb="FF231F20"/>
        <rFont val="Calibri"/>
        <charset val="134"/>
      </rPr>
      <t>–1</t>
    </r>
    <r>
      <rPr>
        <sz val="8"/>
        <color rgb="FF231F20"/>
        <rFont val="Calibri"/>
        <charset val="134"/>
      </rPr>
      <t>)</t>
    </r>
  </si>
  <si>
    <r>
      <rPr>
        <b/>
        <sz val="8"/>
        <color rgb="FF231F20"/>
        <rFont val="Calibri"/>
        <charset val="134"/>
      </rPr>
      <t xml:space="preserve">GTP
</t>
    </r>
    <r>
      <rPr>
        <b/>
        <sz val="8"/>
        <color rgb="FF231F20"/>
        <rFont val="Calibri"/>
        <charset val="134"/>
      </rPr>
      <t>100-year</t>
    </r>
  </si>
  <si>
    <r>
      <rPr>
        <sz val="7"/>
        <color rgb="FF231F20"/>
        <rFont val="Calibri"/>
        <charset val="134"/>
      </rPr>
      <t>Carbon dioxide</t>
    </r>
  </si>
  <si>
    <r>
      <rPr>
        <sz val="7"/>
        <color rgb="FF231F20"/>
        <rFont val="Calibri"/>
        <charset val="134"/>
      </rPr>
      <t>CO</t>
    </r>
    <r>
      <rPr>
        <sz val="4"/>
        <color rgb="FF231F20"/>
        <rFont val="Calibri"/>
        <charset val="134"/>
      </rPr>
      <t>2</t>
    </r>
  </si>
  <si>
    <r>
      <rPr>
        <sz val="7"/>
        <color rgb="FF231F20"/>
        <rFont val="Calibri"/>
        <charset val="134"/>
      </rPr>
      <t>see*</t>
    </r>
  </si>
  <si>
    <r>
      <rPr>
        <sz val="7"/>
        <color rgb="FF231F20"/>
        <rFont val="Calibri"/>
        <charset val="134"/>
      </rPr>
      <t>1.37e-5</t>
    </r>
  </si>
  <si>
    <r>
      <rPr>
        <sz val="7"/>
        <color rgb="FF231F20"/>
        <rFont val="Calibri"/>
        <charset val="134"/>
      </rPr>
      <t>2.49e-14</t>
    </r>
  </si>
  <si>
    <r>
      <rPr>
        <sz val="7"/>
        <color rgb="FF231F20"/>
        <rFont val="Calibri"/>
        <charset val="134"/>
      </rPr>
      <t>9.17e-14</t>
    </r>
  </si>
  <si>
    <r>
      <rPr>
        <sz val="7"/>
        <color rgb="FF231F20"/>
        <rFont val="Calibri"/>
        <charset val="134"/>
      </rPr>
      <t>6.84e-16</t>
    </r>
  </si>
  <si>
    <r>
      <rPr>
        <sz val="7"/>
        <color rgb="FF231F20"/>
        <rFont val="Calibri"/>
        <charset val="134"/>
      </rPr>
      <t>6.17e-16</t>
    </r>
  </si>
  <si>
    <r>
      <rPr>
        <sz val="7"/>
        <color rgb="FF231F20"/>
        <rFont val="Calibri"/>
        <charset val="134"/>
      </rPr>
      <t>5.47e-16</t>
    </r>
  </si>
  <si>
    <r>
      <rPr>
        <sz val="7"/>
        <color rgb="FF231F20"/>
        <rFont val="Calibri"/>
        <charset val="134"/>
      </rPr>
      <t>Methane</t>
    </r>
  </si>
  <si>
    <r>
      <rPr>
        <sz val="7"/>
        <color rgb="FF231F20"/>
        <rFont val="Calibri"/>
        <charset val="134"/>
      </rPr>
      <t>CH</t>
    </r>
    <r>
      <rPr>
        <sz val="4"/>
        <color rgb="FF231F20"/>
        <rFont val="Calibri"/>
        <charset val="134"/>
      </rPr>
      <t>4</t>
    </r>
  </si>
  <si>
    <r>
      <rPr>
        <sz val="7"/>
        <color rgb="FF231F20"/>
        <rFont val="Calibri"/>
        <charset val="134"/>
      </rPr>
      <t>12.4</t>
    </r>
    <r>
      <rPr>
        <sz val="4"/>
        <color rgb="FF231F20"/>
        <rFont val="Calibri"/>
        <charset val="134"/>
      </rPr>
      <t>†</t>
    </r>
  </si>
  <si>
    <r>
      <rPr>
        <sz val="7"/>
        <color rgb="FF231F20"/>
        <rFont val="Calibri"/>
        <charset val="134"/>
      </rPr>
      <t>3.63e-4</t>
    </r>
  </si>
  <si>
    <r>
      <rPr>
        <sz val="7"/>
        <color rgb="FF231F20"/>
        <rFont val="Calibri"/>
        <charset val="134"/>
      </rPr>
      <t>2.09e-12</t>
    </r>
  </si>
  <si>
    <r>
      <rPr>
        <sz val="7"/>
        <color rgb="FF231F20"/>
        <rFont val="Calibri"/>
        <charset val="134"/>
      </rPr>
      <t>2.61e-12</t>
    </r>
  </si>
  <si>
    <r>
      <rPr>
        <sz val="7"/>
        <color rgb="FF231F20"/>
        <rFont val="Calibri"/>
        <charset val="134"/>
      </rPr>
      <t>4.62e-14</t>
    </r>
  </si>
  <si>
    <r>
      <rPr>
        <sz val="7"/>
        <color rgb="FF231F20"/>
        <rFont val="Calibri"/>
        <charset val="134"/>
      </rPr>
      <t>8.69e-15</t>
    </r>
  </si>
  <si>
    <r>
      <rPr>
        <sz val="7"/>
        <color rgb="FF231F20"/>
        <rFont val="Calibri"/>
        <charset val="134"/>
      </rPr>
      <t>2.34e-15</t>
    </r>
  </si>
  <si>
    <r>
      <rPr>
        <sz val="7"/>
        <color rgb="FF231F20"/>
        <rFont val="Calibri"/>
        <charset val="134"/>
      </rPr>
      <t>Fossil methane‡</t>
    </r>
  </si>
  <si>
    <r>
      <rPr>
        <sz val="7"/>
        <color rgb="FF231F20"/>
        <rFont val="Calibri"/>
        <charset val="134"/>
      </rPr>
      <t>2.11e-12</t>
    </r>
  </si>
  <si>
    <r>
      <rPr>
        <sz val="7"/>
        <color rgb="FF231F20"/>
        <rFont val="Calibri"/>
        <charset val="134"/>
      </rPr>
      <t>2.73e-12</t>
    </r>
  </si>
  <si>
    <r>
      <rPr>
        <sz val="7"/>
        <color rgb="FF231F20"/>
        <rFont val="Calibri"/>
        <charset val="134"/>
      </rPr>
      <t>4.68e-14</t>
    </r>
  </si>
  <si>
    <r>
      <rPr>
        <sz val="7"/>
        <color rgb="FF231F20"/>
        <rFont val="Calibri"/>
        <charset val="134"/>
      </rPr>
      <t>9.55e-15</t>
    </r>
  </si>
  <si>
    <r>
      <rPr>
        <sz val="7"/>
        <color rgb="FF231F20"/>
        <rFont val="Calibri"/>
        <charset val="134"/>
      </rPr>
      <t>3.11e-15</t>
    </r>
  </si>
  <si>
    <r>
      <rPr>
        <sz val="7"/>
        <color rgb="FF231F20"/>
        <rFont val="Calibri"/>
        <charset val="134"/>
      </rPr>
      <t>Nitrous Oxide</t>
    </r>
  </si>
  <si>
    <r>
      <rPr>
        <sz val="7"/>
        <color rgb="FF231F20"/>
        <rFont val="Calibri"/>
        <charset val="134"/>
      </rPr>
      <t>N</t>
    </r>
    <r>
      <rPr>
        <sz val="4"/>
        <color rgb="FF231F20"/>
        <rFont val="Calibri"/>
        <charset val="134"/>
      </rPr>
      <t>2</t>
    </r>
    <r>
      <rPr>
        <sz val="7"/>
        <color rgb="FF231F20"/>
        <rFont val="Calibri"/>
        <charset val="134"/>
      </rPr>
      <t>O</t>
    </r>
  </si>
  <si>
    <r>
      <rPr>
        <sz val="7"/>
        <color rgb="FF231F20"/>
        <rFont val="Calibri"/>
        <charset val="134"/>
      </rPr>
      <t>121</t>
    </r>
    <r>
      <rPr>
        <sz val="4"/>
        <color rgb="FF231F20"/>
        <rFont val="Calibri"/>
        <charset val="134"/>
      </rPr>
      <t>†</t>
    </r>
  </si>
  <si>
    <r>
      <rPr>
        <sz val="7"/>
        <color rgb="FF231F20"/>
        <rFont val="Calibri"/>
        <charset val="134"/>
      </rPr>
      <t>3.00e-3</t>
    </r>
  </si>
  <si>
    <r>
      <rPr>
        <sz val="7"/>
        <color rgb="FF231F20"/>
        <rFont val="Calibri"/>
        <charset val="134"/>
      </rPr>
      <t>6.58e-12</t>
    </r>
  </si>
  <si>
    <r>
      <rPr>
        <sz val="7"/>
        <color rgb="FF231F20"/>
        <rFont val="Calibri"/>
        <charset val="134"/>
      </rPr>
      <t>2.43e-11</t>
    </r>
  </si>
  <si>
    <r>
      <rPr>
        <sz val="7"/>
        <color rgb="FF231F20"/>
        <rFont val="Calibri"/>
        <charset val="134"/>
      </rPr>
      <t>1.89e-13</t>
    </r>
  </si>
  <si>
    <r>
      <rPr>
        <sz val="7"/>
        <color rgb="FF231F20"/>
        <rFont val="Calibri"/>
        <charset val="134"/>
      </rPr>
      <t>1.74e-13</t>
    </r>
  </si>
  <si>
    <r>
      <rPr>
        <sz val="7"/>
        <color rgb="FF231F20"/>
        <rFont val="Calibri"/>
        <charset val="134"/>
      </rPr>
      <t>1.28e-13</t>
    </r>
  </si>
  <si>
    <r>
      <rPr>
        <sz val="7"/>
        <color rgb="FF231F20"/>
        <rFont val="Calibri"/>
        <charset val="134"/>
      </rPr>
      <t>CFC-11</t>
    </r>
  </si>
  <si>
    <r>
      <rPr>
        <sz val="7"/>
        <color rgb="FF231F20"/>
        <rFont val="Calibri"/>
        <charset val="134"/>
      </rPr>
      <t>CCl</t>
    </r>
    <r>
      <rPr>
        <sz val="4"/>
        <color rgb="FF231F20"/>
        <rFont val="Calibri"/>
        <charset val="134"/>
      </rPr>
      <t>3</t>
    </r>
    <r>
      <rPr>
        <sz val="7"/>
        <color rgb="FF231F20"/>
        <rFont val="Calibri"/>
        <charset val="134"/>
      </rPr>
      <t>F</t>
    </r>
  </si>
  <si>
    <r>
      <rPr>
        <sz val="7"/>
        <color rgb="FF231F20"/>
        <rFont val="Calibri"/>
        <charset val="134"/>
      </rPr>
      <t>1.72e-10</t>
    </r>
  </si>
  <si>
    <r>
      <rPr>
        <sz val="7"/>
        <color rgb="FF231F20"/>
        <rFont val="Calibri"/>
        <charset val="134"/>
      </rPr>
      <t>4.28e-10</t>
    </r>
  </si>
  <si>
    <r>
      <rPr>
        <sz val="7"/>
        <color rgb="FF231F20"/>
        <rFont val="Calibri"/>
        <charset val="134"/>
      </rPr>
      <t>4.71e-12</t>
    </r>
  </si>
  <si>
    <r>
      <rPr>
        <sz val="7"/>
        <color rgb="FF231F20"/>
        <rFont val="Calibri"/>
        <charset val="134"/>
      </rPr>
      <t>3.01e-12</t>
    </r>
  </si>
  <si>
    <r>
      <rPr>
        <sz val="7"/>
        <color rgb="FF231F20"/>
        <rFont val="Calibri"/>
        <charset val="134"/>
      </rPr>
      <t>1.28e-12</t>
    </r>
  </si>
  <si>
    <r>
      <rPr>
        <sz val="7"/>
        <color rgb="FF231F20"/>
        <rFont val="Calibri"/>
        <charset val="134"/>
      </rPr>
      <t>CFC-12</t>
    </r>
  </si>
  <si>
    <r>
      <rPr>
        <sz val="7"/>
        <color rgb="FF231F20"/>
        <rFont val="Calibri"/>
        <charset val="134"/>
      </rPr>
      <t>CCl</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</si>
  <si>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2.69e-10</t>
    </r>
  </si>
  <si>
    <r>
      <rPr>
        <sz val="7"/>
        <color rgb="FF231F20"/>
        <rFont val="Calibri"/>
        <charset val="134"/>
      </rPr>
      <t>9.39e-10</t>
    </r>
  </si>
  <si>
    <r>
      <rPr>
        <sz val="7"/>
        <color rgb="FF231F20"/>
        <rFont val="Calibri"/>
        <charset val="134"/>
      </rPr>
      <t>7.71e-12</t>
    </r>
  </si>
  <si>
    <r>
      <rPr>
        <sz val="7"/>
        <color rgb="FF231F20"/>
        <rFont val="Calibri"/>
        <charset val="134"/>
      </rPr>
      <t>6.75e-12</t>
    </r>
  </si>
  <si>
    <r>
      <rPr>
        <sz val="7"/>
        <color rgb="FF231F20"/>
        <rFont val="Calibri"/>
        <charset val="134"/>
      </rPr>
      <t>4.62e-12</t>
    </r>
  </si>
  <si>
    <r>
      <rPr>
        <sz val="7"/>
        <color rgb="FF231F20"/>
        <rFont val="Calibri"/>
        <charset val="134"/>
      </rPr>
      <t>CFC-13</t>
    </r>
  </si>
  <si>
    <r>
      <rPr>
        <sz val="7"/>
        <color rgb="FF231F20"/>
        <rFont val="Calibri"/>
        <charset val="134"/>
      </rPr>
      <t>CClF</t>
    </r>
    <r>
      <rPr>
        <sz val="4"/>
        <color rgb="FF231F20"/>
        <rFont val="Calibri"/>
        <charset val="134"/>
      </rPr>
      <t>3</t>
    </r>
  </si>
  <si>
    <r>
      <rPr>
        <sz val="7"/>
        <color rgb="FF231F20"/>
        <rFont val="Calibri"/>
        <charset val="134"/>
      </rPr>
      <t>2.71e-10</t>
    </r>
  </si>
  <si>
    <r>
      <rPr>
        <sz val="7"/>
        <color rgb="FF231F20"/>
        <rFont val="Calibri"/>
        <charset val="134"/>
      </rPr>
      <t>1.27e-09</t>
    </r>
  </si>
  <si>
    <r>
      <rPr>
        <sz val="7"/>
        <color rgb="FF231F20"/>
        <rFont val="Calibri"/>
        <charset val="134"/>
      </rPr>
      <t>7.99e-12</t>
    </r>
  </si>
  <si>
    <r>
      <rPr>
        <sz val="7"/>
        <color rgb="FF231F20"/>
        <rFont val="Calibri"/>
        <charset val="134"/>
      </rPr>
      <t>8.77e-12</t>
    </r>
  </si>
  <si>
    <r>
      <rPr>
        <sz val="7"/>
        <color rgb="FF231F20"/>
        <rFont val="Calibri"/>
        <charset val="134"/>
      </rPr>
      <t>8.71e-12</t>
    </r>
  </si>
  <si>
    <r>
      <rPr>
        <sz val="7"/>
        <color rgb="FF231F20"/>
        <rFont val="Calibri"/>
        <charset val="134"/>
      </rPr>
      <t>CFC-113</t>
    </r>
  </si>
  <si>
    <r>
      <rPr>
        <sz val="7"/>
        <color rgb="FF231F20"/>
        <rFont val="Calibri"/>
        <charset val="134"/>
      </rPr>
      <t>CCl</t>
    </r>
    <r>
      <rPr>
        <sz val="4"/>
        <color rgb="FF231F20"/>
        <rFont val="Calibri"/>
        <charset val="134"/>
      </rPr>
      <t>2</t>
    </r>
    <r>
      <rPr>
        <sz val="7"/>
        <color rgb="FF231F20"/>
        <rFont val="Calibri"/>
        <charset val="134"/>
      </rPr>
      <t>FCClF</t>
    </r>
    <r>
      <rPr>
        <sz val="4"/>
        <color rgb="FF231F20"/>
        <rFont val="Calibri"/>
        <charset val="134"/>
      </rPr>
      <t>2</t>
    </r>
  </si>
  <si>
    <r>
      <rPr>
        <sz val="7"/>
        <color rgb="FF231F20"/>
        <rFont val="Calibri"/>
        <charset val="134"/>
      </rPr>
      <t>1.62e-10</t>
    </r>
  </si>
  <si>
    <r>
      <rPr>
        <sz val="7"/>
        <color rgb="FF231F20"/>
        <rFont val="Calibri"/>
        <charset val="134"/>
      </rPr>
      <t>5.34e-10</t>
    </r>
  </si>
  <si>
    <r>
      <rPr>
        <sz val="7"/>
        <color rgb="FF231F20"/>
        <rFont val="Calibri"/>
        <charset val="134"/>
      </rPr>
      <t>4.60e-12</t>
    </r>
  </si>
  <si>
    <r>
      <rPr>
        <sz val="7"/>
        <color rgb="FF231F20"/>
        <rFont val="Calibri"/>
        <charset val="134"/>
      </rPr>
      <t>3.85e-12</t>
    </r>
  </si>
  <si>
    <r>
      <rPr>
        <sz val="7"/>
        <color rgb="FF231F20"/>
        <rFont val="Calibri"/>
        <charset val="134"/>
      </rPr>
      <t>2.45e-12</t>
    </r>
  </si>
  <si>
    <r>
      <rPr>
        <sz val="7"/>
        <color rgb="FF231F20"/>
        <rFont val="Calibri"/>
        <charset val="134"/>
      </rPr>
      <t>CFC-114</t>
    </r>
  </si>
  <si>
    <r>
      <rPr>
        <sz val="7"/>
        <color rgb="FF231F20"/>
        <rFont val="Calibri"/>
        <charset val="134"/>
      </rPr>
      <t>CClF</t>
    </r>
    <r>
      <rPr>
        <sz val="4"/>
        <color rgb="FF231F20"/>
        <rFont val="Calibri"/>
        <charset val="134"/>
      </rPr>
      <t>2</t>
    </r>
    <r>
      <rPr>
        <sz val="7"/>
        <color rgb="FF231F20"/>
        <rFont val="Calibri"/>
        <charset val="134"/>
      </rPr>
      <t>CClF</t>
    </r>
    <r>
      <rPr>
        <sz val="4"/>
        <color rgb="FF231F20"/>
        <rFont val="Calibri"/>
        <charset val="134"/>
      </rPr>
      <t>2</t>
    </r>
  </si>
  <si>
    <r>
      <rPr>
        <sz val="7"/>
        <color rgb="FF231F20"/>
        <rFont val="Calibri"/>
        <charset val="134"/>
      </rPr>
      <t>1.92e-10</t>
    </r>
  </si>
  <si>
    <r>
      <rPr>
        <sz val="7"/>
        <color rgb="FF231F20"/>
        <rFont val="Calibri"/>
        <charset val="134"/>
      </rPr>
      <t>7.88e-10</t>
    </r>
  </si>
  <si>
    <r>
      <rPr>
        <sz val="7"/>
        <color rgb="FF231F20"/>
        <rFont val="Calibri"/>
        <charset val="134"/>
      </rPr>
      <t>5.60e-12</t>
    </r>
  </si>
  <si>
    <r>
      <rPr>
        <sz val="7"/>
        <color rgb="FF231F20"/>
        <rFont val="Calibri"/>
        <charset val="134"/>
      </rPr>
      <t>5.56e-12</t>
    </r>
  </si>
  <si>
    <r>
      <rPr>
        <sz val="7"/>
        <color rgb="FF231F20"/>
        <rFont val="Calibri"/>
        <charset val="134"/>
      </rPr>
      <t>4.68e-12</t>
    </r>
  </si>
  <si>
    <r>
      <rPr>
        <sz val="7"/>
        <color rgb="FF231F20"/>
        <rFont val="Calibri"/>
        <charset val="134"/>
      </rPr>
      <t>CFC-115</t>
    </r>
  </si>
  <si>
    <r>
      <rPr>
        <sz val="7"/>
        <color rgb="FF231F20"/>
        <rFont val="Calibri"/>
        <charset val="134"/>
      </rPr>
      <t>CClF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</si>
  <si>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1.46e-10</t>
    </r>
  </si>
  <si>
    <r>
      <rPr>
        <sz val="7"/>
        <color rgb="FF231F20"/>
        <rFont val="Calibri"/>
        <charset val="134"/>
      </rPr>
      <t>7.03e-10</t>
    </r>
  </si>
  <si>
    <r>
      <rPr>
        <sz val="7"/>
        <color rgb="FF231F20"/>
        <rFont val="Calibri"/>
        <charset val="134"/>
      </rPr>
      <t>4.32e-12</t>
    </r>
  </si>
  <si>
    <r>
      <rPr>
        <sz val="7"/>
        <color rgb="FF231F20"/>
        <rFont val="Calibri"/>
        <charset val="134"/>
      </rPr>
      <t>4.81e-12</t>
    </r>
  </si>
  <si>
    <r>
      <rPr>
        <sz val="7"/>
        <color rgb="FF231F20"/>
        <rFont val="Calibri"/>
        <charset val="134"/>
      </rPr>
      <t>4.91e-12</t>
    </r>
  </si>
  <si>
    <r>
      <rPr>
        <sz val="7"/>
        <color rgb="FF231F20"/>
        <rFont val="Calibri"/>
        <charset val="134"/>
      </rPr>
      <t>HCFC-21</t>
    </r>
  </si>
  <si>
    <r>
      <rPr>
        <sz val="7"/>
        <color rgb="FF231F20"/>
        <rFont val="Calibri"/>
        <charset val="134"/>
      </rPr>
      <t>CHCl</t>
    </r>
    <r>
      <rPr>
        <sz val="4"/>
        <color rgb="FF231F20"/>
        <rFont val="Calibri"/>
        <charset val="134"/>
      </rPr>
      <t>2</t>
    </r>
    <r>
      <rPr>
        <sz val="7"/>
        <color rgb="FF231F20"/>
        <rFont val="Calibri"/>
        <charset val="134"/>
      </rPr>
      <t>F</t>
    </r>
  </si>
  <si>
    <r>
      <rPr>
        <sz val="7"/>
        <color rgb="FF231F20"/>
        <rFont val="Calibri"/>
        <charset val="134"/>
      </rPr>
      <t>1.35e-11</t>
    </r>
  </si>
  <si>
    <r>
      <rPr>
        <sz val="7"/>
        <color rgb="FF231F20"/>
        <rFont val="Calibri"/>
        <charset val="134"/>
      </rPr>
      <t>1.31e-13</t>
    </r>
  </si>
  <si>
    <r>
      <rPr>
        <sz val="7"/>
        <color rgb="FF231F20"/>
        <rFont val="Calibri"/>
        <charset val="134"/>
      </rPr>
      <t>1.59e-14</t>
    </r>
  </si>
  <si>
    <r>
      <rPr>
        <sz val="7"/>
        <color rgb="FF231F20"/>
        <rFont val="Calibri"/>
        <charset val="134"/>
      </rPr>
      <t>1.12e-14</t>
    </r>
  </si>
  <si>
    <r>
      <rPr>
        <sz val="7"/>
        <color rgb="FF231F20"/>
        <rFont val="Calibri"/>
        <charset val="134"/>
      </rPr>
      <t>HCFC-22</t>
    </r>
  </si>
  <si>
    <r>
      <rPr>
        <sz val="7"/>
        <color rgb="FF231F20"/>
        <rFont val="Calibri"/>
        <charset val="134"/>
      </rPr>
      <t>CHClF</t>
    </r>
    <r>
      <rPr>
        <sz val="4"/>
        <color rgb="FF231F20"/>
        <rFont val="Calibri"/>
        <charset val="134"/>
      </rPr>
      <t>2</t>
    </r>
  </si>
  <si>
    <r>
      <rPr>
        <sz val="7"/>
        <color rgb="FF231F20"/>
        <rFont val="Calibri"/>
        <charset val="134"/>
      </rPr>
      <t>1.32e-10</t>
    </r>
  </si>
  <si>
    <r>
      <rPr>
        <sz val="7"/>
        <color rgb="FF231F20"/>
        <rFont val="Calibri"/>
        <charset val="134"/>
      </rPr>
      <t>2.87e-12</t>
    </r>
  </si>
  <si>
    <r>
      <rPr>
        <sz val="7"/>
        <color rgb="FF231F20"/>
        <rFont val="Calibri"/>
        <charset val="134"/>
      </rPr>
      <t>5.13e-13</t>
    </r>
  </si>
  <si>
    <r>
      <rPr>
        <sz val="7"/>
        <color rgb="FF231F20"/>
        <rFont val="Calibri"/>
        <charset val="134"/>
      </rPr>
      <t>1.43e-13</t>
    </r>
  </si>
  <si>
    <r>
      <rPr>
        <sz val="7"/>
        <color rgb="FF231F20"/>
        <rFont val="Calibri"/>
        <charset val="134"/>
      </rPr>
      <t>HCFC-122</t>
    </r>
  </si>
  <si>
    <r>
      <rPr>
        <sz val="7"/>
        <color rgb="FF231F20"/>
        <rFont val="Calibri"/>
        <charset val="134"/>
      </rPr>
      <t>CHCl</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Cl</t>
    </r>
  </si>
  <si>
    <r>
      <rPr>
        <sz val="7"/>
        <color rgb="FF231F20"/>
        <rFont val="Calibri"/>
        <charset val="134"/>
      </rPr>
      <t>5.43e-12</t>
    </r>
  </si>
  <si>
    <r>
      <rPr>
        <sz val="7"/>
        <color rgb="FF231F20"/>
        <rFont val="Calibri"/>
        <charset val="134"/>
      </rPr>
      <t>4.81e-14</t>
    </r>
  </si>
  <si>
    <r>
      <rPr>
        <sz val="7"/>
        <color rgb="FF231F20"/>
        <rFont val="Calibri"/>
        <charset val="134"/>
      </rPr>
      <t>6.25e-15</t>
    </r>
  </si>
  <si>
    <r>
      <rPr>
        <sz val="7"/>
        <color rgb="FF231F20"/>
        <rFont val="Calibri"/>
        <charset val="134"/>
      </rPr>
      <t>4.47e-15</t>
    </r>
  </si>
  <si>
    <r>
      <rPr>
        <sz val="7"/>
        <color rgb="FF231F20"/>
        <rFont val="Calibri"/>
        <charset val="134"/>
      </rPr>
      <t>HCFC-122a</t>
    </r>
  </si>
  <si>
    <r>
      <rPr>
        <sz val="7"/>
        <color rgb="FF231F20"/>
        <rFont val="Calibri"/>
        <charset val="134"/>
      </rPr>
      <t>CHFClCFCl</t>
    </r>
    <r>
      <rPr>
        <sz val="4"/>
        <color rgb="FF231F20"/>
        <rFont val="Calibri"/>
        <charset val="134"/>
      </rPr>
      <t>2</t>
    </r>
  </si>
  <si>
    <r>
      <rPr>
        <sz val="7"/>
        <color rgb="FF231F20"/>
        <rFont val="Calibri"/>
        <charset val="134"/>
      </rPr>
      <t>2.36e-11</t>
    </r>
  </si>
  <si>
    <r>
      <rPr>
        <sz val="7"/>
        <color rgb="FF231F20"/>
        <rFont val="Calibri"/>
        <charset val="134"/>
      </rPr>
      <t>2.37e-11</t>
    </r>
  </si>
  <si>
    <r>
      <rPr>
        <sz val="7"/>
        <color rgb="FF231F20"/>
        <rFont val="Calibri"/>
        <charset val="134"/>
      </rPr>
      <t>2.91e-13</t>
    </r>
  </si>
  <si>
    <r>
      <rPr>
        <sz val="7"/>
        <color rgb="FF231F20"/>
        <rFont val="Calibri"/>
        <charset val="134"/>
      </rPr>
      <t>2.99e-14</t>
    </r>
  </si>
  <si>
    <r>
      <rPr>
        <sz val="7"/>
        <color rgb="FF231F20"/>
        <rFont val="Calibri"/>
        <charset val="134"/>
      </rPr>
      <t>1.96e-14</t>
    </r>
  </si>
  <si>
    <r>
      <rPr>
        <sz val="7"/>
        <color rgb="FF231F20"/>
        <rFont val="Calibri"/>
        <charset val="134"/>
      </rPr>
      <t>HCFC-123</t>
    </r>
  </si>
  <si>
    <r>
      <rPr>
        <sz val="7"/>
        <color rgb="FF231F20"/>
        <rFont val="Calibri"/>
        <charset val="134"/>
      </rPr>
      <t>CHCl</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</si>
  <si>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7.28e-12</t>
    </r>
  </si>
  <si>
    <r>
      <rPr>
        <sz val="7"/>
        <color rgb="FF231F20"/>
        <rFont val="Calibri"/>
        <charset val="134"/>
      </rPr>
      <t>6.71e-14</t>
    </r>
  </si>
  <si>
    <r>
      <rPr>
        <sz val="7"/>
        <color rgb="FF231F20"/>
        <rFont val="Calibri"/>
        <charset val="134"/>
      </rPr>
      <t>8.45e-15</t>
    </r>
  </si>
  <si>
    <r>
      <rPr>
        <sz val="7"/>
        <color rgb="FF231F20"/>
        <rFont val="Calibri"/>
        <charset val="134"/>
      </rPr>
      <t>6.00e-15</t>
    </r>
  </si>
  <si>
    <r>
      <rPr>
        <sz val="7"/>
        <color rgb="FF231F20"/>
        <rFont val="Calibri"/>
        <charset val="134"/>
      </rPr>
      <t>HCFC-123a</t>
    </r>
  </si>
  <si>
    <r>
      <rPr>
        <sz val="7"/>
        <color rgb="FF231F20"/>
        <rFont val="Calibri"/>
        <charset val="134"/>
      </rPr>
      <t>CHClFCF</t>
    </r>
    <r>
      <rPr>
        <sz val="4"/>
        <color rgb="FF231F20"/>
        <rFont val="Calibri"/>
        <charset val="134"/>
      </rPr>
      <t>2</t>
    </r>
    <r>
      <rPr>
        <sz val="7"/>
        <color rgb="FF231F20"/>
        <rFont val="Calibri"/>
        <charset val="134"/>
      </rPr>
      <t>Cl</t>
    </r>
  </si>
  <si>
    <r>
      <rPr>
        <sz val="7"/>
        <color rgb="FF231F20"/>
        <rFont val="Calibri"/>
        <charset val="134"/>
      </rPr>
      <t>3.37e-11</t>
    </r>
  </si>
  <si>
    <r>
      <rPr>
        <sz val="7"/>
        <color rgb="FF231F20"/>
        <rFont val="Calibri"/>
        <charset val="134"/>
      </rPr>
      <t>3.39e-11</t>
    </r>
  </si>
  <si>
    <r>
      <rPr>
        <sz val="7"/>
        <color rgb="FF231F20"/>
        <rFont val="Calibri"/>
        <charset val="134"/>
      </rPr>
      <t>4.51e-13</t>
    </r>
  </si>
  <si>
    <r>
      <rPr>
        <sz val="7"/>
        <color rgb="FF231F20"/>
        <rFont val="Calibri"/>
        <charset val="134"/>
      </rPr>
      <t>4.44e-14</t>
    </r>
  </si>
  <si>
    <r>
      <rPr>
        <sz val="7"/>
        <color rgb="FF231F20"/>
        <rFont val="Calibri"/>
        <charset val="134"/>
      </rPr>
      <t>2.81e-14</t>
    </r>
  </si>
  <si>
    <r>
      <rPr>
        <sz val="7"/>
        <color rgb="FF231F20"/>
        <rFont val="Calibri"/>
        <charset val="134"/>
      </rPr>
      <t>HCFC-124</t>
    </r>
  </si>
  <si>
    <r>
      <rPr>
        <sz val="7"/>
        <color rgb="FF231F20"/>
        <rFont val="Calibri"/>
        <charset val="134"/>
      </rPr>
      <t>CHClFCF</t>
    </r>
    <r>
      <rPr>
        <sz val="4"/>
        <color rgb="FF231F20"/>
        <rFont val="Calibri"/>
        <charset val="134"/>
      </rPr>
      <t>3</t>
    </r>
  </si>
  <si>
    <r>
      <rPr>
        <sz val="7"/>
        <color rgb="FF231F20"/>
        <rFont val="Calibri"/>
        <charset val="134"/>
      </rPr>
      <t>4.67e-11</t>
    </r>
  </si>
  <si>
    <r>
      <rPr>
        <sz val="7"/>
        <color rgb="FF231F20"/>
        <rFont val="Calibri"/>
        <charset val="134"/>
      </rPr>
      <t>4.83e-11</t>
    </r>
  </si>
  <si>
    <r>
      <rPr>
        <sz val="7"/>
        <color rgb="FF231F20"/>
        <rFont val="Calibri"/>
        <charset val="134"/>
      </rPr>
      <t>7.63e-13</t>
    </r>
  </si>
  <si>
    <r>
      <rPr>
        <sz val="7"/>
        <color rgb="FF231F20"/>
        <rFont val="Calibri"/>
        <charset val="134"/>
      </rPr>
      <t>7.46e-14</t>
    </r>
  </si>
  <si>
    <r>
      <rPr>
        <sz val="7"/>
        <color rgb="FF231F20"/>
        <rFont val="Calibri"/>
        <charset val="134"/>
      </rPr>
      <t>4.03e-14</t>
    </r>
  </si>
  <si>
    <r>
      <rPr>
        <sz val="7"/>
        <color rgb="FF231F20"/>
        <rFont val="Calibri"/>
        <charset val="134"/>
      </rPr>
      <t>HCFC-132c</t>
    </r>
  </si>
  <si>
    <r>
      <rPr>
        <sz val="7"/>
        <color rgb="FF231F20"/>
        <rFont val="Calibri"/>
        <charset val="134"/>
      </rPr>
      <t>CH</t>
    </r>
    <r>
      <rPr>
        <sz val="4"/>
        <color rgb="FF231F20"/>
        <rFont val="Calibri"/>
        <charset val="134"/>
      </rPr>
      <t>2</t>
    </r>
    <r>
      <rPr>
        <sz val="7"/>
        <color rgb="FF231F20"/>
        <rFont val="Calibri"/>
        <charset val="134"/>
      </rPr>
      <t>FCFCl</t>
    </r>
    <r>
      <rPr>
        <sz val="4"/>
        <color rgb="FF231F20"/>
        <rFont val="Calibri"/>
        <charset val="134"/>
      </rPr>
      <t>2</t>
    </r>
  </si>
  <si>
    <r>
      <rPr>
        <sz val="7"/>
        <color rgb="FF231F20"/>
        <rFont val="Calibri"/>
        <charset val="134"/>
      </rPr>
      <t>3.07e-11</t>
    </r>
  </si>
  <si>
    <r>
      <rPr>
        <sz val="7"/>
        <color rgb="FF231F20"/>
        <rFont val="Calibri"/>
        <charset val="134"/>
      </rPr>
      <t>3.10e-11</t>
    </r>
  </si>
  <si>
    <r>
      <rPr>
        <sz val="7"/>
        <color rgb="FF231F20"/>
        <rFont val="Calibri"/>
        <charset val="134"/>
      </rPr>
      <t>4.27e-13</t>
    </r>
  </si>
  <si>
    <r>
      <rPr>
        <sz val="7"/>
        <color rgb="FF231F20"/>
        <rFont val="Calibri"/>
        <charset val="134"/>
      </rPr>
      <t>4.14e-14</t>
    </r>
  </si>
  <si>
    <r>
      <rPr>
        <sz val="7"/>
        <color rgb="FF231F20"/>
        <rFont val="Calibri"/>
        <charset val="134"/>
      </rPr>
      <t>2.58e-14</t>
    </r>
  </si>
  <si>
    <r>
      <rPr>
        <sz val="7"/>
        <color rgb="FF231F20"/>
        <rFont val="Calibri"/>
        <charset val="134"/>
      </rPr>
      <t>HCFC-141b</t>
    </r>
  </si>
  <si>
    <r>
      <rPr>
        <sz val="7"/>
        <color rgb="FF231F20"/>
        <rFont val="Calibri"/>
        <charset val="134"/>
      </rPr>
      <t>CH</t>
    </r>
    <r>
      <rPr>
        <sz val="4"/>
        <color rgb="FF231F20"/>
        <rFont val="Calibri"/>
        <charset val="134"/>
      </rPr>
      <t>3</t>
    </r>
    <r>
      <rPr>
        <sz val="7"/>
        <color rgb="FF231F20"/>
        <rFont val="Calibri"/>
        <charset val="134"/>
      </rPr>
      <t>CCl</t>
    </r>
    <r>
      <rPr>
        <sz val="4"/>
        <color rgb="FF231F20"/>
        <rFont val="Calibri"/>
        <charset val="134"/>
      </rPr>
      <t>2</t>
    </r>
    <r>
      <rPr>
        <sz val="7"/>
        <color rgb="FF231F20"/>
        <rFont val="Calibri"/>
        <charset val="134"/>
      </rPr>
      <t>F</t>
    </r>
  </si>
  <si>
    <r>
      <rPr>
        <sz val="7"/>
        <color rgb="FF231F20"/>
        <rFont val="Calibri"/>
        <charset val="134"/>
      </rPr>
      <t>6.36e-11</t>
    </r>
  </si>
  <si>
    <r>
      <rPr>
        <sz val="7"/>
        <color rgb="FF231F20"/>
        <rFont val="Calibri"/>
        <charset val="134"/>
      </rPr>
      <t>7.17e-11</t>
    </r>
  </si>
  <si>
    <r>
      <rPr>
        <sz val="7"/>
        <color rgb="FF231F20"/>
        <rFont val="Calibri"/>
        <charset val="134"/>
      </rPr>
      <t>1.27e-12</t>
    </r>
  </si>
  <si>
    <r>
      <rPr>
        <sz val="7"/>
        <color rgb="FF231F20"/>
        <rFont val="Calibri"/>
        <charset val="134"/>
      </rPr>
      <t>1.67e-13</t>
    </r>
  </si>
  <si>
    <r>
      <rPr>
        <sz val="7"/>
        <color rgb="FF231F20"/>
        <rFont val="Calibri"/>
        <charset val="134"/>
      </rPr>
      <t>6.09e-14</t>
    </r>
  </si>
  <si>
    <r>
      <rPr>
        <sz val="7"/>
        <color rgb="FF231F20"/>
        <rFont val="Calibri"/>
        <charset val="134"/>
      </rPr>
      <t>HCFC-142b</t>
    </r>
  </si>
  <si>
    <r>
      <rPr>
        <sz val="7"/>
        <color rgb="FF231F20"/>
        <rFont val="Calibri"/>
        <charset val="134"/>
      </rPr>
      <t>CH</t>
    </r>
    <r>
      <rPr>
        <sz val="4"/>
        <color rgb="FF231F20"/>
        <rFont val="Calibri"/>
        <charset val="134"/>
      </rPr>
      <t>3</t>
    </r>
    <r>
      <rPr>
        <sz val="7"/>
        <color rgb="FF231F20"/>
        <rFont val="Calibri"/>
        <charset val="134"/>
      </rPr>
      <t>CClF</t>
    </r>
    <r>
      <rPr>
        <sz val="4"/>
        <color rgb="FF231F20"/>
        <rFont val="Calibri"/>
        <charset val="134"/>
      </rPr>
      <t>2</t>
    </r>
  </si>
  <si>
    <r>
      <rPr>
        <sz val="7"/>
        <color rgb="FF231F20"/>
        <rFont val="Calibri"/>
        <charset val="134"/>
      </rPr>
      <t>1.25e-10</t>
    </r>
  </si>
  <si>
    <r>
      <rPr>
        <sz val="7"/>
        <color rgb="FF231F20"/>
        <rFont val="Calibri"/>
        <charset val="134"/>
      </rPr>
      <t>1.82e-10</t>
    </r>
  </si>
  <si>
    <r>
      <rPr>
        <sz val="7"/>
        <color rgb="FF231F20"/>
        <rFont val="Calibri"/>
        <charset val="134"/>
      </rPr>
      <t>8.46e-13</t>
    </r>
  </si>
  <si>
    <r>
      <rPr>
        <sz val="7"/>
        <color rgb="FF231F20"/>
        <rFont val="Calibri"/>
        <charset val="134"/>
      </rPr>
      <t>1.95e-13</t>
    </r>
  </si>
  <si>
    <r>
      <rPr>
        <sz val="7"/>
        <color rgb="FF231F20"/>
        <rFont val="Calibri"/>
        <charset val="134"/>
      </rPr>
      <t>HCFC-225ca</t>
    </r>
  </si>
  <si>
    <r>
      <rPr>
        <sz val="7"/>
        <color rgb="FF231F20"/>
        <rFont val="Calibri"/>
        <charset val="134"/>
      </rPr>
      <t>CHCl</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</si>
  <si>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1.17e-11</t>
    </r>
  </si>
  <si>
    <r>
      <rPr>
        <sz val="7"/>
        <color rgb="FF231F20"/>
        <rFont val="Calibri"/>
        <charset val="134"/>
      </rPr>
      <t>1.17e-13</t>
    </r>
  </si>
  <si>
    <r>
      <rPr>
        <sz val="7"/>
        <color rgb="FF231F20"/>
        <rFont val="Calibri"/>
        <charset val="134"/>
      </rPr>
      <t>1.38e-14</t>
    </r>
  </si>
  <si>
    <r>
      <rPr>
        <sz val="7"/>
        <color rgb="FF231F20"/>
        <rFont val="Calibri"/>
        <charset val="134"/>
      </rPr>
      <t>9.65e-15</t>
    </r>
  </si>
  <si>
    <r>
      <rPr>
        <sz val="7"/>
        <color rgb="FF231F20"/>
        <rFont val="Calibri"/>
        <charset val="134"/>
      </rPr>
      <t>HCFC-225cb</t>
    </r>
  </si>
  <si>
    <r>
      <rPr>
        <sz val="7"/>
        <color rgb="FF231F20"/>
        <rFont val="Calibri"/>
        <charset val="134"/>
      </rPr>
      <t>CHClFCF</t>
    </r>
    <r>
      <rPr>
        <sz val="4"/>
        <color rgb="FF231F20"/>
        <rFont val="Calibri"/>
        <charset val="134"/>
      </rPr>
      <t>2</t>
    </r>
    <r>
      <rPr>
        <sz val="7"/>
        <color rgb="FF231F20"/>
        <rFont val="Calibri"/>
        <charset val="134"/>
      </rPr>
      <t>CClF</t>
    </r>
    <r>
      <rPr>
        <sz val="4"/>
        <color rgb="FF231F20"/>
        <rFont val="Calibri"/>
        <charset val="134"/>
      </rPr>
      <t>2</t>
    </r>
  </si>
  <si>
    <r>
      <rPr>
        <sz val="7"/>
        <color rgb="FF231F20"/>
        <rFont val="Calibri"/>
        <charset val="134"/>
      </rPr>
      <t>4.65e-11</t>
    </r>
  </si>
  <si>
    <r>
      <rPr>
        <sz val="7"/>
        <color rgb="FF231F20"/>
        <rFont val="Calibri"/>
        <charset val="134"/>
      </rPr>
      <t>4.81e-11</t>
    </r>
  </si>
  <si>
    <r>
      <rPr>
        <sz val="7"/>
        <color rgb="FF231F20"/>
        <rFont val="Calibri"/>
        <charset val="134"/>
      </rPr>
      <t>7.61e-13</t>
    </r>
  </si>
  <si>
    <r>
      <rPr>
        <sz val="7"/>
        <color rgb="FF231F20"/>
        <rFont val="Calibri"/>
        <charset val="134"/>
      </rPr>
      <t>7.43e-14</t>
    </r>
  </si>
  <si>
    <r>
      <rPr>
        <sz val="7"/>
        <color rgb="FF231F20"/>
        <rFont val="Calibri"/>
        <charset val="134"/>
      </rPr>
      <t>4.01e-14</t>
    </r>
  </si>
  <si>
    <r>
      <rPr>
        <sz val="7"/>
        <color rgb="FF231F20"/>
        <rFont val="Calibri"/>
        <charset val="134"/>
      </rPr>
      <t xml:space="preserve">(E)-1-Chloro-3,3,3-
</t>
    </r>
    <r>
      <rPr>
        <sz val="7"/>
        <color rgb="FF231F20"/>
        <rFont val="Calibri"/>
        <charset val="134"/>
      </rPr>
      <t>trifluoroprop-1-ene</t>
    </r>
  </si>
  <si>
    <r>
      <rPr>
        <sz val="7"/>
        <color rgb="FF231F20"/>
        <rFont val="Calibri"/>
        <charset val="134"/>
      </rPr>
      <t>trans-CF</t>
    </r>
    <r>
      <rPr>
        <sz val="4"/>
        <color rgb="FF231F20"/>
        <rFont val="Calibri"/>
        <charset val="134"/>
      </rPr>
      <t>3</t>
    </r>
    <r>
      <rPr>
        <sz val="7"/>
        <color rgb="FF231F20"/>
        <rFont val="Calibri"/>
        <charset val="134"/>
      </rPr>
      <t>CH=CHCl</t>
    </r>
  </si>
  <si>
    <r>
      <rPr>
        <sz val="7"/>
        <color rgb="FF231F20"/>
        <rFont val="Calibri"/>
        <charset val="134"/>
      </rPr>
      <t>26.0 days</t>
    </r>
  </si>
  <si>
    <r>
      <rPr>
        <sz val="7"/>
        <color rgb="FF231F20"/>
        <rFont val="Calibri"/>
        <charset val="134"/>
      </rPr>
      <t>1.37e-13</t>
    </r>
  </si>
  <si>
    <r>
      <rPr>
        <sz val="7"/>
        <color rgb="FF231F20"/>
        <rFont val="Calibri"/>
        <charset val="134"/>
      </rPr>
      <t>1.09e-15</t>
    </r>
  </si>
  <si>
    <r>
      <rPr>
        <sz val="7"/>
        <color rgb="FF231F20"/>
        <rFont val="Calibri"/>
        <charset val="134"/>
      </rPr>
      <t>1.54e-16</t>
    </r>
  </si>
  <si>
    <r>
      <rPr>
        <b/>
        <sz val="7"/>
        <color rgb="FF231F20"/>
        <rFont val="Arial Narrow"/>
        <charset val="134"/>
      </rPr>
      <t>&lt;1</t>
    </r>
  </si>
  <si>
    <r>
      <rPr>
        <sz val="7"/>
        <color rgb="FF231F20"/>
        <rFont val="Calibri"/>
        <charset val="134"/>
      </rPr>
      <t>1.12e-16</t>
    </r>
  </si>
  <si>
    <r>
      <rPr>
        <sz val="7"/>
        <color rgb="FF231F20"/>
        <rFont val="Calibri"/>
        <charset val="134"/>
      </rPr>
      <t>HFC-23</t>
    </r>
  </si>
  <si>
    <r>
      <rPr>
        <sz val="7"/>
        <color rgb="FF231F20"/>
        <rFont val="Calibri"/>
        <charset val="134"/>
      </rPr>
      <t>CHF</t>
    </r>
    <r>
      <rPr>
        <sz val="4"/>
        <color rgb="FF231F20"/>
        <rFont val="Calibri"/>
        <charset val="134"/>
      </rPr>
      <t>3</t>
    </r>
  </si>
  <si>
    <r>
      <rPr>
        <sz val="7"/>
        <color rgb="FF231F20"/>
        <rFont val="Calibri"/>
        <charset val="134"/>
      </rPr>
      <t>2.70e-10</t>
    </r>
  </si>
  <si>
    <r>
      <rPr>
        <sz val="7"/>
        <color rgb="FF231F20"/>
        <rFont val="Calibri"/>
        <charset val="134"/>
      </rPr>
      <t>1.14e-09</t>
    </r>
  </si>
  <si>
    <r>
      <rPr>
        <sz val="7"/>
        <color rgb="FF231F20"/>
        <rFont val="Calibri"/>
        <charset val="134"/>
      </rPr>
      <t>7.88e-12</t>
    </r>
  </si>
  <si>
    <r>
      <rPr>
        <sz val="7"/>
        <color rgb="FF231F20"/>
        <rFont val="Calibri"/>
        <charset val="134"/>
      </rPr>
      <t>6.95e-12</t>
    </r>
  </si>
  <si>
    <r>
      <rPr>
        <sz val="7"/>
        <color rgb="FF231F20"/>
        <rFont val="Calibri"/>
        <charset val="134"/>
      </rPr>
      <t>HFC-32</t>
    </r>
  </si>
  <si>
    <r>
      <rPr>
        <sz val="7"/>
        <color rgb="FF231F20"/>
        <rFont val="Calibri"/>
        <charset val="134"/>
      </rPr>
      <t>CH</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</si>
  <si>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6.07e-11</t>
    </r>
  </si>
  <si>
    <r>
      <rPr>
        <sz val="7"/>
        <color rgb="FF231F20"/>
        <rFont val="Calibri"/>
        <charset val="134"/>
      </rPr>
      <t>6.21e-11</t>
    </r>
  </si>
  <si>
    <r>
      <rPr>
        <sz val="7"/>
        <color rgb="FF231F20"/>
        <rFont val="Calibri"/>
        <charset val="134"/>
      </rPr>
      <t>9.32e-13</t>
    </r>
  </si>
  <si>
    <r>
      <rPr>
        <sz val="7"/>
        <color rgb="FF231F20"/>
        <rFont val="Calibri"/>
        <charset val="134"/>
      </rPr>
      <t>8.93e-14</t>
    </r>
  </si>
  <si>
    <r>
      <rPr>
        <sz val="7"/>
        <color rgb="FF231F20"/>
        <rFont val="Calibri"/>
        <charset val="134"/>
      </rPr>
      <t>5.17e-14</t>
    </r>
  </si>
  <si>
    <r>
      <rPr>
        <sz val="7"/>
        <color rgb="FF231F20"/>
        <rFont val="Calibri"/>
        <charset val="134"/>
      </rPr>
      <t>HFC-41</t>
    </r>
  </si>
  <si>
    <r>
      <rPr>
        <sz val="7"/>
        <color rgb="FF231F20"/>
        <rFont val="Calibri"/>
        <charset val="134"/>
      </rPr>
      <t>CH</t>
    </r>
    <r>
      <rPr>
        <sz val="4"/>
        <color rgb="FF231F20"/>
        <rFont val="Calibri"/>
        <charset val="134"/>
      </rPr>
      <t>3</t>
    </r>
    <r>
      <rPr>
        <sz val="7"/>
        <color rgb="FF231F20"/>
        <rFont val="Calibri"/>
        <charset val="134"/>
      </rPr>
      <t>F</t>
    </r>
  </si>
  <si>
    <r>
      <rPr>
        <sz val="7"/>
        <color rgb="FF231F20"/>
        <rFont val="Calibri"/>
        <charset val="134"/>
      </rPr>
      <t>1.07e-11</t>
    </r>
  </si>
  <si>
    <r>
      <rPr>
        <sz val="7"/>
        <color rgb="FF231F20"/>
        <rFont val="Calibri"/>
        <charset val="134"/>
      </rPr>
      <t>1.21e-13</t>
    </r>
  </si>
  <si>
    <r>
      <rPr>
        <sz val="7"/>
        <color rgb="FF231F20"/>
        <rFont val="Calibri"/>
        <charset val="134"/>
      </rPr>
      <t>1.31e-14</t>
    </r>
  </si>
  <si>
    <r>
      <rPr>
        <sz val="7"/>
        <color rgb="FF231F20"/>
        <rFont val="Calibri"/>
        <charset val="134"/>
      </rPr>
      <t>8.82e-15</t>
    </r>
  </si>
  <si>
    <r>
      <rPr>
        <sz val="7"/>
        <color rgb="FF231F20"/>
        <rFont val="Calibri"/>
        <charset val="134"/>
      </rPr>
      <t>HFC-125</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</si>
  <si>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</si>
  <si>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1.52e-10</t>
    </r>
  </si>
  <si>
    <r>
      <rPr>
        <sz val="7"/>
        <color rgb="FF231F20"/>
        <rFont val="Calibri"/>
        <charset val="134"/>
      </rPr>
      <t>2.91e-10</t>
    </r>
  </si>
  <si>
    <r>
      <rPr>
        <sz val="7"/>
        <color rgb="FF231F20"/>
        <rFont val="Calibri"/>
        <charset val="134"/>
      </rPr>
      <t>3.97e-12</t>
    </r>
  </si>
  <si>
    <r>
      <rPr>
        <sz val="7"/>
        <color rgb="FF231F20"/>
        <rFont val="Calibri"/>
        <charset val="134"/>
      </rPr>
      <t>1.84e-12</t>
    </r>
  </si>
  <si>
    <r>
      <rPr>
        <sz val="7"/>
        <color rgb="FF231F20"/>
        <rFont val="Calibri"/>
        <charset val="134"/>
      </rPr>
      <t>5.29e-13</t>
    </r>
  </si>
  <si>
    <r>
      <rPr>
        <sz val="7"/>
        <color rgb="FF231F20"/>
        <rFont val="Calibri"/>
        <charset val="134"/>
      </rPr>
      <t>HFC-134</t>
    </r>
  </si>
  <si>
    <r>
      <rPr>
        <sz val="7"/>
        <color rgb="FF231F20"/>
        <rFont val="Calibri"/>
        <charset val="134"/>
      </rPr>
      <t>CHF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</si>
  <si>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8.93e-11</t>
    </r>
  </si>
  <si>
    <r>
      <rPr>
        <sz val="7"/>
        <color rgb="FF231F20"/>
        <rFont val="Calibri"/>
        <charset val="134"/>
      </rPr>
      <t>1.02e-10</t>
    </r>
  </si>
  <si>
    <r>
      <rPr>
        <sz val="7"/>
        <color rgb="FF231F20"/>
        <rFont val="Calibri"/>
        <charset val="134"/>
      </rPr>
      <t>1.82e-12</t>
    </r>
  </si>
  <si>
    <r>
      <rPr>
        <sz val="7"/>
        <color rgb="FF231F20"/>
        <rFont val="Calibri"/>
        <charset val="134"/>
      </rPr>
      <t>2.54e-13</t>
    </r>
  </si>
  <si>
    <r>
      <rPr>
        <sz val="7"/>
        <color rgb="FF231F20"/>
        <rFont val="Calibri"/>
        <charset val="134"/>
      </rPr>
      <t>8.73e-14</t>
    </r>
  </si>
  <si>
    <r>
      <rPr>
        <sz val="7"/>
        <color rgb="FF231F20"/>
        <rFont val="Calibri"/>
        <charset val="134"/>
      </rPr>
      <t>HFC-134a</t>
    </r>
  </si>
  <si>
    <r>
      <rPr>
        <sz val="7"/>
        <color rgb="FF231F20"/>
        <rFont val="Calibri"/>
        <charset val="134"/>
      </rPr>
      <t>CH</t>
    </r>
    <r>
      <rPr>
        <sz val="4"/>
        <color rgb="FF231F20"/>
        <rFont val="Calibri"/>
        <charset val="134"/>
      </rPr>
      <t>2</t>
    </r>
    <r>
      <rPr>
        <sz val="7"/>
        <color rgb="FF231F20"/>
        <rFont val="Calibri"/>
        <charset val="134"/>
      </rPr>
      <t>FCF</t>
    </r>
    <r>
      <rPr>
        <sz val="4"/>
        <color rgb="FF231F20"/>
        <rFont val="Calibri"/>
        <charset val="134"/>
      </rPr>
      <t>3</t>
    </r>
  </si>
  <si>
    <r>
      <rPr>
        <sz val="7"/>
        <color rgb="FF231F20"/>
        <rFont val="Calibri"/>
        <charset val="134"/>
      </rPr>
      <t>9.26e-11</t>
    </r>
  </si>
  <si>
    <r>
      <rPr>
        <sz val="7"/>
        <color rgb="FF231F20"/>
        <rFont val="Calibri"/>
        <charset val="134"/>
      </rPr>
      <t>1.19e-10</t>
    </r>
  </si>
  <si>
    <r>
      <rPr>
        <sz val="7"/>
        <color rgb="FF231F20"/>
        <rFont val="Calibri"/>
        <charset val="134"/>
      </rPr>
      <t>4.33e-13</t>
    </r>
  </si>
  <si>
    <r>
      <rPr>
        <sz val="7"/>
        <color rgb="FF231F20"/>
        <rFont val="Calibri"/>
        <charset val="134"/>
      </rPr>
      <t>1.10e-13</t>
    </r>
  </si>
  <si>
    <r>
      <rPr>
        <sz val="7"/>
        <color rgb="FF231F20"/>
        <rFont val="Calibri"/>
        <charset val="134"/>
      </rPr>
      <t>HFC-143</t>
    </r>
  </si>
  <si>
    <r>
      <rPr>
        <sz val="7"/>
        <color rgb="FF231F20"/>
        <rFont val="Calibri"/>
        <charset val="134"/>
      </rPr>
      <t>CH</t>
    </r>
    <r>
      <rPr>
        <sz val="4"/>
        <color rgb="FF231F20"/>
        <rFont val="Calibri"/>
        <charset val="134"/>
      </rPr>
      <t>2</t>
    </r>
    <r>
      <rPr>
        <sz val="7"/>
        <color rgb="FF231F20"/>
        <rFont val="Calibri"/>
        <charset val="134"/>
      </rPr>
      <t>FCHF</t>
    </r>
    <r>
      <rPr>
        <sz val="4"/>
        <color rgb="FF231F20"/>
        <rFont val="Calibri"/>
        <charset val="134"/>
      </rPr>
      <t>2</t>
    </r>
  </si>
  <si>
    <r>
      <rPr>
        <sz val="7"/>
        <color rgb="FF231F20"/>
        <rFont val="Calibri"/>
        <charset val="134"/>
      </rPr>
      <t>3.00e-11</t>
    </r>
  </si>
  <si>
    <r>
      <rPr>
        <sz val="7"/>
        <color rgb="FF231F20"/>
        <rFont val="Calibri"/>
        <charset val="134"/>
      </rPr>
      <t>3.01e-11</t>
    </r>
  </si>
  <si>
    <r>
      <rPr>
        <sz val="7"/>
        <color rgb="FF231F20"/>
        <rFont val="Calibri"/>
        <charset val="134"/>
      </rPr>
      <t>3.76e-13</t>
    </r>
  </si>
  <si>
    <r>
      <rPr>
        <sz val="7"/>
        <color rgb="FF231F20"/>
        <rFont val="Calibri"/>
        <charset val="134"/>
      </rPr>
      <t>3.82e-14</t>
    </r>
  </si>
  <si>
    <r>
      <rPr>
        <sz val="7"/>
        <color rgb="FF231F20"/>
        <rFont val="Calibri"/>
        <charset val="134"/>
      </rPr>
      <t>HFC-143a</t>
    </r>
  </si>
  <si>
    <r>
      <rPr>
        <sz val="7"/>
        <color rgb="FF231F20"/>
        <rFont val="Calibri"/>
        <charset val="134"/>
      </rPr>
      <t>CH</t>
    </r>
    <r>
      <rPr>
        <sz val="4"/>
        <color rgb="FF231F20"/>
        <rFont val="Calibri"/>
        <charset val="134"/>
      </rPr>
      <t>3</t>
    </r>
    <r>
      <rPr>
        <sz val="7"/>
        <color rgb="FF231F20"/>
        <rFont val="Calibri"/>
        <charset val="134"/>
      </rPr>
      <t>CF</t>
    </r>
    <r>
      <rPr>
        <sz val="4"/>
        <color rgb="FF231F20"/>
        <rFont val="Calibri"/>
        <charset val="134"/>
      </rPr>
      <t>3</t>
    </r>
  </si>
  <si>
    <r>
      <rPr>
        <sz val="7"/>
        <color rgb="FF231F20"/>
        <rFont val="Calibri"/>
        <charset val="134"/>
      </rPr>
      <t>1.73e-10</t>
    </r>
  </si>
  <si>
    <r>
      <rPr>
        <sz val="7"/>
        <color rgb="FF231F20"/>
        <rFont val="Calibri"/>
        <charset val="134"/>
      </rPr>
      <t>4.41e-10</t>
    </r>
  </si>
  <si>
    <r>
      <rPr>
        <sz val="7"/>
        <color rgb="FF231F20"/>
        <rFont val="Calibri"/>
        <charset val="134"/>
      </rPr>
      <t>4.76e-12</t>
    </r>
  </si>
  <si>
    <r>
      <rPr>
        <sz val="7"/>
        <color rgb="FF231F20"/>
        <rFont val="Calibri"/>
        <charset val="134"/>
      </rPr>
      <t>3.12e-12</t>
    </r>
  </si>
  <si>
    <r>
      <rPr>
        <sz val="7"/>
        <color rgb="FF231F20"/>
        <rFont val="Calibri"/>
        <charset val="134"/>
      </rPr>
      <t>1.37e-12</t>
    </r>
  </si>
  <si>
    <r>
      <rPr>
        <sz val="7"/>
        <color rgb="FF231F20"/>
        <rFont val="Calibri"/>
        <charset val="134"/>
      </rPr>
      <t>HFC-152</t>
    </r>
  </si>
  <si>
    <r>
      <rPr>
        <sz val="7"/>
        <color rgb="FF231F20"/>
        <rFont val="Calibri"/>
        <charset val="134"/>
      </rPr>
      <t>CH</t>
    </r>
    <r>
      <rPr>
        <sz val="4"/>
        <color rgb="FF231F20"/>
        <rFont val="Calibri"/>
        <charset val="134"/>
      </rPr>
      <t>2</t>
    </r>
    <r>
      <rPr>
        <sz val="7"/>
        <color rgb="FF231F20"/>
        <rFont val="Calibri"/>
        <charset val="134"/>
      </rPr>
      <t>FCH</t>
    </r>
    <r>
      <rPr>
        <sz val="4"/>
        <color rgb="FF231F20"/>
        <rFont val="Calibri"/>
        <charset val="134"/>
      </rPr>
      <t>2</t>
    </r>
    <r>
      <rPr>
        <sz val="7"/>
        <color rgb="FF231F20"/>
        <rFont val="Calibri"/>
        <charset val="134"/>
      </rPr>
      <t>F</t>
    </r>
  </si>
  <si>
    <r>
      <rPr>
        <sz val="7"/>
        <color rgb="FF231F20"/>
        <rFont val="Calibri"/>
        <charset val="134"/>
      </rPr>
      <t>1.51e-12</t>
    </r>
  </si>
  <si>
    <r>
      <rPr>
        <sz val="7"/>
        <color rgb="FF231F20"/>
        <rFont val="Calibri"/>
        <charset val="134"/>
      </rPr>
      <t>1.25e-14</t>
    </r>
  </si>
  <si>
    <r>
      <rPr>
        <sz val="7"/>
        <color rgb="FF231F20"/>
        <rFont val="Calibri"/>
        <charset val="134"/>
      </rPr>
      <t>1.71e-15</t>
    </r>
  </si>
  <si>
    <r>
      <rPr>
        <sz val="7"/>
        <color rgb="FF231F20"/>
        <rFont val="Calibri"/>
        <charset val="134"/>
      </rPr>
      <t>1.24e-15</t>
    </r>
  </si>
  <si>
    <r>
      <rPr>
        <sz val="7"/>
        <color rgb="FF231F20"/>
        <rFont val="Calibri"/>
        <charset val="134"/>
      </rPr>
      <t>HFC-152a</t>
    </r>
  </si>
  <si>
    <r>
      <rPr>
        <sz val="7"/>
        <color rgb="FF231F20"/>
        <rFont val="Calibri"/>
        <charset val="134"/>
      </rPr>
      <t>CH</t>
    </r>
    <r>
      <rPr>
        <sz val="4"/>
        <color rgb="FF231F20"/>
        <rFont val="Calibri"/>
        <charset val="134"/>
      </rPr>
      <t>3</t>
    </r>
    <r>
      <rPr>
        <sz val="7"/>
        <color rgb="FF231F20"/>
        <rFont val="Calibri"/>
        <charset val="134"/>
      </rPr>
      <t>CHF</t>
    </r>
    <r>
      <rPr>
        <sz val="4"/>
        <color rgb="FF231F20"/>
        <rFont val="Calibri"/>
        <charset val="134"/>
      </rPr>
      <t>2</t>
    </r>
  </si>
  <si>
    <r>
      <rPr>
        <sz val="7"/>
        <color rgb="FF231F20"/>
        <rFont val="Calibri"/>
        <charset val="134"/>
      </rPr>
      <t>1.26e-11</t>
    </r>
  </si>
  <si>
    <r>
      <rPr>
        <sz val="7"/>
        <color rgb="FF231F20"/>
        <rFont val="Calibri"/>
        <charset val="134"/>
      </rPr>
      <t>1.19e-13</t>
    </r>
  </si>
  <si>
    <r>
      <rPr>
        <sz val="7"/>
        <color rgb="FF231F20"/>
        <rFont val="Calibri"/>
        <charset val="134"/>
      </rPr>
      <t>1.47e-14</t>
    </r>
  </si>
  <si>
    <r>
      <rPr>
        <sz val="7"/>
        <color rgb="FF231F20"/>
        <rFont val="Calibri"/>
        <charset val="134"/>
      </rPr>
      <t>1.04e-14</t>
    </r>
  </si>
  <si>
    <r>
      <rPr>
        <sz val="7"/>
        <color rgb="FF231F20"/>
        <rFont val="Calibri"/>
        <charset val="134"/>
      </rPr>
      <t>HFC-161</t>
    </r>
  </si>
  <si>
    <r>
      <rPr>
        <sz val="7"/>
        <color rgb="FF231F20"/>
        <rFont val="Calibri"/>
        <charset val="134"/>
      </rPr>
      <t>CH</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F</t>
    </r>
  </si>
  <si>
    <r>
      <rPr>
        <sz val="7"/>
        <color rgb="FF231F20"/>
        <rFont val="Calibri"/>
        <charset val="134"/>
      </rPr>
      <t>66.0 days</t>
    </r>
  </si>
  <si>
    <r>
      <rPr>
        <sz val="7"/>
        <color rgb="FF231F20"/>
        <rFont val="Calibri"/>
        <charset val="134"/>
      </rPr>
      <t>3.33e-13</t>
    </r>
  </si>
  <si>
    <r>
      <rPr>
        <sz val="7"/>
        <color rgb="FF231F20"/>
        <rFont val="Calibri"/>
        <charset val="134"/>
      </rPr>
      <t>2.70e-15</t>
    </r>
  </si>
  <si>
    <r>
      <rPr>
        <sz val="7"/>
        <color rgb="FF231F20"/>
        <rFont val="Calibri"/>
        <charset val="134"/>
      </rPr>
      <t>3.76e-16</t>
    </r>
  </si>
  <si>
    <r>
      <rPr>
        <b/>
        <sz val="7"/>
        <color rgb="FF231F20"/>
        <rFont val="Calibri"/>
        <charset val="134"/>
      </rPr>
      <t>&lt;1</t>
    </r>
  </si>
  <si>
    <r>
      <rPr>
        <sz val="7"/>
        <color rgb="FF231F20"/>
        <rFont val="Calibri"/>
        <charset val="134"/>
      </rPr>
      <t>2.74e-16</t>
    </r>
  </si>
  <si>
    <r>
      <rPr>
        <sz val="7"/>
        <color rgb="FF231F20"/>
        <rFont val="Calibri"/>
        <charset val="134"/>
      </rPr>
      <t>HFC-227ca</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</si>
  <si>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</si>
  <si>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1.27e-10</t>
    </r>
  </si>
  <si>
    <r>
      <rPr>
        <sz val="7"/>
        <color rgb="FF231F20"/>
        <rFont val="Calibri"/>
        <charset val="134"/>
      </rPr>
      <t>2.42e-10</t>
    </r>
  </si>
  <si>
    <r>
      <rPr>
        <sz val="7"/>
        <color rgb="FF231F20"/>
        <rFont val="Calibri"/>
        <charset val="134"/>
      </rPr>
      <t>3.31e-12</t>
    </r>
  </si>
  <si>
    <r>
      <rPr>
        <sz val="7"/>
        <color rgb="FF231F20"/>
        <rFont val="Calibri"/>
        <charset val="134"/>
      </rPr>
      <t>1.53e-12</t>
    </r>
  </si>
  <si>
    <r>
      <rPr>
        <sz val="7"/>
        <color rgb="FF231F20"/>
        <rFont val="Calibri"/>
        <charset val="134"/>
      </rPr>
      <t>4.41e-13</t>
    </r>
  </si>
  <si>
    <r>
      <rPr>
        <sz val="7"/>
        <color rgb="FF231F20"/>
        <rFont val="Calibri"/>
        <charset val="134"/>
      </rPr>
      <t>HFC-227ea</t>
    </r>
  </si>
  <si>
    <r>
      <rPr>
        <sz val="7"/>
        <color rgb="FF231F20"/>
        <rFont val="Calibri"/>
        <charset val="134"/>
      </rPr>
      <t>CF</t>
    </r>
    <r>
      <rPr>
        <sz val="4"/>
        <color rgb="FF231F20"/>
        <rFont val="Calibri"/>
        <charset val="134"/>
      </rPr>
      <t>3</t>
    </r>
    <r>
      <rPr>
        <sz val="7"/>
        <color rgb="FF231F20"/>
        <rFont val="Calibri"/>
        <charset val="134"/>
      </rPr>
      <t>CHFCF</t>
    </r>
    <r>
      <rPr>
        <sz val="4"/>
        <color rgb="FF231F20"/>
        <rFont val="Calibri"/>
        <charset val="134"/>
      </rPr>
      <t>3</t>
    </r>
  </si>
  <si>
    <r>
      <rPr>
        <sz val="7"/>
        <color rgb="FF231F20"/>
        <rFont val="Calibri"/>
        <charset val="134"/>
      </rPr>
      <t>1.34e-10</t>
    </r>
  </si>
  <si>
    <r>
      <rPr>
        <sz val="7"/>
        <color rgb="FF231F20"/>
        <rFont val="Calibri"/>
        <charset val="134"/>
      </rPr>
      <t>3.07e-10</t>
    </r>
  </si>
  <si>
    <r>
      <rPr>
        <sz val="7"/>
        <color rgb="FF231F20"/>
        <rFont val="Calibri"/>
        <charset val="134"/>
      </rPr>
      <t>3.61e-12</t>
    </r>
  </si>
  <si>
    <r>
      <rPr>
        <sz val="7"/>
        <color rgb="FF231F20"/>
        <rFont val="Calibri"/>
        <charset val="134"/>
      </rPr>
      <t>2.12e-12</t>
    </r>
  </si>
  <si>
    <r>
      <rPr>
        <sz val="7"/>
        <color rgb="FF231F20"/>
        <rFont val="Calibri"/>
        <charset val="134"/>
      </rPr>
      <t>7.98e-13</t>
    </r>
  </si>
  <si>
    <r>
      <rPr>
        <sz val="7"/>
        <color rgb="FF231F20"/>
        <rFont val="Calibri"/>
        <charset val="134"/>
      </rPr>
      <t>HFC-236cb</t>
    </r>
  </si>
  <si>
    <r>
      <rPr>
        <sz val="7"/>
        <color rgb="FF231F20"/>
        <rFont val="Calibri"/>
        <charset val="134"/>
      </rPr>
      <t>CH</t>
    </r>
    <r>
      <rPr>
        <sz val="4"/>
        <color rgb="FF231F20"/>
        <rFont val="Calibri"/>
        <charset val="134"/>
      </rPr>
      <t>2</t>
    </r>
    <r>
      <rPr>
        <sz val="7"/>
        <color rgb="FF231F20"/>
        <rFont val="Calibri"/>
        <charset val="134"/>
      </rPr>
      <t>FCF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</si>
  <si>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8.67e-11</t>
    </r>
  </si>
  <si>
    <r>
      <rPr>
        <sz val="7"/>
        <color rgb="FF231F20"/>
        <rFont val="Calibri"/>
        <charset val="134"/>
      </rPr>
      <t>1.11e-10</t>
    </r>
  </si>
  <si>
    <r>
      <rPr>
        <sz val="7"/>
        <color rgb="FF231F20"/>
        <rFont val="Calibri"/>
        <charset val="134"/>
      </rPr>
      <t>1.94e-12</t>
    </r>
  </si>
  <si>
    <r>
      <rPr>
        <sz val="7"/>
        <color rgb="FF231F20"/>
        <rFont val="Calibri"/>
        <charset val="134"/>
      </rPr>
      <t>3.92e-13</t>
    </r>
  </si>
  <si>
    <r>
      <rPr>
        <sz val="7"/>
        <color rgb="FF231F20"/>
        <rFont val="Calibri"/>
        <charset val="134"/>
      </rPr>
      <t>1.01e-13</t>
    </r>
  </si>
  <si>
    <r>
      <rPr>
        <sz val="7"/>
        <color rgb="FF231F20"/>
        <rFont val="Calibri"/>
        <charset val="134"/>
      </rPr>
      <t>HFC-236ea</t>
    </r>
  </si>
  <si>
    <r>
      <rPr>
        <sz val="7"/>
        <color rgb="FF231F20"/>
        <rFont val="Calibri"/>
        <charset val="134"/>
      </rPr>
      <t>CHF</t>
    </r>
    <r>
      <rPr>
        <sz val="4"/>
        <color rgb="FF231F20"/>
        <rFont val="Calibri"/>
        <charset val="134"/>
      </rPr>
      <t>2</t>
    </r>
    <r>
      <rPr>
        <sz val="7"/>
        <color rgb="FF231F20"/>
        <rFont val="Calibri"/>
        <charset val="134"/>
      </rPr>
      <t>CHFCF</t>
    </r>
    <r>
      <rPr>
        <sz val="4"/>
        <color rgb="FF231F20"/>
        <rFont val="Calibri"/>
        <charset val="134"/>
      </rPr>
      <t>3</t>
    </r>
  </si>
  <si>
    <r>
      <rPr>
        <sz val="7"/>
        <color rgb="FF231F20"/>
        <rFont val="Calibri"/>
        <charset val="134"/>
      </rPr>
      <t>0.30</t>
    </r>
    <r>
      <rPr>
        <sz val="4"/>
        <color rgb="FF231F20"/>
        <rFont val="Calibri"/>
        <charset val="134"/>
      </rPr>
      <t>a</t>
    </r>
  </si>
  <si>
    <r>
      <rPr>
        <sz val="7"/>
        <color rgb="FF231F20"/>
        <rFont val="Calibri"/>
        <charset val="134"/>
      </rPr>
      <t>1.03e-10</t>
    </r>
  </si>
  <si>
    <r>
      <rPr>
        <sz val="7"/>
        <color rgb="FF231F20"/>
        <rFont val="Calibri"/>
        <charset val="134"/>
      </rPr>
      <t>1.22e-10</t>
    </r>
  </si>
  <si>
    <r>
      <rPr>
        <sz val="7"/>
        <color rgb="FF231F20"/>
        <rFont val="Calibri"/>
        <charset val="134"/>
      </rPr>
      <t>2.18e-12</t>
    </r>
  </si>
  <si>
    <r>
      <rPr>
        <sz val="7"/>
        <color rgb="FF231F20"/>
        <rFont val="Calibri"/>
        <charset val="134"/>
      </rPr>
      <t>3.53e-13</t>
    </r>
  </si>
  <si>
    <r>
      <rPr>
        <sz val="7"/>
        <color rgb="FF231F20"/>
        <rFont val="Calibri"/>
        <charset val="134"/>
      </rPr>
      <t>1.06e-13</t>
    </r>
  </si>
  <si>
    <r>
      <rPr>
        <sz val="7"/>
        <color rgb="FF231F20"/>
        <rFont val="Calibri"/>
        <charset val="134"/>
      </rPr>
      <t>HFC-236fa</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</si>
  <si>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</si>
  <si>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7.39e-10</t>
    </r>
  </si>
  <si>
    <r>
      <rPr>
        <sz val="7"/>
        <color rgb="FF231F20"/>
        <rFont val="Calibri"/>
        <charset val="134"/>
      </rPr>
      <t>5.06e-12</t>
    </r>
  </si>
  <si>
    <r>
      <rPr>
        <sz val="7"/>
        <color rgb="FF231F20"/>
        <rFont val="Calibri"/>
        <charset val="134"/>
      </rPr>
      <t>5.18e-12</t>
    </r>
  </si>
  <si>
    <r>
      <rPr>
        <sz val="7"/>
        <color rgb="FF231F20"/>
        <rFont val="Calibri"/>
        <charset val="134"/>
      </rPr>
      <t>4.58e-12</t>
    </r>
  </si>
  <si>
    <r>
      <rPr>
        <sz val="7"/>
        <color rgb="FF231F20"/>
        <rFont val="Calibri"/>
        <charset val="134"/>
      </rPr>
      <t>HFC-245ca</t>
    </r>
  </si>
  <si>
    <r>
      <rPr>
        <sz val="7"/>
        <color rgb="FF231F20"/>
        <rFont val="Calibri"/>
        <charset val="134"/>
      </rPr>
      <t>CH</t>
    </r>
    <r>
      <rPr>
        <sz val="4"/>
        <color rgb="FF231F20"/>
        <rFont val="Calibri"/>
        <charset val="134"/>
      </rPr>
      <t>2</t>
    </r>
    <r>
      <rPr>
        <sz val="7"/>
        <color rgb="FF231F20"/>
        <rFont val="Calibri"/>
        <charset val="134"/>
      </rPr>
      <t>FCF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</si>
  <si>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0.24</t>
    </r>
    <r>
      <rPr>
        <sz val="4"/>
        <color rgb="FF231F20"/>
        <rFont val="Calibri"/>
        <charset val="134"/>
      </rPr>
      <t>b</t>
    </r>
  </si>
  <si>
    <r>
      <rPr>
        <sz val="7"/>
        <color rgb="FF231F20"/>
        <rFont val="Calibri"/>
        <charset val="134"/>
      </rPr>
      <t>6.26e-11</t>
    </r>
  </si>
  <si>
    <r>
      <rPr>
        <sz val="7"/>
        <color rgb="FF231F20"/>
        <rFont val="Calibri"/>
        <charset val="134"/>
      </rPr>
      <t>6.56e-11</t>
    </r>
  </si>
  <si>
    <r>
      <rPr>
        <sz val="7"/>
        <color rgb="FF231F20"/>
        <rFont val="Calibri"/>
        <charset val="134"/>
      </rPr>
      <t>1.07e-12</t>
    </r>
  </si>
  <si>
    <r>
      <rPr>
        <sz val="7"/>
        <color rgb="FF231F20"/>
        <rFont val="Calibri"/>
        <charset val="134"/>
      </rPr>
      <t>1.09e-13</t>
    </r>
  </si>
  <si>
    <r>
      <rPr>
        <sz val="7"/>
        <color rgb="FF231F20"/>
        <rFont val="Calibri"/>
        <charset val="134"/>
      </rPr>
      <t>5.49e-14</t>
    </r>
  </si>
  <si>
    <r>
      <rPr>
        <sz val="7"/>
        <color rgb="FF231F20"/>
        <rFont val="Calibri"/>
        <charset val="134"/>
      </rPr>
      <t>HFC-245cb</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</si>
  <si>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</si>
  <si>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1.67e-10</t>
    </r>
  </si>
  <si>
    <r>
      <rPr>
        <sz val="7"/>
        <color rgb="FF231F20"/>
        <rFont val="Calibri"/>
        <charset val="134"/>
      </rPr>
      <t>4.24e-10</t>
    </r>
  </si>
  <si>
    <r>
      <rPr>
        <sz val="7"/>
        <color rgb="FF231F20"/>
        <rFont val="Calibri"/>
        <charset val="134"/>
      </rPr>
      <t>3.00e-12</t>
    </r>
  </si>
  <si>
    <r>
      <rPr>
        <sz val="7"/>
        <color rgb="FF231F20"/>
        <rFont val="Calibri"/>
        <charset val="134"/>
      </rPr>
      <t>1.32e-12</t>
    </r>
  </si>
  <si>
    <r>
      <rPr>
        <sz val="7"/>
        <color rgb="FF231F20"/>
        <rFont val="Calibri"/>
        <charset val="134"/>
      </rPr>
      <t>HFC-245ea</t>
    </r>
  </si>
  <si>
    <r>
      <rPr>
        <sz val="7"/>
        <color rgb="FF231F20"/>
        <rFont val="Calibri"/>
        <charset val="134"/>
      </rPr>
      <t>CHF</t>
    </r>
    <r>
      <rPr>
        <sz val="4"/>
        <color rgb="FF231F20"/>
        <rFont val="Calibri"/>
        <charset val="134"/>
      </rPr>
      <t>2</t>
    </r>
    <r>
      <rPr>
        <sz val="7"/>
        <color rgb="FF231F20"/>
        <rFont val="Calibri"/>
        <charset val="134"/>
      </rPr>
      <t>CHFCHF</t>
    </r>
    <r>
      <rPr>
        <sz val="4"/>
        <color rgb="FF231F20"/>
        <rFont val="Calibri"/>
        <charset val="134"/>
      </rPr>
      <t>2</t>
    </r>
  </si>
  <si>
    <r>
      <rPr>
        <sz val="7"/>
        <color rgb="FF231F20"/>
        <rFont val="Calibri"/>
        <charset val="134"/>
      </rPr>
      <t>0.16</t>
    </r>
    <r>
      <rPr>
        <sz val="4"/>
        <color rgb="FF231F20"/>
        <rFont val="Calibri"/>
        <charset val="134"/>
      </rPr>
      <t>c</t>
    </r>
  </si>
  <si>
    <r>
      <rPr>
        <sz val="7"/>
        <color rgb="FF231F20"/>
        <rFont val="Calibri"/>
        <charset val="134"/>
      </rPr>
      <t>2.15e-11</t>
    </r>
  </si>
  <si>
    <r>
      <rPr>
        <sz val="7"/>
        <color rgb="FF231F20"/>
        <rFont val="Calibri"/>
        <charset val="134"/>
      </rPr>
      <t>2.16e-11</t>
    </r>
  </si>
  <si>
    <r>
      <rPr>
        <sz val="7"/>
        <color rgb="FF231F20"/>
        <rFont val="Calibri"/>
        <charset val="134"/>
      </rPr>
      <t>2.59e-13</t>
    </r>
  </si>
  <si>
    <r>
      <rPr>
        <sz val="7"/>
        <color rgb="FF231F20"/>
        <rFont val="Calibri"/>
        <charset val="134"/>
      </rPr>
      <t>2.70e-14</t>
    </r>
  </si>
  <si>
    <r>
      <rPr>
        <sz val="7"/>
        <color rgb="FF231F20"/>
        <rFont val="Calibri"/>
        <charset val="134"/>
      </rPr>
      <t>1.79e-14</t>
    </r>
  </si>
  <si>
    <r>
      <rPr>
        <sz val="7"/>
        <color rgb="FF231F20"/>
        <rFont val="Calibri"/>
        <charset val="134"/>
      </rPr>
      <t>HFC-245eb</t>
    </r>
  </si>
  <si>
    <r>
      <rPr>
        <sz val="7"/>
        <color rgb="FF231F20"/>
        <rFont val="Calibri"/>
        <charset val="134"/>
      </rPr>
      <t>CH</t>
    </r>
    <r>
      <rPr>
        <sz val="4"/>
        <color rgb="FF231F20"/>
        <rFont val="Calibri"/>
        <charset val="134"/>
      </rPr>
      <t>2</t>
    </r>
    <r>
      <rPr>
        <sz val="7"/>
        <color rgb="FF231F20"/>
        <rFont val="Calibri"/>
        <charset val="134"/>
      </rPr>
      <t>FCHFCF</t>
    </r>
    <r>
      <rPr>
        <sz val="4"/>
        <color rgb="FF231F20"/>
        <rFont val="Calibri"/>
        <charset val="134"/>
      </rPr>
      <t>3</t>
    </r>
  </si>
  <si>
    <r>
      <rPr>
        <sz val="7"/>
        <color rgb="FF231F20"/>
        <rFont val="Calibri"/>
        <charset val="134"/>
      </rPr>
      <t>0.20</t>
    </r>
    <r>
      <rPr>
        <sz val="4"/>
        <color rgb="FF231F20"/>
        <rFont val="Calibri"/>
        <charset val="134"/>
      </rPr>
      <t>c</t>
    </r>
  </si>
  <si>
    <r>
      <rPr>
        <sz val="7"/>
        <color rgb="FF231F20"/>
        <rFont val="Calibri"/>
        <charset val="134"/>
      </rPr>
      <t>2.66e-11</t>
    </r>
  </si>
  <si>
    <r>
      <rPr>
        <sz val="7"/>
        <color rgb="FF231F20"/>
        <rFont val="Calibri"/>
        <charset val="134"/>
      </rPr>
      <t>3.15e-13</t>
    </r>
  </si>
  <si>
    <r>
      <rPr>
        <sz val="7"/>
        <color rgb="FF231F20"/>
        <rFont val="Calibri"/>
        <charset val="134"/>
      </rPr>
      <t>3.31e-14</t>
    </r>
  </si>
  <si>
    <r>
      <rPr>
        <sz val="7"/>
        <color rgb="FF231F20"/>
        <rFont val="Calibri"/>
        <charset val="134"/>
      </rPr>
      <t>2.20e-14</t>
    </r>
  </si>
  <si>
    <r>
      <rPr>
        <sz val="7"/>
        <color rgb="FF231F20"/>
        <rFont val="Calibri"/>
        <charset val="134"/>
      </rPr>
      <t>HFC-245fa</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</si>
  <si>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</si>
  <si>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7.29e-11</t>
    </r>
  </si>
  <si>
    <r>
      <rPr>
        <sz val="7"/>
        <color rgb="FF231F20"/>
        <rFont val="Calibri"/>
        <charset val="134"/>
      </rPr>
      <t>7.87e-11</t>
    </r>
  </si>
  <si>
    <r>
      <rPr>
        <sz val="7"/>
        <color rgb="FF231F20"/>
        <rFont val="Calibri"/>
        <charset val="134"/>
      </rPr>
      <t>1.35e-12</t>
    </r>
  </si>
  <si>
    <r>
      <rPr>
        <sz val="7"/>
        <color rgb="FF231F20"/>
        <rFont val="Calibri"/>
        <charset val="134"/>
      </rPr>
      <t>1.51e-13</t>
    </r>
  </si>
  <si>
    <r>
      <rPr>
        <sz val="7"/>
        <color rgb="FF231F20"/>
        <rFont val="Calibri"/>
        <charset val="134"/>
      </rPr>
      <t>6.62e-14</t>
    </r>
  </si>
  <si>
    <r>
      <rPr>
        <sz val="7"/>
        <color rgb="FF231F20"/>
        <rFont val="Calibri"/>
        <charset val="134"/>
      </rPr>
      <t>HFC-263fb</t>
    </r>
  </si>
  <si>
    <r>
      <rPr>
        <sz val="7"/>
        <color rgb="FF231F20"/>
        <rFont val="Calibri"/>
        <charset val="134"/>
      </rPr>
      <t>CH</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</si>
  <si>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0.10</t>
    </r>
    <r>
      <rPr>
        <sz val="4"/>
        <color rgb="FF231F20"/>
        <rFont val="Calibri"/>
        <charset val="134"/>
      </rPr>
      <t>c</t>
    </r>
  </si>
  <si>
    <r>
      <rPr>
        <sz val="7"/>
        <color rgb="FF231F20"/>
        <rFont val="Calibri"/>
        <charset val="134"/>
      </rPr>
      <t>6.93e-12</t>
    </r>
  </si>
  <si>
    <r>
      <rPr>
        <sz val="7"/>
        <color rgb="FF231F20"/>
        <rFont val="Calibri"/>
        <charset val="134"/>
      </rPr>
      <t>6.31e-14</t>
    </r>
  </si>
  <si>
    <r>
      <rPr>
        <sz val="7"/>
        <color rgb="FF231F20"/>
        <rFont val="Calibri"/>
        <charset val="134"/>
      </rPr>
      <t>8.02e-15</t>
    </r>
  </si>
  <si>
    <r>
      <rPr>
        <sz val="7"/>
        <color rgb="FF231F20"/>
        <rFont val="Calibri"/>
        <charset val="134"/>
      </rPr>
      <t>5.70e-15</t>
    </r>
  </si>
  <si>
    <r>
      <rPr>
        <sz val="7"/>
        <color rgb="FF231F20"/>
        <rFont val="Calibri"/>
        <charset val="134"/>
      </rPr>
      <t>HFC-272ca</t>
    </r>
  </si>
  <si>
    <r>
      <rPr>
        <sz val="7"/>
        <color rgb="FF231F20"/>
        <rFont val="Calibri"/>
        <charset val="134"/>
      </rPr>
      <t>CH</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</si>
  <si>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1.32e-11</t>
    </r>
  </si>
  <si>
    <r>
      <rPr>
        <sz val="7"/>
        <color rgb="FF231F20"/>
        <rFont val="Calibri"/>
        <charset val="134"/>
      </rPr>
      <t>1.46e-13</t>
    </r>
  </si>
  <si>
    <r>
      <rPr>
        <sz val="7"/>
        <color rgb="FF231F20"/>
        <rFont val="Calibri"/>
        <charset val="134"/>
      </rPr>
      <t>1.61e-14</t>
    </r>
  </si>
  <si>
    <r>
      <rPr>
        <sz val="7"/>
        <color rgb="FF231F20"/>
        <rFont val="Calibri"/>
        <charset val="134"/>
      </rPr>
      <t>1.09e-14</t>
    </r>
  </si>
  <si>
    <r>
      <rPr>
        <sz val="7"/>
        <color rgb="FF231F20"/>
        <rFont val="Calibri"/>
        <charset val="134"/>
      </rPr>
      <t>HFC-329p</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</si>
  <si>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</si>
  <si>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1.13e-10</t>
    </r>
  </si>
  <si>
    <r>
      <rPr>
        <sz val="7"/>
        <color rgb="FF231F20"/>
        <rFont val="Calibri"/>
        <charset val="134"/>
      </rPr>
      <t>2.16e-10</t>
    </r>
  </si>
  <si>
    <r>
      <rPr>
        <sz val="7"/>
        <color rgb="FF231F20"/>
        <rFont val="Calibri"/>
        <charset val="134"/>
      </rPr>
      <t>2.94e-12</t>
    </r>
  </si>
  <si>
    <r>
      <rPr>
        <sz val="7"/>
        <color rgb="FF231F20"/>
        <rFont val="Calibri"/>
        <charset val="134"/>
      </rPr>
      <t>3.96e-13</t>
    </r>
  </si>
  <si>
    <r>
      <rPr>
        <sz val="7"/>
        <color rgb="FF231F20"/>
        <rFont val="Calibri"/>
        <charset val="134"/>
      </rPr>
      <t>HFC-365mfc</t>
    </r>
  </si>
  <si>
    <r>
      <rPr>
        <sz val="7"/>
        <color rgb="FF231F20"/>
        <rFont val="Calibri"/>
        <charset val="134"/>
      </rPr>
      <t>CH</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</si>
  <si>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6.64e-11</t>
    </r>
  </si>
  <si>
    <r>
      <rPr>
        <sz val="7"/>
        <color rgb="FF231F20"/>
        <rFont val="Calibri"/>
        <charset val="134"/>
      </rPr>
      <t>7.38e-11</t>
    </r>
  </si>
  <si>
    <r>
      <rPr>
        <sz val="7"/>
        <color rgb="FF231F20"/>
        <rFont val="Calibri"/>
        <charset val="134"/>
      </rPr>
      <t>1.30e-12</t>
    </r>
  </si>
  <si>
    <r>
      <rPr>
        <sz val="7"/>
        <color rgb="FF231F20"/>
        <rFont val="Calibri"/>
        <charset val="134"/>
      </rPr>
      <t>1.62e-13</t>
    </r>
  </si>
  <si>
    <r>
      <rPr>
        <sz val="7"/>
        <color rgb="FF231F20"/>
        <rFont val="Calibri"/>
        <charset val="134"/>
      </rPr>
      <t>6.24e-14</t>
    </r>
  </si>
  <si>
    <r>
      <rPr>
        <sz val="7"/>
        <color rgb="FF231F20"/>
        <rFont val="Calibri"/>
        <charset val="134"/>
      </rPr>
      <t>HFC-43-10mee</t>
    </r>
  </si>
  <si>
    <r>
      <rPr>
        <sz val="7"/>
        <color rgb="FF231F20"/>
        <rFont val="Calibri"/>
        <charset val="134"/>
      </rPr>
      <t>CF</t>
    </r>
    <r>
      <rPr>
        <sz val="4"/>
        <color rgb="FF231F20"/>
        <rFont val="Calibri"/>
        <charset val="134"/>
      </rPr>
      <t>3</t>
    </r>
    <r>
      <rPr>
        <sz val="7"/>
        <color rgb="FF231F20"/>
        <rFont val="Calibri"/>
        <charset val="134"/>
      </rPr>
      <t>CHFCHFCF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</si>
  <si>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0.42</t>
    </r>
    <r>
      <rPr>
        <sz val="4"/>
        <color rgb="FF231F20"/>
        <rFont val="Calibri"/>
        <charset val="134"/>
      </rPr>
      <t>b</t>
    </r>
  </si>
  <si>
    <r>
      <rPr>
        <sz val="7"/>
        <color rgb="FF231F20"/>
        <rFont val="Calibri"/>
        <charset val="134"/>
      </rPr>
      <t>1.08e-10</t>
    </r>
  </si>
  <si>
    <r>
      <rPr>
        <sz val="7"/>
        <color rgb="FF231F20"/>
        <rFont val="Calibri"/>
        <charset val="134"/>
      </rPr>
      <t>1.51e-10</t>
    </r>
  </si>
  <si>
    <r>
      <rPr>
        <sz val="7"/>
        <color rgb="FF231F20"/>
        <rFont val="Calibri"/>
        <charset val="134"/>
      </rPr>
      <t>2.54e-12</t>
    </r>
  </si>
  <si>
    <r>
      <rPr>
        <sz val="7"/>
        <color rgb="FF231F20"/>
        <rFont val="Calibri"/>
        <charset val="134"/>
      </rPr>
      <t>6.62e-13</t>
    </r>
  </si>
  <si>
    <r>
      <rPr>
        <sz val="7"/>
        <color rgb="FF231F20"/>
        <rFont val="Calibri"/>
        <charset val="134"/>
      </rPr>
      <t>1.54e-13</t>
    </r>
  </si>
  <si>
    <r>
      <rPr>
        <sz val="7"/>
        <color rgb="FF231F20"/>
        <rFont val="Calibri"/>
        <charset val="134"/>
      </rPr>
      <t>HFC-1132a</t>
    </r>
  </si>
  <si>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2</t>
    </r>
  </si>
  <si>
    <r>
      <rPr>
        <sz val="7"/>
        <color rgb="FF231F20"/>
        <rFont val="Calibri"/>
        <charset val="134"/>
      </rPr>
      <t>4.0 days</t>
    </r>
  </si>
  <si>
    <r>
      <rPr>
        <sz val="7"/>
        <color rgb="FF231F20"/>
        <rFont val="Calibri"/>
        <charset val="134"/>
      </rPr>
      <t>0.004</t>
    </r>
    <r>
      <rPr>
        <sz val="4"/>
        <color rgb="FF231F20"/>
        <rFont val="Calibri"/>
        <charset val="134"/>
      </rPr>
      <t>d</t>
    </r>
  </si>
  <si>
    <r>
      <rPr>
        <sz val="7"/>
        <color rgb="FF231F20"/>
        <rFont val="Calibri"/>
        <charset val="134"/>
      </rPr>
      <t>3.87e-15</t>
    </r>
  </si>
  <si>
    <r>
      <rPr>
        <sz val="7"/>
        <color rgb="FF231F20"/>
        <rFont val="Calibri"/>
        <charset val="134"/>
      </rPr>
      <t>3.08e-17</t>
    </r>
  </si>
  <si>
    <r>
      <rPr>
        <sz val="7"/>
        <color rgb="FF231F20"/>
        <rFont val="Calibri"/>
        <charset val="134"/>
      </rPr>
      <t>4.35e-18</t>
    </r>
  </si>
  <si>
    <r>
      <rPr>
        <sz val="7"/>
        <color rgb="FF231F20"/>
        <rFont val="Calibri"/>
        <charset val="134"/>
      </rPr>
      <t>3.18e-18</t>
    </r>
  </si>
  <si>
    <r>
      <rPr>
        <sz val="7"/>
        <color rgb="FF231F20"/>
        <rFont val="Calibri"/>
        <charset val="134"/>
      </rPr>
      <t>HFC-1141</t>
    </r>
  </si>
  <si>
    <r>
      <rPr>
        <sz val="7"/>
        <color rgb="FF231F20"/>
        <rFont val="Calibri"/>
        <charset val="134"/>
      </rPr>
      <t>CH</t>
    </r>
    <r>
      <rPr>
        <sz val="4"/>
        <color rgb="FF231F20"/>
        <rFont val="Calibri"/>
        <charset val="134"/>
      </rPr>
      <t>2</t>
    </r>
    <r>
      <rPr>
        <sz val="7"/>
        <color rgb="FF231F20"/>
        <rFont val="Calibri"/>
        <charset val="134"/>
      </rPr>
      <t>=CHF</t>
    </r>
  </si>
  <si>
    <r>
      <rPr>
        <sz val="7"/>
        <color rgb="FF231F20"/>
        <rFont val="Calibri"/>
        <charset val="134"/>
      </rPr>
      <t>2.1 days</t>
    </r>
  </si>
  <si>
    <r>
      <rPr>
        <sz val="7"/>
        <color rgb="FF231F20"/>
        <rFont val="Calibri"/>
        <charset val="134"/>
      </rPr>
      <t>0.002</t>
    </r>
    <r>
      <rPr>
        <sz val="4"/>
        <color rgb="FF231F20"/>
        <rFont val="Calibri"/>
        <charset val="134"/>
      </rPr>
      <t>d</t>
    </r>
  </si>
  <si>
    <r>
      <rPr>
        <sz val="7"/>
        <color rgb="FF231F20"/>
        <rFont val="Calibri"/>
        <charset val="134"/>
      </rPr>
      <t>1.54e-15</t>
    </r>
  </si>
  <si>
    <r>
      <rPr>
        <sz val="7"/>
        <color rgb="FF231F20"/>
        <rFont val="Calibri"/>
        <charset val="134"/>
      </rPr>
      <t>1.23e-17</t>
    </r>
  </si>
  <si>
    <r>
      <rPr>
        <sz val="7"/>
        <color rgb="FF231F20"/>
        <rFont val="Calibri"/>
        <charset val="134"/>
      </rPr>
      <t>1.73e-18</t>
    </r>
  </si>
  <si>
    <r>
      <rPr>
        <sz val="7"/>
        <color rgb="FF231F20"/>
        <rFont val="Calibri"/>
        <charset val="134"/>
      </rPr>
      <t>1.27e-18</t>
    </r>
  </si>
  <si>
    <r>
      <rPr>
        <sz val="7"/>
        <color rgb="FF231F20"/>
        <rFont val="Calibri"/>
        <charset val="134"/>
      </rPr>
      <t>(Z)-HFC-1225ye</t>
    </r>
  </si>
  <si>
    <r>
      <rPr>
        <sz val="7"/>
        <color rgb="FF231F20"/>
        <rFont val="Calibri"/>
        <charset val="134"/>
      </rPr>
      <t>CF</t>
    </r>
    <r>
      <rPr>
        <sz val="4"/>
        <color rgb="FF231F20"/>
        <rFont val="Calibri"/>
        <charset val="134"/>
      </rPr>
      <t>3</t>
    </r>
    <r>
      <rPr>
        <sz val="7"/>
        <color rgb="FF231F20"/>
        <rFont val="Calibri"/>
        <charset val="134"/>
      </rPr>
      <t>CF=CHF(Z)</t>
    </r>
  </si>
  <si>
    <r>
      <rPr>
        <sz val="7"/>
        <color rgb="FF231F20"/>
        <rFont val="Calibri"/>
        <charset val="134"/>
      </rPr>
      <t>8.5 days</t>
    </r>
  </si>
  <si>
    <r>
      <rPr>
        <sz val="7"/>
        <color rgb="FF231F20"/>
        <rFont val="Calibri"/>
        <charset val="134"/>
      </rPr>
      <t>2.14e-14</t>
    </r>
  </si>
  <si>
    <r>
      <rPr>
        <sz val="7"/>
        <color rgb="FF231F20"/>
        <rFont val="Calibri"/>
        <charset val="134"/>
      </rPr>
      <t>1.70e-16</t>
    </r>
  </si>
  <si>
    <r>
      <rPr>
        <sz val="7"/>
        <color rgb="FF231F20"/>
        <rFont val="Calibri"/>
        <charset val="134"/>
      </rPr>
      <t>2.40e-17</t>
    </r>
  </si>
  <si>
    <r>
      <rPr>
        <sz val="7"/>
        <color rgb="FF231F20"/>
        <rFont val="Calibri"/>
        <charset val="134"/>
      </rPr>
      <t>1.76e-17</t>
    </r>
  </si>
  <si>
    <r>
      <rPr>
        <sz val="7"/>
        <color rgb="FF231F20"/>
        <rFont val="Calibri"/>
        <charset val="134"/>
      </rPr>
      <t>(E)-HFC-1225ye</t>
    </r>
  </si>
  <si>
    <r>
      <rPr>
        <sz val="7"/>
        <color rgb="FF231F20"/>
        <rFont val="Calibri"/>
        <charset val="134"/>
      </rPr>
      <t>CF</t>
    </r>
    <r>
      <rPr>
        <sz val="4"/>
        <color rgb="FF231F20"/>
        <rFont val="Calibri"/>
        <charset val="134"/>
      </rPr>
      <t>3</t>
    </r>
    <r>
      <rPr>
        <sz val="7"/>
        <color rgb="FF231F20"/>
        <rFont val="Calibri"/>
        <charset val="134"/>
      </rPr>
      <t>CF=CHF(E)</t>
    </r>
  </si>
  <si>
    <r>
      <rPr>
        <sz val="7"/>
        <color rgb="FF231F20"/>
        <rFont val="Calibri"/>
        <charset val="134"/>
      </rPr>
      <t>4.9 days</t>
    </r>
  </si>
  <si>
    <r>
      <rPr>
        <sz val="7"/>
        <color rgb="FF231F20"/>
        <rFont val="Calibri"/>
        <charset val="134"/>
      </rPr>
      <t>7.25e-15</t>
    </r>
  </si>
  <si>
    <r>
      <rPr>
        <sz val="7"/>
        <color rgb="FF231F20"/>
        <rFont val="Calibri"/>
        <charset val="134"/>
      </rPr>
      <t>5.77e-17</t>
    </r>
  </si>
  <si>
    <r>
      <rPr>
        <sz val="7"/>
        <color rgb="FF231F20"/>
        <rFont val="Calibri"/>
        <charset val="134"/>
      </rPr>
      <t>8.14e-18</t>
    </r>
  </si>
  <si>
    <r>
      <rPr>
        <sz val="7"/>
        <color rgb="FF231F20"/>
        <rFont val="Calibri"/>
        <charset val="134"/>
      </rPr>
      <t>5.95e-18</t>
    </r>
  </si>
  <si>
    <r>
      <rPr>
        <sz val="7"/>
        <color rgb="FF231F20"/>
        <rFont val="Calibri"/>
        <charset val="134"/>
      </rPr>
      <t>(Z)-HFC-1234ze</t>
    </r>
  </si>
  <si>
    <r>
      <rPr>
        <sz val="7"/>
        <color rgb="FF231F20"/>
        <rFont val="Calibri"/>
        <charset val="134"/>
      </rPr>
      <t>CF</t>
    </r>
    <r>
      <rPr>
        <sz val="4"/>
        <color rgb="FF231F20"/>
        <rFont val="Calibri"/>
        <charset val="134"/>
      </rPr>
      <t>3</t>
    </r>
    <r>
      <rPr>
        <sz val="7"/>
        <color rgb="FF231F20"/>
        <rFont val="Calibri"/>
        <charset val="134"/>
      </rPr>
      <t>CH=CHF(Z)</t>
    </r>
  </si>
  <si>
    <r>
      <rPr>
        <sz val="7"/>
        <color rgb="FF231F20"/>
        <rFont val="Calibri"/>
        <charset val="134"/>
      </rPr>
      <t>10.0 days</t>
    </r>
  </si>
  <si>
    <r>
      <rPr>
        <sz val="7"/>
        <color rgb="FF231F20"/>
        <rFont val="Calibri"/>
        <charset val="134"/>
      </rPr>
      <t>2.61e-14</t>
    </r>
  </si>
  <si>
    <r>
      <rPr>
        <sz val="7"/>
        <color rgb="FF231F20"/>
        <rFont val="Calibri"/>
        <charset val="134"/>
      </rPr>
      <t>2.08e-16</t>
    </r>
  </si>
  <si>
    <r>
      <rPr>
        <sz val="7"/>
        <color rgb="FF231F20"/>
        <rFont val="Calibri"/>
        <charset val="134"/>
      </rPr>
      <t>2.93e-17</t>
    </r>
  </si>
  <si>
    <r>
      <rPr>
        <sz val="7"/>
        <color rgb="FF231F20"/>
        <rFont val="Calibri"/>
        <charset val="134"/>
      </rPr>
      <t>2.14e-17</t>
    </r>
  </si>
  <si>
    <r>
      <rPr>
        <sz val="7"/>
        <color rgb="FF231F20"/>
        <rFont val="Calibri"/>
        <charset val="134"/>
      </rPr>
      <t>HFC-1234yf</t>
    </r>
  </si>
  <si>
    <r>
      <rPr>
        <sz val="7"/>
        <color rgb="FF231F20"/>
        <rFont val="Calibri"/>
        <charset val="134"/>
      </rPr>
      <t>CF</t>
    </r>
    <r>
      <rPr>
        <sz val="4"/>
        <color rgb="FF231F20"/>
        <rFont val="Calibri"/>
        <charset val="134"/>
      </rPr>
      <t>3</t>
    </r>
    <r>
      <rPr>
        <sz val="7"/>
        <color rgb="FF231F20"/>
        <rFont val="Calibri"/>
        <charset val="134"/>
      </rPr>
      <t>CF=CH</t>
    </r>
    <r>
      <rPr>
        <sz val="4"/>
        <color rgb="FF231F20"/>
        <rFont val="Calibri"/>
        <charset val="134"/>
      </rPr>
      <t>2</t>
    </r>
  </si>
  <si>
    <r>
      <rPr>
        <sz val="7"/>
        <color rgb="FF231F20"/>
        <rFont val="Calibri"/>
        <charset val="134"/>
      </rPr>
      <t>10.5 days</t>
    </r>
  </si>
  <si>
    <r>
      <rPr>
        <sz val="7"/>
        <color rgb="FF231F20"/>
        <rFont val="Calibri"/>
        <charset val="134"/>
      </rPr>
      <t>3.22e-14</t>
    </r>
  </si>
  <si>
    <r>
      <rPr>
        <sz val="7"/>
        <color rgb="FF231F20"/>
        <rFont val="Calibri"/>
        <charset val="134"/>
      </rPr>
      <t>2.57e-16</t>
    </r>
  </si>
  <si>
    <r>
      <rPr>
        <sz val="7"/>
        <color rgb="FF231F20"/>
        <rFont val="Calibri"/>
        <charset val="134"/>
      </rPr>
      <t>3.62e-17</t>
    </r>
  </si>
  <si>
    <r>
      <rPr>
        <sz val="7"/>
        <color rgb="FF231F20"/>
        <rFont val="Calibri"/>
        <charset val="134"/>
      </rPr>
      <t>2.65e-17</t>
    </r>
  </si>
  <si>
    <r>
      <rPr>
        <sz val="7"/>
        <color rgb="FF231F20"/>
        <rFont val="Calibri"/>
        <charset val="134"/>
      </rPr>
      <t>(E)-HFC-1234ze</t>
    </r>
  </si>
  <si>
    <r>
      <rPr>
        <sz val="7"/>
        <color rgb="FF231F20"/>
        <rFont val="Calibri"/>
        <charset val="134"/>
      </rPr>
      <t>trans-CF</t>
    </r>
    <r>
      <rPr>
        <sz val="4"/>
        <color rgb="FF231F20"/>
        <rFont val="Calibri"/>
        <charset val="134"/>
      </rPr>
      <t>3</t>
    </r>
    <r>
      <rPr>
        <sz val="7"/>
        <color rgb="FF231F20"/>
        <rFont val="Calibri"/>
        <charset val="134"/>
      </rPr>
      <t>CH=CHF</t>
    </r>
  </si>
  <si>
    <r>
      <rPr>
        <sz val="7"/>
        <color rgb="FF231F20"/>
        <rFont val="Calibri"/>
        <charset val="134"/>
      </rPr>
      <t>16.4 days</t>
    </r>
  </si>
  <si>
    <r>
      <rPr>
        <sz val="7"/>
        <color rgb="FF231F20"/>
        <rFont val="Calibri"/>
        <charset val="134"/>
      </rPr>
      <t>8.74e-14</t>
    </r>
  </si>
  <si>
    <r>
      <rPr>
        <sz val="7"/>
        <color rgb="FF231F20"/>
        <rFont val="Calibri"/>
        <charset val="134"/>
      </rPr>
      <t>6.98e-16</t>
    </r>
  </si>
  <si>
    <r>
      <rPr>
        <sz val="7"/>
        <color rgb="FF231F20"/>
        <rFont val="Calibri"/>
        <charset val="134"/>
      </rPr>
      <t>9.82e-17</t>
    </r>
  </si>
  <si>
    <r>
      <rPr>
        <sz val="7"/>
        <color rgb="FF231F20"/>
        <rFont val="Calibri"/>
        <charset val="134"/>
      </rPr>
      <t>7.18e-17</t>
    </r>
  </si>
  <si>
    <r>
      <rPr>
        <sz val="7"/>
        <color rgb="FF231F20"/>
        <rFont val="Calibri"/>
        <charset val="134"/>
      </rPr>
      <t>(Z)-HFC-1336</t>
    </r>
  </si>
  <si>
    <r>
      <rPr>
        <sz val="7"/>
        <color rgb="FF231F20"/>
        <rFont val="Calibri"/>
        <charset val="134"/>
      </rPr>
      <t>CF</t>
    </r>
    <r>
      <rPr>
        <sz val="4"/>
        <color rgb="FF231F20"/>
        <rFont val="Calibri"/>
        <charset val="134"/>
      </rPr>
      <t>3</t>
    </r>
    <r>
      <rPr>
        <sz val="7"/>
        <color rgb="FF231F20"/>
        <rFont val="Calibri"/>
        <charset val="134"/>
      </rPr>
      <t>CH=CHCF</t>
    </r>
    <r>
      <rPr>
        <sz val="4"/>
        <color rgb="FF231F20"/>
        <rFont val="Calibri"/>
        <charset val="134"/>
      </rPr>
      <t>3</t>
    </r>
    <r>
      <rPr>
        <sz val="7"/>
        <color rgb="FF231F20"/>
        <rFont val="Calibri"/>
        <charset val="134"/>
      </rPr>
      <t>(Z)</t>
    </r>
  </si>
  <si>
    <r>
      <rPr>
        <sz val="7"/>
        <color rgb="FF231F20"/>
        <rFont val="Calibri"/>
        <charset val="134"/>
      </rPr>
      <t>22.0 days</t>
    </r>
  </si>
  <si>
    <r>
      <rPr>
        <sz val="7"/>
        <color rgb="FF231F20"/>
        <rFont val="Calibri"/>
        <charset val="134"/>
      </rPr>
      <t>0.07</t>
    </r>
    <r>
      <rPr>
        <sz val="4"/>
        <color rgb="FF231F20"/>
        <rFont val="Calibri"/>
        <charset val="134"/>
      </rPr>
      <t>d</t>
    </r>
  </si>
  <si>
    <r>
      <rPr>
        <sz val="7"/>
        <color rgb="FF231F20"/>
        <rFont val="Calibri"/>
        <charset val="134"/>
      </rPr>
      <t>1.23e-15</t>
    </r>
  </si>
  <si>
    <r>
      <rPr>
        <sz val="7"/>
        <color rgb="FF231F20"/>
        <rFont val="Calibri"/>
        <charset val="134"/>
      </rPr>
      <t>1.73e-16</t>
    </r>
  </si>
  <si>
    <r>
      <rPr>
        <sz val="7"/>
        <color rgb="FF231F20"/>
        <rFont val="Calibri"/>
        <charset val="134"/>
      </rPr>
      <t>1.26e-16</t>
    </r>
  </si>
  <si>
    <r>
      <rPr>
        <sz val="7"/>
        <color rgb="FF231F20"/>
        <rFont val="Calibri"/>
        <charset val="134"/>
      </rPr>
      <t>HFC-1243zf</t>
    </r>
  </si>
  <si>
    <r>
      <rPr>
        <sz val="7"/>
        <color rgb="FF231F20"/>
        <rFont val="Calibri"/>
        <charset val="134"/>
      </rPr>
      <t>CF</t>
    </r>
    <r>
      <rPr>
        <sz val="4"/>
        <color rgb="FF231F20"/>
        <rFont val="Calibri"/>
        <charset val="134"/>
      </rPr>
      <t>3</t>
    </r>
    <r>
      <rPr>
        <sz val="7"/>
        <color rgb="FF231F20"/>
        <rFont val="Calibri"/>
        <charset val="134"/>
      </rPr>
      <t>CH=CH</t>
    </r>
    <r>
      <rPr>
        <sz val="4"/>
        <color rgb="FF231F20"/>
        <rFont val="Calibri"/>
        <charset val="134"/>
      </rPr>
      <t>2</t>
    </r>
  </si>
  <si>
    <r>
      <rPr>
        <sz val="7"/>
        <color rgb="FF231F20"/>
        <rFont val="Calibri"/>
        <charset val="134"/>
      </rPr>
      <t>7.0 days</t>
    </r>
  </si>
  <si>
    <r>
      <rPr>
        <sz val="7"/>
        <color rgb="FF231F20"/>
        <rFont val="Calibri"/>
        <charset val="134"/>
      </rPr>
      <t>1.37e-14</t>
    </r>
  </si>
  <si>
    <r>
      <rPr>
        <sz val="7"/>
        <color rgb="FF231F20"/>
        <rFont val="Calibri"/>
        <charset val="134"/>
      </rPr>
      <t>1.09e-16</t>
    </r>
  </si>
  <si>
    <r>
      <rPr>
        <sz val="7"/>
        <color rgb="FF231F20"/>
        <rFont val="Calibri"/>
        <charset val="134"/>
      </rPr>
      <t>1.53e-17</t>
    </r>
  </si>
  <si>
    <r>
      <rPr>
        <sz val="7"/>
        <color rgb="FF231F20"/>
        <rFont val="Calibri"/>
        <charset val="134"/>
      </rPr>
      <t>1.12e-17</t>
    </r>
  </si>
  <si>
    <r>
      <rPr>
        <sz val="7"/>
        <color rgb="FF231F20"/>
        <rFont val="Calibri"/>
        <charset val="134"/>
      </rPr>
      <t>HFC-1345zfc</t>
    </r>
  </si>
  <si>
    <r>
      <rPr>
        <sz val="7"/>
        <color rgb="FF231F20"/>
        <rFont val="Calibri"/>
        <charset val="134"/>
      </rPr>
      <t>C</t>
    </r>
    <r>
      <rPr>
        <sz val="4"/>
        <color rgb="FF231F20"/>
        <rFont val="Calibri"/>
        <charset val="134"/>
      </rPr>
      <t>2</t>
    </r>
    <r>
      <rPr>
        <sz val="7"/>
        <color rgb="FF231F20"/>
        <rFont val="Calibri"/>
        <charset val="134"/>
      </rPr>
      <t>F</t>
    </r>
    <r>
      <rPr>
        <sz val="4"/>
        <color rgb="FF231F20"/>
        <rFont val="Calibri"/>
        <charset val="134"/>
      </rPr>
      <t>5</t>
    </r>
    <r>
      <rPr>
        <sz val="7"/>
        <color rgb="FF231F20"/>
        <rFont val="Calibri"/>
        <charset val="134"/>
      </rPr>
      <t>CH=CH</t>
    </r>
    <r>
      <rPr>
        <sz val="4"/>
        <color rgb="FF231F20"/>
        <rFont val="Calibri"/>
        <charset val="134"/>
      </rPr>
      <t>2</t>
    </r>
  </si>
  <si>
    <r>
      <rPr>
        <sz val="7"/>
        <color rgb="FF231F20"/>
        <rFont val="Calibri"/>
        <charset val="134"/>
      </rPr>
      <t>7.6 days</t>
    </r>
  </si>
  <si>
    <r>
      <rPr>
        <sz val="7"/>
        <color rgb="FF231F20"/>
        <rFont val="Calibri"/>
        <charset val="134"/>
      </rPr>
      <t>1.15e-14</t>
    </r>
  </si>
  <si>
    <r>
      <rPr>
        <sz val="7"/>
        <color rgb="FF231F20"/>
        <rFont val="Calibri"/>
        <charset val="134"/>
      </rPr>
      <t>9.19e-17</t>
    </r>
  </si>
  <si>
    <r>
      <rPr>
        <sz val="7"/>
        <color rgb="FF231F20"/>
        <rFont val="Calibri"/>
        <charset val="134"/>
      </rPr>
      <t>1.30e-17</t>
    </r>
  </si>
  <si>
    <r>
      <rPr>
        <sz val="7"/>
        <color rgb="FF231F20"/>
        <rFont val="Calibri"/>
        <charset val="134"/>
      </rPr>
      <t>9.48e-18</t>
    </r>
  </si>
  <si>
    <r>
      <rPr>
        <sz val="7"/>
        <color rgb="FF231F20"/>
        <rFont val="Calibri"/>
        <charset val="134"/>
      </rPr>
      <t>3,3,4,4,5,5,6,6,6-Nonafluorohex-1-ene</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</si>
  <si>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CH=CH</t>
    </r>
    <r>
      <rPr>
        <sz val="4"/>
        <color rgb="FF231F20"/>
        <rFont val="Calibri"/>
        <charset val="134"/>
      </rPr>
      <t>2</t>
    </r>
  </si>
  <si>
    <r>
      <rPr>
        <sz val="7"/>
        <color rgb="FF231F20"/>
        <rFont val="Calibri"/>
        <charset val="134"/>
      </rPr>
      <t>9.92e-17</t>
    </r>
  </si>
  <si>
    <r>
      <rPr>
        <sz val="7"/>
        <color rgb="FF231F20"/>
        <rFont val="Calibri"/>
        <charset val="134"/>
      </rPr>
      <t>1.40e-17</t>
    </r>
  </si>
  <si>
    <r>
      <rPr>
        <sz val="7"/>
        <color rgb="FF231F20"/>
        <rFont val="Calibri"/>
        <charset val="134"/>
      </rPr>
      <t>1.02e-17</t>
    </r>
  </si>
  <si>
    <r>
      <rPr>
        <sz val="7"/>
        <color rgb="FF231F20"/>
        <rFont val="Calibri"/>
        <charset val="134"/>
      </rPr>
      <t>3,3,4,4,5,5,6,6,7,7,8,8,8-Tridecafluorooct-1-ene</t>
    </r>
  </si>
  <si>
    <r>
      <rPr>
        <sz val="7"/>
        <color rgb="FF231F20"/>
        <rFont val="Calibri"/>
        <charset val="134"/>
      </rPr>
      <t>C</t>
    </r>
    <r>
      <rPr>
        <sz val="4"/>
        <color rgb="FF231F20"/>
        <rFont val="Calibri"/>
        <charset val="134"/>
      </rPr>
      <t>6</t>
    </r>
    <r>
      <rPr>
        <sz val="7"/>
        <color rgb="FF231F20"/>
        <rFont val="Calibri"/>
        <charset val="134"/>
      </rPr>
      <t>F</t>
    </r>
    <r>
      <rPr>
        <sz val="4"/>
        <color rgb="FF231F20"/>
        <rFont val="Calibri"/>
        <charset val="134"/>
      </rPr>
      <t>13</t>
    </r>
    <r>
      <rPr>
        <sz val="7"/>
        <color rgb="FF231F20"/>
        <rFont val="Calibri"/>
        <charset val="134"/>
      </rPr>
      <t>CH=CH</t>
    </r>
    <r>
      <rPr>
        <sz val="4"/>
        <color rgb="FF231F20"/>
        <rFont val="Calibri"/>
        <charset val="134"/>
      </rPr>
      <t>2</t>
    </r>
  </si>
  <si>
    <r>
      <rPr>
        <sz val="7"/>
        <color rgb="FF231F20"/>
        <rFont val="Calibri"/>
        <charset val="134"/>
      </rPr>
      <t>9.89e-15</t>
    </r>
  </si>
  <si>
    <r>
      <rPr>
        <sz val="7"/>
        <color rgb="FF231F20"/>
        <rFont val="Calibri"/>
        <charset val="134"/>
      </rPr>
      <t>7.87e-17</t>
    </r>
  </si>
  <si>
    <r>
      <rPr>
        <sz val="7"/>
        <color rgb="FF231F20"/>
        <rFont val="Calibri"/>
        <charset val="134"/>
      </rPr>
      <t>1.11e-17</t>
    </r>
  </si>
  <si>
    <r>
      <rPr>
        <sz val="7"/>
        <color rgb="FF231F20"/>
        <rFont val="Calibri"/>
        <charset val="134"/>
      </rPr>
      <t>8.12e-18</t>
    </r>
  </si>
  <si>
    <r>
      <rPr>
        <sz val="7"/>
        <color rgb="FF231F20"/>
        <rFont val="Calibri"/>
        <charset val="134"/>
      </rPr>
      <t xml:space="preserve">3,3,4,4,5,5,6,6,7,7,8,8,9,9,10,10,10-Hep-
</t>
    </r>
    <r>
      <rPr>
        <sz val="7"/>
        <color rgb="FF231F20"/>
        <rFont val="Calibri"/>
        <charset val="134"/>
      </rPr>
      <t>tadecafluorodec-1-ene</t>
    </r>
  </si>
  <si>
    <r>
      <rPr>
        <sz val="7"/>
        <color rgb="FF231F20"/>
        <rFont val="Calibri"/>
        <charset val="134"/>
      </rPr>
      <t>C</t>
    </r>
    <r>
      <rPr>
        <sz val="4"/>
        <color rgb="FF231F20"/>
        <rFont val="Calibri"/>
        <charset val="134"/>
      </rPr>
      <t>8</t>
    </r>
    <r>
      <rPr>
        <sz val="7"/>
        <color rgb="FF231F20"/>
        <rFont val="Calibri"/>
        <charset val="134"/>
      </rPr>
      <t>F</t>
    </r>
    <r>
      <rPr>
        <sz val="4"/>
        <color rgb="FF231F20"/>
        <rFont val="Calibri"/>
        <charset val="134"/>
      </rPr>
      <t>17</t>
    </r>
    <r>
      <rPr>
        <sz val="7"/>
        <color rgb="FF231F20"/>
        <rFont val="Calibri"/>
        <charset val="134"/>
      </rPr>
      <t>CH=CH</t>
    </r>
    <r>
      <rPr>
        <sz val="4"/>
        <color rgb="FF231F20"/>
        <rFont val="Calibri"/>
        <charset val="134"/>
      </rPr>
      <t>2</t>
    </r>
  </si>
  <si>
    <r>
      <rPr>
        <sz val="7"/>
        <color rgb="FF231F20"/>
        <rFont val="Calibri"/>
        <charset val="134"/>
      </rPr>
      <t>8.52e-15</t>
    </r>
  </si>
  <si>
    <r>
      <rPr>
        <sz val="7"/>
        <color rgb="FF231F20"/>
        <rFont val="Calibri"/>
        <charset val="134"/>
      </rPr>
      <t>6.79e-17</t>
    </r>
  </si>
  <si>
    <r>
      <rPr>
        <sz val="7"/>
        <color rgb="FF231F20"/>
        <rFont val="Calibri"/>
        <charset val="134"/>
      </rPr>
      <t>9.57e-18</t>
    </r>
  </si>
  <si>
    <r>
      <rPr>
        <sz val="7"/>
        <color rgb="FF231F20"/>
        <rFont val="Calibri"/>
        <charset val="134"/>
      </rPr>
      <t>7.00e-18</t>
    </r>
  </si>
  <si>
    <r>
      <rPr>
        <sz val="7"/>
        <color rgb="FF231F20"/>
        <rFont val="Calibri"/>
        <charset val="134"/>
      </rPr>
      <t>Methyl chloroform</t>
    </r>
  </si>
  <si>
    <r>
      <rPr>
        <sz val="7"/>
        <color rgb="FF231F20"/>
        <rFont val="Calibri"/>
        <charset val="134"/>
      </rPr>
      <t>CH</t>
    </r>
    <r>
      <rPr>
        <sz val="4"/>
        <color rgb="FF231F20"/>
        <rFont val="Calibri"/>
        <charset val="134"/>
      </rPr>
      <t>3</t>
    </r>
    <r>
      <rPr>
        <sz val="7"/>
        <color rgb="FF231F20"/>
        <rFont val="Calibri"/>
        <charset val="134"/>
      </rPr>
      <t>CCl</t>
    </r>
    <r>
      <rPr>
        <sz val="4"/>
        <color rgb="FF231F20"/>
        <rFont val="Calibri"/>
        <charset val="134"/>
      </rPr>
      <t>3</t>
    </r>
  </si>
  <si>
    <r>
      <rPr>
        <sz val="7"/>
        <color rgb="FF231F20"/>
        <rFont val="Calibri"/>
        <charset val="134"/>
      </rPr>
      <t>1.44e-11</t>
    </r>
  </si>
  <si>
    <r>
      <rPr>
        <sz val="7"/>
        <color rgb="FF231F20"/>
        <rFont val="Calibri"/>
        <charset val="134"/>
      </rPr>
      <t>1.47e-11</t>
    </r>
  </si>
  <si>
    <r>
      <rPr>
        <sz val="7"/>
        <color rgb="FF231F20"/>
        <rFont val="Calibri"/>
        <charset val="134"/>
      </rPr>
      <t>2.17e-13</t>
    </r>
  </si>
  <si>
    <r>
      <rPr>
        <sz val="7"/>
        <color rgb="FF231F20"/>
        <rFont val="Calibri"/>
        <charset val="134"/>
      </rPr>
      <t>2.07e-14</t>
    </r>
  </si>
  <si>
    <r>
      <rPr>
        <sz val="7"/>
        <color rgb="FF231F20"/>
        <rFont val="Calibri"/>
        <charset val="134"/>
      </rPr>
      <t>1.22e-14</t>
    </r>
  </si>
  <si>
    <r>
      <rPr>
        <sz val="7"/>
        <color rgb="FF231F20"/>
        <rFont val="Calibri"/>
        <charset val="134"/>
      </rPr>
      <t>Carbon tetrachloride</t>
    </r>
  </si>
  <si>
    <r>
      <rPr>
        <sz val="7"/>
        <color rgb="FF231F20"/>
        <rFont val="Calibri"/>
        <charset val="134"/>
      </rPr>
      <t>CCl</t>
    </r>
    <r>
      <rPr>
        <sz val="4"/>
        <color rgb="FF231F20"/>
        <rFont val="Calibri"/>
        <charset val="134"/>
      </rPr>
      <t>4</t>
    </r>
  </si>
  <si>
    <r>
      <rPr>
        <sz val="7"/>
        <color rgb="FF231F20"/>
        <rFont val="Calibri"/>
        <charset val="134"/>
      </rPr>
      <t>8.69e-11</t>
    </r>
  </si>
  <si>
    <r>
      <rPr>
        <sz val="7"/>
        <color rgb="FF231F20"/>
        <rFont val="Calibri"/>
        <charset val="134"/>
      </rPr>
      <t>1.59e-10</t>
    </r>
  </si>
  <si>
    <r>
      <rPr>
        <sz val="7"/>
        <color rgb="FF231F20"/>
        <rFont val="Calibri"/>
        <charset val="134"/>
      </rPr>
      <t>2.24e-12</t>
    </r>
  </si>
  <si>
    <r>
      <rPr>
        <sz val="7"/>
        <color rgb="FF231F20"/>
        <rFont val="Calibri"/>
        <charset val="134"/>
      </rPr>
      <t>9.68e-13</t>
    </r>
  </si>
  <si>
    <r>
      <rPr>
        <sz val="7"/>
        <color rgb="FF231F20"/>
        <rFont val="Calibri"/>
        <charset val="134"/>
      </rPr>
      <t>2.62e-13</t>
    </r>
  </si>
  <si>
    <r>
      <rPr>
        <sz val="7"/>
        <color rgb="FF231F20"/>
        <rFont val="Calibri"/>
        <charset val="134"/>
      </rPr>
      <t>Methyl chloride</t>
    </r>
  </si>
  <si>
    <r>
      <rPr>
        <sz val="7"/>
        <color rgb="FF231F20"/>
        <rFont val="Calibri"/>
        <charset val="134"/>
      </rPr>
      <t>CH</t>
    </r>
    <r>
      <rPr>
        <sz val="4"/>
        <color rgb="FF231F20"/>
        <rFont val="Calibri"/>
        <charset val="134"/>
      </rPr>
      <t>3</t>
    </r>
    <r>
      <rPr>
        <sz val="7"/>
        <color rgb="FF231F20"/>
        <rFont val="Calibri"/>
        <charset val="134"/>
      </rPr>
      <t>Cl</t>
    </r>
  </si>
  <si>
    <r>
      <rPr>
        <sz val="7"/>
        <color rgb="FF231F20"/>
        <rFont val="Calibri"/>
        <charset val="134"/>
      </rPr>
      <t>0.01</t>
    </r>
    <r>
      <rPr>
        <sz val="4"/>
        <color rgb="FF231F20"/>
        <rFont val="Calibri"/>
        <charset val="134"/>
      </rPr>
      <t>a</t>
    </r>
  </si>
  <si>
    <r>
      <rPr>
        <sz val="7"/>
        <color rgb="FF231F20"/>
        <rFont val="Calibri"/>
        <charset val="134"/>
      </rPr>
      <t>1.12e-12</t>
    </r>
  </si>
  <si>
    <r>
      <rPr>
        <sz val="7"/>
        <color rgb="FF231F20"/>
        <rFont val="Calibri"/>
        <charset val="134"/>
      </rPr>
      <t>9.93e-15</t>
    </r>
  </si>
  <si>
    <r>
      <rPr>
        <sz val="7"/>
        <color rgb="FF231F20"/>
        <rFont val="Calibri"/>
        <charset val="134"/>
      </rPr>
      <t>1.29e-15</t>
    </r>
  </si>
  <si>
    <r>
      <rPr>
        <sz val="7"/>
        <color rgb="FF231F20"/>
        <rFont val="Calibri"/>
        <charset val="134"/>
      </rPr>
      <t>9.20e-16</t>
    </r>
  </si>
  <si>
    <r>
      <rPr>
        <sz val="7"/>
        <color rgb="FF231F20"/>
        <rFont val="Calibri"/>
        <charset val="134"/>
      </rPr>
      <t>Methylene chloride</t>
    </r>
  </si>
  <si>
    <r>
      <rPr>
        <sz val="7"/>
        <color rgb="FF231F20"/>
        <rFont val="Calibri"/>
        <charset val="134"/>
      </rPr>
      <t>CH</t>
    </r>
    <r>
      <rPr>
        <sz val="4"/>
        <color rgb="FF231F20"/>
        <rFont val="Calibri"/>
        <charset val="134"/>
      </rPr>
      <t>2</t>
    </r>
    <r>
      <rPr>
        <sz val="7"/>
        <color rgb="FF231F20"/>
        <rFont val="Calibri"/>
        <charset val="134"/>
      </rPr>
      <t>Cl</t>
    </r>
    <r>
      <rPr>
        <sz val="4"/>
        <color rgb="FF231F20"/>
        <rFont val="Calibri"/>
        <charset val="134"/>
      </rPr>
      <t>2</t>
    </r>
  </si>
  <si>
    <r>
      <rPr>
        <sz val="7"/>
        <color rgb="FF231F20"/>
        <rFont val="Calibri"/>
        <charset val="134"/>
      </rPr>
      <t>0.03</t>
    </r>
    <r>
      <rPr>
        <sz val="4"/>
        <color rgb="FF231F20"/>
        <rFont val="Calibri"/>
        <charset val="134"/>
      </rPr>
      <t>b</t>
    </r>
  </si>
  <si>
    <r>
      <rPr>
        <sz val="7"/>
        <color rgb="FF231F20"/>
        <rFont val="Calibri"/>
        <charset val="134"/>
      </rPr>
      <t>8.18e-13</t>
    </r>
  </si>
  <si>
    <r>
      <rPr>
        <sz val="7"/>
        <color rgb="FF231F20"/>
        <rFont val="Calibri"/>
        <charset val="134"/>
      </rPr>
      <t>6.78e-15</t>
    </r>
  </si>
  <si>
    <r>
      <rPr>
        <sz val="7"/>
        <color rgb="FF231F20"/>
        <rFont val="Calibri"/>
        <charset val="134"/>
      </rPr>
      <t>9.26e-16</t>
    </r>
  </si>
  <si>
    <r>
      <rPr>
        <sz val="7"/>
        <color rgb="FF231F20"/>
        <rFont val="Calibri"/>
        <charset val="134"/>
      </rPr>
      <t>6.72e-16</t>
    </r>
  </si>
  <si>
    <r>
      <rPr>
        <sz val="7"/>
        <color rgb="FF231F20"/>
        <rFont val="Calibri"/>
        <charset val="134"/>
      </rPr>
      <t>Chloroform</t>
    </r>
  </si>
  <si>
    <r>
      <rPr>
        <sz val="7"/>
        <color rgb="FF231F20"/>
        <rFont val="Calibri"/>
        <charset val="134"/>
      </rPr>
      <t>CHCl</t>
    </r>
    <r>
      <rPr>
        <sz val="4"/>
        <color rgb="FF231F20"/>
        <rFont val="Calibri"/>
        <charset val="134"/>
      </rPr>
      <t>3</t>
    </r>
  </si>
  <si>
    <r>
      <rPr>
        <sz val="7"/>
        <color rgb="FF231F20"/>
        <rFont val="Calibri"/>
        <charset val="134"/>
      </rPr>
      <t>1.50e-12</t>
    </r>
  </si>
  <si>
    <r>
      <rPr>
        <sz val="7"/>
        <color rgb="FF231F20"/>
        <rFont val="Calibri"/>
        <charset val="134"/>
      </rPr>
      <t>1.70e-15</t>
    </r>
  </si>
  <si>
    <r>
      <rPr>
        <sz val="7"/>
        <color rgb="FF231F20"/>
        <rFont val="Calibri"/>
        <charset val="134"/>
      </rPr>
      <t>1,2-Dichloroethane</t>
    </r>
  </si>
  <si>
    <r>
      <rPr>
        <sz val="7"/>
        <color rgb="FF231F20"/>
        <rFont val="Calibri"/>
        <charset val="134"/>
      </rPr>
      <t>CH</t>
    </r>
    <r>
      <rPr>
        <sz val="4"/>
        <color rgb="FF231F20"/>
        <rFont val="Calibri"/>
        <charset val="134"/>
      </rPr>
      <t>2</t>
    </r>
    <r>
      <rPr>
        <sz val="7"/>
        <color rgb="FF231F20"/>
        <rFont val="Calibri"/>
        <charset val="134"/>
      </rPr>
      <t>ClCH</t>
    </r>
    <r>
      <rPr>
        <sz val="4"/>
        <color rgb="FF231F20"/>
        <rFont val="Calibri"/>
        <charset val="134"/>
      </rPr>
      <t>2</t>
    </r>
    <r>
      <rPr>
        <sz val="7"/>
        <color rgb="FF231F20"/>
        <rFont val="Calibri"/>
        <charset val="134"/>
      </rPr>
      <t>Cl</t>
    </r>
  </si>
  <si>
    <r>
      <rPr>
        <sz val="7"/>
        <color rgb="FF231F20"/>
        <rFont val="Calibri"/>
        <charset val="134"/>
      </rPr>
      <t>65.0 days</t>
    </r>
  </si>
  <si>
    <r>
      <rPr>
        <sz val="7"/>
        <color rgb="FF231F20"/>
        <rFont val="Calibri"/>
        <charset val="134"/>
      </rPr>
      <t>8.24e-14</t>
    </r>
  </si>
  <si>
    <r>
      <rPr>
        <sz val="7"/>
        <color rgb="FF231F20"/>
        <rFont val="Calibri"/>
        <charset val="134"/>
      </rPr>
      <t>6.67e-16</t>
    </r>
  </si>
  <si>
    <r>
      <rPr>
        <sz val="7"/>
        <color rgb="FF231F20"/>
        <rFont val="Calibri"/>
        <charset val="134"/>
      </rPr>
      <t>9.29e-17</t>
    </r>
  </si>
  <si>
    <r>
      <rPr>
        <sz val="7"/>
        <color rgb="FF231F20"/>
        <rFont val="Calibri"/>
        <charset val="134"/>
      </rPr>
      <t>6.77e-17</t>
    </r>
  </si>
  <si>
    <r>
      <rPr>
        <sz val="7"/>
        <color rgb="FF231F20"/>
        <rFont val="Calibri"/>
        <charset val="134"/>
      </rPr>
      <t>Methyl bromide</t>
    </r>
  </si>
  <si>
    <r>
      <rPr>
        <sz val="7"/>
        <color rgb="FF231F20"/>
        <rFont val="Calibri"/>
        <charset val="134"/>
      </rPr>
      <t>CH</t>
    </r>
    <r>
      <rPr>
        <sz val="4"/>
        <color rgb="FF231F20"/>
        <rFont val="Calibri"/>
        <charset val="134"/>
      </rPr>
      <t>3</t>
    </r>
    <r>
      <rPr>
        <sz val="7"/>
        <color rgb="FF231F20"/>
        <rFont val="Calibri"/>
        <charset val="134"/>
      </rPr>
      <t>Br</t>
    </r>
  </si>
  <si>
    <r>
      <rPr>
        <sz val="7"/>
        <color rgb="FF231F20"/>
        <rFont val="Calibri"/>
        <charset val="134"/>
      </rPr>
      <t>2.16e-13</t>
    </r>
  </si>
  <si>
    <r>
      <rPr>
        <sz val="7"/>
        <color rgb="FF231F20"/>
        <rFont val="Calibri"/>
        <charset val="134"/>
      </rPr>
      <t>1.87e-15</t>
    </r>
  </si>
  <si>
    <r>
      <rPr>
        <sz val="7"/>
        <color rgb="FF231F20"/>
        <rFont val="Calibri"/>
        <charset val="134"/>
      </rPr>
      <t>2.47e-16</t>
    </r>
  </si>
  <si>
    <r>
      <rPr>
        <sz val="7"/>
        <color rgb="FF231F20"/>
        <rFont val="Calibri"/>
        <charset val="134"/>
      </rPr>
      <t>1.78e-16</t>
    </r>
  </si>
  <si>
    <r>
      <rPr>
        <sz val="7"/>
        <color rgb="FF231F20"/>
        <rFont val="Calibri"/>
        <charset val="134"/>
      </rPr>
      <t>Methylene bromide</t>
    </r>
  </si>
  <si>
    <r>
      <rPr>
        <sz val="7"/>
        <color rgb="FF231F20"/>
        <rFont val="Calibri"/>
        <charset val="134"/>
      </rPr>
      <t>CH</t>
    </r>
    <r>
      <rPr>
        <sz val="4"/>
        <color rgb="FF231F20"/>
        <rFont val="Calibri"/>
        <charset val="134"/>
      </rPr>
      <t>2</t>
    </r>
    <r>
      <rPr>
        <sz val="7"/>
        <color rgb="FF231F20"/>
        <rFont val="Calibri"/>
        <charset val="134"/>
      </rPr>
      <t>Br</t>
    </r>
    <r>
      <rPr>
        <sz val="4"/>
        <color rgb="FF231F20"/>
        <rFont val="Calibri"/>
        <charset val="134"/>
      </rPr>
      <t>2</t>
    </r>
  </si>
  <si>
    <r>
      <rPr>
        <sz val="7"/>
        <color rgb="FF231F20"/>
        <rFont val="Calibri"/>
        <charset val="134"/>
      </rPr>
      <t>9.31e-14</t>
    </r>
  </si>
  <si>
    <r>
      <rPr>
        <sz val="7"/>
        <color rgb="FF231F20"/>
        <rFont val="Calibri"/>
        <charset val="134"/>
      </rPr>
      <t>7.66e-16</t>
    </r>
  </si>
  <si>
    <r>
      <rPr>
        <sz val="7"/>
        <color rgb="FF231F20"/>
        <rFont val="Calibri"/>
        <charset val="134"/>
      </rPr>
      <t>1.05e-16</t>
    </r>
  </si>
  <si>
    <r>
      <rPr>
        <sz val="7"/>
        <color rgb="FF231F20"/>
        <rFont val="Calibri"/>
        <charset val="134"/>
      </rPr>
      <t>7.65e-17</t>
    </r>
  </si>
  <si>
    <r>
      <rPr>
        <sz val="7"/>
        <color rgb="FF231F20"/>
        <rFont val="Calibri"/>
        <charset val="134"/>
      </rPr>
      <t>Halon-1201</t>
    </r>
  </si>
  <si>
    <r>
      <rPr>
        <sz val="7"/>
        <color rgb="FF231F20"/>
        <rFont val="Calibri"/>
        <charset val="134"/>
      </rPr>
      <t>CHBrF</t>
    </r>
    <r>
      <rPr>
        <sz val="4"/>
        <color rgb="FF231F20"/>
        <rFont val="Calibri"/>
        <charset val="134"/>
      </rPr>
      <t>2</t>
    </r>
  </si>
  <si>
    <r>
      <rPr>
        <sz val="7"/>
        <color rgb="FF231F20"/>
        <rFont val="Calibri"/>
        <charset val="134"/>
      </rPr>
      <t>3.45e-11</t>
    </r>
  </si>
  <si>
    <r>
      <rPr>
        <sz val="7"/>
        <color rgb="FF231F20"/>
        <rFont val="Calibri"/>
        <charset val="134"/>
      </rPr>
      <t>5.17e-13</t>
    </r>
  </si>
  <si>
    <r>
      <rPr>
        <sz val="7"/>
        <color rgb="FF231F20"/>
        <rFont val="Calibri"/>
        <charset val="134"/>
      </rPr>
      <t>4.96e-14</t>
    </r>
  </si>
  <si>
    <r>
      <rPr>
        <sz val="7"/>
        <color rgb="FF231F20"/>
        <rFont val="Calibri"/>
        <charset val="134"/>
      </rPr>
      <t>2.87e-14</t>
    </r>
  </si>
  <si>
    <r>
      <rPr>
        <sz val="7"/>
        <color rgb="FF231F20"/>
        <rFont val="Calibri"/>
        <charset val="134"/>
      </rPr>
      <t>Halon-1202</t>
    </r>
  </si>
  <si>
    <r>
      <rPr>
        <sz val="7"/>
        <color rgb="FF231F20"/>
        <rFont val="Calibri"/>
        <charset val="134"/>
      </rPr>
      <t>CBr</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</si>
  <si>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2.12e-11</t>
    </r>
  </si>
  <si>
    <r>
      <rPr>
        <sz val="7"/>
        <color rgb="FF231F20"/>
        <rFont val="Calibri"/>
        <charset val="134"/>
      </rPr>
      <t>2.43e-13</t>
    </r>
  </si>
  <si>
    <r>
      <rPr>
        <sz val="7"/>
        <color rgb="FF231F20"/>
        <rFont val="Calibri"/>
        <charset val="134"/>
      </rPr>
      <t>1.75e-14</t>
    </r>
  </si>
  <si>
    <r>
      <rPr>
        <sz val="7"/>
        <color rgb="FF231F20"/>
        <rFont val="Calibri"/>
        <charset val="134"/>
      </rPr>
      <t>Halon-1211</t>
    </r>
  </si>
  <si>
    <r>
      <rPr>
        <sz val="7"/>
        <color rgb="FF231F20"/>
        <rFont val="Calibri"/>
        <charset val="134"/>
      </rPr>
      <t>CBrClF</t>
    </r>
    <r>
      <rPr>
        <sz val="4"/>
        <color rgb="FF231F20"/>
        <rFont val="Calibri"/>
        <charset val="134"/>
      </rPr>
      <t>2</t>
    </r>
  </si>
  <si>
    <r>
      <rPr>
        <sz val="7"/>
        <color rgb="FF231F20"/>
        <rFont val="Calibri"/>
        <charset val="134"/>
      </rPr>
      <t>1.15e-10</t>
    </r>
  </si>
  <si>
    <r>
      <rPr>
        <sz val="7"/>
        <color rgb="FF231F20"/>
        <rFont val="Calibri"/>
        <charset val="134"/>
      </rPr>
      <t>1.60e-10</t>
    </r>
  </si>
  <si>
    <r>
      <rPr>
        <sz val="7"/>
        <color rgb="FF231F20"/>
        <rFont val="Calibri"/>
        <charset val="134"/>
      </rPr>
      <t>2.70e-12</t>
    </r>
  </si>
  <si>
    <r>
      <rPr>
        <sz val="7"/>
        <color rgb="FF231F20"/>
        <rFont val="Calibri"/>
        <charset val="134"/>
      </rPr>
      <t>6.98e-13</t>
    </r>
  </si>
  <si>
    <r>
      <rPr>
        <sz val="7"/>
        <color rgb="FF231F20"/>
        <rFont val="Calibri"/>
        <charset val="134"/>
      </rPr>
      <t>Halon-1301</t>
    </r>
  </si>
  <si>
    <r>
      <rPr>
        <sz val="7"/>
        <color rgb="FF231F20"/>
        <rFont val="Calibri"/>
        <charset val="134"/>
      </rPr>
      <t>CBrF</t>
    </r>
    <r>
      <rPr>
        <sz val="4"/>
        <color rgb="FF231F20"/>
        <rFont val="Calibri"/>
        <charset val="134"/>
      </rPr>
      <t>3</t>
    </r>
  </si>
  <si>
    <r>
      <rPr>
        <sz val="7"/>
        <color rgb="FF231F20"/>
        <rFont val="Calibri"/>
        <charset val="134"/>
      </rPr>
      <t>1.95e-10</t>
    </r>
  </si>
  <si>
    <r>
      <rPr>
        <sz val="7"/>
        <color rgb="FF231F20"/>
        <rFont val="Calibri"/>
        <charset val="134"/>
      </rPr>
      <t>5.77e-10</t>
    </r>
  </si>
  <si>
    <r>
      <rPr>
        <sz val="7"/>
        <color rgb="FF231F20"/>
        <rFont val="Calibri"/>
        <charset val="134"/>
      </rPr>
      <t>5.46e-12</t>
    </r>
  </si>
  <si>
    <r>
      <rPr>
        <sz val="7"/>
        <color rgb="FF231F20"/>
        <rFont val="Calibri"/>
        <charset val="134"/>
      </rPr>
      <t>4.16e-12</t>
    </r>
  </si>
  <si>
    <r>
      <rPr>
        <sz val="7"/>
        <color rgb="FF231F20"/>
        <rFont val="Calibri"/>
        <charset val="134"/>
      </rPr>
      <t>2.28e-12</t>
    </r>
  </si>
  <si>
    <r>
      <rPr>
        <sz val="7"/>
        <color rgb="FF231F20"/>
        <rFont val="Calibri"/>
        <charset val="134"/>
      </rPr>
      <t>Halon-2301</t>
    </r>
  </si>
  <si>
    <r>
      <rPr>
        <sz val="7"/>
        <color rgb="FF231F20"/>
        <rFont val="Calibri"/>
        <charset val="134"/>
      </rPr>
      <t>CH</t>
    </r>
    <r>
      <rPr>
        <sz val="4"/>
        <color rgb="FF231F20"/>
        <rFont val="Calibri"/>
        <charset val="134"/>
      </rPr>
      <t>2</t>
    </r>
    <r>
      <rPr>
        <sz val="7"/>
        <color rgb="FF231F20"/>
        <rFont val="Calibri"/>
        <charset val="134"/>
      </rPr>
      <t>BrCF</t>
    </r>
    <r>
      <rPr>
        <sz val="4"/>
        <color rgb="FF231F20"/>
        <rFont val="Calibri"/>
        <charset val="134"/>
      </rPr>
      <t>3</t>
    </r>
  </si>
  <si>
    <r>
      <rPr>
        <sz val="7"/>
        <color rgb="FF231F20"/>
        <rFont val="Calibri"/>
        <charset val="134"/>
      </rPr>
      <t>1.59e-11</t>
    </r>
  </si>
  <si>
    <r>
      <rPr>
        <sz val="7"/>
        <color rgb="FF231F20"/>
        <rFont val="Calibri"/>
        <charset val="134"/>
      </rPr>
      <t>1.96e-13</t>
    </r>
  </si>
  <si>
    <r>
      <rPr>
        <sz val="7"/>
        <color rgb="FF231F20"/>
        <rFont val="Calibri"/>
        <charset val="134"/>
      </rPr>
      <t>2.01e-14</t>
    </r>
  </si>
  <si>
    <r>
      <rPr>
        <sz val="7"/>
        <color rgb="FF231F20"/>
        <rFont val="Calibri"/>
        <charset val="134"/>
      </rPr>
      <t>1.32e-14</t>
    </r>
  </si>
  <si>
    <r>
      <rPr>
        <sz val="7"/>
        <color rgb="FF231F20"/>
        <rFont val="Calibri"/>
        <charset val="134"/>
      </rPr>
      <t>Halon-2311 / Halothane</t>
    </r>
  </si>
  <si>
    <r>
      <rPr>
        <sz val="7"/>
        <color rgb="FF231F20"/>
        <rFont val="Calibri"/>
        <charset val="134"/>
      </rPr>
      <t>CHBrClCF</t>
    </r>
    <r>
      <rPr>
        <sz val="4"/>
        <color rgb="FF231F20"/>
        <rFont val="Calibri"/>
        <charset val="134"/>
      </rPr>
      <t>3</t>
    </r>
  </si>
  <si>
    <r>
      <rPr>
        <sz val="7"/>
        <color rgb="FF231F20"/>
        <rFont val="Calibri"/>
        <charset val="134"/>
      </rPr>
      <t>3.77e-12</t>
    </r>
  </si>
  <si>
    <r>
      <rPr>
        <sz val="7"/>
        <color rgb="FF231F20"/>
        <rFont val="Calibri"/>
        <charset val="134"/>
      </rPr>
      <t>3.35e-14</t>
    </r>
  </si>
  <si>
    <r>
      <rPr>
        <sz val="7"/>
        <color rgb="FF231F20"/>
        <rFont val="Calibri"/>
        <charset val="134"/>
      </rPr>
      <t>4.34e-15</t>
    </r>
  </si>
  <si>
    <r>
      <rPr>
        <sz val="7"/>
        <color rgb="FF231F20"/>
        <rFont val="Calibri"/>
        <charset val="134"/>
      </rPr>
      <t>3.10e-15</t>
    </r>
  </si>
  <si>
    <r>
      <rPr>
        <sz val="7"/>
        <color rgb="FF231F20"/>
        <rFont val="Calibri"/>
        <charset val="134"/>
      </rPr>
      <t>Halon-2401</t>
    </r>
  </si>
  <si>
    <r>
      <rPr>
        <sz val="7"/>
        <color rgb="FF231F20"/>
        <rFont val="Calibri"/>
        <charset val="134"/>
      </rPr>
      <t>CHFBrCF</t>
    </r>
    <r>
      <rPr>
        <sz val="4"/>
        <color rgb="FF231F20"/>
        <rFont val="Calibri"/>
        <charset val="134"/>
      </rPr>
      <t>3</t>
    </r>
  </si>
  <si>
    <r>
      <rPr>
        <sz val="7"/>
        <color rgb="FF231F20"/>
        <rFont val="Calibri"/>
        <charset val="134"/>
      </rPr>
      <t>1.68e-11</t>
    </r>
  </si>
  <si>
    <r>
      <rPr>
        <sz val="7"/>
        <color rgb="FF231F20"/>
        <rFont val="Calibri"/>
        <charset val="134"/>
      </rPr>
      <t>1.94e-13</t>
    </r>
  </si>
  <si>
    <r>
      <rPr>
        <sz val="7"/>
        <color rgb="FF231F20"/>
        <rFont val="Calibri"/>
        <charset val="134"/>
      </rPr>
      <t>1.39e-14</t>
    </r>
  </si>
  <si>
    <r>
      <rPr>
        <sz val="7"/>
        <color rgb="FF231F20"/>
        <rFont val="Calibri"/>
        <charset val="134"/>
      </rPr>
      <t>Halon-2402</t>
    </r>
  </si>
  <si>
    <r>
      <rPr>
        <sz val="7"/>
        <color rgb="FF231F20"/>
        <rFont val="Calibri"/>
        <charset val="134"/>
      </rPr>
      <t>CBrF</t>
    </r>
    <r>
      <rPr>
        <sz val="4"/>
        <color rgb="FF231F20"/>
        <rFont val="Calibri"/>
        <charset val="134"/>
      </rPr>
      <t>2</t>
    </r>
    <r>
      <rPr>
        <sz val="7"/>
        <color rgb="FF231F20"/>
        <rFont val="Calibri"/>
        <charset val="134"/>
      </rPr>
      <t>CBrF</t>
    </r>
    <r>
      <rPr>
        <sz val="4"/>
        <color rgb="FF231F20"/>
        <rFont val="Calibri"/>
        <charset val="134"/>
      </rPr>
      <t>2</t>
    </r>
  </si>
  <si>
    <r>
      <rPr>
        <sz val="7"/>
        <color rgb="FF231F20"/>
        <rFont val="Calibri"/>
        <charset val="134"/>
      </rPr>
      <t>8.59e-11</t>
    </r>
  </si>
  <si>
    <r>
      <rPr>
        <sz val="7"/>
        <color rgb="FF231F20"/>
        <rFont val="Calibri"/>
        <charset val="134"/>
      </rPr>
      <t>1.35e-10</t>
    </r>
  </si>
  <si>
    <r>
      <rPr>
        <sz val="7"/>
        <color rgb="FF231F20"/>
        <rFont val="Calibri"/>
        <charset val="134"/>
      </rPr>
      <t>7.08e-13</t>
    </r>
  </si>
  <si>
    <r>
      <rPr>
        <sz val="7"/>
        <color rgb="FF231F20"/>
        <rFont val="Calibri"/>
        <charset val="134"/>
      </rPr>
      <t>1.66e-13</t>
    </r>
  </si>
  <si>
    <r>
      <rPr>
        <sz val="7"/>
        <color rgb="FF231F20"/>
        <rFont val="Calibri"/>
        <charset val="134"/>
      </rPr>
      <t>Nitrogen trifluoride</t>
    </r>
  </si>
  <si>
    <r>
      <rPr>
        <sz val="7"/>
        <color rgb="FF231F20"/>
        <rFont val="Calibri"/>
        <charset val="134"/>
      </rPr>
      <t>NF</t>
    </r>
    <r>
      <rPr>
        <sz val="4"/>
        <color rgb="FF231F20"/>
        <rFont val="Calibri"/>
        <charset val="134"/>
      </rPr>
      <t>3</t>
    </r>
  </si>
  <si>
    <r>
      <rPr>
        <sz val="7"/>
        <color rgb="FF231F20"/>
        <rFont val="Calibri"/>
        <charset val="134"/>
      </rPr>
      <t>3.19e-10</t>
    </r>
  </si>
  <si>
    <r>
      <rPr>
        <sz val="7"/>
        <color rgb="FF231F20"/>
        <rFont val="Calibri"/>
        <charset val="134"/>
      </rPr>
      <t>1.47e-09</t>
    </r>
  </si>
  <si>
    <r>
      <rPr>
        <sz val="7"/>
        <color rgb="FF231F20"/>
        <rFont val="Calibri"/>
        <charset val="134"/>
      </rPr>
      <t>9.39e-12</t>
    </r>
  </si>
  <si>
    <r>
      <rPr>
        <sz val="7"/>
        <color rgb="FF231F20"/>
        <rFont val="Calibri"/>
        <charset val="134"/>
      </rPr>
      <t>1.02e-11</t>
    </r>
  </si>
  <si>
    <r>
      <rPr>
        <sz val="7"/>
        <color rgb="FF231F20"/>
        <rFont val="Calibri"/>
        <charset val="134"/>
      </rPr>
      <t>9.91e-12</t>
    </r>
  </si>
  <si>
    <r>
      <rPr>
        <sz val="7"/>
        <color rgb="FF231F20"/>
        <rFont val="Calibri"/>
        <charset val="134"/>
      </rPr>
      <t>Sulphur hexafluoride</t>
    </r>
  </si>
  <si>
    <r>
      <rPr>
        <sz val="7"/>
        <color rgb="FF231F20"/>
        <rFont val="Calibri"/>
        <charset val="134"/>
      </rPr>
      <t>SF</t>
    </r>
    <r>
      <rPr>
        <sz val="4"/>
        <color rgb="FF231F20"/>
        <rFont val="Calibri"/>
        <charset val="134"/>
      </rPr>
      <t>6</t>
    </r>
  </si>
  <si>
    <r>
      <rPr>
        <sz val="7"/>
        <color rgb="FF231F20"/>
        <rFont val="Calibri"/>
        <charset val="134"/>
      </rPr>
      <t>4.37e-10</t>
    </r>
  </si>
  <si>
    <r>
      <rPr>
        <sz val="7"/>
        <color rgb="FF231F20"/>
        <rFont val="Calibri"/>
        <charset val="134"/>
      </rPr>
      <t>2.16e-09</t>
    </r>
  </si>
  <si>
    <r>
      <rPr>
        <sz val="7"/>
        <color rgb="FF231F20"/>
        <rFont val="Calibri"/>
        <charset val="134"/>
      </rPr>
      <t>1.29e-11</t>
    </r>
  </si>
  <si>
    <r>
      <rPr>
        <sz val="7"/>
        <color rgb="FF231F20"/>
        <rFont val="Calibri"/>
        <charset val="134"/>
      </rPr>
      <t>1.54e-11</t>
    </r>
  </si>
  <si>
    <r>
      <rPr>
        <sz val="7"/>
        <color rgb="FF231F20"/>
        <rFont val="Calibri"/>
        <charset val="134"/>
      </rPr>
      <t>(Trifluoromethyl) sulphur pentafluoride</t>
    </r>
  </si>
  <si>
    <r>
      <rPr>
        <sz val="7"/>
        <color rgb="FF231F20"/>
        <rFont val="Calibri"/>
        <charset val="134"/>
      </rPr>
      <t>SF</t>
    </r>
    <r>
      <rPr>
        <sz val="4"/>
        <color rgb="FF231F20"/>
        <rFont val="Calibri"/>
        <charset val="134"/>
      </rPr>
      <t>5</t>
    </r>
    <r>
      <rPr>
        <sz val="7"/>
        <color rgb="FF231F20"/>
        <rFont val="Calibri"/>
        <charset val="134"/>
      </rPr>
      <t>CF</t>
    </r>
    <r>
      <rPr>
        <sz val="4"/>
        <color rgb="FF231F20"/>
        <rFont val="Calibri"/>
        <charset val="134"/>
      </rPr>
      <t>3</t>
    </r>
  </si>
  <si>
    <r>
      <rPr>
        <sz val="7"/>
        <color rgb="FF231F20"/>
        <rFont val="Calibri"/>
        <charset val="134"/>
      </rPr>
      <t>3.36e-10</t>
    </r>
  </si>
  <si>
    <r>
      <rPr>
        <sz val="7"/>
        <color rgb="FF231F20"/>
        <rFont val="Calibri"/>
        <charset val="134"/>
      </rPr>
      <t>1.60e-09</t>
    </r>
  </si>
  <si>
    <r>
      <rPr>
        <sz val="7"/>
        <color rgb="FF231F20"/>
        <rFont val="Calibri"/>
        <charset val="134"/>
      </rPr>
      <t>9.93e-12</t>
    </r>
  </si>
  <si>
    <r>
      <rPr>
        <sz val="7"/>
        <color rgb="FF231F20"/>
        <rFont val="Calibri"/>
        <charset val="134"/>
      </rPr>
      <t>1.10e-11</t>
    </r>
  </si>
  <si>
    <r>
      <rPr>
        <sz val="7"/>
        <color rgb="FF231F20"/>
        <rFont val="Calibri"/>
        <charset val="134"/>
      </rPr>
      <t>1.11e-11</t>
    </r>
  </si>
  <si>
    <r>
      <rPr>
        <sz val="7"/>
        <color rgb="FF231F20"/>
        <rFont val="Calibri"/>
        <charset val="134"/>
      </rPr>
      <t>Sulphuryl fluoride</t>
    </r>
  </si>
  <si>
    <r>
      <rPr>
        <sz val="7"/>
        <color rgb="FF231F20"/>
        <rFont val="Calibri"/>
        <charset val="134"/>
      </rPr>
      <t>SO</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</si>
  <si>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1.71e-10</t>
    </r>
  </si>
  <si>
    <r>
      <rPr>
        <sz val="7"/>
        <color rgb="FF231F20"/>
        <rFont val="Calibri"/>
        <charset val="134"/>
      </rPr>
      <t>3.76e-10</t>
    </r>
  </si>
  <si>
    <r>
      <rPr>
        <sz val="7"/>
        <color rgb="FF231F20"/>
        <rFont val="Calibri"/>
        <charset val="134"/>
      </rPr>
      <t>2.55e-12</t>
    </r>
  </si>
  <si>
    <r>
      <rPr>
        <sz val="7"/>
        <color rgb="FF231F20"/>
        <rFont val="Calibri"/>
        <charset val="134"/>
      </rPr>
      <t>9.01e-13</t>
    </r>
  </si>
  <si>
    <r>
      <rPr>
        <sz val="7"/>
        <color rgb="FF231F20"/>
        <rFont val="Calibri"/>
        <charset val="134"/>
      </rPr>
      <t>PFC-14</t>
    </r>
  </si>
  <si>
    <r>
      <rPr>
        <sz val="7"/>
        <color rgb="FF231F20"/>
        <rFont val="Calibri"/>
        <charset val="134"/>
      </rPr>
      <t>CF</t>
    </r>
    <r>
      <rPr>
        <sz val="4"/>
        <color rgb="FF231F20"/>
        <rFont val="Calibri"/>
        <charset val="134"/>
      </rPr>
      <t>4</t>
    </r>
  </si>
  <si>
    <r>
      <rPr>
        <sz val="7"/>
        <color rgb="FF231F20"/>
        <rFont val="Calibri"/>
        <charset val="134"/>
      </rPr>
      <t>6.08e-10</t>
    </r>
  </si>
  <si>
    <r>
      <rPr>
        <sz val="7"/>
        <color rgb="FF231F20"/>
        <rFont val="Calibri"/>
        <charset val="134"/>
      </rPr>
      <t>4.12e-12</t>
    </r>
  </si>
  <si>
    <r>
      <rPr>
        <sz val="7"/>
        <color rgb="FF231F20"/>
        <rFont val="Calibri"/>
        <charset val="134"/>
      </rPr>
      <t>4.40e-12</t>
    </r>
  </si>
  <si>
    <r>
      <rPr>
        <sz val="7"/>
        <color rgb="FF231F20"/>
        <rFont val="Calibri"/>
        <charset val="134"/>
      </rPr>
      <t>PFC-116</t>
    </r>
  </si>
  <si>
    <r>
      <rPr>
        <sz val="7"/>
        <color rgb="FF231F20"/>
        <rFont val="Calibri"/>
        <charset val="134"/>
      </rPr>
      <t>C</t>
    </r>
    <r>
      <rPr>
        <sz val="4"/>
        <color rgb="FF231F20"/>
        <rFont val="Calibri"/>
        <charset val="134"/>
      </rPr>
      <t>2</t>
    </r>
    <r>
      <rPr>
        <sz val="7"/>
        <color rgb="FF231F20"/>
        <rFont val="Calibri"/>
        <charset val="134"/>
      </rPr>
      <t>F</t>
    </r>
    <r>
      <rPr>
        <sz val="4"/>
        <color rgb="FF231F20"/>
        <rFont val="Calibri"/>
        <charset val="134"/>
      </rPr>
      <t>6</t>
    </r>
  </si>
  <si>
    <r>
      <rPr>
        <sz val="7"/>
        <color rgb="FF231F20"/>
        <rFont val="Calibri"/>
        <charset val="134"/>
      </rPr>
      <t>2.05e-10</t>
    </r>
  </si>
  <si>
    <r>
      <rPr>
        <sz val="7"/>
        <color rgb="FF231F20"/>
        <rFont val="Calibri"/>
        <charset val="134"/>
      </rPr>
      <t>1.02e-09</t>
    </r>
  </si>
  <si>
    <r>
      <rPr>
        <sz val="7"/>
        <color rgb="FF231F20"/>
        <rFont val="Calibri"/>
        <charset val="134"/>
      </rPr>
      <t>6.07e-12</t>
    </r>
  </si>
  <si>
    <r>
      <rPr>
        <sz val="7"/>
        <color rgb="FF231F20"/>
        <rFont val="Calibri"/>
        <charset val="134"/>
      </rPr>
      <t>7.36e-12</t>
    </r>
  </si>
  <si>
    <r>
      <rPr>
        <sz val="7"/>
        <color rgb="FF231F20"/>
        <rFont val="Calibri"/>
        <charset val="134"/>
      </rPr>
      <t>PFC-c216</t>
    </r>
  </si>
  <si>
    <r>
      <rPr>
        <sz val="7"/>
        <color rgb="FF231F20"/>
        <rFont val="Calibri"/>
        <charset val="134"/>
      </rPr>
      <t>c-C</t>
    </r>
    <r>
      <rPr>
        <sz val="4"/>
        <color rgb="FF231F20"/>
        <rFont val="Calibri"/>
        <charset val="134"/>
      </rPr>
      <t>3</t>
    </r>
    <r>
      <rPr>
        <sz val="7"/>
        <color rgb="FF231F20"/>
        <rFont val="Calibri"/>
        <charset val="134"/>
      </rPr>
      <t>F</t>
    </r>
    <r>
      <rPr>
        <sz val="4"/>
        <color rgb="FF231F20"/>
        <rFont val="Calibri"/>
        <charset val="134"/>
      </rPr>
      <t>6</t>
    </r>
  </si>
  <si>
    <r>
      <rPr>
        <sz val="7"/>
        <color rgb="FF231F20"/>
        <rFont val="Calibri"/>
        <charset val="134"/>
      </rPr>
      <t>0.23</t>
    </r>
    <r>
      <rPr>
        <sz val="4"/>
        <color rgb="FF231F20"/>
        <rFont val="Calibri"/>
        <charset val="134"/>
      </rPr>
      <t>e</t>
    </r>
  </si>
  <si>
    <r>
      <rPr>
        <sz val="7"/>
        <color rgb="FF231F20"/>
        <rFont val="Calibri"/>
        <charset val="134"/>
      </rPr>
      <t>8.44e-10</t>
    </r>
  </si>
  <si>
    <r>
      <rPr>
        <sz val="7"/>
        <color rgb="FF231F20"/>
        <rFont val="Calibri"/>
        <charset val="134"/>
      </rPr>
      <t>5.74e-12</t>
    </r>
  </si>
  <si>
    <r>
      <rPr>
        <sz val="7"/>
        <color rgb="FF231F20"/>
        <rFont val="Calibri"/>
        <charset val="134"/>
      </rPr>
      <t>6.03e-12</t>
    </r>
  </si>
  <si>
    <r>
      <rPr>
        <sz val="7"/>
        <color rgb="FF231F20"/>
        <rFont val="Calibri"/>
        <charset val="134"/>
      </rPr>
      <t>PFC-218</t>
    </r>
  </si>
  <si>
    <r>
      <rPr>
        <sz val="7"/>
        <color rgb="FF231F20"/>
        <rFont val="Calibri"/>
        <charset val="134"/>
      </rPr>
      <t>C</t>
    </r>
    <r>
      <rPr>
        <sz val="4"/>
        <color rgb="FF231F20"/>
        <rFont val="Calibri"/>
        <charset val="134"/>
      </rPr>
      <t>3</t>
    </r>
    <r>
      <rPr>
        <sz val="7"/>
        <color rgb="FF231F20"/>
        <rFont val="Calibri"/>
        <charset val="134"/>
      </rPr>
      <t>F</t>
    </r>
    <r>
      <rPr>
        <sz val="4"/>
        <color rgb="FF231F20"/>
        <rFont val="Calibri"/>
        <charset val="134"/>
      </rPr>
      <t>8</t>
    </r>
  </si>
  <si>
    <r>
      <rPr>
        <sz val="7"/>
        <color rgb="FF231F20"/>
        <rFont val="Calibri"/>
        <charset val="134"/>
      </rPr>
      <t>1.66e-10</t>
    </r>
  </si>
  <si>
    <r>
      <rPr>
        <sz val="7"/>
        <color rgb="FF231F20"/>
        <rFont val="Calibri"/>
        <charset val="134"/>
      </rPr>
      <t>8.16e-10</t>
    </r>
  </si>
  <si>
    <r>
      <rPr>
        <sz val="7"/>
        <color rgb="FF231F20"/>
        <rFont val="Calibri"/>
        <charset val="134"/>
      </rPr>
      <t>5.83e-12</t>
    </r>
  </si>
  <si>
    <r>
      <rPr>
        <sz val="7"/>
        <color rgb="FF231F20"/>
        <rFont val="Calibri"/>
        <charset val="134"/>
      </rPr>
      <t>PFC-318</t>
    </r>
  </si>
  <si>
    <r>
      <rPr>
        <sz val="7"/>
        <color rgb="FF231F20"/>
        <rFont val="Calibri"/>
        <charset val="134"/>
      </rPr>
      <t>c-C</t>
    </r>
    <r>
      <rPr>
        <sz val="4"/>
        <color rgb="FF231F20"/>
        <rFont val="Calibri"/>
        <charset val="134"/>
      </rPr>
      <t>4</t>
    </r>
    <r>
      <rPr>
        <sz val="7"/>
        <color rgb="FF231F20"/>
        <rFont val="Calibri"/>
        <charset val="134"/>
      </rPr>
      <t>F</t>
    </r>
    <r>
      <rPr>
        <sz val="4"/>
        <color rgb="FF231F20"/>
        <rFont val="Calibri"/>
        <charset val="134"/>
      </rPr>
      <t>8</t>
    </r>
  </si>
  <si>
    <r>
      <rPr>
        <sz val="7"/>
        <color rgb="FF231F20"/>
        <rFont val="Calibri"/>
        <charset val="134"/>
      </rPr>
      <t>1.77e-10</t>
    </r>
  </si>
  <si>
    <r>
      <rPr>
        <sz val="7"/>
        <color rgb="FF231F20"/>
        <rFont val="Calibri"/>
        <charset val="134"/>
      </rPr>
      <t>8.75e-10</t>
    </r>
  </si>
  <si>
    <r>
      <rPr>
        <sz val="7"/>
        <color rgb="FF231F20"/>
        <rFont val="Calibri"/>
        <charset val="134"/>
      </rPr>
      <t>5.25e-12</t>
    </r>
  </si>
  <si>
    <r>
      <rPr>
        <sz val="7"/>
        <color rgb="FF231F20"/>
        <rFont val="Calibri"/>
        <charset val="134"/>
      </rPr>
      <t>5.96e-12</t>
    </r>
  </si>
  <si>
    <r>
      <rPr>
        <sz val="7"/>
        <color rgb="FF231F20"/>
        <rFont val="Calibri"/>
        <charset val="134"/>
      </rPr>
      <t>6.27e-12</t>
    </r>
  </si>
  <si>
    <r>
      <rPr>
        <sz val="7"/>
        <color rgb="FF231F20"/>
        <rFont val="Calibri"/>
        <charset val="134"/>
      </rPr>
      <t>PFC-31-10</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</si>
  <si>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10</t>
    </r>
  </si>
  <si>
    <r>
      <rPr>
        <sz val="7"/>
        <color rgb="FF231F20"/>
        <rFont val="Calibri"/>
        <charset val="134"/>
      </rPr>
      <t>5.08e-12</t>
    </r>
  </si>
  <si>
    <r>
      <rPr>
        <sz val="7"/>
        <color rgb="FF231F20"/>
        <rFont val="Calibri"/>
        <charset val="134"/>
      </rPr>
      <t>5.75e-12</t>
    </r>
  </si>
  <si>
    <r>
      <rPr>
        <sz val="7"/>
        <color rgb="FF231F20"/>
        <rFont val="Calibri"/>
        <charset val="134"/>
      </rPr>
      <t>6.02e-12</t>
    </r>
  </si>
  <si>
    <r>
      <rPr>
        <sz val="7"/>
        <color rgb="FF231F20"/>
        <rFont val="Calibri"/>
        <charset val="134"/>
      </rPr>
      <t>Perfluorocyclopentene</t>
    </r>
  </si>
  <si>
    <r>
      <rPr>
        <sz val="7"/>
        <color rgb="FF231F20"/>
        <rFont val="Calibri"/>
        <charset val="134"/>
      </rPr>
      <t>c-C</t>
    </r>
    <r>
      <rPr>
        <sz val="4"/>
        <color rgb="FF231F20"/>
        <rFont val="Calibri"/>
        <charset val="134"/>
      </rPr>
      <t>5</t>
    </r>
    <r>
      <rPr>
        <sz val="7"/>
        <color rgb="FF231F20"/>
        <rFont val="Calibri"/>
        <charset val="134"/>
      </rPr>
      <t>F</t>
    </r>
    <r>
      <rPr>
        <sz val="4"/>
        <color rgb="FF231F20"/>
        <rFont val="Calibri"/>
        <charset val="134"/>
      </rPr>
      <t>8</t>
    </r>
  </si>
  <si>
    <r>
      <rPr>
        <sz val="7"/>
        <color rgb="FF231F20"/>
        <rFont val="Calibri"/>
        <charset val="134"/>
      </rPr>
      <t>31.0 days</t>
    </r>
  </si>
  <si>
    <r>
      <rPr>
        <sz val="7"/>
        <color rgb="FF231F20"/>
        <rFont val="Calibri"/>
        <charset val="134"/>
      </rPr>
      <t>0.08</t>
    </r>
    <r>
      <rPr>
        <sz val="4"/>
        <color rgb="FF231F20"/>
        <rFont val="Calibri"/>
        <charset val="134"/>
      </rPr>
      <t>f</t>
    </r>
  </si>
  <si>
    <r>
      <rPr>
        <sz val="7"/>
        <color rgb="FF231F20"/>
        <rFont val="Calibri"/>
        <charset val="134"/>
      </rPr>
      <t>1.71e-13</t>
    </r>
  </si>
  <si>
    <r>
      <rPr>
        <sz val="7"/>
        <color rgb="FF231F20"/>
        <rFont val="Calibri"/>
        <charset val="134"/>
      </rPr>
      <t>1.37e-15</t>
    </r>
  </si>
  <si>
    <r>
      <rPr>
        <sz val="7"/>
        <color rgb="FF231F20"/>
        <rFont val="Calibri"/>
        <charset val="134"/>
      </rPr>
      <t>1.92e-16</t>
    </r>
  </si>
  <si>
    <r>
      <rPr>
        <sz val="7"/>
        <color rgb="FF231F20"/>
        <rFont val="Calibri"/>
        <charset val="134"/>
      </rPr>
      <t>1.40e-16</t>
    </r>
  </si>
  <si>
    <r>
      <rPr>
        <sz val="7"/>
        <color rgb="FF231F20"/>
        <rFont val="Calibri"/>
        <charset val="134"/>
      </rPr>
      <t>PFC-41-12</t>
    </r>
  </si>
  <si>
    <r>
      <rPr>
        <sz val="7"/>
        <color rgb="FF231F20"/>
        <rFont val="Calibri"/>
        <charset val="134"/>
      </rPr>
      <t>n-C</t>
    </r>
    <r>
      <rPr>
        <sz val="4"/>
        <color rgb="FF231F20"/>
        <rFont val="Calibri"/>
        <charset val="134"/>
      </rPr>
      <t>5</t>
    </r>
    <r>
      <rPr>
        <sz val="7"/>
        <color rgb="FF231F20"/>
        <rFont val="Calibri"/>
        <charset val="134"/>
      </rPr>
      <t>F</t>
    </r>
    <r>
      <rPr>
        <sz val="4"/>
        <color rgb="FF231F20"/>
        <rFont val="Calibri"/>
        <charset val="134"/>
      </rPr>
      <t>12</t>
    </r>
  </si>
  <si>
    <r>
      <rPr>
        <sz val="7"/>
        <color rgb="FF231F20"/>
        <rFont val="Calibri"/>
        <charset val="134"/>
      </rPr>
      <t>1.58e-10</t>
    </r>
  </si>
  <si>
    <r>
      <rPr>
        <sz val="7"/>
        <color rgb="FF231F20"/>
        <rFont val="Calibri"/>
        <charset val="134"/>
      </rPr>
      <t>7.84e-10</t>
    </r>
  </si>
  <si>
    <r>
      <rPr>
        <sz val="7"/>
        <color rgb="FF231F20"/>
        <rFont val="Calibri"/>
        <charset val="134"/>
      </rPr>
      <t>4.69e-12</t>
    </r>
  </si>
  <si>
    <r>
      <rPr>
        <sz val="7"/>
        <color rgb="FF231F20"/>
        <rFont val="Calibri"/>
        <charset val="134"/>
      </rPr>
      <t>5.33e-12</t>
    </r>
  </si>
  <si>
    <r>
      <rPr>
        <sz val="7"/>
        <color rgb="FF231F20"/>
        <rFont val="Calibri"/>
        <charset val="134"/>
      </rPr>
      <t>5.62e-12</t>
    </r>
  </si>
  <si>
    <r>
      <rPr>
        <sz val="7"/>
        <color rgb="FF231F20"/>
        <rFont val="Calibri"/>
        <charset val="134"/>
      </rPr>
      <t>PFC-51-14</t>
    </r>
  </si>
  <si>
    <r>
      <rPr>
        <sz val="7"/>
        <color rgb="FF231F20"/>
        <rFont val="Calibri"/>
        <charset val="134"/>
      </rPr>
      <t>n-C</t>
    </r>
    <r>
      <rPr>
        <sz val="4"/>
        <color rgb="FF231F20"/>
        <rFont val="Calibri"/>
        <charset val="134"/>
      </rPr>
      <t>6</t>
    </r>
    <r>
      <rPr>
        <sz val="7"/>
        <color rgb="FF231F20"/>
        <rFont val="Calibri"/>
        <charset val="134"/>
      </rPr>
      <t>F</t>
    </r>
    <r>
      <rPr>
        <sz val="4"/>
        <color rgb="FF231F20"/>
        <rFont val="Calibri"/>
        <charset val="134"/>
      </rPr>
      <t>14</t>
    </r>
  </si>
  <si>
    <r>
      <rPr>
        <sz val="7"/>
        <color rgb="FF231F20"/>
        <rFont val="Calibri"/>
        <charset val="134"/>
      </rPr>
      <t>1.47e-10</t>
    </r>
  </si>
  <si>
    <r>
      <rPr>
        <sz val="7"/>
        <color rgb="FF231F20"/>
        <rFont val="Calibri"/>
        <charset val="134"/>
      </rPr>
      <t>7.26e-10</t>
    </r>
  </si>
  <si>
    <r>
      <rPr>
        <sz val="7"/>
        <color rgb="FF231F20"/>
        <rFont val="Calibri"/>
        <charset val="134"/>
      </rPr>
      <t>4.35e-12</t>
    </r>
  </si>
  <si>
    <r>
      <rPr>
        <sz val="7"/>
        <color rgb="FF231F20"/>
        <rFont val="Calibri"/>
        <charset val="134"/>
      </rPr>
      <t>4.94e-12</t>
    </r>
  </si>
  <si>
    <r>
      <rPr>
        <sz val="7"/>
        <color rgb="FF231F20"/>
        <rFont val="Calibri"/>
        <charset val="134"/>
      </rPr>
      <t>5.19e-12</t>
    </r>
  </si>
  <si>
    <r>
      <rPr>
        <sz val="7"/>
        <color rgb="FF231F20"/>
        <rFont val="Calibri"/>
        <charset val="134"/>
      </rPr>
      <t>PFC-61-16</t>
    </r>
  </si>
  <si>
    <r>
      <rPr>
        <sz val="7"/>
        <color rgb="FF231F20"/>
        <rFont val="Calibri"/>
        <charset val="134"/>
      </rPr>
      <t>n-C</t>
    </r>
    <r>
      <rPr>
        <sz val="4"/>
        <color rgb="FF231F20"/>
        <rFont val="Calibri"/>
        <charset val="134"/>
      </rPr>
      <t>7</t>
    </r>
    <r>
      <rPr>
        <sz val="7"/>
        <color rgb="FF231F20"/>
        <rFont val="Calibri"/>
        <charset val="134"/>
      </rPr>
      <t>F</t>
    </r>
    <r>
      <rPr>
        <sz val="4"/>
        <color rgb="FF231F20"/>
        <rFont val="Calibri"/>
        <charset val="134"/>
      </rPr>
      <t>16</t>
    </r>
  </si>
  <si>
    <r>
      <rPr>
        <sz val="7"/>
        <color rgb="FF231F20"/>
        <rFont val="Calibri"/>
        <charset val="134"/>
      </rPr>
      <t>1.45e-10</t>
    </r>
  </si>
  <si>
    <r>
      <rPr>
        <sz val="7"/>
        <color rgb="FF231F20"/>
        <rFont val="Calibri"/>
        <charset val="134"/>
      </rPr>
      <t>7.17e-10</t>
    </r>
  </si>
  <si>
    <r>
      <rPr>
        <sz val="7"/>
        <color rgb="FF231F20"/>
        <rFont val="Calibri"/>
        <charset val="134"/>
      </rPr>
      <t>4.31e-12</t>
    </r>
  </si>
  <si>
    <r>
      <rPr>
        <sz val="7"/>
        <color rgb="FF231F20"/>
        <rFont val="Calibri"/>
        <charset val="134"/>
      </rPr>
      <t>4.88e-12</t>
    </r>
  </si>
  <si>
    <r>
      <rPr>
        <sz val="7"/>
        <color rgb="FF231F20"/>
        <rFont val="Calibri"/>
        <charset val="134"/>
      </rPr>
      <t>5.13e-12</t>
    </r>
  </si>
  <si>
    <r>
      <rPr>
        <sz val="7"/>
        <color rgb="FF231F20"/>
        <rFont val="Calibri"/>
        <charset val="134"/>
      </rPr>
      <t>PFC-71-18</t>
    </r>
  </si>
  <si>
    <r>
      <rPr>
        <sz val="7"/>
        <color rgb="FF231F20"/>
        <rFont val="Calibri"/>
        <charset val="134"/>
      </rPr>
      <t>C</t>
    </r>
    <r>
      <rPr>
        <sz val="4"/>
        <color rgb="FF231F20"/>
        <rFont val="Calibri"/>
        <charset val="134"/>
      </rPr>
      <t>8</t>
    </r>
    <r>
      <rPr>
        <sz val="7"/>
        <color rgb="FF231F20"/>
        <rFont val="Calibri"/>
        <charset val="134"/>
      </rPr>
      <t>F</t>
    </r>
    <r>
      <rPr>
        <sz val="4"/>
        <color rgb="FF231F20"/>
        <rFont val="Calibri"/>
        <charset val="134"/>
      </rPr>
      <t>18</t>
    </r>
  </si>
  <si>
    <r>
      <rPr>
        <sz val="7"/>
        <color rgb="FF231F20"/>
        <rFont val="Calibri"/>
        <charset val="134"/>
      </rPr>
      <t>1.42e-10</t>
    </r>
  </si>
  <si>
    <r>
      <rPr>
        <sz val="7"/>
        <color rgb="FF231F20"/>
        <rFont val="Calibri"/>
        <charset val="134"/>
      </rPr>
      <t>6.99e-10</t>
    </r>
  </si>
  <si>
    <r>
      <rPr>
        <sz val="7"/>
        <color rgb="FF231F20"/>
        <rFont val="Calibri"/>
        <charset val="134"/>
      </rPr>
      <t>4.20e-12</t>
    </r>
  </si>
  <si>
    <r>
      <rPr>
        <sz val="7"/>
        <color rgb="FF231F20"/>
        <rFont val="Calibri"/>
        <charset val="134"/>
      </rPr>
      <t>5.00e-12</t>
    </r>
  </si>
  <si>
    <r>
      <rPr>
        <sz val="7"/>
        <color rgb="FF231F20"/>
        <rFont val="Calibri"/>
        <charset val="134"/>
      </rPr>
      <t>PFC-91-18</t>
    </r>
  </si>
  <si>
    <r>
      <rPr>
        <sz val="7"/>
        <color rgb="FF231F20"/>
        <rFont val="Calibri"/>
        <charset val="134"/>
      </rPr>
      <t>C</t>
    </r>
    <r>
      <rPr>
        <sz val="4"/>
        <color rgb="FF231F20"/>
        <rFont val="Calibri"/>
        <charset val="134"/>
      </rPr>
      <t>10</t>
    </r>
    <r>
      <rPr>
        <sz val="7"/>
        <color rgb="FF231F20"/>
        <rFont val="Calibri"/>
        <charset val="134"/>
      </rPr>
      <t>F</t>
    </r>
    <r>
      <rPr>
        <sz val="4"/>
        <color rgb="FF231F20"/>
        <rFont val="Calibri"/>
        <charset val="134"/>
      </rPr>
      <t>18</t>
    </r>
  </si>
  <si>
    <r>
      <rPr>
        <sz val="7"/>
        <color rgb="FF231F20"/>
        <rFont val="Calibri"/>
        <charset val="134"/>
      </rPr>
      <t>6.59e-10</t>
    </r>
  </si>
  <si>
    <r>
      <rPr>
        <sz val="7"/>
        <color rgb="FF231F20"/>
        <rFont val="Calibri"/>
        <charset val="134"/>
      </rPr>
      <t>3.98e-12</t>
    </r>
  </si>
  <si>
    <r>
      <rPr>
        <sz val="7"/>
        <color rgb="FF231F20"/>
        <rFont val="Calibri"/>
        <charset val="134"/>
      </rPr>
      <t>4.49e-12</t>
    </r>
  </si>
  <si>
    <r>
      <rPr>
        <sz val="7"/>
        <color rgb="FF231F20"/>
        <rFont val="Calibri"/>
        <charset val="134"/>
      </rPr>
      <t>Perfluorodecalin (cis)</t>
    </r>
  </si>
  <si>
    <r>
      <rPr>
        <sz val="7"/>
        <color rgb="FF231F20"/>
        <rFont val="Calibri"/>
        <charset val="134"/>
      </rPr>
      <t>Z-C</t>
    </r>
    <r>
      <rPr>
        <sz val="4"/>
        <color rgb="FF231F20"/>
        <rFont val="Calibri"/>
        <charset val="134"/>
      </rPr>
      <t>10</t>
    </r>
    <r>
      <rPr>
        <sz val="7"/>
        <color rgb="FF231F20"/>
        <rFont val="Calibri"/>
        <charset val="134"/>
      </rPr>
      <t>F</t>
    </r>
    <r>
      <rPr>
        <sz val="4"/>
        <color rgb="FF231F20"/>
        <rFont val="Calibri"/>
        <charset val="134"/>
      </rPr>
      <t>18</t>
    </r>
  </si>
  <si>
    <r>
      <rPr>
        <sz val="7"/>
        <color rgb="FF231F20"/>
        <rFont val="Calibri"/>
        <charset val="134"/>
      </rPr>
      <t>6.64e-10</t>
    </r>
  </si>
  <si>
    <r>
      <rPr>
        <sz val="7"/>
        <color rgb="FF231F20"/>
        <rFont val="Calibri"/>
        <charset val="134"/>
      </rPr>
      <t>4.01e-12</t>
    </r>
  </si>
  <si>
    <r>
      <rPr>
        <sz val="7"/>
        <color rgb="FF231F20"/>
        <rFont val="Calibri"/>
        <charset val="134"/>
      </rPr>
      <t>4.52e-12</t>
    </r>
  </si>
  <si>
    <r>
      <rPr>
        <sz val="7"/>
        <color rgb="FF231F20"/>
        <rFont val="Calibri"/>
        <charset val="134"/>
      </rPr>
      <t>4.72e-12</t>
    </r>
  </si>
  <si>
    <r>
      <rPr>
        <sz val="7"/>
        <color rgb="FF231F20"/>
        <rFont val="Calibri"/>
        <charset val="134"/>
      </rPr>
      <t>Perfluorodecalin (trans)</t>
    </r>
  </si>
  <si>
    <r>
      <rPr>
        <sz val="7"/>
        <color rgb="FF231F20"/>
        <rFont val="Calibri"/>
        <charset val="134"/>
      </rPr>
      <t>E-C</t>
    </r>
    <r>
      <rPr>
        <sz val="4"/>
        <color rgb="FF231F20"/>
        <rFont val="Calibri"/>
        <charset val="134"/>
      </rPr>
      <t>10</t>
    </r>
    <r>
      <rPr>
        <sz val="7"/>
        <color rgb="FF231F20"/>
        <rFont val="Calibri"/>
        <charset val="134"/>
      </rPr>
      <t>F</t>
    </r>
    <r>
      <rPr>
        <sz val="4"/>
        <color rgb="FF231F20"/>
        <rFont val="Calibri"/>
        <charset val="134"/>
      </rPr>
      <t>18</t>
    </r>
  </si>
  <si>
    <r>
      <rPr>
        <sz val="7"/>
        <color rgb="FF231F20"/>
        <rFont val="Calibri"/>
        <charset val="134"/>
      </rPr>
      <t>1.18e-10</t>
    </r>
  </si>
  <si>
    <r>
      <rPr>
        <sz val="7"/>
        <color rgb="FF231F20"/>
        <rFont val="Calibri"/>
        <charset val="134"/>
      </rPr>
      <t>3.48e-12</t>
    </r>
  </si>
  <si>
    <r>
      <rPr>
        <sz val="7"/>
        <color rgb="FF231F20"/>
        <rFont val="Calibri"/>
        <charset val="134"/>
      </rPr>
      <t>3.93e-12</t>
    </r>
  </si>
  <si>
    <r>
      <rPr>
        <sz val="7"/>
        <color rgb="FF231F20"/>
        <rFont val="Calibri"/>
        <charset val="134"/>
      </rPr>
      <t>4.10e-12</t>
    </r>
  </si>
  <si>
    <r>
      <rPr>
        <sz val="7"/>
        <color rgb="FF231F20"/>
        <rFont val="Calibri"/>
        <charset val="134"/>
      </rPr>
      <t>PFC-1114</t>
    </r>
  </si>
  <si>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</si>
  <si>
    <r>
      <rPr>
        <sz val="7"/>
        <color rgb="FF231F20"/>
        <rFont val="Calibri"/>
        <charset val="134"/>
      </rPr>
      <t>1.1 days</t>
    </r>
  </si>
  <si>
    <r>
      <rPr>
        <sz val="7"/>
        <color rgb="FF231F20"/>
        <rFont val="Calibri"/>
        <charset val="134"/>
      </rPr>
      <t>2.68e-16</t>
    </r>
  </si>
  <si>
    <r>
      <rPr>
        <sz val="7"/>
        <color rgb="FF231F20"/>
        <rFont val="Calibri"/>
        <charset val="134"/>
      </rPr>
      <t>2.13e-18</t>
    </r>
  </si>
  <si>
    <r>
      <rPr>
        <sz val="7"/>
        <color rgb="FF231F20"/>
        <rFont val="Calibri"/>
        <charset val="134"/>
      </rPr>
      <t>3.00e-19</t>
    </r>
  </si>
  <si>
    <r>
      <rPr>
        <sz val="7"/>
        <color rgb="FF231F20"/>
        <rFont val="Calibri"/>
        <charset val="134"/>
      </rPr>
      <t>2.20e-19</t>
    </r>
  </si>
  <si>
    <r>
      <rPr>
        <sz val="7"/>
        <color rgb="FF231F20"/>
        <rFont val="Calibri"/>
        <charset val="134"/>
      </rPr>
      <t>PFC-1216</t>
    </r>
  </si>
  <si>
    <r>
      <rPr>
        <sz val="7"/>
        <color rgb="FF231F20"/>
        <rFont val="Calibri"/>
        <charset val="134"/>
      </rPr>
      <t>CF</t>
    </r>
    <r>
      <rPr>
        <sz val="4"/>
        <color rgb="FF231F20"/>
        <rFont val="Calibri"/>
        <charset val="134"/>
      </rPr>
      <t>3</t>
    </r>
    <r>
      <rPr>
        <sz val="7"/>
        <color rgb="FF231F20"/>
        <rFont val="Calibri"/>
        <charset val="134"/>
      </rPr>
      <t>CF=CF</t>
    </r>
    <r>
      <rPr>
        <sz val="4"/>
        <color rgb="FF231F20"/>
        <rFont val="Calibri"/>
        <charset val="134"/>
      </rPr>
      <t>2</t>
    </r>
  </si>
  <si>
    <r>
      <rPr>
        <sz val="7"/>
        <color rgb="FF231F20"/>
        <rFont val="Calibri"/>
        <charset val="134"/>
      </rPr>
      <t>6.42e-15</t>
    </r>
  </si>
  <si>
    <r>
      <rPr>
        <sz val="7"/>
        <color rgb="FF231F20"/>
        <rFont val="Calibri"/>
        <charset val="134"/>
      </rPr>
      <t>5.11e-17</t>
    </r>
  </si>
  <si>
    <r>
      <rPr>
        <sz val="7"/>
        <color rgb="FF231F20"/>
        <rFont val="Calibri"/>
        <charset val="134"/>
      </rPr>
      <t>7.21e-18</t>
    </r>
  </si>
  <si>
    <r>
      <rPr>
        <sz val="7"/>
        <color rgb="FF231F20"/>
        <rFont val="Calibri"/>
        <charset val="134"/>
      </rPr>
      <t>5.27e-18</t>
    </r>
  </si>
  <si>
    <r>
      <rPr>
        <sz val="7"/>
        <color rgb="FF231F20"/>
        <rFont val="Calibri"/>
        <charset val="134"/>
      </rPr>
      <t>Perfluorobuta-1,3-diene</t>
    </r>
  </si>
  <si>
    <r>
      <rPr>
        <sz val="7"/>
        <color rgb="FF231F20"/>
        <rFont val="Calibri"/>
        <charset val="134"/>
      </rPr>
      <t>CF</t>
    </r>
    <r>
      <rPr>
        <sz val="4"/>
        <color rgb="FF231F20"/>
        <rFont val="Calibri"/>
        <charset val="134"/>
      </rPr>
      <t>2</t>
    </r>
    <r>
      <rPr>
        <sz val="7"/>
        <color rgb="FF231F20"/>
        <rFont val="Calibri"/>
        <charset val="134"/>
      </rPr>
      <t>=CFCF=CF</t>
    </r>
    <r>
      <rPr>
        <sz val="4"/>
        <color rgb="FF231F20"/>
        <rFont val="Calibri"/>
        <charset val="134"/>
      </rPr>
      <t>2</t>
    </r>
  </si>
  <si>
    <r>
      <rPr>
        <sz val="7"/>
        <color rgb="FF231F20"/>
        <rFont val="Calibri"/>
        <charset val="134"/>
      </rPr>
      <t>3.29e-16</t>
    </r>
  </si>
  <si>
    <r>
      <rPr>
        <sz val="7"/>
        <color rgb="FF231F20"/>
        <rFont val="Calibri"/>
        <charset val="134"/>
      </rPr>
      <t>2.61e-18</t>
    </r>
  </si>
  <si>
    <r>
      <rPr>
        <sz val="7"/>
        <color rgb="FF231F20"/>
        <rFont val="Calibri"/>
        <charset val="134"/>
      </rPr>
      <t>3.69e-19</t>
    </r>
  </si>
  <si>
    <r>
      <rPr>
        <sz val="7"/>
        <color rgb="FF231F20"/>
        <rFont val="Calibri"/>
        <charset val="134"/>
      </rPr>
      <t>2.70e-19</t>
    </r>
  </si>
  <si>
    <r>
      <rPr>
        <sz val="7"/>
        <color rgb="FF231F20"/>
        <rFont val="Calibri"/>
        <charset val="134"/>
      </rPr>
      <t>Perfluorobut-1-ene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</si>
  <si>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CF=CF</t>
    </r>
    <r>
      <rPr>
        <sz val="4"/>
        <color rgb="FF231F20"/>
        <rFont val="Calibri"/>
        <charset val="134"/>
      </rPr>
      <t>2</t>
    </r>
  </si>
  <si>
    <r>
      <rPr>
        <sz val="7"/>
        <color rgb="FF231F20"/>
        <rFont val="Calibri"/>
        <charset val="134"/>
      </rPr>
      <t>6.0 days</t>
    </r>
  </si>
  <si>
    <r>
      <rPr>
        <sz val="7"/>
        <color rgb="FF231F20"/>
        <rFont val="Calibri"/>
        <charset val="134"/>
      </rPr>
      <t>8.38e-15</t>
    </r>
  </si>
  <si>
    <r>
      <rPr>
        <sz val="7"/>
        <color rgb="FF231F20"/>
        <rFont val="Calibri"/>
        <charset val="134"/>
      </rPr>
      <t>6.67e-17</t>
    </r>
  </si>
  <si>
    <r>
      <rPr>
        <sz val="7"/>
        <color rgb="FF231F20"/>
        <rFont val="Calibri"/>
        <charset val="134"/>
      </rPr>
      <t>9.41e-18</t>
    </r>
  </si>
  <si>
    <r>
      <rPr>
        <sz val="7"/>
        <color rgb="FF231F20"/>
        <rFont val="Calibri"/>
        <charset val="134"/>
      </rPr>
      <t>6.88e-18</t>
    </r>
  </si>
  <si>
    <r>
      <rPr>
        <sz val="7"/>
        <color rgb="FF231F20"/>
        <rFont val="Calibri"/>
        <charset val="134"/>
      </rPr>
      <t>Perfluorobut-2-ene</t>
    </r>
  </si>
  <si>
    <r>
      <rPr>
        <sz val="7"/>
        <color rgb="FF231F20"/>
        <rFont val="Calibri"/>
        <charset val="134"/>
      </rPr>
      <t>CF</t>
    </r>
    <r>
      <rPr>
        <sz val="4"/>
        <color rgb="FF231F20"/>
        <rFont val="Calibri"/>
        <charset val="134"/>
      </rPr>
      <t>3</t>
    </r>
    <r>
      <rPr>
        <sz val="7"/>
        <color rgb="FF231F20"/>
        <rFont val="Calibri"/>
        <charset val="134"/>
      </rPr>
      <t>CF=CFCF</t>
    </r>
    <r>
      <rPr>
        <sz val="4"/>
        <color rgb="FF231F20"/>
        <rFont val="Calibri"/>
        <charset val="134"/>
      </rPr>
      <t>3</t>
    </r>
  </si>
  <si>
    <r>
      <rPr>
        <sz val="7"/>
        <color rgb="FF231F20"/>
        <rFont val="Calibri"/>
        <charset val="134"/>
      </rPr>
      <t>1.30e-15</t>
    </r>
  </si>
  <si>
    <r>
      <rPr>
        <sz val="7"/>
        <color rgb="FF231F20"/>
        <rFont val="Calibri"/>
        <charset val="134"/>
      </rPr>
      <t>1.82e-16</t>
    </r>
  </si>
  <si>
    <r>
      <rPr>
        <sz val="7"/>
        <color rgb="FF231F20"/>
        <rFont val="Calibri"/>
        <charset val="134"/>
      </rPr>
      <t>1.33e-16</t>
    </r>
  </si>
  <si>
    <r>
      <rPr>
        <sz val="7"/>
        <color rgb="FF231F20"/>
        <rFont val="Calibri"/>
        <charset val="134"/>
      </rPr>
      <t>HFE-125</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</si>
  <si>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</si>
  <si>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3.10e-10</t>
    </r>
  </si>
  <si>
    <r>
      <rPr>
        <sz val="7"/>
        <color rgb="FF231F20"/>
        <rFont val="Calibri"/>
        <charset val="134"/>
      </rPr>
      <t>8.91e-12</t>
    </r>
  </si>
  <si>
    <r>
      <rPr>
        <sz val="7"/>
        <color rgb="FF231F20"/>
        <rFont val="Calibri"/>
        <charset val="134"/>
      </rPr>
      <t>8.14e-12</t>
    </r>
  </si>
  <si>
    <r>
      <rPr>
        <sz val="7"/>
        <color rgb="FF231F20"/>
        <rFont val="Calibri"/>
        <charset val="134"/>
      </rPr>
      <t>5.97e-12</t>
    </r>
  </si>
  <si>
    <r>
      <rPr>
        <sz val="7"/>
        <color rgb="FF231F20"/>
        <rFont val="Calibri"/>
        <charset val="134"/>
      </rPr>
      <t>HFE-134 (HG-00)</t>
    </r>
  </si>
  <si>
    <r>
      <rPr>
        <sz val="7"/>
        <color rgb="FF231F20"/>
        <rFont val="Calibri"/>
        <charset val="134"/>
      </rPr>
      <t>CHF</t>
    </r>
    <r>
      <rPr>
        <sz val="4"/>
        <color rgb="FF231F20"/>
        <rFont val="Calibri"/>
        <charset val="134"/>
      </rPr>
      <t>2</t>
    </r>
    <r>
      <rPr>
        <sz val="7"/>
        <color rgb="FF231F20"/>
        <rFont val="Calibri"/>
        <charset val="134"/>
      </rPr>
      <t>OCHF</t>
    </r>
    <r>
      <rPr>
        <sz val="4"/>
        <color rgb="FF231F20"/>
        <rFont val="Calibri"/>
        <charset val="134"/>
      </rPr>
      <t>2</t>
    </r>
  </si>
  <si>
    <r>
      <rPr>
        <sz val="7"/>
        <color rgb="FF231F20"/>
        <rFont val="Calibri"/>
        <charset val="134"/>
      </rPr>
      <t>2.90e-10</t>
    </r>
  </si>
  <si>
    <r>
      <rPr>
        <sz val="7"/>
        <color rgb="FF231F20"/>
        <rFont val="Calibri"/>
        <charset val="134"/>
      </rPr>
      <t>5.10e-10</t>
    </r>
  </si>
  <si>
    <r>
      <rPr>
        <sz val="7"/>
        <color rgb="FF231F20"/>
        <rFont val="Calibri"/>
        <charset val="134"/>
      </rPr>
      <t>7.42e-12</t>
    </r>
  </si>
  <si>
    <r>
      <rPr>
        <sz val="7"/>
        <color rgb="FF231F20"/>
        <rFont val="Calibri"/>
        <charset val="134"/>
      </rPr>
      <t>3.02e-12</t>
    </r>
  </si>
  <si>
    <r>
      <rPr>
        <sz val="7"/>
        <color rgb="FF231F20"/>
        <rFont val="Calibri"/>
        <charset val="134"/>
      </rPr>
      <t>7.83e-13</t>
    </r>
  </si>
  <si>
    <r>
      <rPr>
        <sz val="7"/>
        <color rgb="FF231F20"/>
        <rFont val="Calibri"/>
        <charset val="134"/>
      </rPr>
      <t>HFE-143a</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</si>
  <si>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3</t>
    </r>
  </si>
  <si>
    <r>
      <rPr>
        <sz val="7"/>
        <color rgb="FF231F20"/>
        <rFont val="Calibri"/>
        <charset val="134"/>
      </rPr>
      <t>4.72e-11</t>
    </r>
  </si>
  <si>
    <r>
      <rPr>
        <sz val="7"/>
        <color rgb="FF231F20"/>
        <rFont val="Calibri"/>
        <charset val="134"/>
      </rPr>
      <t>4.80e-11</t>
    </r>
  </si>
  <si>
    <r>
      <rPr>
        <sz val="7"/>
        <color rgb="FF231F20"/>
        <rFont val="Calibri"/>
        <charset val="134"/>
      </rPr>
      <t>6.95e-13</t>
    </r>
  </si>
  <si>
    <r>
      <rPr>
        <sz val="7"/>
        <color rgb="FF231F20"/>
        <rFont val="Calibri"/>
        <charset val="134"/>
      </rPr>
      <t>6.66e-14</t>
    </r>
  </si>
  <si>
    <r>
      <rPr>
        <sz val="7"/>
        <color rgb="FF231F20"/>
        <rFont val="Calibri"/>
        <charset val="134"/>
      </rPr>
      <t>3.99e-14</t>
    </r>
  </si>
  <si>
    <r>
      <rPr>
        <sz val="7"/>
        <color rgb="FF231F20"/>
        <rFont val="Calibri"/>
        <charset val="134"/>
      </rPr>
      <t>HFE-227ea</t>
    </r>
  </si>
  <si>
    <r>
      <rPr>
        <sz val="7"/>
        <color rgb="FF231F20"/>
        <rFont val="Calibri"/>
        <charset val="134"/>
      </rPr>
      <t>CF</t>
    </r>
    <r>
      <rPr>
        <sz val="4"/>
        <color rgb="FF231F20"/>
        <rFont val="Calibri"/>
        <charset val="134"/>
      </rPr>
      <t>3</t>
    </r>
    <r>
      <rPr>
        <sz val="7"/>
        <color rgb="FF231F20"/>
        <rFont val="Calibri"/>
        <charset val="134"/>
      </rPr>
      <t>CHFOCF</t>
    </r>
    <r>
      <rPr>
        <sz val="4"/>
        <color rgb="FF231F20"/>
        <rFont val="Calibri"/>
        <charset val="134"/>
      </rPr>
      <t>3</t>
    </r>
  </si>
  <si>
    <r>
      <rPr>
        <sz val="7"/>
        <color rgb="FF231F20"/>
        <rFont val="Calibri"/>
        <charset val="134"/>
      </rPr>
      <t>2.22e-10</t>
    </r>
  </si>
  <si>
    <r>
      <rPr>
        <sz val="7"/>
        <color rgb="FF231F20"/>
        <rFont val="Calibri"/>
        <charset val="134"/>
      </rPr>
      <t>5.92e-10</t>
    </r>
  </si>
  <si>
    <r>
      <rPr>
        <sz val="7"/>
        <color rgb="FF231F20"/>
        <rFont val="Calibri"/>
        <charset val="134"/>
      </rPr>
      <t>6.15e-12</t>
    </r>
  </si>
  <si>
    <r>
      <rPr>
        <sz val="7"/>
        <color rgb="FF231F20"/>
        <rFont val="Calibri"/>
        <charset val="134"/>
      </rPr>
      <t>4.22e-12</t>
    </r>
  </si>
  <si>
    <r>
      <rPr>
        <sz val="7"/>
        <color rgb="FF231F20"/>
        <rFont val="Calibri"/>
        <charset val="134"/>
      </rPr>
      <t>1.98e-12</t>
    </r>
  </si>
  <si>
    <r>
      <rPr>
        <sz val="7"/>
        <color rgb="FF231F20"/>
        <rFont val="Calibri"/>
        <charset val="134"/>
      </rPr>
      <t>HCFE-235ca2  (enflurane)</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</si>
  <si>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CHFCl</t>
    </r>
  </si>
  <si>
    <r>
      <rPr>
        <sz val="7"/>
        <color rgb="FF231F20"/>
        <rFont val="Calibri"/>
        <charset val="134"/>
      </rPr>
      <t>5.30e-11</t>
    </r>
  </si>
  <si>
    <r>
      <rPr>
        <sz val="7"/>
        <color rgb="FF231F20"/>
        <rFont val="Calibri"/>
        <charset val="134"/>
      </rPr>
      <t>5.35e-11</t>
    </r>
  </si>
  <si>
    <r>
      <rPr>
        <sz val="7"/>
        <color rgb="FF231F20"/>
        <rFont val="Calibri"/>
        <charset val="134"/>
      </rPr>
      <t>7.36e-13</t>
    </r>
  </si>
  <si>
    <r>
      <rPr>
        <sz val="7"/>
        <color rgb="FF231F20"/>
        <rFont val="Calibri"/>
        <charset val="134"/>
      </rPr>
      <t>7.14e-14</t>
    </r>
  </si>
  <si>
    <r>
      <rPr>
        <sz val="7"/>
        <color rgb="FF231F20"/>
        <rFont val="Calibri"/>
        <charset val="134"/>
      </rPr>
      <t>HCFE-235da2  (isoflurane)</t>
    </r>
  </si>
  <si>
    <r>
      <rPr>
        <sz val="7"/>
        <color rgb="FF231F20"/>
        <rFont val="Calibri"/>
        <charset val="134"/>
      </rPr>
      <t>CHF</t>
    </r>
    <r>
      <rPr>
        <sz val="4"/>
        <color rgb="FF231F20"/>
        <rFont val="Calibri"/>
        <charset val="134"/>
      </rPr>
      <t>2</t>
    </r>
    <r>
      <rPr>
        <sz val="7"/>
        <color rgb="FF231F20"/>
        <rFont val="Calibri"/>
        <charset val="134"/>
      </rPr>
      <t>OCHClCF</t>
    </r>
    <r>
      <rPr>
        <sz val="4"/>
        <color rgb="FF231F20"/>
        <rFont val="Calibri"/>
        <charset val="134"/>
      </rPr>
      <t>3</t>
    </r>
  </si>
  <si>
    <r>
      <rPr>
        <sz val="7"/>
        <color rgb="FF231F20"/>
        <rFont val="Calibri"/>
        <charset val="134"/>
      </rPr>
      <t>4.49e-11</t>
    </r>
  </si>
  <si>
    <r>
      <rPr>
        <sz val="7"/>
        <color rgb="FF231F20"/>
        <rFont val="Calibri"/>
        <charset val="134"/>
      </rPr>
      <t>4.50e-11</t>
    </r>
  </si>
  <si>
    <r>
      <rPr>
        <sz val="7"/>
        <color rgb="FF231F20"/>
        <rFont val="Calibri"/>
        <charset val="134"/>
      </rPr>
      <t>5.62e-13</t>
    </r>
  </si>
  <si>
    <r>
      <rPr>
        <sz val="7"/>
        <color rgb="FF231F20"/>
        <rFont val="Calibri"/>
        <charset val="134"/>
      </rPr>
      <t>5.72e-14</t>
    </r>
  </si>
  <si>
    <r>
      <rPr>
        <sz val="7"/>
        <color rgb="FF231F20"/>
        <rFont val="Calibri"/>
        <charset val="134"/>
      </rPr>
      <t>3.73e-14</t>
    </r>
  </si>
  <si>
    <r>
      <rPr>
        <sz val="7"/>
        <color rgb="FF231F20"/>
        <rFont val="Calibri"/>
        <charset val="134"/>
      </rPr>
      <t>HFE-236ca</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</si>
  <si>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</si>
  <si>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0.56</t>
    </r>
    <r>
      <rPr>
        <sz val="4"/>
        <color rgb="FF231F20"/>
        <rFont val="Calibri"/>
        <charset val="134"/>
      </rPr>
      <t>g</t>
    </r>
  </si>
  <si>
    <r>
      <rPr>
        <sz val="7"/>
        <color rgb="FF231F20"/>
        <rFont val="Calibri"/>
        <charset val="134"/>
      </rPr>
      <t>3.89e-10</t>
    </r>
  </si>
  <si>
    <r>
      <rPr>
        <sz val="7"/>
        <color rgb="FF231F20"/>
        <rFont val="Calibri"/>
        <charset val="134"/>
      </rPr>
      <t>2.10e-12</t>
    </r>
  </si>
  <si>
    <r>
      <rPr>
        <sz val="7"/>
        <color rgb="FF231F20"/>
        <rFont val="Calibri"/>
        <charset val="134"/>
      </rPr>
      <t>4.98e-13</t>
    </r>
  </si>
  <si>
    <r>
      <rPr>
        <sz val="7"/>
        <color rgb="FF231F20"/>
        <rFont val="Calibri"/>
        <charset val="134"/>
      </rPr>
      <t>HFE-236ea2  (desflurane)</t>
    </r>
  </si>
  <si>
    <r>
      <rPr>
        <sz val="7"/>
        <color rgb="FF231F20"/>
        <rFont val="Calibri"/>
        <charset val="134"/>
      </rPr>
      <t>CHF</t>
    </r>
    <r>
      <rPr>
        <sz val="4"/>
        <color rgb="FF231F20"/>
        <rFont val="Calibri"/>
        <charset val="134"/>
      </rPr>
      <t>2</t>
    </r>
    <r>
      <rPr>
        <sz val="7"/>
        <color rgb="FF231F20"/>
        <rFont val="Calibri"/>
        <charset val="134"/>
      </rPr>
      <t>OCHFCF</t>
    </r>
    <r>
      <rPr>
        <sz val="4"/>
        <color rgb="FF231F20"/>
        <rFont val="Calibri"/>
        <charset val="134"/>
      </rPr>
      <t>3</t>
    </r>
  </si>
  <si>
    <r>
      <rPr>
        <sz val="7"/>
        <color rgb="FF231F20"/>
        <rFont val="Calibri"/>
        <charset val="134"/>
      </rPr>
      <t>1.39e-10</t>
    </r>
  </si>
  <si>
    <r>
      <rPr>
        <sz val="7"/>
        <color rgb="FF231F20"/>
        <rFont val="Calibri"/>
        <charset val="134"/>
      </rPr>
      <t>1.64e-10</t>
    </r>
  </si>
  <si>
    <r>
      <rPr>
        <sz val="7"/>
        <color rgb="FF231F20"/>
        <rFont val="Calibri"/>
        <charset val="134"/>
      </rPr>
      <t>2.93e-12</t>
    </r>
  </si>
  <si>
    <r>
      <rPr>
        <sz val="7"/>
        <color rgb="FF231F20"/>
        <rFont val="Calibri"/>
        <charset val="134"/>
      </rPr>
      <t>4.64e-13</t>
    </r>
  </si>
  <si>
    <r>
      <rPr>
        <sz val="7"/>
        <color rgb="FF231F20"/>
        <rFont val="Calibri"/>
        <charset val="134"/>
      </rPr>
      <t>1.42e-13</t>
    </r>
  </si>
  <si>
    <r>
      <rPr>
        <sz val="7"/>
        <color rgb="FF231F20"/>
        <rFont val="Calibri"/>
        <charset val="134"/>
      </rPr>
      <t>HFE-236fa</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</si>
  <si>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</si>
  <si>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8.35e-11</t>
    </r>
  </si>
  <si>
    <r>
      <rPr>
        <sz val="7"/>
        <color rgb="FF231F20"/>
        <rFont val="Calibri"/>
        <charset val="134"/>
      </rPr>
      <t>8.98e-11</t>
    </r>
  </si>
  <si>
    <r>
      <rPr>
        <sz val="7"/>
        <color rgb="FF231F20"/>
        <rFont val="Calibri"/>
        <charset val="134"/>
      </rPr>
      <t>1.68e-13</t>
    </r>
  </si>
  <si>
    <r>
      <rPr>
        <sz val="7"/>
        <color rgb="FF231F20"/>
        <rFont val="Calibri"/>
        <charset val="134"/>
      </rPr>
      <t>7.54e-14</t>
    </r>
  </si>
  <si>
    <r>
      <rPr>
        <sz val="7"/>
        <color rgb="FF231F20"/>
        <rFont val="Calibri"/>
        <charset val="134"/>
      </rPr>
      <t>HFE-245cb2</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</si>
  <si>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</si>
  <si>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5.90e-11</t>
    </r>
  </si>
  <si>
    <r>
      <rPr>
        <sz val="7"/>
        <color rgb="FF231F20"/>
        <rFont val="Calibri"/>
        <charset val="134"/>
      </rPr>
      <t>6.00e-11</t>
    </r>
  </si>
  <si>
    <r>
      <rPr>
        <sz val="7"/>
        <color rgb="FF231F20"/>
        <rFont val="Calibri"/>
        <charset val="134"/>
      </rPr>
      <t>8.77e-13</t>
    </r>
  </si>
  <si>
    <r>
      <rPr>
        <sz val="7"/>
        <color rgb="FF231F20"/>
        <rFont val="Calibri"/>
        <charset val="134"/>
      </rPr>
      <t>8.40e-14</t>
    </r>
  </si>
  <si>
    <r>
      <rPr>
        <sz val="7"/>
        <color rgb="FF231F20"/>
        <rFont val="Calibri"/>
        <charset val="134"/>
      </rPr>
      <t>4.99e-14</t>
    </r>
  </si>
  <si>
    <r>
      <rPr>
        <sz val="7"/>
        <color rgb="FF231F20"/>
        <rFont val="Calibri"/>
        <charset val="134"/>
      </rPr>
      <t>HFE-245fa1</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</si>
  <si>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</si>
  <si>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7.22e-11</t>
    </r>
  </si>
  <si>
    <r>
      <rPr>
        <sz val="7"/>
        <color rgb="FF231F20"/>
        <rFont val="Calibri"/>
        <charset val="134"/>
      </rPr>
      <t>7.59e-11</t>
    </r>
  </si>
  <si>
    <r>
      <rPr>
        <sz val="7"/>
        <color rgb="FF231F20"/>
        <rFont val="Calibri"/>
        <charset val="134"/>
      </rPr>
      <t>1.25e-12</t>
    </r>
  </si>
  <si>
    <r>
      <rPr>
        <sz val="7"/>
        <color rgb="FF231F20"/>
        <rFont val="Calibri"/>
        <charset val="134"/>
      </rPr>
      <t>1.27e-13</t>
    </r>
  </si>
  <si>
    <r>
      <rPr>
        <sz val="7"/>
        <color rgb="FF231F20"/>
        <rFont val="Calibri"/>
        <charset val="134"/>
      </rPr>
      <t>6.35e-14</t>
    </r>
  </si>
  <si>
    <r>
      <rPr>
        <sz val="7"/>
        <color rgb="FF231F20"/>
        <rFont val="Calibri"/>
        <charset val="134"/>
      </rPr>
      <t>HFE-245fa2</t>
    </r>
  </si>
  <si>
    <r>
      <rPr>
        <sz val="7"/>
        <color rgb="FF231F20"/>
        <rFont val="Calibri"/>
        <charset val="134"/>
      </rPr>
      <t>CHF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</si>
  <si>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7.25e-11</t>
    </r>
  </si>
  <si>
    <r>
      <rPr>
        <sz val="7"/>
        <color rgb="FF231F20"/>
        <rFont val="Calibri"/>
        <charset val="134"/>
      </rPr>
      <t>7.45e-11</t>
    </r>
  </si>
  <si>
    <r>
      <rPr>
        <sz val="7"/>
        <color rgb="FF231F20"/>
        <rFont val="Calibri"/>
        <charset val="134"/>
      </rPr>
      <t>1.15e-12</t>
    </r>
  </si>
  <si>
    <r>
      <rPr>
        <sz val="7"/>
        <color rgb="FF231F20"/>
        <rFont val="Calibri"/>
        <charset val="134"/>
      </rPr>
      <t>6.21e-14</t>
    </r>
  </si>
  <si>
    <r>
      <rPr>
        <sz val="7"/>
        <color rgb="FF231F20"/>
        <rFont val="Calibri"/>
        <charset val="134"/>
      </rPr>
      <t>2,2,3,3,3-Pentafluoropropan-1-ol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</si>
  <si>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</si>
  <si>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1.72e-12</t>
    </r>
  </si>
  <si>
    <r>
      <rPr>
        <sz val="7"/>
        <color rgb="FF231F20"/>
        <rFont val="Calibri"/>
        <charset val="134"/>
      </rPr>
      <t>1.42e-14</t>
    </r>
  </si>
  <si>
    <r>
      <rPr>
        <sz val="7"/>
        <color rgb="FF231F20"/>
        <rFont val="Calibri"/>
        <charset val="134"/>
      </rPr>
      <t>1.95e-15</t>
    </r>
  </si>
  <si>
    <r>
      <rPr>
        <sz val="7"/>
        <color rgb="FF231F20"/>
        <rFont val="Calibri"/>
        <charset val="134"/>
      </rPr>
      <t>1.42e-15</t>
    </r>
  </si>
  <si>
    <r>
      <rPr>
        <sz val="7"/>
        <color rgb="FF231F20"/>
        <rFont val="Calibri"/>
        <charset val="134"/>
      </rPr>
      <t>HFE-254cb1</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</si>
  <si>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</si>
  <si>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2.76e-11</t>
    </r>
  </si>
  <si>
    <r>
      <rPr>
        <sz val="7"/>
        <color rgb="FF231F20"/>
        <rFont val="Calibri"/>
        <charset val="134"/>
      </rPr>
      <t>2.99e-13</t>
    </r>
  </si>
  <si>
    <r>
      <rPr>
        <sz val="7"/>
        <color rgb="FF231F20"/>
        <rFont val="Calibri"/>
        <charset val="134"/>
      </rPr>
      <t>3.34e-14</t>
    </r>
  </si>
  <si>
    <r>
      <rPr>
        <sz val="7"/>
        <color rgb="FF231F20"/>
        <rFont val="Calibri"/>
        <charset val="134"/>
      </rPr>
      <t>2.28e-14</t>
    </r>
  </si>
  <si>
    <r>
      <rPr>
        <sz val="7"/>
        <color rgb="FF231F20"/>
        <rFont val="Calibri"/>
        <charset val="134"/>
      </rPr>
      <t>HFE-263fb2</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</si>
  <si>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</si>
  <si>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23.0 days</t>
    </r>
  </si>
  <si>
    <r>
      <rPr>
        <sz val="7"/>
        <color rgb="FF231F20"/>
        <rFont val="Calibri"/>
        <charset val="134"/>
      </rPr>
      <t>1.22e-13</t>
    </r>
  </si>
  <si>
    <r>
      <rPr>
        <sz val="7"/>
        <color rgb="FF231F20"/>
        <rFont val="Calibri"/>
        <charset val="134"/>
      </rPr>
      <t>9.72e-16</t>
    </r>
  </si>
  <si>
    <r>
      <rPr>
        <sz val="7"/>
        <color rgb="FF231F20"/>
        <rFont val="Calibri"/>
        <charset val="134"/>
      </rPr>
      <t>1.37e-16</t>
    </r>
  </si>
  <si>
    <r>
      <rPr>
        <sz val="7"/>
        <color rgb="FF231F20"/>
        <rFont val="Calibri"/>
        <charset val="134"/>
      </rPr>
      <t>9.98e-17</t>
    </r>
  </si>
  <si>
    <r>
      <rPr>
        <sz val="7"/>
        <color rgb="FF231F20"/>
        <rFont val="Calibri"/>
        <charset val="134"/>
      </rPr>
      <t>HFE-263m1</t>
    </r>
  </si>
  <si>
    <r>
      <rPr>
        <sz val="7"/>
        <color rgb="FF231F20"/>
        <rFont val="Calibri"/>
        <charset val="134"/>
      </rPr>
      <t>CF</t>
    </r>
    <r>
      <rPr>
        <sz val="4"/>
        <color rgb="FF231F20"/>
        <rFont val="Calibri"/>
        <charset val="134"/>
      </rPr>
      <t>3</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</si>
  <si>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2.25e-14</t>
    </r>
  </si>
  <si>
    <r>
      <rPr>
        <sz val="7"/>
        <color rgb="FF231F20"/>
        <rFont val="Calibri"/>
        <charset val="134"/>
      </rPr>
      <t>3.06e-15</t>
    </r>
  </si>
  <si>
    <r>
      <rPr>
        <sz val="7"/>
        <color rgb="FF231F20"/>
        <rFont val="Calibri"/>
        <charset val="134"/>
      </rPr>
      <t>2.22e-15</t>
    </r>
  </si>
  <si>
    <r>
      <rPr>
        <sz val="7"/>
        <color rgb="FF231F20"/>
        <rFont val="Calibri"/>
        <charset val="134"/>
      </rPr>
      <t>3,3,3-Trifluoropropan-1-ol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</si>
  <si>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</si>
  <si>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12.0 days</t>
    </r>
  </si>
  <si>
    <r>
      <rPr>
        <sz val="7"/>
        <color rgb="FF231F20"/>
        <rFont val="Calibri"/>
        <charset val="134"/>
      </rPr>
      <t>3.57e-14</t>
    </r>
  </si>
  <si>
    <r>
      <rPr>
        <sz val="7"/>
        <color rgb="FF231F20"/>
        <rFont val="Calibri"/>
        <charset val="134"/>
      </rPr>
      <t>2.85e-16</t>
    </r>
  </si>
  <si>
    <r>
      <rPr>
        <sz val="7"/>
        <color rgb="FF231F20"/>
        <rFont val="Calibri"/>
        <charset val="134"/>
      </rPr>
      <t>4.01e-17</t>
    </r>
  </si>
  <si>
    <r>
      <rPr>
        <sz val="7"/>
        <color rgb="FF231F20"/>
        <rFont val="Calibri"/>
        <charset val="134"/>
      </rPr>
      <t>HFE-329mcc2</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</si>
  <si>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</si>
  <si>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1.68e-10</t>
    </r>
  </si>
  <si>
    <r>
      <rPr>
        <sz val="7"/>
        <color rgb="FF231F20"/>
        <rFont val="Calibri"/>
        <charset val="134"/>
      </rPr>
      <t>2.81e-10</t>
    </r>
  </si>
  <si>
    <r>
      <rPr>
        <sz val="7"/>
        <color rgb="FF231F20"/>
        <rFont val="Calibri"/>
        <charset val="134"/>
      </rPr>
      <t>4.23e-12</t>
    </r>
  </si>
  <si>
    <r>
      <rPr>
        <sz val="7"/>
        <color rgb="FF231F20"/>
        <rFont val="Calibri"/>
        <charset val="134"/>
      </rPr>
      <t>1.59e-12</t>
    </r>
  </si>
  <si>
    <r>
      <rPr>
        <sz val="7"/>
        <color rgb="FF231F20"/>
        <rFont val="Calibri"/>
        <charset val="134"/>
      </rPr>
      <t>3.93e-13</t>
    </r>
  </si>
  <si>
    <r>
      <rPr>
        <sz val="7"/>
        <color rgb="FF231F20"/>
        <rFont val="Calibri"/>
        <charset val="134"/>
      </rPr>
      <t>HFE-338mmz1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</si>
  <si>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CHOCHF</t>
    </r>
    <r>
      <rPr>
        <sz val="4"/>
        <color rgb="FF231F20"/>
        <rFont val="Calibri"/>
        <charset val="134"/>
      </rPr>
      <t>2</t>
    </r>
  </si>
  <si>
    <r>
      <rPr>
        <sz val="7"/>
        <color rgb="FF231F20"/>
        <rFont val="Calibri"/>
        <charset val="134"/>
      </rPr>
      <t>1.48e-10</t>
    </r>
  </si>
  <si>
    <r>
      <rPr>
        <sz val="7"/>
        <color rgb="FF231F20"/>
        <rFont val="Calibri"/>
        <charset val="134"/>
      </rPr>
      <t>2.40e-10</t>
    </r>
  </si>
  <si>
    <r>
      <rPr>
        <sz val="7"/>
        <color rgb="FF231F20"/>
        <rFont val="Calibri"/>
        <charset val="134"/>
      </rPr>
      <t>3.70e-12</t>
    </r>
  </si>
  <si>
    <r>
      <rPr>
        <sz val="7"/>
        <color rgb="FF231F20"/>
        <rFont val="Calibri"/>
        <charset val="134"/>
      </rPr>
      <t>1.31e-12</t>
    </r>
  </si>
  <si>
    <r>
      <rPr>
        <sz val="7"/>
        <color rgb="FF231F20"/>
        <rFont val="Calibri"/>
        <charset val="134"/>
      </rPr>
      <t>3.14e-13</t>
    </r>
  </si>
  <si>
    <r>
      <rPr>
        <sz val="7"/>
        <color rgb="FF231F20"/>
        <rFont val="Calibri"/>
        <charset val="134"/>
      </rPr>
      <t>HFE-338mcf2</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</si>
  <si>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</si>
  <si>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7.93e-11</t>
    </r>
  </si>
  <si>
    <r>
      <rPr>
        <sz val="7"/>
        <color rgb="FF231F20"/>
        <rFont val="Calibri"/>
        <charset val="134"/>
      </rPr>
      <t>8.52e-11</t>
    </r>
  </si>
  <si>
    <r>
      <rPr>
        <sz val="7"/>
        <color rgb="FF231F20"/>
        <rFont val="Calibri"/>
        <charset val="134"/>
      </rPr>
      <t>1.45e-12</t>
    </r>
  </si>
  <si>
    <r>
      <rPr>
        <sz val="7"/>
        <color rgb="FF231F20"/>
        <rFont val="Calibri"/>
        <charset val="134"/>
      </rPr>
      <t>1.60e-13</t>
    </r>
  </si>
  <si>
    <r>
      <rPr>
        <sz val="7"/>
        <color rgb="FF231F20"/>
        <rFont val="Calibri"/>
        <charset val="134"/>
      </rPr>
      <t>7.16e-14</t>
    </r>
  </si>
  <si>
    <r>
      <rPr>
        <sz val="7"/>
        <color rgb="FF231F20"/>
        <rFont val="Calibri"/>
        <charset val="134"/>
      </rPr>
      <t>Sevoflurane  (HFE-347mmz1)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</si>
  <si>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CHOCH</t>
    </r>
    <r>
      <rPr>
        <sz val="4"/>
        <color rgb="FF231F20"/>
        <rFont val="Calibri"/>
        <charset val="134"/>
      </rPr>
      <t>2</t>
    </r>
    <r>
      <rPr>
        <sz val="7"/>
        <color rgb="FF231F20"/>
        <rFont val="Calibri"/>
        <charset val="134"/>
      </rPr>
      <t>F</t>
    </r>
  </si>
  <si>
    <r>
      <rPr>
        <sz val="7"/>
        <color rgb="FF231F20"/>
        <rFont val="Calibri"/>
        <charset val="134"/>
      </rPr>
      <t>1.98e-11</t>
    </r>
  </si>
  <si>
    <r>
      <rPr>
        <sz val="7"/>
        <color rgb="FF231F20"/>
        <rFont val="Calibri"/>
        <charset val="134"/>
      </rPr>
      <t>2.06e-13</t>
    </r>
  </si>
  <si>
    <r>
      <rPr>
        <sz val="7"/>
        <color rgb="FF231F20"/>
        <rFont val="Calibri"/>
        <charset val="134"/>
      </rPr>
      <t>2.37e-14</t>
    </r>
  </si>
  <si>
    <r>
      <rPr>
        <sz val="7"/>
        <color rgb="FF231F20"/>
        <rFont val="Calibri"/>
        <charset val="134"/>
      </rPr>
      <t>1.64e-14</t>
    </r>
  </si>
  <si>
    <r>
      <rPr>
        <sz val="7"/>
        <color rgb="FF231F20"/>
        <rFont val="Calibri"/>
        <charset val="134"/>
      </rPr>
      <t>HFE-347mcc3  (HFE-7000)</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</si>
  <si>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</si>
  <si>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4.78e-11</t>
    </r>
  </si>
  <si>
    <r>
      <rPr>
        <sz val="7"/>
        <color rgb="FF231F20"/>
        <rFont val="Calibri"/>
        <charset val="134"/>
      </rPr>
      <t>4.86e-11</t>
    </r>
  </si>
  <si>
    <r>
      <rPr>
        <sz val="7"/>
        <color rgb="FF231F20"/>
        <rFont val="Calibri"/>
        <charset val="134"/>
      </rPr>
      <t>7.18e-13</t>
    </r>
  </si>
  <si>
    <r>
      <rPr>
        <sz val="7"/>
        <color rgb="FF231F20"/>
        <rFont val="Calibri"/>
        <charset val="134"/>
      </rPr>
      <t>6.87e-14</t>
    </r>
  </si>
  <si>
    <r>
      <rPr>
        <sz val="7"/>
        <color rgb="FF231F20"/>
        <rFont val="Calibri"/>
        <charset val="134"/>
      </rPr>
      <t>4.05e-14</t>
    </r>
  </si>
  <si>
    <r>
      <rPr>
        <sz val="7"/>
        <color rgb="FF231F20"/>
        <rFont val="Calibri"/>
        <charset val="134"/>
      </rPr>
      <t>HFE-347mcf2</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</si>
  <si>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</si>
  <si>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7.83e-11</t>
    </r>
  </si>
  <si>
    <r>
      <rPr>
        <sz val="7"/>
        <color rgb="FF231F20"/>
        <rFont val="Calibri"/>
        <charset val="134"/>
      </rPr>
      <t>1.29e-12</t>
    </r>
  </si>
  <si>
    <r>
      <rPr>
        <sz val="7"/>
        <color rgb="FF231F20"/>
        <rFont val="Calibri"/>
        <charset val="134"/>
      </rPr>
      <t>6.55e-14</t>
    </r>
  </si>
  <si>
    <r>
      <rPr>
        <sz val="7"/>
        <color rgb="FF231F20"/>
        <rFont val="Calibri"/>
        <charset val="134"/>
      </rPr>
      <t>HFE-347pcf2</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</si>
  <si>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</si>
  <si>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0.48</t>
    </r>
    <r>
      <rPr>
        <sz val="4"/>
        <color rgb="FF231F20"/>
        <rFont val="Calibri"/>
        <charset val="134"/>
      </rPr>
      <t>h</t>
    </r>
  </si>
  <si>
    <r>
      <rPr>
        <sz val="7"/>
        <color rgb="FF231F20"/>
        <rFont val="Calibri"/>
        <charset val="134"/>
      </rPr>
      <t>7.86e-11</t>
    </r>
  </si>
  <si>
    <r>
      <rPr>
        <sz val="7"/>
        <color rgb="FF231F20"/>
        <rFont val="Calibri"/>
        <charset val="134"/>
      </rPr>
      <t>8.15e-11</t>
    </r>
  </si>
  <si>
    <r>
      <rPr>
        <sz val="7"/>
        <color rgb="FF231F20"/>
        <rFont val="Calibri"/>
        <charset val="134"/>
      </rPr>
      <t>6.81e-14</t>
    </r>
  </si>
  <si>
    <r>
      <rPr>
        <sz val="7"/>
        <color rgb="FF231F20"/>
        <rFont val="Calibri"/>
        <charset val="134"/>
      </rPr>
      <t>HFE-347mmy1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</si>
  <si>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CFOCH</t>
    </r>
    <r>
      <rPr>
        <sz val="4"/>
        <color rgb="FF231F20"/>
        <rFont val="Calibri"/>
        <charset val="134"/>
      </rPr>
      <t>3</t>
    </r>
  </si>
  <si>
    <r>
      <rPr>
        <sz val="7"/>
        <color rgb="FF231F20"/>
        <rFont val="Calibri"/>
        <charset val="134"/>
      </rPr>
      <t>3.32e-11</t>
    </r>
  </si>
  <si>
    <r>
      <rPr>
        <sz val="7"/>
        <color rgb="FF231F20"/>
        <rFont val="Calibri"/>
        <charset val="134"/>
      </rPr>
      <t>3.33e-11</t>
    </r>
  </si>
  <si>
    <r>
      <rPr>
        <sz val="7"/>
        <color rgb="FF231F20"/>
        <rFont val="Calibri"/>
        <charset val="134"/>
      </rPr>
      <t>4.28e-14</t>
    </r>
  </si>
  <si>
    <r>
      <rPr>
        <sz val="7"/>
        <color rgb="FF231F20"/>
        <rFont val="Calibri"/>
        <charset val="134"/>
      </rPr>
      <t>2.76e-14</t>
    </r>
  </si>
  <si>
    <r>
      <rPr>
        <sz val="7"/>
        <color rgb="FF231F20"/>
        <rFont val="Calibri"/>
        <charset val="134"/>
      </rPr>
      <t>HFE-356mec3</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</si>
  <si>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CHFCF</t>
    </r>
    <r>
      <rPr>
        <sz val="4"/>
        <color rgb="FF231F20"/>
        <rFont val="Calibri"/>
        <charset val="134"/>
      </rPr>
      <t>3</t>
    </r>
  </si>
  <si>
    <r>
      <rPr>
        <sz val="7"/>
        <color rgb="FF231F20"/>
        <rFont val="Calibri"/>
        <charset val="134"/>
      </rPr>
      <t>3.53e-11</t>
    </r>
  </si>
  <si>
    <r>
      <rPr>
        <sz val="7"/>
        <color rgb="FF231F20"/>
        <rFont val="Calibri"/>
        <charset val="134"/>
      </rPr>
      <t>3.55e-11</t>
    </r>
  </si>
  <si>
    <r>
      <rPr>
        <sz val="7"/>
        <color rgb="FF231F20"/>
        <rFont val="Calibri"/>
        <charset val="134"/>
      </rPr>
      <t>4.60e-13</t>
    </r>
  </si>
  <si>
    <r>
      <rPr>
        <sz val="7"/>
        <color rgb="FF231F20"/>
        <rFont val="Calibri"/>
        <charset val="134"/>
      </rPr>
      <t>4.58e-14</t>
    </r>
  </si>
  <si>
    <r>
      <rPr>
        <sz val="7"/>
        <color rgb="FF231F20"/>
        <rFont val="Calibri"/>
        <charset val="134"/>
      </rPr>
      <t>2.94e-14</t>
    </r>
  </si>
  <si>
    <r>
      <rPr>
        <sz val="7"/>
        <color rgb="FF231F20"/>
        <rFont val="Calibri"/>
        <charset val="134"/>
      </rPr>
      <t>HFE-356mff2</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</si>
  <si>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</si>
  <si>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 xml:space="preserve">105.0
</t>
    </r>
    <r>
      <rPr>
        <sz val="7"/>
        <color rgb="FF231F20"/>
        <rFont val="Calibri"/>
        <charset val="134"/>
      </rPr>
      <t>days</t>
    </r>
  </si>
  <si>
    <r>
      <rPr>
        <sz val="7"/>
        <color rgb="FF231F20"/>
        <rFont val="Calibri"/>
        <charset val="134"/>
      </rPr>
      <t>1.54e-12</t>
    </r>
  </si>
  <si>
    <r>
      <rPr>
        <sz val="7"/>
        <color rgb="FF231F20"/>
        <rFont val="Calibri"/>
        <charset val="134"/>
      </rPr>
      <t>1.26e-14</t>
    </r>
  </si>
  <si>
    <r>
      <rPr>
        <sz val="7"/>
        <color rgb="FF231F20"/>
        <rFont val="Calibri"/>
        <charset val="134"/>
      </rPr>
      <t>1.74e-15</t>
    </r>
  </si>
  <si>
    <r>
      <rPr>
        <sz val="7"/>
        <color rgb="FF231F20"/>
        <rFont val="Calibri"/>
        <charset val="134"/>
      </rPr>
      <t>1.26e-15</t>
    </r>
  </si>
  <si>
    <r>
      <rPr>
        <sz val="7"/>
        <color rgb="FF231F20"/>
        <rFont val="Calibri"/>
        <charset val="134"/>
      </rPr>
      <t>HFE-356pcf2</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</si>
  <si>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</si>
  <si>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6.40e-11</t>
    </r>
  </si>
  <si>
    <r>
      <rPr>
        <sz val="7"/>
        <color rgb="FF231F20"/>
        <rFont val="Calibri"/>
        <charset val="134"/>
      </rPr>
      <t>6.59e-11</t>
    </r>
  </si>
  <si>
    <r>
      <rPr>
        <sz val="7"/>
        <color rgb="FF231F20"/>
        <rFont val="Calibri"/>
        <charset val="134"/>
      </rPr>
      <t>1.03e-12</t>
    </r>
  </si>
  <si>
    <r>
      <rPr>
        <sz val="7"/>
        <color rgb="FF231F20"/>
        <rFont val="Calibri"/>
        <charset val="134"/>
      </rPr>
      <t>9.97e-14</t>
    </r>
  </si>
  <si>
    <r>
      <rPr>
        <sz val="7"/>
        <color rgb="FF231F20"/>
        <rFont val="Calibri"/>
        <charset val="134"/>
      </rPr>
      <t>5.50e-14</t>
    </r>
  </si>
  <si>
    <r>
      <rPr>
        <sz val="7"/>
        <color rgb="FF231F20"/>
        <rFont val="Calibri"/>
        <charset val="134"/>
      </rPr>
      <t>HFE-356pcf3</t>
    </r>
  </si>
  <si>
    <r>
      <rPr>
        <sz val="7"/>
        <color rgb="FF231F20"/>
        <rFont val="Calibri"/>
        <charset val="134"/>
      </rPr>
      <t>CHF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</si>
  <si>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4.08e-11</t>
    </r>
  </si>
  <si>
    <r>
      <rPr>
        <sz val="7"/>
        <color rgb="FF231F20"/>
        <rFont val="Calibri"/>
        <charset val="134"/>
      </rPr>
      <t>4.09e-11</t>
    </r>
  </si>
  <si>
    <r>
      <rPr>
        <sz val="7"/>
        <color rgb="FF231F20"/>
        <rFont val="Calibri"/>
        <charset val="134"/>
      </rPr>
      <t>5.11e-13</t>
    </r>
  </si>
  <si>
    <r>
      <rPr>
        <sz val="7"/>
        <color rgb="FF231F20"/>
        <rFont val="Calibri"/>
        <charset val="134"/>
      </rPr>
      <t>5.20e-14</t>
    </r>
  </si>
  <si>
    <r>
      <rPr>
        <sz val="7"/>
        <color rgb="FF231F20"/>
        <rFont val="Calibri"/>
        <charset val="134"/>
      </rPr>
      <t>3.39e-14</t>
    </r>
  </si>
  <si>
    <r>
      <rPr>
        <sz val="7"/>
        <color rgb="FF231F20"/>
        <rFont val="Calibri"/>
        <charset val="134"/>
      </rPr>
      <t>HFE-356pcc3</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</si>
  <si>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</si>
  <si>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3.77e-11</t>
    </r>
  </si>
  <si>
    <r>
      <rPr>
        <sz val="7"/>
        <color rgb="FF231F20"/>
        <rFont val="Calibri"/>
        <charset val="134"/>
      </rPr>
      <t>3.79e-11</t>
    </r>
  </si>
  <si>
    <r>
      <rPr>
        <sz val="7"/>
        <color rgb="FF231F20"/>
        <rFont val="Calibri"/>
        <charset val="134"/>
      </rPr>
      <t>4.91e-13</t>
    </r>
  </si>
  <si>
    <r>
      <rPr>
        <sz val="7"/>
        <color rgb="FF231F20"/>
        <rFont val="Calibri"/>
        <charset val="134"/>
      </rPr>
      <t>4.89e-14</t>
    </r>
  </si>
  <si>
    <r>
      <rPr>
        <sz val="7"/>
        <color rgb="FF231F20"/>
        <rFont val="Calibri"/>
        <charset val="134"/>
      </rPr>
      <t>3.14e-14</t>
    </r>
  </si>
  <si>
    <r>
      <rPr>
        <sz val="7"/>
        <color rgb="FF231F20"/>
        <rFont val="Calibri"/>
        <charset val="134"/>
      </rPr>
      <t>HFE-356mmz1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</si>
  <si>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CHOCH</t>
    </r>
    <r>
      <rPr>
        <sz val="4"/>
        <color rgb="FF231F20"/>
        <rFont val="Calibri"/>
        <charset val="134"/>
      </rPr>
      <t>3</t>
    </r>
  </si>
  <si>
    <r>
      <rPr>
        <sz val="7"/>
        <color rgb="FF231F20"/>
        <rFont val="Calibri"/>
        <charset val="134"/>
      </rPr>
      <t>97.1 days</t>
    </r>
  </si>
  <si>
    <r>
      <rPr>
        <sz val="7"/>
        <color rgb="FF231F20"/>
        <rFont val="Calibri"/>
        <charset val="134"/>
      </rPr>
      <t>1.02e-14</t>
    </r>
  </si>
  <si>
    <r>
      <rPr>
        <sz val="7"/>
        <color rgb="FF231F20"/>
        <rFont val="Calibri"/>
        <charset val="134"/>
      </rPr>
      <t>1.41e-15</t>
    </r>
  </si>
  <si>
    <r>
      <rPr>
        <sz val="7"/>
        <color rgb="FF231F20"/>
        <rFont val="Calibri"/>
        <charset val="134"/>
      </rPr>
      <t>1.02e-15</t>
    </r>
  </si>
  <si>
    <r>
      <rPr>
        <sz val="7"/>
        <color rgb="FF231F20"/>
        <rFont val="Calibri"/>
        <charset val="134"/>
      </rPr>
      <t>HFE-365mcf3</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</si>
  <si>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</si>
  <si>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19.3 days</t>
    </r>
  </si>
  <si>
    <r>
      <rPr>
        <sz val="7"/>
        <color rgb="FF231F20"/>
        <rFont val="Calibri"/>
        <charset val="134"/>
      </rPr>
      <t>8.51e-14</t>
    </r>
  </si>
  <si>
    <r>
      <rPr>
        <sz val="7"/>
        <color rgb="FF231F20"/>
        <rFont val="Calibri"/>
        <charset val="134"/>
      </rPr>
      <t>6.80e-16</t>
    </r>
  </si>
  <si>
    <r>
      <rPr>
        <sz val="7"/>
        <color rgb="FF231F20"/>
        <rFont val="Calibri"/>
        <charset val="134"/>
      </rPr>
      <t>9.56e-17</t>
    </r>
  </si>
  <si>
    <r>
      <rPr>
        <sz val="7"/>
        <color rgb="FF231F20"/>
        <rFont val="Calibri"/>
        <charset val="134"/>
      </rPr>
      <t>6.99e-17</t>
    </r>
  </si>
  <si>
    <r>
      <rPr>
        <sz val="7"/>
        <color rgb="FF231F20"/>
        <rFont val="Calibri"/>
        <charset val="134"/>
      </rPr>
      <t>HFE-365mcf2</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</si>
  <si>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</si>
  <si>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0.26</t>
    </r>
    <r>
      <rPr>
        <sz val="4"/>
        <color rgb="FF231F20"/>
        <rFont val="Calibri"/>
        <charset val="134"/>
      </rPr>
      <t>i</t>
    </r>
  </si>
  <si>
    <r>
      <rPr>
        <sz val="7"/>
        <color rgb="FF231F20"/>
        <rFont val="Calibri"/>
        <charset val="134"/>
      </rPr>
      <t>5.35e-12</t>
    </r>
  </si>
  <si>
    <r>
      <rPr>
        <sz val="7"/>
        <color rgb="FF231F20"/>
        <rFont val="Calibri"/>
        <charset val="134"/>
      </rPr>
      <t>4.53e-14</t>
    </r>
  </si>
  <si>
    <r>
      <rPr>
        <sz val="7"/>
        <color rgb="FF231F20"/>
        <rFont val="Calibri"/>
        <charset val="134"/>
      </rPr>
      <t>6.10e-15</t>
    </r>
  </si>
  <si>
    <r>
      <rPr>
        <sz val="7"/>
        <color rgb="FF231F20"/>
        <rFont val="Calibri"/>
        <charset val="134"/>
      </rPr>
      <t>4.40e-15</t>
    </r>
  </si>
  <si>
    <r>
      <rPr>
        <sz val="7"/>
        <color rgb="FF231F20"/>
        <rFont val="Calibri"/>
        <charset val="134"/>
      </rPr>
      <t>HFE-374pc2</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</si>
  <si>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</si>
  <si>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5.65e-11</t>
    </r>
  </si>
  <si>
    <r>
      <rPr>
        <sz val="7"/>
        <color rgb="FF231F20"/>
        <rFont val="Calibri"/>
        <charset val="134"/>
      </rPr>
      <t>5.75e-11</t>
    </r>
  </si>
  <si>
    <r>
      <rPr>
        <sz val="7"/>
        <color rgb="FF231F20"/>
        <rFont val="Calibri"/>
        <charset val="134"/>
      </rPr>
      <t>8.48e-13</t>
    </r>
  </si>
  <si>
    <r>
      <rPr>
        <sz val="7"/>
        <color rgb="FF231F20"/>
        <rFont val="Calibri"/>
        <charset val="134"/>
      </rPr>
      <t>8.12e-14</t>
    </r>
  </si>
  <si>
    <r>
      <rPr>
        <sz val="7"/>
        <color rgb="FF231F20"/>
        <rFont val="Calibri"/>
        <charset val="134"/>
      </rPr>
      <t>4.79e-14</t>
    </r>
  </si>
  <si>
    <r>
      <rPr>
        <sz val="7"/>
        <color rgb="FF231F20"/>
        <rFont val="Calibri"/>
        <charset val="134"/>
      </rPr>
      <t>4,4,4-Trifluorobutan-1-ol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</si>
  <si>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</si>
  <si>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1.73e-15</t>
    </r>
  </si>
  <si>
    <r>
      <rPr>
        <sz val="7"/>
        <color rgb="FF231F20"/>
        <rFont val="Calibri"/>
        <charset val="134"/>
      </rPr>
      <t>1.38e-17</t>
    </r>
  </si>
  <si>
    <r>
      <rPr>
        <sz val="7"/>
        <color rgb="FF231F20"/>
        <rFont val="Calibri"/>
        <charset val="134"/>
      </rPr>
      <t>1.94e-18</t>
    </r>
  </si>
  <si>
    <r>
      <rPr>
        <sz val="7"/>
        <color rgb="FF231F20"/>
        <rFont val="Calibri"/>
        <charset val="134"/>
      </rPr>
      <t>1.42e-18</t>
    </r>
  </si>
  <si>
    <r>
      <rPr>
        <sz val="7"/>
        <color rgb="FF231F20"/>
        <rFont val="Calibri"/>
        <charset val="134"/>
      </rPr>
      <t>2,2,3,3,4,4,5,5-Octafluorocyclopentanol</t>
    </r>
  </si>
  <si>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4</t>
    </r>
    <r>
      <rPr>
        <sz val="7"/>
        <color rgb="FF231F20"/>
        <rFont val="Calibri"/>
        <charset val="134"/>
      </rPr>
      <t>CH(OH)-</t>
    </r>
  </si>
  <si>
    <r>
      <rPr>
        <sz val="7"/>
        <color rgb="FF231F20"/>
        <rFont val="Calibri"/>
        <charset val="134"/>
      </rPr>
      <t>1.18e-12</t>
    </r>
  </si>
  <si>
    <r>
      <rPr>
        <sz val="7"/>
        <color rgb="FF231F20"/>
        <rFont val="Calibri"/>
        <charset val="134"/>
      </rPr>
      <t>9.67e-15</t>
    </r>
  </si>
  <si>
    <r>
      <rPr>
        <sz val="7"/>
        <color rgb="FF231F20"/>
        <rFont val="Calibri"/>
        <charset val="134"/>
      </rPr>
      <t>1.33e-15</t>
    </r>
  </si>
  <si>
    <r>
      <rPr>
        <sz val="7"/>
        <color rgb="FF231F20"/>
        <rFont val="Calibri"/>
        <charset val="134"/>
      </rPr>
      <t>9.69e-16</t>
    </r>
  </si>
  <si>
    <r>
      <rPr>
        <sz val="7"/>
        <color rgb="FF231F20"/>
        <rFont val="Calibri"/>
        <charset val="134"/>
      </rPr>
      <t>HFE-43-10pccc124 (H-Galden 1040x, HG-11)</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</si>
  <si>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t>
    </r>
    <r>
      <rPr>
        <sz val="4"/>
        <color rgb="FF231F20"/>
        <rFont val="Calibri"/>
        <charset val="134"/>
      </rPr>
      <t>2</t>
    </r>
    <r>
      <rPr>
        <sz val="7"/>
        <color rgb="FF231F20"/>
        <rFont val="Calibri"/>
        <charset val="134"/>
      </rPr>
      <t>F</t>
    </r>
    <r>
      <rPr>
        <sz val="4"/>
        <color rgb="FF231F20"/>
        <rFont val="Calibri"/>
        <charset val="134"/>
      </rPr>
      <t>4</t>
    </r>
    <r>
      <rPr>
        <sz val="7"/>
        <color rgb="FF231F20"/>
        <rFont val="Calibri"/>
        <charset val="134"/>
      </rPr>
      <t>OCHF</t>
    </r>
    <r>
      <rPr>
        <sz val="4"/>
        <color rgb="FF231F20"/>
        <rFont val="Calibri"/>
        <charset val="134"/>
      </rPr>
      <t>2</t>
    </r>
  </si>
  <si>
    <r>
      <rPr>
        <sz val="7"/>
        <color rgb="FF231F20"/>
        <rFont val="Calibri"/>
        <charset val="134"/>
      </rPr>
      <t>2.00e-10</t>
    </r>
  </si>
  <si>
    <r>
      <rPr>
        <sz val="7"/>
        <color rgb="FF231F20"/>
        <rFont val="Calibri"/>
        <charset val="134"/>
      </rPr>
      <t>2.58e-10</t>
    </r>
  </si>
  <si>
    <r>
      <rPr>
        <sz val="7"/>
        <color rgb="FF231F20"/>
        <rFont val="Calibri"/>
        <charset val="134"/>
      </rPr>
      <t>9.46e-13</t>
    </r>
  </si>
  <si>
    <r>
      <rPr>
        <sz val="7"/>
        <color rgb="FF231F20"/>
        <rFont val="Calibri"/>
        <charset val="134"/>
      </rPr>
      <t>2.38e-13</t>
    </r>
  </si>
  <si>
    <r>
      <rPr>
        <sz val="7"/>
        <color rgb="FF231F20"/>
        <rFont val="Calibri"/>
        <charset val="134"/>
      </rPr>
      <t>HFE-449s1 (HFE-7100)</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</si>
  <si>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OCH</t>
    </r>
    <r>
      <rPr>
        <sz val="4"/>
        <color rgb="FF231F20"/>
        <rFont val="Calibri"/>
        <charset val="134"/>
      </rPr>
      <t>3</t>
    </r>
  </si>
  <si>
    <r>
      <rPr>
        <sz val="7"/>
        <color rgb="FF231F20"/>
        <rFont val="Calibri"/>
        <charset val="134"/>
      </rPr>
      <t>3.80e-11</t>
    </r>
  </si>
  <si>
    <r>
      <rPr>
        <sz val="7"/>
        <color rgb="FF231F20"/>
        <rFont val="Calibri"/>
        <charset val="134"/>
      </rPr>
      <t>3.86e-11</t>
    </r>
  </si>
  <si>
    <r>
      <rPr>
        <sz val="7"/>
        <color rgb="FF231F20"/>
        <rFont val="Calibri"/>
        <charset val="134"/>
      </rPr>
      <t>5.54e-13</t>
    </r>
  </si>
  <si>
    <r>
      <rPr>
        <sz val="7"/>
        <color rgb="FF231F20"/>
        <rFont val="Calibri"/>
        <charset val="134"/>
      </rPr>
      <t>5.32e-14</t>
    </r>
  </si>
  <si>
    <r>
      <rPr>
        <sz val="7"/>
        <color rgb="FF231F20"/>
        <rFont val="Calibri"/>
        <charset val="134"/>
      </rPr>
      <t>3.21e-14</t>
    </r>
  </si>
  <si>
    <r>
      <rPr>
        <sz val="7"/>
        <color rgb="FF231F20"/>
        <rFont val="Calibri"/>
        <charset val="134"/>
      </rPr>
      <t>n-HFE-7100</t>
    </r>
  </si>
  <si>
    <r>
      <rPr>
        <sz val="7"/>
        <color rgb="FF231F20"/>
        <rFont val="Calibri"/>
        <charset val="134"/>
      </rPr>
      <t>n-C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OCH</t>
    </r>
    <r>
      <rPr>
        <sz val="4"/>
        <color rgb="FF231F20"/>
        <rFont val="Calibri"/>
        <charset val="134"/>
      </rPr>
      <t>3</t>
    </r>
  </si>
  <si>
    <r>
      <rPr>
        <sz val="7"/>
        <color rgb="FF231F20"/>
        <rFont val="Calibri"/>
        <charset val="134"/>
      </rPr>
      <t>4.39e-11</t>
    </r>
  </si>
  <si>
    <r>
      <rPr>
        <sz val="7"/>
        <color rgb="FF231F20"/>
        <rFont val="Calibri"/>
        <charset val="134"/>
      </rPr>
      <t>4.45e-11</t>
    </r>
  </si>
  <si>
    <r>
      <rPr>
        <sz val="7"/>
        <color rgb="FF231F20"/>
        <rFont val="Calibri"/>
        <charset val="134"/>
      </rPr>
      <t>6.39e-13</t>
    </r>
  </si>
  <si>
    <r>
      <rPr>
        <sz val="7"/>
        <color rgb="FF231F20"/>
        <rFont val="Calibri"/>
        <charset val="134"/>
      </rPr>
      <t>6.14e-14</t>
    </r>
  </si>
  <si>
    <r>
      <rPr>
        <sz val="7"/>
        <color rgb="FF231F20"/>
        <rFont val="Calibri"/>
        <charset val="134"/>
      </rPr>
      <t>3.70e-14</t>
    </r>
  </si>
  <si>
    <r>
      <rPr>
        <sz val="7"/>
        <color rgb="FF231F20"/>
        <rFont val="Calibri"/>
        <charset val="134"/>
      </rPr>
      <t>i-HFE-7100</t>
    </r>
  </si>
  <si>
    <r>
      <rPr>
        <sz val="7"/>
        <color rgb="FF231F20"/>
        <rFont val="Calibri"/>
        <charset val="134"/>
      </rPr>
      <t>i-C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OCH</t>
    </r>
    <r>
      <rPr>
        <sz val="4"/>
        <color rgb="FF231F20"/>
        <rFont val="Calibri"/>
        <charset val="134"/>
      </rPr>
      <t>3</t>
    </r>
  </si>
  <si>
    <r>
      <rPr>
        <sz val="7"/>
        <color rgb="FF231F20"/>
        <rFont val="Calibri"/>
        <charset val="134"/>
      </rPr>
      <t>3.68e-11</t>
    </r>
  </si>
  <si>
    <r>
      <rPr>
        <sz val="7"/>
        <color rgb="FF231F20"/>
        <rFont val="Calibri"/>
        <charset val="134"/>
      </rPr>
      <t>3.73e-11</t>
    </r>
  </si>
  <si>
    <r>
      <rPr>
        <sz val="7"/>
        <color rgb="FF231F20"/>
        <rFont val="Calibri"/>
        <charset val="134"/>
      </rPr>
      <t>5.35e-13</t>
    </r>
  </si>
  <si>
    <r>
      <rPr>
        <sz val="7"/>
        <color rgb="FF231F20"/>
        <rFont val="Calibri"/>
        <charset val="134"/>
      </rPr>
      <t>5.14e-14</t>
    </r>
  </si>
  <si>
    <r>
      <rPr>
        <sz val="7"/>
        <color rgb="FF231F20"/>
        <rFont val="Calibri"/>
        <charset val="134"/>
      </rPr>
      <t>3.10e-14</t>
    </r>
  </si>
  <si>
    <r>
      <rPr>
        <sz val="7"/>
        <color rgb="FF231F20"/>
        <rFont val="Calibri"/>
        <charset val="134"/>
      </rPr>
      <t>HFE-569sf2 (HFE-7200)</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</si>
  <si>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t>
    </r>
    <r>
      <rPr>
        <sz val="4"/>
        <color rgb="FF231F20"/>
        <rFont val="Calibri"/>
        <charset val="134"/>
      </rPr>
      <t>2</t>
    </r>
    <r>
      <rPr>
        <sz val="7"/>
        <color rgb="FF231F20"/>
        <rFont val="Calibri"/>
        <charset val="134"/>
      </rPr>
      <t>H</t>
    </r>
    <r>
      <rPr>
        <sz val="4"/>
        <color rgb="FF231F20"/>
        <rFont val="Calibri"/>
        <charset val="134"/>
      </rPr>
      <t>5</t>
    </r>
  </si>
  <si>
    <r>
      <rPr>
        <sz val="7"/>
        <color rgb="FF231F20"/>
        <rFont val="Calibri"/>
        <charset val="134"/>
      </rPr>
      <t>5.21e-12</t>
    </r>
  </si>
  <si>
    <r>
      <rPr>
        <sz val="7"/>
        <color rgb="FF231F20"/>
        <rFont val="Calibri"/>
        <charset val="134"/>
      </rPr>
      <t>4.52e-14</t>
    </r>
  </si>
  <si>
    <r>
      <rPr>
        <sz val="7"/>
        <color rgb="FF231F20"/>
        <rFont val="Calibri"/>
        <charset val="134"/>
      </rPr>
      <t>5.97e-15</t>
    </r>
  </si>
  <si>
    <r>
      <rPr>
        <sz val="7"/>
        <color rgb="FF231F20"/>
        <rFont val="Calibri"/>
        <charset val="134"/>
      </rPr>
      <t>4.29e-15</t>
    </r>
  </si>
  <si>
    <r>
      <rPr>
        <sz val="7"/>
        <color rgb="FF231F20"/>
        <rFont val="Calibri"/>
        <charset val="134"/>
      </rPr>
      <t>n-HFE-7200</t>
    </r>
  </si>
  <si>
    <r>
      <rPr>
        <sz val="7"/>
        <color rgb="FF231F20"/>
        <rFont val="Calibri"/>
        <charset val="134"/>
      </rPr>
      <t>n-C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t>
    </r>
    <r>
      <rPr>
        <sz val="4"/>
        <color rgb="FF231F20"/>
        <rFont val="Calibri"/>
        <charset val="134"/>
      </rPr>
      <t>2</t>
    </r>
    <r>
      <rPr>
        <sz val="7"/>
        <color rgb="FF231F20"/>
        <rFont val="Calibri"/>
        <charset val="134"/>
      </rPr>
      <t>H</t>
    </r>
    <r>
      <rPr>
        <sz val="4"/>
        <color rgb="FF231F20"/>
        <rFont val="Calibri"/>
        <charset val="134"/>
      </rPr>
      <t>5</t>
    </r>
  </si>
  <si>
    <r>
      <rPr>
        <sz val="7"/>
        <color rgb="FF231F20"/>
        <rFont val="Calibri"/>
        <charset val="134"/>
      </rPr>
      <t>0.35</t>
    </r>
    <r>
      <rPr>
        <sz val="4"/>
        <color rgb="FF231F20"/>
        <rFont val="Calibri"/>
        <charset val="134"/>
      </rPr>
      <t>i</t>
    </r>
  </si>
  <si>
    <r>
      <rPr>
        <sz val="7"/>
        <color rgb="FF231F20"/>
        <rFont val="Calibri"/>
        <charset val="134"/>
      </rPr>
      <t>5.92e-12</t>
    </r>
  </si>
  <si>
    <r>
      <rPr>
        <sz val="7"/>
        <color rgb="FF231F20"/>
        <rFont val="Calibri"/>
        <charset val="134"/>
      </rPr>
      <t>4.87e-15</t>
    </r>
  </si>
  <si>
    <r>
      <rPr>
        <sz val="7"/>
        <color rgb="FF231F20"/>
        <rFont val="Calibri"/>
        <charset val="134"/>
      </rPr>
      <t>i-HFE-7200</t>
    </r>
  </si>
  <si>
    <r>
      <rPr>
        <sz val="7"/>
        <color rgb="FF231F20"/>
        <rFont val="Calibri"/>
        <charset val="134"/>
      </rPr>
      <t>i-C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t>
    </r>
    <r>
      <rPr>
        <sz val="4"/>
        <color rgb="FF231F20"/>
        <rFont val="Calibri"/>
        <charset val="134"/>
      </rPr>
      <t>2</t>
    </r>
    <r>
      <rPr>
        <sz val="7"/>
        <color rgb="FF231F20"/>
        <rFont val="Calibri"/>
        <charset val="134"/>
      </rPr>
      <t>H</t>
    </r>
    <r>
      <rPr>
        <sz val="4"/>
        <color rgb="FF231F20"/>
        <rFont val="Calibri"/>
        <charset val="134"/>
      </rPr>
      <t>5</t>
    </r>
  </si>
  <si>
    <r>
      <rPr>
        <sz val="7"/>
        <color rgb="FF231F20"/>
        <rFont val="Calibri"/>
        <charset val="134"/>
      </rPr>
      <t>4.06e-12</t>
    </r>
  </si>
  <si>
    <r>
      <rPr>
        <sz val="7"/>
        <color rgb="FF231F20"/>
        <rFont val="Calibri"/>
        <charset val="134"/>
      </rPr>
      <t>3.52e-14</t>
    </r>
  </si>
  <si>
    <r>
      <rPr>
        <sz val="7"/>
        <color rgb="FF231F20"/>
        <rFont val="Calibri"/>
        <charset val="134"/>
      </rPr>
      <t>4.65e-15</t>
    </r>
  </si>
  <si>
    <r>
      <rPr>
        <sz val="7"/>
        <color rgb="FF231F20"/>
        <rFont val="Calibri"/>
        <charset val="134"/>
      </rPr>
      <t>3.34e-15</t>
    </r>
  </si>
  <si>
    <r>
      <rPr>
        <sz val="7"/>
        <color rgb="FF231F20"/>
        <rFont val="Calibri"/>
        <charset val="134"/>
      </rPr>
      <t>HFE-236ca12 (HG-10)</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</si>
  <si>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OCHF</t>
    </r>
    <r>
      <rPr>
        <sz val="4"/>
        <color rgb="FF231F20"/>
        <rFont val="Calibri"/>
        <charset val="134"/>
      </rPr>
      <t>2</t>
    </r>
  </si>
  <si>
    <r>
      <rPr>
        <sz val="7"/>
        <color rgb="FF231F20"/>
        <rFont val="Calibri"/>
        <charset val="134"/>
      </rPr>
      <t>2.75e-10</t>
    </r>
  </si>
  <si>
    <r>
      <rPr>
        <sz val="7"/>
        <color rgb="FF231F20"/>
        <rFont val="Calibri"/>
        <charset val="134"/>
      </rPr>
      <t>4.91e-10</t>
    </r>
  </si>
  <si>
    <r>
      <rPr>
        <sz val="7"/>
        <color rgb="FF231F20"/>
        <rFont val="Calibri"/>
        <charset val="134"/>
      </rPr>
      <t>7.06e-12</t>
    </r>
  </si>
  <si>
    <r>
      <rPr>
        <sz val="7"/>
        <color rgb="FF231F20"/>
        <rFont val="Calibri"/>
        <charset val="134"/>
      </rPr>
      <t>7.75e-13</t>
    </r>
  </si>
  <si>
    <r>
      <rPr>
        <sz val="7"/>
        <color rgb="FF231F20"/>
        <rFont val="Calibri"/>
        <charset val="134"/>
      </rPr>
      <t>HFE-338pcc13 (HG-01)</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</si>
  <si>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OCHF</t>
    </r>
    <r>
      <rPr>
        <sz val="4"/>
        <color rgb="FF231F20"/>
        <rFont val="Calibri"/>
        <charset val="134"/>
      </rPr>
      <t>2</t>
    </r>
  </si>
  <si>
    <r>
      <rPr>
        <sz val="7"/>
        <color rgb="FF231F20"/>
        <rFont val="Calibri"/>
        <charset val="134"/>
      </rPr>
      <t>2.10e-10</t>
    </r>
  </si>
  <si>
    <r>
      <rPr>
        <sz val="7"/>
        <color rgb="FF231F20"/>
        <rFont val="Calibri"/>
        <charset val="134"/>
      </rPr>
      <t>2.67e-10</t>
    </r>
  </si>
  <si>
    <r>
      <rPr>
        <sz val="7"/>
        <color rgb="FF231F20"/>
        <rFont val="Calibri"/>
        <charset val="134"/>
      </rPr>
      <t>9.28e-13</t>
    </r>
  </si>
  <si>
    <r>
      <rPr>
        <sz val="7"/>
        <color rgb="FF231F20"/>
        <rFont val="Calibri"/>
        <charset val="134"/>
      </rPr>
      <t>2.42e-13</t>
    </r>
  </si>
  <si>
    <r>
      <rPr>
        <sz val="7"/>
        <color rgb="FF231F20"/>
        <rFont val="Calibri"/>
        <charset val="134"/>
      </rPr>
      <t>1,1,1,3,3,3-Hexafluoropropan-2-ol</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</si>
  <si>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CHOH</t>
    </r>
  </si>
  <si>
    <r>
      <rPr>
        <sz val="7"/>
        <color rgb="FF231F20"/>
        <rFont val="Calibri"/>
        <charset val="134"/>
      </rPr>
      <t>1.67e-11</t>
    </r>
  </si>
  <si>
    <r>
      <rPr>
        <sz val="7"/>
        <color rgb="FF231F20"/>
        <rFont val="Calibri"/>
        <charset val="134"/>
      </rPr>
      <t>1.97e-14</t>
    </r>
  </si>
  <si>
    <r>
      <rPr>
        <sz val="7"/>
        <color rgb="FF231F20"/>
        <rFont val="Calibri"/>
        <charset val="134"/>
      </rPr>
      <t>HG-02</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</si>
  <si>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2</t>
    </r>
    <r>
      <rPr>
        <sz val="7"/>
        <color rgb="FF231F20"/>
        <rFont val="Calibri"/>
        <charset val="134"/>
      </rPr>
      <t>– OCF</t>
    </r>
    <r>
      <rPr>
        <sz val="4"/>
        <color rgb="FF231F20"/>
        <rFont val="Calibri"/>
        <charset val="134"/>
      </rPr>
      <t>2</t>
    </r>
    <r>
      <rPr>
        <sz val="7"/>
        <color rgb="FF231F20"/>
        <rFont val="Calibri"/>
        <charset val="134"/>
      </rPr>
      <t>H</t>
    </r>
  </si>
  <si>
    <r>
      <rPr>
        <sz val="7"/>
        <color rgb="FF231F20"/>
        <rFont val="Calibri"/>
        <charset val="134"/>
      </rPr>
      <t>1.24</t>
    </r>
    <r>
      <rPr>
        <sz val="4"/>
        <color rgb="FF231F20"/>
        <rFont val="Calibri"/>
        <charset val="134"/>
      </rPr>
      <t>i</t>
    </r>
  </si>
  <si>
    <r>
      <rPr>
        <sz val="7"/>
        <color rgb="FF231F20"/>
        <rFont val="Calibri"/>
        <charset val="134"/>
      </rPr>
      <t>1.97e-10</t>
    </r>
  </si>
  <si>
    <r>
      <rPr>
        <sz val="7"/>
        <color rgb="FF231F20"/>
        <rFont val="Calibri"/>
        <charset val="134"/>
      </rPr>
      <t>2.50e-10</t>
    </r>
  </si>
  <si>
    <r>
      <rPr>
        <sz val="7"/>
        <color rgb="FF231F20"/>
        <rFont val="Calibri"/>
        <charset val="134"/>
      </rPr>
      <t>8.70e-13</t>
    </r>
  </si>
  <si>
    <r>
      <rPr>
        <sz val="7"/>
        <color rgb="FF231F20"/>
        <rFont val="Calibri"/>
        <charset val="134"/>
      </rPr>
      <t>2.27e-13</t>
    </r>
  </si>
  <si>
    <r>
      <rPr>
        <sz val="7"/>
        <color rgb="FF231F20"/>
        <rFont val="Calibri"/>
        <charset val="134"/>
      </rPr>
      <t>HG-03</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</si>
  <si>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3</t>
    </r>
    <r>
      <rPr>
        <sz val="7"/>
        <color rgb="FF231F20"/>
        <rFont val="Calibri"/>
        <charset val="134"/>
      </rPr>
      <t>– OCF</t>
    </r>
    <r>
      <rPr>
        <sz val="4"/>
        <color rgb="FF231F20"/>
        <rFont val="Calibri"/>
        <charset val="134"/>
      </rPr>
      <t>2</t>
    </r>
    <r>
      <rPr>
        <sz val="7"/>
        <color rgb="FF231F20"/>
        <rFont val="Calibri"/>
        <charset val="134"/>
      </rPr>
      <t>H</t>
    </r>
  </si>
  <si>
    <r>
      <rPr>
        <sz val="7"/>
        <color rgb="FF231F20"/>
        <rFont val="Calibri"/>
        <charset val="134"/>
      </rPr>
      <t>1.76</t>
    </r>
    <r>
      <rPr>
        <sz val="4"/>
        <color rgb="FF231F20"/>
        <rFont val="Calibri"/>
        <charset val="134"/>
      </rPr>
      <t>i</t>
    </r>
  </si>
  <si>
    <r>
      <rPr>
        <sz val="7"/>
        <color rgb="FF231F20"/>
        <rFont val="Calibri"/>
        <charset val="134"/>
      </rPr>
      <t>2.06e-10</t>
    </r>
  </si>
  <si>
    <r>
      <rPr>
        <sz val="7"/>
        <color rgb="FF231F20"/>
        <rFont val="Calibri"/>
        <charset val="134"/>
      </rPr>
      <t>2.62e-10</t>
    </r>
  </si>
  <si>
    <r>
      <rPr>
        <sz val="7"/>
        <color rgb="FF231F20"/>
        <rFont val="Calibri"/>
        <charset val="134"/>
      </rPr>
      <t>9.10e-13</t>
    </r>
  </si>
  <si>
    <r>
      <rPr>
        <sz val="7"/>
        <color rgb="FF231F20"/>
        <rFont val="Calibri"/>
        <charset val="134"/>
      </rPr>
      <t>2.37e-13</t>
    </r>
  </si>
  <si>
    <r>
      <rPr>
        <sz val="7"/>
        <color rgb="FF231F20"/>
        <rFont val="Calibri"/>
        <charset val="134"/>
      </rPr>
      <t>HG-20</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</si>
  <si>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H</t>
    </r>
  </si>
  <si>
    <r>
      <rPr>
        <sz val="7"/>
        <color rgb="FF231F20"/>
        <rFont val="Calibri"/>
        <charset val="134"/>
      </rPr>
      <t>0.92</t>
    </r>
    <r>
      <rPr>
        <sz val="4"/>
        <color rgb="FF231F20"/>
        <rFont val="Calibri"/>
        <charset val="134"/>
      </rPr>
      <t>i</t>
    </r>
  </si>
  <si>
    <r>
      <rPr>
        <sz val="7"/>
        <color rgb="FF231F20"/>
        <rFont val="Calibri"/>
        <charset val="134"/>
      </rPr>
      <t>2.73e-10</t>
    </r>
  </si>
  <si>
    <r>
      <rPr>
        <sz val="7"/>
        <color rgb="FF231F20"/>
        <rFont val="Calibri"/>
        <charset val="134"/>
      </rPr>
      <t>4.86e-10</t>
    </r>
  </si>
  <si>
    <r>
      <rPr>
        <sz val="7"/>
        <color rgb="FF231F20"/>
        <rFont val="Calibri"/>
        <charset val="134"/>
      </rPr>
      <t>7.00e-12</t>
    </r>
  </si>
  <si>
    <r>
      <rPr>
        <sz val="7"/>
        <color rgb="FF231F20"/>
        <rFont val="Calibri"/>
        <charset val="134"/>
      </rPr>
      <t>2.91e-12</t>
    </r>
  </si>
  <si>
    <r>
      <rPr>
        <sz val="7"/>
        <color rgb="FF231F20"/>
        <rFont val="Calibri"/>
        <charset val="134"/>
      </rPr>
      <t>7.68e-13</t>
    </r>
  </si>
  <si>
    <r>
      <rPr>
        <sz val="7"/>
        <color rgb="FF231F20"/>
        <rFont val="Calibri"/>
        <charset val="134"/>
      </rPr>
      <t>HG-21</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</si>
  <si>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 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H</t>
    </r>
  </si>
  <si>
    <r>
      <rPr>
        <sz val="7"/>
        <color rgb="FF231F20"/>
        <rFont val="Calibri"/>
        <charset val="134"/>
      </rPr>
      <t>1.71</t>
    </r>
    <r>
      <rPr>
        <sz val="4"/>
        <color rgb="FF231F20"/>
        <rFont val="Calibri"/>
        <charset val="134"/>
      </rPr>
      <t>i</t>
    </r>
  </si>
  <si>
    <r>
      <rPr>
        <sz val="7"/>
        <color rgb="FF231F20"/>
        <rFont val="Calibri"/>
        <charset val="134"/>
      </rPr>
      <t>2.76e-10</t>
    </r>
  </si>
  <si>
    <r>
      <rPr>
        <sz val="7"/>
        <color rgb="FF231F20"/>
        <rFont val="Calibri"/>
        <charset val="134"/>
      </rPr>
      <t>3.57e-10</t>
    </r>
  </si>
  <si>
    <r>
      <rPr>
        <sz val="7"/>
        <color rgb="FF231F20"/>
        <rFont val="Calibri"/>
        <charset val="134"/>
      </rPr>
      <t>6.23e-12</t>
    </r>
  </si>
  <si>
    <r>
      <rPr>
        <sz val="7"/>
        <color rgb="FF231F20"/>
        <rFont val="Calibri"/>
        <charset val="134"/>
      </rPr>
      <t>3.29e-13</t>
    </r>
  </si>
  <si>
    <r>
      <rPr>
        <sz val="7"/>
        <color rgb="FF231F20"/>
        <rFont val="Calibri"/>
        <charset val="134"/>
      </rPr>
      <t>HG-30</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</si>
  <si>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H</t>
    </r>
  </si>
  <si>
    <r>
      <rPr>
        <sz val="7"/>
        <color rgb="FF231F20"/>
        <rFont val="Calibri"/>
        <charset val="134"/>
      </rPr>
      <t>1.65</t>
    </r>
    <r>
      <rPr>
        <sz val="4"/>
        <color rgb="FF231F20"/>
        <rFont val="Calibri"/>
        <charset val="134"/>
      </rPr>
      <t>i</t>
    </r>
  </si>
  <si>
    <r>
      <rPr>
        <sz val="7"/>
        <color rgb="FF231F20"/>
        <rFont val="Calibri"/>
        <charset val="134"/>
      </rPr>
      <t>3.77e-10</t>
    </r>
  </si>
  <si>
    <r>
      <rPr>
        <sz val="7"/>
        <color rgb="FF231F20"/>
        <rFont val="Calibri"/>
        <charset val="134"/>
      </rPr>
      <t>6.73e-10</t>
    </r>
  </si>
  <si>
    <r>
      <rPr>
        <sz val="7"/>
        <color rgb="FF231F20"/>
        <rFont val="Calibri"/>
        <charset val="134"/>
      </rPr>
      <t>9.68e-12</t>
    </r>
  </si>
  <si>
    <r>
      <rPr>
        <sz val="7"/>
        <color rgb="FF231F20"/>
        <rFont val="Calibri"/>
        <charset val="134"/>
      </rPr>
      <t>4.03e-12</t>
    </r>
  </si>
  <si>
    <r>
      <rPr>
        <sz val="7"/>
        <color rgb="FF231F20"/>
        <rFont val="Calibri"/>
        <charset val="134"/>
      </rPr>
      <t>1.06e-12</t>
    </r>
  </si>
  <si>
    <r>
      <rPr>
        <sz val="7"/>
        <color rgb="FF231F20"/>
        <rFont val="Calibri"/>
        <charset val="134"/>
      </rPr>
      <t>1-Ethoxy-1,1,2,2,3,3,3-heptafluoropropane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</si>
  <si>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</si>
  <si>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0.28</t>
    </r>
    <r>
      <rPr>
        <sz val="4"/>
        <color rgb="FF231F20"/>
        <rFont val="Calibri"/>
        <charset val="134"/>
      </rPr>
      <t>i</t>
    </r>
  </si>
  <si>
    <r>
      <rPr>
        <sz val="7"/>
        <color rgb="FF231F20"/>
        <rFont val="Calibri"/>
        <charset val="134"/>
      </rPr>
      <t>4.80e-14</t>
    </r>
  </si>
  <si>
    <r>
      <rPr>
        <sz val="7"/>
        <color rgb="FF231F20"/>
        <rFont val="Calibri"/>
        <charset val="134"/>
      </rPr>
      <t>6.36e-15</t>
    </r>
  </si>
  <si>
    <r>
      <rPr>
        <sz val="7"/>
        <color rgb="FF231F20"/>
        <rFont val="Calibri"/>
        <charset val="134"/>
      </rPr>
      <t>4.57e-15</t>
    </r>
  </si>
  <si>
    <r>
      <rPr>
        <sz val="7"/>
        <color rgb="FF231F20"/>
        <rFont val="Calibri"/>
        <charset val="134"/>
      </rPr>
      <t>Fluoroxene</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</si>
  <si>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OCH=CH</t>
    </r>
    <r>
      <rPr>
        <sz val="4"/>
        <color rgb="FF231F20"/>
        <rFont val="Calibri"/>
        <charset val="134"/>
      </rPr>
      <t>2</t>
    </r>
  </si>
  <si>
    <r>
      <rPr>
        <sz val="7"/>
        <color rgb="FF231F20"/>
        <rFont val="Calibri"/>
        <charset val="134"/>
      </rPr>
      <t>3.6 days</t>
    </r>
  </si>
  <si>
    <r>
      <rPr>
        <sz val="7"/>
        <color rgb="FF231F20"/>
        <rFont val="Calibri"/>
        <charset val="134"/>
      </rPr>
      <t>0.01</t>
    </r>
    <r>
      <rPr>
        <sz val="4"/>
        <color rgb="FF231F20"/>
        <rFont val="Calibri"/>
        <charset val="134"/>
      </rPr>
      <t>i</t>
    </r>
  </si>
  <si>
    <r>
      <rPr>
        <sz val="7"/>
        <color rgb="FF231F20"/>
        <rFont val="Calibri"/>
        <charset val="134"/>
      </rPr>
      <t>4.97e-15</t>
    </r>
  </si>
  <si>
    <r>
      <rPr>
        <sz val="7"/>
        <color rgb="FF231F20"/>
        <rFont val="Calibri"/>
        <charset val="134"/>
      </rPr>
      <t>3.95e-17</t>
    </r>
  </si>
  <si>
    <r>
      <rPr>
        <sz val="7"/>
        <color rgb="FF231F20"/>
        <rFont val="Calibri"/>
        <charset val="134"/>
      </rPr>
      <t>5.58e-18</t>
    </r>
  </si>
  <si>
    <r>
      <rPr>
        <sz val="7"/>
        <color rgb="FF231F20"/>
        <rFont val="Calibri"/>
        <charset val="134"/>
      </rPr>
      <t>4.08e-18</t>
    </r>
  </si>
  <si>
    <r>
      <rPr>
        <sz val="7"/>
        <color rgb="FF231F20"/>
        <rFont val="Calibri"/>
        <charset val="134"/>
      </rPr>
      <t>1,1,2,2-Tetrafluoro-1-(fluoromethoxy)ethane</t>
    </r>
  </si>
  <si>
    <r>
      <rPr>
        <sz val="7"/>
        <color rgb="FF231F20"/>
        <rFont val="Calibri"/>
        <charset val="134"/>
      </rPr>
      <t>CH</t>
    </r>
    <r>
      <rPr>
        <sz val="4"/>
        <color rgb="FF231F20"/>
        <rFont val="Calibri"/>
        <charset val="134"/>
      </rPr>
      <t>2</t>
    </r>
    <r>
      <rPr>
        <sz val="7"/>
        <color rgb="FF231F20"/>
        <rFont val="Calibri"/>
        <charset val="134"/>
      </rPr>
      <t>FOCF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</si>
  <si>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0.34</t>
    </r>
    <r>
      <rPr>
        <sz val="4"/>
        <color rgb="FF231F20"/>
        <rFont val="Calibri"/>
        <charset val="134"/>
      </rPr>
      <t>i</t>
    </r>
  </si>
  <si>
    <r>
      <rPr>
        <sz val="7"/>
        <color rgb="FF231F20"/>
        <rFont val="Calibri"/>
        <charset val="134"/>
      </rPr>
      <t>7.68e-11</t>
    </r>
  </si>
  <si>
    <r>
      <rPr>
        <sz val="7"/>
        <color rgb="FF231F20"/>
        <rFont val="Calibri"/>
        <charset val="134"/>
      </rPr>
      <t>7.99e-11</t>
    </r>
  </si>
  <si>
    <r>
      <rPr>
        <sz val="7"/>
        <color rgb="FF231F20"/>
        <rFont val="Calibri"/>
        <charset val="134"/>
      </rPr>
      <t>6.68e-14</t>
    </r>
  </si>
  <si>
    <r>
      <rPr>
        <sz val="7"/>
        <color rgb="FF231F20"/>
        <rFont val="Calibri"/>
        <charset val="134"/>
      </rPr>
      <t>2-Ethoxy-3,3,4,4,5-pentafluorotetrahydro-2,5-bis[1,2,2,2- tetrafluoro-1-(trifluoromethyl)ethyl]-furan</t>
    </r>
  </si>
  <si>
    <r>
      <rPr>
        <sz val="7"/>
        <color rgb="FF231F20"/>
        <rFont val="Calibri"/>
        <charset val="134"/>
      </rPr>
      <t>C</t>
    </r>
    <r>
      <rPr>
        <sz val="4"/>
        <color rgb="FF231F20"/>
        <rFont val="Calibri"/>
        <charset val="134"/>
      </rPr>
      <t>12</t>
    </r>
    <r>
      <rPr>
        <sz val="7"/>
        <color rgb="FF231F20"/>
        <rFont val="Calibri"/>
        <charset val="134"/>
      </rPr>
      <t>H</t>
    </r>
    <r>
      <rPr>
        <sz val="4"/>
        <color rgb="FF231F20"/>
        <rFont val="Calibri"/>
        <charset val="134"/>
      </rPr>
      <t>5</t>
    </r>
    <r>
      <rPr>
        <sz val="7"/>
        <color rgb="FF231F20"/>
        <rFont val="Calibri"/>
        <charset val="134"/>
      </rPr>
      <t>F</t>
    </r>
    <r>
      <rPr>
        <sz val="4"/>
        <color rgb="FF231F20"/>
        <rFont val="Calibri"/>
        <charset val="134"/>
      </rPr>
      <t>19</t>
    </r>
    <r>
      <rPr>
        <sz val="7"/>
        <color rgb="FF231F20"/>
        <rFont val="Calibri"/>
        <charset val="134"/>
      </rPr>
      <t>O</t>
    </r>
    <r>
      <rPr>
        <sz val="4"/>
        <color rgb="FF231F20"/>
        <rFont val="Calibri"/>
        <charset val="134"/>
      </rPr>
      <t>2</t>
    </r>
  </si>
  <si>
    <r>
      <rPr>
        <sz val="7"/>
        <color rgb="FF231F20"/>
        <rFont val="Calibri"/>
        <charset val="134"/>
      </rPr>
      <t>0.49</t>
    </r>
    <r>
      <rPr>
        <sz val="4"/>
        <color rgb="FF231F20"/>
        <rFont val="Calibri"/>
        <charset val="134"/>
      </rPr>
      <t>j</t>
    </r>
  </si>
  <si>
    <r>
      <rPr>
        <sz val="7"/>
        <color rgb="FF231F20"/>
        <rFont val="Calibri"/>
        <charset val="134"/>
      </rPr>
      <t>5.09e-12</t>
    </r>
  </si>
  <si>
    <r>
      <rPr>
        <sz val="7"/>
        <color rgb="FF231F20"/>
        <rFont val="Calibri"/>
        <charset val="134"/>
      </rPr>
      <t>5.86e-15</t>
    </r>
  </si>
  <si>
    <r>
      <rPr>
        <sz val="7"/>
        <color rgb="FF231F20"/>
        <rFont val="Calibri"/>
        <charset val="134"/>
      </rPr>
      <t>4.19e-15</t>
    </r>
  </si>
  <si>
    <r>
      <rPr>
        <sz val="7"/>
        <color rgb="FF231F20"/>
        <rFont val="Calibri"/>
        <charset val="134"/>
      </rPr>
      <t>Fluoro(methoxy)methane</t>
    </r>
  </si>
  <si>
    <r>
      <rPr>
        <sz val="7"/>
        <color rgb="FF231F20"/>
        <rFont val="Calibri"/>
        <charset val="134"/>
      </rPr>
      <t>CH</t>
    </r>
    <r>
      <rPr>
        <sz val="4"/>
        <color rgb="FF231F20"/>
        <rFont val="Calibri"/>
        <charset val="134"/>
      </rPr>
      <t>3</t>
    </r>
    <r>
      <rPr>
        <sz val="7"/>
        <color rgb="FF231F20"/>
        <rFont val="Calibri"/>
        <charset val="134"/>
      </rPr>
      <t>OCH</t>
    </r>
    <r>
      <rPr>
        <sz val="4"/>
        <color rgb="FF231F20"/>
        <rFont val="Calibri"/>
        <charset val="134"/>
      </rPr>
      <t>2</t>
    </r>
    <r>
      <rPr>
        <sz val="7"/>
        <color rgb="FF231F20"/>
        <rFont val="Calibri"/>
        <charset val="134"/>
      </rPr>
      <t>F</t>
    </r>
  </si>
  <si>
    <r>
      <rPr>
        <sz val="7"/>
        <color rgb="FF231F20"/>
        <rFont val="Calibri"/>
        <charset val="134"/>
      </rPr>
      <t>73.0 days</t>
    </r>
  </si>
  <si>
    <r>
      <rPr>
        <sz val="7"/>
        <color rgb="FF231F20"/>
        <rFont val="Calibri"/>
        <charset val="134"/>
      </rPr>
      <t>0.07</t>
    </r>
    <r>
      <rPr>
        <sz val="4"/>
        <color rgb="FF231F20"/>
        <rFont val="Calibri"/>
        <charset val="134"/>
      </rPr>
      <t>g</t>
    </r>
  </si>
  <si>
    <r>
      <rPr>
        <sz val="7"/>
        <color rgb="FF231F20"/>
        <rFont val="Calibri"/>
        <charset val="134"/>
      </rPr>
      <t>9.34e-15</t>
    </r>
  </si>
  <si>
    <r>
      <rPr>
        <sz val="7"/>
        <color rgb="FF231F20"/>
        <rFont val="Calibri"/>
        <charset val="134"/>
      </rPr>
      <t>9.46e-16</t>
    </r>
  </si>
  <si>
    <r>
      <rPr>
        <sz val="7"/>
        <color rgb="FF231F20"/>
        <rFont val="Calibri"/>
        <charset val="134"/>
      </rPr>
      <t>Difluoro(methoxy)methane</t>
    </r>
  </si>
  <si>
    <r>
      <rPr>
        <sz val="7"/>
        <color rgb="FF231F20"/>
        <rFont val="Calibri"/>
        <charset val="134"/>
      </rPr>
      <t>CH</t>
    </r>
    <r>
      <rPr>
        <sz val="4"/>
        <color rgb="FF231F20"/>
        <rFont val="Calibri"/>
        <charset val="134"/>
      </rPr>
      <t>3</t>
    </r>
    <r>
      <rPr>
        <sz val="7"/>
        <color rgb="FF231F20"/>
        <rFont val="Calibri"/>
        <charset val="134"/>
      </rPr>
      <t>OCHF</t>
    </r>
    <r>
      <rPr>
        <sz val="4"/>
        <color rgb="FF231F20"/>
        <rFont val="Calibri"/>
        <charset val="134"/>
      </rPr>
      <t>2</t>
    </r>
  </si>
  <si>
    <r>
      <rPr>
        <sz val="7"/>
        <color rgb="FF231F20"/>
        <rFont val="Calibri"/>
        <charset val="134"/>
      </rPr>
      <t>0.17</t>
    </r>
    <r>
      <rPr>
        <sz val="4"/>
        <color rgb="FF231F20"/>
        <rFont val="Calibri"/>
        <charset val="134"/>
      </rPr>
      <t>g</t>
    </r>
  </si>
  <si>
    <r>
      <rPr>
        <sz val="7"/>
        <color rgb="FF231F20"/>
        <rFont val="Calibri"/>
        <charset val="134"/>
      </rPr>
      <t>1.18e-13</t>
    </r>
  </si>
  <si>
    <r>
      <rPr>
        <sz val="7"/>
        <color rgb="FF231F20"/>
        <rFont val="Calibri"/>
        <charset val="134"/>
      </rPr>
      <t>1.52e-14</t>
    </r>
  </si>
  <si>
    <r>
      <rPr>
        <sz val="7"/>
        <color rgb="FF231F20"/>
        <rFont val="Calibri"/>
        <charset val="134"/>
      </rPr>
      <t>1.08e-14</t>
    </r>
  </si>
  <si>
    <r>
      <rPr>
        <sz val="7"/>
        <color rgb="FF231F20"/>
        <rFont val="Calibri"/>
        <charset val="134"/>
      </rPr>
      <t>Fluoro(fluoromethoxy)methane</t>
    </r>
  </si>
  <si>
    <r>
      <rPr>
        <sz val="7"/>
        <color rgb="FF231F20"/>
        <rFont val="Calibri"/>
        <charset val="134"/>
      </rPr>
      <t>CH</t>
    </r>
    <r>
      <rPr>
        <sz val="4"/>
        <color rgb="FF231F20"/>
        <rFont val="Calibri"/>
        <charset val="134"/>
      </rPr>
      <t>2</t>
    </r>
    <r>
      <rPr>
        <sz val="7"/>
        <color rgb="FF231F20"/>
        <rFont val="Calibri"/>
        <charset val="134"/>
      </rPr>
      <t>FOCH</t>
    </r>
    <r>
      <rPr>
        <sz val="4"/>
        <color rgb="FF231F20"/>
        <rFont val="Calibri"/>
        <charset val="134"/>
      </rPr>
      <t>2</t>
    </r>
    <r>
      <rPr>
        <sz val="7"/>
        <color rgb="FF231F20"/>
        <rFont val="Calibri"/>
        <charset val="134"/>
      </rPr>
      <t>F</t>
    </r>
  </si>
  <si>
    <r>
      <rPr>
        <sz val="7"/>
        <color rgb="FF231F20"/>
        <rFont val="Calibri"/>
        <charset val="134"/>
      </rPr>
      <t>0.19</t>
    </r>
    <r>
      <rPr>
        <sz val="4"/>
        <color rgb="FF231F20"/>
        <rFont val="Calibri"/>
        <charset val="134"/>
      </rPr>
      <t>g</t>
    </r>
  </si>
  <si>
    <r>
      <rPr>
        <sz val="7"/>
        <color rgb="FF231F20"/>
        <rFont val="Calibri"/>
        <charset val="134"/>
      </rPr>
      <t>1.20e-11</t>
    </r>
  </si>
  <si>
    <r>
      <rPr>
        <sz val="7"/>
        <color rgb="FF231F20"/>
        <rFont val="Calibri"/>
        <charset val="134"/>
      </rPr>
      <t>1.05e-13</t>
    </r>
  </si>
  <si>
    <r>
      <rPr>
        <sz val="7"/>
        <color rgb="FF231F20"/>
        <rFont val="Calibri"/>
        <charset val="134"/>
      </rPr>
      <t>9.84e-15</t>
    </r>
  </si>
  <si>
    <r>
      <rPr>
        <sz val="7"/>
        <color rgb="FF231F20"/>
        <rFont val="Calibri"/>
        <charset val="134"/>
      </rPr>
      <t>Difluoro(fluoromethoxy)methane</t>
    </r>
  </si>
  <si>
    <r>
      <rPr>
        <sz val="7"/>
        <color rgb="FF231F20"/>
        <rFont val="Calibri"/>
        <charset val="134"/>
      </rPr>
      <t>CH</t>
    </r>
    <r>
      <rPr>
        <sz val="4"/>
        <color rgb="FF231F20"/>
        <rFont val="Calibri"/>
        <charset val="134"/>
      </rPr>
      <t>2</t>
    </r>
    <r>
      <rPr>
        <sz val="7"/>
        <color rgb="FF231F20"/>
        <rFont val="Calibri"/>
        <charset val="134"/>
      </rPr>
      <t>FOCHF</t>
    </r>
    <r>
      <rPr>
        <sz val="4"/>
        <color rgb="FF231F20"/>
        <rFont val="Calibri"/>
        <charset val="134"/>
      </rPr>
      <t>2</t>
    </r>
  </si>
  <si>
    <r>
      <rPr>
        <sz val="7"/>
        <color rgb="FF231F20"/>
        <rFont val="Calibri"/>
        <charset val="134"/>
      </rPr>
      <t>0.30</t>
    </r>
    <r>
      <rPr>
        <sz val="4"/>
        <color rgb="FF231F20"/>
        <rFont val="Calibri"/>
        <charset val="134"/>
      </rPr>
      <t>g</t>
    </r>
  </si>
  <si>
    <r>
      <rPr>
        <sz val="7"/>
        <color rgb="FF231F20"/>
        <rFont val="Calibri"/>
        <charset val="134"/>
      </rPr>
      <t>5.66e-11</t>
    </r>
  </si>
  <si>
    <r>
      <rPr>
        <sz val="7"/>
        <color rgb="FF231F20"/>
        <rFont val="Calibri"/>
        <charset val="134"/>
      </rPr>
      <t>6.88e-13</t>
    </r>
  </si>
  <si>
    <r>
      <rPr>
        <sz val="7"/>
        <color rgb="FF231F20"/>
        <rFont val="Calibri"/>
        <charset val="134"/>
      </rPr>
      <t>7.11e-14</t>
    </r>
  </si>
  <si>
    <r>
      <rPr>
        <sz val="7"/>
        <color rgb="FF231F20"/>
        <rFont val="Calibri"/>
        <charset val="134"/>
      </rPr>
      <t>4.69e-14</t>
    </r>
  </si>
  <si>
    <r>
      <rPr>
        <sz val="7"/>
        <color rgb="FF231F20"/>
        <rFont val="Calibri"/>
        <charset val="134"/>
      </rPr>
      <t>Trifluoro(fluoromethoxy)methane</t>
    </r>
  </si>
  <si>
    <r>
      <rPr>
        <sz val="7"/>
        <color rgb="FF231F20"/>
        <rFont val="Calibri"/>
        <charset val="134"/>
      </rPr>
      <t>CH</t>
    </r>
    <r>
      <rPr>
        <sz val="4"/>
        <color rgb="FF231F20"/>
        <rFont val="Calibri"/>
        <charset val="134"/>
      </rPr>
      <t>2</t>
    </r>
    <r>
      <rPr>
        <sz val="7"/>
        <color rgb="FF231F20"/>
        <rFont val="Calibri"/>
        <charset val="134"/>
      </rPr>
      <t>FOCF</t>
    </r>
    <r>
      <rPr>
        <sz val="4"/>
        <color rgb="FF231F20"/>
        <rFont val="Calibri"/>
        <charset val="134"/>
      </rPr>
      <t>3</t>
    </r>
  </si>
  <si>
    <r>
      <rPr>
        <sz val="7"/>
        <color rgb="FF231F20"/>
        <rFont val="Calibri"/>
        <charset val="134"/>
      </rPr>
      <t>0.33</t>
    </r>
    <r>
      <rPr>
        <sz val="4"/>
        <color rgb="FF231F20"/>
        <rFont val="Calibri"/>
        <charset val="134"/>
      </rPr>
      <t>g</t>
    </r>
  </si>
  <si>
    <r>
      <rPr>
        <sz val="7"/>
        <color rgb="FF231F20"/>
        <rFont val="Calibri"/>
        <charset val="134"/>
      </rPr>
      <t>6.82e-11</t>
    </r>
  </si>
  <si>
    <r>
      <rPr>
        <sz val="7"/>
        <color rgb="FF231F20"/>
        <rFont val="Calibri"/>
        <charset val="134"/>
      </rPr>
      <t>6.89e-11</t>
    </r>
  </si>
  <si>
    <r>
      <rPr>
        <sz val="7"/>
        <color rgb="FF231F20"/>
        <rFont val="Calibri"/>
        <charset val="134"/>
      </rPr>
      <t>9.59e-13</t>
    </r>
  </si>
  <si>
    <r>
      <rPr>
        <sz val="7"/>
        <color rgb="FF231F20"/>
        <rFont val="Calibri"/>
        <charset val="134"/>
      </rPr>
      <t>9.27e-14</t>
    </r>
  </si>
  <si>
    <r>
      <rPr>
        <sz val="7"/>
        <color rgb="FF231F20"/>
        <rFont val="Calibri"/>
        <charset val="134"/>
      </rPr>
      <t>HG’-01</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</si>
  <si>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</si>
  <si>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2.03e-11</t>
    </r>
  </si>
  <si>
    <r>
      <rPr>
        <sz val="7"/>
        <color rgb="FF231F20"/>
        <rFont val="Calibri"/>
        <charset val="134"/>
      </rPr>
      <t>2.42e-14</t>
    </r>
  </si>
  <si>
    <r>
      <rPr>
        <sz val="7"/>
        <color rgb="FF231F20"/>
        <rFont val="Calibri"/>
        <charset val="134"/>
      </rPr>
      <t>1.68e-14</t>
    </r>
  </si>
  <si>
    <r>
      <rPr>
        <sz val="7"/>
        <color rgb="FF231F20"/>
        <rFont val="Calibri"/>
        <charset val="134"/>
      </rPr>
      <t>HG’-02</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</si>
  <si>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</si>
  <si>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2.19e-13</t>
    </r>
  </si>
  <si>
    <r>
      <rPr>
        <sz val="7"/>
        <color rgb="FF231F20"/>
        <rFont val="Calibri"/>
        <charset val="134"/>
      </rPr>
      <t>2.57e-14</t>
    </r>
  </si>
  <si>
    <r>
      <rPr>
        <sz val="7"/>
        <color rgb="FF231F20"/>
        <rFont val="Calibri"/>
        <charset val="134"/>
      </rPr>
      <t>HG’-03</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</si>
  <si>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3</t>
    </r>
    <r>
      <rPr>
        <sz val="7"/>
        <color rgb="FF231F20"/>
        <rFont val="Calibri"/>
        <charset val="134"/>
      </rPr>
      <t>CH</t>
    </r>
    <r>
      <rPr>
        <sz val="4"/>
        <color rgb="FF231F20"/>
        <rFont val="Calibri"/>
        <charset val="134"/>
      </rPr>
      <t>3</t>
    </r>
  </si>
  <si>
    <r>
      <rPr>
        <sz val="7"/>
        <color rgb="FF231F20"/>
        <rFont val="Calibri"/>
        <charset val="134"/>
      </rPr>
      <t>2.05e-13</t>
    </r>
  </si>
  <si>
    <r>
      <rPr>
        <sz val="7"/>
        <color rgb="FF231F20"/>
        <rFont val="Calibri"/>
        <charset val="134"/>
      </rPr>
      <t>2.41e-14</t>
    </r>
  </si>
  <si>
    <r>
      <rPr>
        <sz val="7"/>
        <color rgb="FF231F20"/>
        <rFont val="Calibri"/>
        <charset val="134"/>
      </rPr>
      <t>1.67e-14</t>
    </r>
  </si>
  <si>
    <r>
      <rPr>
        <sz val="7"/>
        <color rgb="FF231F20"/>
        <rFont val="Calibri"/>
        <charset val="134"/>
      </rPr>
      <t>HFE-329me3</t>
    </r>
  </si>
  <si>
    <r>
      <rPr>
        <sz val="7"/>
        <color rgb="FF231F20"/>
        <rFont val="Calibri"/>
        <charset val="134"/>
      </rPr>
      <t>CF</t>
    </r>
    <r>
      <rPr>
        <sz val="4"/>
        <color rgb="FF231F20"/>
        <rFont val="Calibri"/>
        <charset val="134"/>
      </rPr>
      <t>3</t>
    </r>
    <r>
      <rPr>
        <sz val="7"/>
        <color rgb="FF231F20"/>
        <rFont val="Calibri"/>
        <charset val="134"/>
      </rPr>
      <t>CFHCF</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</si>
  <si>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1.79e-10</t>
    </r>
  </si>
  <si>
    <r>
      <rPr>
        <sz val="7"/>
        <color rgb="FF231F20"/>
        <rFont val="Calibri"/>
        <charset val="134"/>
      </rPr>
      <t>4.17e-10</t>
    </r>
  </si>
  <si>
    <r>
      <rPr>
        <sz val="7"/>
        <color rgb="FF231F20"/>
        <rFont val="Calibri"/>
        <charset val="134"/>
      </rPr>
      <t>4.85e-12</t>
    </r>
  </si>
  <si>
    <r>
      <rPr>
        <sz val="7"/>
        <color rgb="FF231F20"/>
        <rFont val="Calibri"/>
        <charset val="134"/>
      </rPr>
      <t>2.89e-12</t>
    </r>
  </si>
  <si>
    <r>
      <rPr>
        <sz val="7"/>
        <color rgb="FF231F20"/>
        <rFont val="Calibri"/>
        <charset val="134"/>
      </rPr>
      <t>3,3,4,4,5,5,6,6,7,7,7-Undecafluoroheptan-1-ol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</si>
  <si>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4</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</si>
  <si>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20.0 days</t>
    </r>
  </si>
  <si>
    <r>
      <rPr>
        <sz val="7"/>
        <color rgb="FF231F20"/>
        <rFont val="Calibri"/>
        <charset val="134"/>
      </rPr>
      <t>3.91e-14</t>
    </r>
  </si>
  <si>
    <r>
      <rPr>
        <sz val="7"/>
        <color rgb="FF231F20"/>
        <rFont val="Calibri"/>
        <charset val="134"/>
      </rPr>
      <t>3.12e-16</t>
    </r>
  </si>
  <si>
    <r>
      <rPr>
        <sz val="7"/>
        <color rgb="FF231F20"/>
        <rFont val="Calibri"/>
        <charset val="134"/>
      </rPr>
      <t>4.39e-17</t>
    </r>
  </si>
  <si>
    <r>
      <rPr>
        <sz val="7"/>
        <color rgb="FF231F20"/>
        <rFont val="Calibri"/>
        <charset val="134"/>
      </rPr>
      <t>3.21e-17</t>
    </r>
  </si>
  <si>
    <r>
      <rPr>
        <sz val="7"/>
        <color rgb="FF231F20"/>
        <rFont val="Calibri"/>
        <charset val="134"/>
      </rPr>
      <t>3,3,4,4,5,5,6,6,7,7,8,8,9,9,9-Pentadecafluorononan-1-ol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</si>
  <si>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6</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</si>
  <si>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3.00e-14</t>
    </r>
  </si>
  <si>
    <r>
      <rPr>
        <sz val="7"/>
        <color rgb="FF231F20"/>
        <rFont val="Calibri"/>
        <charset val="134"/>
      </rPr>
      <t>2.40e-16</t>
    </r>
  </si>
  <si>
    <r>
      <rPr>
        <sz val="7"/>
        <color rgb="FF231F20"/>
        <rFont val="Calibri"/>
        <charset val="134"/>
      </rPr>
      <t>3.37e-17</t>
    </r>
  </si>
  <si>
    <r>
      <rPr>
        <sz val="7"/>
        <color rgb="FF231F20"/>
        <rFont val="Calibri"/>
        <charset val="134"/>
      </rPr>
      <t>2.46e-17</t>
    </r>
  </si>
  <si>
    <r>
      <rPr>
        <sz val="7"/>
        <color rgb="FF231F20"/>
        <rFont val="Calibri"/>
        <charset val="134"/>
      </rPr>
      <t xml:space="preserve">3,3,4,4,5,5,6,6,7,7,8,8,9,9,10,10,11,11,11-Non-
</t>
    </r>
    <r>
      <rPr>
        <sz val="7"/>
        <color rgb="FF231F20"/>
        <rFont val="Calibri"/>
        <charset val="134"/>
      </rPr>
      <t>adecafluoroundecan-1-ol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</si>
  <si>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8</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</si>
  <si>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1.72e-14</t>
    </r>
  </si>
  <si>
    <r>
      <rPr>
        <sz val="7"/>
        <color rgb="FF231F20"/>
        <rFont val="Calibri"/>
        <charset val="134"/>
      </rPr>
      <t>1.93e-17</t>
    </r>
  </si>
  <si>
    <r>
      <rPr>
        <sz val="7"/>
        <color rgb="FF231F20"/>
        <rFont val="Calibri"/>
        <charset val="134"/>
      </rPr>
      <t>1.41e-17</t>
    </r>
  </si>
  <si>
    <r>
      <rPr>
        <sz val="7"/>
        <color rgb="FF231F20"/>
        <rFont val="Calibri"/>
        <charset val="134"/>
      </rPr>
      <t>2-Chloro-1,1,2-trifluoro-1-methoxyethane</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</si>
  <si>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CHFCl</t>
    </r>
  </si>
  <si>
    <r>
      <rPr>
        <sz val="7"/>
        <color rgb="FF231F20"/>
        <rFont val="Calibri"/>
        <charset val="134"/>
      </rPr>
      <t>1.12e-11</t>
    </r>
  </si>
  <si>
    <r>
      <rPr>
        <sz val="7"/>
        <color rgb="FF231F20"/>
        <rFont val="Calibri"/>
        <charset val="134"/>
      </rPr>
      <t>9.24e-15</t>
    </r>
  </si>
  <si>
    <r>
      <rPr>
        <sz val="7"/>
        <color rgb="FF231F20"/>
        <rFont val="Calibri"/>
        <charset val="134"/>
      </rPr>
      <t>PFPMIE (perfluoropolymethylisopropyl ether)</t>
    </r>
  </si>
  <si>
    <r>
      <rPr>
        <sz val="7"/>
        <color rgb="FF231F20"/>
        <rFont val="Calibri"/>
        <charset val="134"/>
      </rPr>
      <t>CF</t>
    </r>
    <r>
      <rPr>
        <sz val="4"/>
        <color rgb="FF231F20"/>
        <rFont val="Calibri"/>
        <charset val="134"/>
      </rPr>
      <t>3</t>
    </r>
    <r>
      <rPr>
        <sz val="7"/>
        <color rgb="FF231F20"/>
        <rFont val="Calibri"/>
        <charset val="134"/>
      </rPr>
      <t>OCF(CF</t>
    </r>
    <r>
      <rPr>
        <sz val="4"/>
        <color rgb="FF231F20"/>
        <rFont val="Calibri"/>
        <charset val="134"/>
      </rPr>
      <t>3</t>
    </r>
    <r>
      <rPr>
        <sz val="7"/>
        <color rgb="FF231F20"/>
        <rFont val="Calibri"/>
        <charset val="134"/>
      </rPr>
      <t>) 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</si>
  <si>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1.87e-10</t>
    </r>
  </si>
  <si>
    <r>
      <rPr>
        <sz val="7"/>
        <color rgb="FF231F20"/>
        <rFont val="Calibri"/>
        <charset val="134"/>
      </rPr>
      <t>8.90e-10</t>
    </r>
  </si>
  <si>
    <r>
      <rPr>
        <sz val="7"/>
        <color rgb="FF231F20"/>
        <rFont val="Calibri"/>
        <charset val="134"/>
      </rPr>
      <t>5.52e-12</t>
    </r>
  </si>
  <si>
    <r>
      <rPr>
        <sz val="7"/>
        <color rgb="FF231F20"/>
        <rFont val="Calibri"/>
        <charset val="134"/>
      </rPr>
      <t>6.11e-12</t>
    </r>
  </si>
  <si>
    <r>
      <rPr>
        <sz val="7"/>
        <color rgb="FF231F20"/>
        <rFont val="Calibri"/>
        <charset val="134"/>
      </rPr>
      <t>HFE-216</t>
    </r>
  </si>
  <si>
    <r>
      <rPr>
        <sz val="7"/>
        <color rgb="FF231F20"/>
        <rFont val="Calibri"/>
        <charset val="134"/>
      </rPr>
      <t>CF</t>
    </r>
    <r>
      <rPr>
        <sz val="4"/>
        <color rgb="FF231F20"/>
        <rFont val="Calibri"/>
        <charset val="134"/>
      </rPr>
      <t>3</t>
    </r>
    <r>
      <rPr>
        <sz val="7"/>
        <color rgb="FF231F20"/>
        <rFont val="Calibri"/>
        <charset val="134"/>
      </rPr>
      <t>OCF=CF</t>
    </r>
    <r>
      <rPr>
        <sz val="4"/>
        <color rgb="FF231F20"/>
        <rFont val="Calibri"/>
        <charset val="134"/>
      </rPr>
      <t>2</t>
    </r>
  </si>
  <si>
    <r>
      <rPr>
        <sz val="7"/>
        <color rgb="FF231F20"/>
        <rFont val="Calibri"/>
        <charset val="134"/>
      </rPr>
      <t>8.4 days</t>
    </r>
  </si>
  <si>
    <r>
      <rPr>
        <sz val="7"/>
        <color rgb="FF231F20"/>
        <rFont val="Calibri"/>
        <charset val="134"/>
      </rPr>
      <t>1.92e-14</t>
    </r>
  </si>
  <si>
    <r>
      <rPr>
        <sz val="7"/>
        <color rgb="FF231F20"/>
        <rFont val="Calibri"/>
        <charset val="134"/>
      </rPr>
      <t>1.53e-16</t>
    </r>
  </si>
  <si>
    <r>
      <rPr>
        <sz val="7"/>
        <color rgb="FF231F20"/>
        <rFont val="Calibri"/>
        <charset val="134"/>
      </rPr>
      <t>2.15e-17</t>
    </r>
  </si>
  <si>
    <r>
      <rPr>
        <sz val="7"/>
        <color rgb="FF231F20"/>
        <rFont val="Calibri"/>
        <charset val="134"/>
      </rPr>
      <t>1.58e-17</t>
    </r>
  </si>
  <si>
    <r>
      <rPr>
        <sz val="7"/>
        <color rgb="FF231F20"/>
        <rFont val="Calibri"/>
        <charset val="134"/>
      </rPr>
      <t>Trifluoromethyl formate</t>
    </r>
  </si>
  <si>
    <r>
      <rPr>
        <sz val="7"/>
        <color rgb="FF231F20"/>
        <rFont val="Calibri"/>
        <charset val="134"/>
      </rPr>
      <t>HCOOCF</t>
    </r>
    <r>
      <rPr>
        <sz val="4"/>
        <color rgb="FF231F20"/>
        <rFont val="Calibri"/>
        <charset val="134"/>
      </rPr>
      <t>3</t>
    </r>
  </si>
  <si>
    <r>
      <rPr>
        <sz val="7"/>
        <color rgb="FF231F20"/>
        <rFont val="Calibri"/>
        <charset val="134"/>
      </rPr>
      <t>0.31</t>
    </r>
    <r>
      <rPr>
        <sz val="4"/>
        <color rgb="FF231F20"/>
        <rFont val="Calibri"/>
        <charset val="134"/>
      </rPr>
      <t>i</t>
    </r>
  </si>
  <si>
    <r>
      <rPr>
        <sz val="7"/>
        <color rgb="FF231F20"/>
        <rFont val="Calibri"/>
        <charset val="134"/>
      </rPr>
      <t>5.37e-11</t>
    </r>
  </si>
  <si>
    <r>
      <rPr>
        <sz val="7"/>
        <color rgb="FF231F20"/>
        <rFont val="Calibri"/>
        <charset val="134"/>
      </rPr>
      <t>5.39e-11</t>
    </r>
  </si>
  <si>
    <r>
      <rPr>
        <sz val="7"/>
        <color rgb="FF231F20"/>
        <rFont val="Calibri"/>
        <charset val="134"/>
      </rPr>
      <t>6.73e-13</t>
    </r>
  </si>
  <si>
    <r>
      <rPr>
        <sz val="7"/>
        <color rgb="FF231F20"/>
        <rFont val="Calibri"/>
        <charset val="134"/>
      </rPr>
      <t>6.85e-14</t>
    </r>
  </si>
  <si>
    <r>
      <rPr>
        <sz val="7"/>
        <color rgb="FF231F20"/>
        <rFont val="Calibri"/>
        <charset val="134"/>
      </rPr>
      <t>4.47e-14</t>
    </r>
  </si>
  <si>
    <r>
      <rPr>
        <sz val="7"/>
        <color rgb="FF231F20"/>
        <rFont val="Calibri"/>
        <charset val="134"/>
      </rPr>
      <t>Perfluoroethyl formate</t>
    </r>
  </si>
  <si>
    <r>
      <rPr>
        <sz val="7"/>
        <color rgb="FF231F20"/>
        <rFont val="Calibri"/>
        <charset val="134"/>
      </rPr>
      <t>HCOOCF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</si>
  <si>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0.44</t>
    </r>
    <r>
      <rPr>
        <sz val="4"/>
        <color rgb="FF231F20"/>
        <rFont val="Calibri"/>
        <charset val="134"/>
      </rPr>
      <t>i</t>
    </r>
  </si>
  <si>
    <r>
      <rPr>
        <sz val="7"/>
        <color rgb="FF231F20"/>
        <rFont val="Calibri"/>
        <charset val="134"/>
      </rPr>
      <t>5.32e-11</t>
    </r>
  </si>
  <si>
    <r>
      <rPr>
        <sz val="7"/>
        <color rgb="FF231F20"/>
        <rFont val="Calibri"/>
        <charset val="134"/>
      </rPr>
      <t>6.64e-13</t>
    </r>
  </si>
  <si>
    <r>
      <rPr>
        <sz val="7"/>
        <color rgb="FF231F20"/>
        <rFont val="Calibri"/>
        <charset val="134"/>
      </rPr>
      <t>6.76e-14</t>
    </r>
  </si>
  <si>
    <r>
      <rPr>
        <sz val="7"/>
        <color rgb="FF231F20"/>
        <rFont val="Calibri"/>
        <charset val="134"/>
      </rPr>
      <t>4.41e-14</t>
    </r>
  </si>
  <si>
    <r>
      <rPr>
        <sz val="7"/>
        <color rgb="FF231F20"/>
        <rFont val="Calibri"/>
        <charset val="134"/>
      </rPr>
      <t>Perfluoropropyl formate</t>
    </r>
  </si>
  <si>
    <r>
      <rPr>
        <sz val="7"/>
        <color rgb="FF231F20"/>
        <rFont val="Calibri"/>
        <charset val="134"/>
      </rPr>
      <t>HCOOCF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</si>
  <si>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0.50</t>
    </r>
    <r>
      <rPr>
        <sz val="4"/>
        <color rgb="FF231F20"/>
        <rFont val="Calibri"/>
        <charset val="134"/>
      </rPr>
      <t>i</t>
    </r>
  </si>
  <si>
    <r>
      <rPr>
        <sz val="7"/>
        <color rgb="FF231F20"/>
        <rFont val="Calibri"/>
        <charset val="134"/>
      </rPr>
      <t>3.80e-13</t>
    </r>
  </si>
  <si>
    <r>
      <rPr>
        <sz val="7"/>
        <color rgb="FF231F20"/>
        <rFont val="Calibri"/>
        <charset val="134"/>
      </rPr>
      <t>4.19e-14</t>
    </r>
  </si>
  <si>
    <r>
      <rPr>
        <sz val="7"/>
        <color rgb="FF231F20"/>
        <rFont val="Calibri"/>
        <charset val="134"/>
      </rPr>
      <t>2.85e-14</t>
    </r>
  </si>
  <si>
    <r>
      <rPr>
        <sz val="7"/>
        <color rgb="FF231F20"/>
        <rFont val="Calibri"/>
        <charset val="134"/>
      </rPr>
      <t>Perfluorobutyl formate</t>
    </r>
  </si>
  <si>
    <r>
      <rPr>
        <sz val="7"/>
        <color rgb="FF231F20"/>
        <rFont val="Calibri"/>
        <charset val="134"/>
      </rPr>
      <t>HCOOCF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</si>
  <si>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0.56</t>
    </r>
    <r>
      <rPr>
        <sz val="4"/>
        <color rgb="FF231F20"/>
        <rFont val="Calibri"/>
        <charset val="134"/>
      </rPr>
      <t>i</t>
    </r>
  </si>
  <si>
    <r>
      <rPr>
        <sz val="7"/>
        <color rgb="FF231F20"/>
        <rFont val="Calibri"/>
        <charset val="134"/>
      </rPr>
      <t>3.59e-11</t>
    </r>
  </si>
  <si>
    <r>
      <rPr>
        <sz val="7"/>
        <color rgb="FF231F20"/>
        <rFont val="Calibri"/>
        <charset val="134"/>
      </rPr>
      <t>4.19e-13</t>
    </r>
  </si>
  <si>
    <r>
      <rPr>
        <sz val="7"/>
        <color rgb="FF231F20"/>
        <rFont val="Calibri"/>
        <charset val="134"/>
      </rPr>
      <t>4.45e-14</t>
    </r>
  </si>
  <si>
    <r>
      <rPr>
        <sz val="7"/>
        <color rgb="FF231F20"/>
        <rFont val="Calibri"/>
        <charset val="134"/>
      </rPr>
      <t>2.97e-14</t>
    </r>
  </si>
  <si>
    <r>
      <rPr>
        <sz val="7"/>
        <color rgb="FF231F20"/>
        <rFont val="Calibri"/>
        <charset val="134"/>
      </rPr>
      <t>2,2,2-Trifluoroethyl formate</t>
    </r>
  </si>
  <si>
    <r>
      <rPr>
        <sz val="7"/>
        <color rgb="FF231F20"/>
        <rFont val="Calibri"/>
        <charset val="134"/>
      </rPr>
      <t>HCOOCH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</si>
  <si>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0.16</t>
    </r>
    <r>
      <rPr>
        <sz val="4"/>
        <color rgb="FF231F20"/>
        <rFont val="Calibri"/>
        <charset val="134"/>
      </rPr>
      <t>i</t>
    </r>
  </si>
  <si>
    <r>
      <rPr>
        <sz val="7"/>
        <color rgb="FF231F20"/>
        <rFont val="Calibri"/>
        <charset val="134"/>
      </rPr>
      <t>3.07e-12</t>
    </r>
  </si>
  <si>
    <r>
      <rPr>
        <sz val="7"/>
        <color rgb="FF231F20"/>
        <rFont val="Calibri"/>
        <charset val="134"/>
      </rPr>
      <t>2.55e-14</t>
    </r>
  </si>
  <si>
    <r>
      <rPr>
        <sz val="7"/>
        <color rgb="FF231F20"/>
        <rFont val="Calibri"/>
        <charset val="134"/>
      </rPr>
      <t>3.48e-15</t>
    </r>
  </si>
  <si>
    <r>
      <rPr>
        <sz val="7"/>
        <color rgb="FF231F20"/>
        <rFont val="Calibri"/>
        <charset val="134"/>
      </rPr>
      <t>2.52e-15</t>
    </r>
  </si>
  <si>
    <r>
      <rPr>
        <sz val="7"/>
        <color rgb="FF231F20"/>
        <rFont val="Calibri"/>
        <charset val="134"/>
      </rPr>
      <t>3,3,3-Trifluoropropyl formate</t>
    </r>
  </si>
  <si>
    <r>
      <rPr>
        <sz val="7"/>
        <color rgb="FF231F20"/>
        <rFont val="Calibri"/>
        <charset val="134"/>
      </rPr>
      <t>HCOOCH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</si>
  <si>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0.13</t>
    </r>
    <r>
      <rPr>
        <sz val="4"/>
        <color rgb="FF231F20"/>
        <rFont val="Calibri"/>
        <charset val="134"/>
      </rPr>
      <t>i</t>
    </r>
  </si>
  <si>
    <r>
      <rPr>
        <sz val="7"/>
        <color rgb="FF231F20"/>
        <rFont val="Calibri"/>
        <charset val="134"/>
      </rPr>
      <t>1.60e-12</t>
    </r>
  </si>
  <si>
    <r>
      <rPr>
        <sz val="7"/>
        <color rgb="FF231F20"/>
        <rFont val="Calibri"/>
        <charset val="134"/>
      </rPr>
      <t>1.80e-15</t>
    </r>
  </si>
  <si>
    <r>
      <rPr>
        <sz val="7"/>
        <color rgb="FF231F20"/>
        <rFont val="Calibri"/>
        <charset val="134"/>
      </rPr>
      <t>1.31e-15</t>
    </r>
  </si>
  <si>
    <r>
      <rPr>
        <sz val="7"/>
        <color rgb="FF231F20"/>
        <rFont val="Calibri"/>
        <charset val="134"/>
      </rPr>
      <t>1,2,2,2-Tetrafluoroethyl formate</t>
    </r>
  </si>
  <si>
    <r>
      <rPr>
        <sz val="7"/>
        <color rgb="FF231F20"/>
        <rFont val="Calibri"/>
        <charset val="134"/>
      </rPr>
      <t>HCOOCHFCF</t>
    </r>
    <r>
      <rPr>
        <sz val="4"/>
        <color rgb="FF231F20"/>
        <rFont val="Calibri"/>
        <charset val="134"/>
      </rPr>
      <t>3</t>
    </r>
  </si>
  <si>
    <r>
      <rPr>
        <sz val="7"/>
        <color rgb="FF231F20"/>
        <rFont val="Calibri"/>
        <charset val="134"/>
      </rPr>
      <t>4.30e-11</t>
    </r>
  </si>
  <si>
    <r>
      <rPr>
        <sz val="7"/>
        <color rgb="FF231F20"/>
        <rFont val="Calibri"/>
        <charset val="134"/>
      </rPr>
      <t>4.31e-11</t>
    </r>
  </si>
  <si>
    <r>
      <rPr>
        <sz val="7"/>
        <color rgb="FF231F20"/>
        <rFont val="Calibri"/>
        <charset val="134"/>
      </rPr>
      <t>5.39e-14</t>
    </r>
  </si>
  <si>
    <r>
      <rPr>
        <sz val="7"/>
        <color rgb="FF231F20"/>
        <rFont val="Calibri"/>
        <charset val="134"/>
      </rPr>
      <t>1,1,1,3,3,3-Hexafluoropropan-2-yl   formate</t>
    </r>
  </si>
  <si>
    <r>
      <rPr>
        <sz val="7"/>
        <color rgb="FF231F20"/>
        <rFont val="Calibri"/>
        <charset val="134"/>
      </rPr>
      <t>HCOOCH(CF</t>
    </r>
    <r>
      <rPr>
        <sz val="4"/>
        <color rgb="FF231F20"/>
        <rFont val="Calibri"/>
        <charset val="134"/>
      </rPr>
      <t>3</t>
    </r>
    <r>
      <rPr>
        <sz val="7"/>
        <color rgb="FF231F20"/>
        <rFont val="Calibri"/>
        <charset val="134"/>
      </rPr>
      <t>)</t>
    </r>
    <r>
      <rPr>
        <sz val="4"/>
        <color rgb="FF231F20"/>
        <rFont val="Calibri"/>
        <charset val="134"/>
      </rPr>
      <t>2</t>
    </r>
  </si>
  <si>
    <r>
      <rPr>
        <sz val="7"/>
        <color rgb="FF231F20"/>
        <rFont val="Calibri"/>
        <charset val="134"/>
      </rPr>
      <t>0.33</t>
    </r>
    <r>
      <rPr>
        <sz val="4"/>
        <color rgb="FF231F20"/>
        <rFont val="Calibri"/>
        <charset val="134"/>
      </rPr>
      <t>i</t>
    </r>
  </si>
  <si>
    <r>
      <rPr>
        <sz val="7"/>
        <color rgb="FF231F20"/>
        <rFont val="Calibri"/>
        <charset val="134"/>
      </rPr>
      <t>3.05e-11</t>
    </r>
  </si>
  <si>
    <r>
      <rPr>
        <sz val="7"/>
        <color rgb="FF231F20"/>
        <rFont val="Calibri"/>
        <charset val="134"/>
      </rPr>
      <t>3.66e-13</t>
    </r>
  </si>
  <si>
    <r>
      <rPr>
        <sz val="7"/>
        <color rgb="FF231F20"/>
        <rFont val="Calibri"/>
        <charset val="134"/>
      </rPr>
      <t>3.81e-14</t>
    </r>
  </si>
  <si>
    <r>
      <rPr>
        <sz val="7"/>
        <color rgb="FF231F20"/>
        <rFont val="Calibri"/>
        <charset val="134"/>
      </rPr>
      <t>2.53e-14</t>
    </r>
  </si>
  <si>
    <r>
      <rPr>
        <sz val="7"/>
        <color rgb="FF231F20"/>
        <rFont val="Calibri"/>
        <charset val="134"/>
      </rPr>
      <t>Perfluorobutyl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</si>
  <si>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</si>
  <si>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21.9 days</t>
    </r>
  </si>
  <si>
    <r>
      <rPr>
        <sz val="7"/>
        <color rgb="FF231F20"/>
        <rFont val="Calibri"/>
        <charset val="134"/>
      </rPr>
      <t>0.12</t>
    </r>
    <r>
      <rPr>
        <sz val="4"/>
        <color rgb="FF231F20"/>
        <rFont val="Calibri"/>
        <charset val="134"/>
      </rPr>
      <t>i</t>
    </r>
  </si>
  <si>
    <r>
      <rPr>
        <sz val="7"/>
        <color rgb="FF231F20"/>
        <rFont val="Calibri"/>
        <charset val="134"/>
      </rPr>
      <t>1.52e-13</t>
    </r>
  </si>
  <si>
    <r>
      <rPr>
        <sz val="7"/>
        <color rgb="FF231F20"/>
        <rFont val="Calibri"/>
        <charset val="134"/>
      </rPr>
      <t>1.21e-15</t>
    </r>
  </si>
  <si>
    <r>
      <rPr>
        <sz val="7"/>
        <color rgb="FF231F20"/>
        <rFont val="Calibri"/>
        <charset val="134"/>
      </rPr>
      <t>1.71e-16</t>
    </r>
  </si>
  <si>
    <r>
      <rPr>
        <sz val="7"/>
        <color rgb="FF231F20"/>
        <rFont val="Calibri"/>
        <charset val="134"/>
      </rPr>
      <t>1.25e-16</t>
    </r>
  </si>
  <si>
    <r>
      <rPr>
        <sz val="7"/>
        <color rgb="FF231F20"/>
        <rFont val="Calibri"/>
        <charset val="134"/>
      </rPr>
      <t>Perfluoropropyl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</si>
  <si>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</si>
  <si>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0.11</t>
    </r>
    <r>
      <rPr>
        <sz val="4"/>
        <color rgb="FF231F20"/>
        <rFont val="Calibri"/>
        <charset val="134"/>
      </rPr>
      <t>i</t>
    </r>
  </si>
  <si>
    <r>
      <rPr>
        <sz val="7"/>
        <color rgb="FF231F20"/>
        <rFont val="Calibri"/>
        <charset val="134"/>
      </rPr>
      <t>1.59e-13</t>
    </r>
  </si>
  <si>
    <r>
      <rPr>
        <sz val="7"/>
        <color rgb="FF231F20"/>
        <rFont val="Calibri"/>
        <charset val="134"/>
      </rPr>
      <t>1.27e-15</t>
    </r>
  </si>
  <si>
    <r>
      <rPr>
        <sz val="7"/>
        <color rgb="FF231F20"/>
        <rFont val="Calibri"/>
        <charset val="134"/>
      </rPr>
      <t>1.30e-16</t>
    </r>
  </si>
  <si>
    <r>
      <rPr>
        <sz val="7"/>
        <color rgb="FF231F20"/>
        <rFont val="Calibri"/>
        <charset val="134"/>
      </rPr>
      <t>Perfluoroethyl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</si>
  <si>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</si>
  <si>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0.10</t>
    </r>
    <r>
      <rPr>
        <sz val="4"/>
        <color rgb="FF231F20"/>
        <rFont val="Calibri"/>
        <charset val="134"/>
      </rPr>
      <t>i</t>
    </r>
  </si>
  <si>
    <r>
      <rPr>
        <sz val="7"/>
        <color rgb="FF231F20"/>
        <rFont val="Calibri"/>
        <charset val="134"/>
      </rPr>
      <t>1.51e-15</t>
    </r>
  </si>
  <si>
    <r>
      <rPr>
        <sz val="7"/>
        <color rgb="FF231F20"/>
        <rFont val="Calibri"/>
        <charset val="134"/>
      </rPr>
      <t>2.12e-16</t>
    </r>
  </si>
  <si>
    <r>
      <rPr>
        <sz val="7"/>
        <color rgb="FF231F20"/>
        <rFont val="Calibri"/>
        <charset val="134"/>
      </rPr>
      <t>1.55e-16</t>
    </r>
  </si>
  <si>
    <r>
      <rPr>
        <sz val="7"/>
        <color rgb="FF231F20"/>
        <rFont val="Calibri"/>
        <charset val="134"/>
      </rPr>
      <t>Trifluoromethyl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</si>
  <si>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3</t>
    </r>
  </si>
  <si>
    <r>
      <rPr>
        <sz val="7"/>
        <color rgb="FF231F20"/>
        <rFont val="Calibri"/>
        <charset val="134"/>
      </rPr>
      <t>0.07</t>
    </r>
    <r>
      <rPr>
        <sz val="4"/>
        <color rgb="FF231F20"/>
        <rFont val="Calibri"/>
        <charset val="134"/>
      </rPr>
      <t>i</t>
    </r>
  </si>
  <si>
    <r>
      <rPr>
        <sz val="7"/>
        <color rgb="FF231F20"/>
        <rFont val="Calibri"/>
        <charset val="134"/>
      </rPr>
      <t>1.90e-13</t>
    </r>
  </si>
  <si>
    <r>
      <rPr>
        <sz val="7"/>
        <color rgb="FF231F20"/>
        <rFont val="Calibri"/>
        <charset val="134"/>
      </rPr>
      <t>1.52e-15</t>
    </r>
  </si>
  <si>
    <r>
      <rPr>
        <sz val="7"/>
        <color rgb="FF231F20"/>
        <rFont val="Calibri"/>
        <charset val="134"/>
      </rPr>
      <t>2.14e-16</t>
    </r>
  </si>
  <si>
    <r>
      <rPr>
        <sz val="7"/>
        <color rgb="FF231F20"/>
        <rFont val="Calibri"/>
        <charset val="134"/>
      </rPr>
      <t>1.56e-16</t>
    </r>
  </si>
  <si>
    <r>
      <rPr>
        <sz val="7"/>
        <color rgb="FF231F20"/>
        <rFont val="Calibri"/>
        <charset val="134"/>
      </rPr>
      <t>Methyl carbonofluoridate</t>
    </r>
  </si>
  <si>
    <r>
      <rPr>
        <sz val="7"/>
        <color rgb="FF231F20"/>
        <rFont val="Calibri"/>
        <charset val="134"/>
      </rPr>
      <t>FCOOCH</t>
    </r>
    <r>
      <rPr>
        <sz val="4"/>
        <color rgb="FF231F20"/>
        <rFont val="Calibri"/>
        <charset val="134"/>
      </rPr>
      <t>3</t>
    </r>
  </si>
  <si>
    <r>
      <rPr>
        <sz val="7"/>
        <color rgb="FF231F20"/>
        <rFont val="Calibri"/>
        <charset val="134"/>
      </rPr>
      <t>8.74e-12</t>
    </r>
  </si>
  <si>
    <r>
      <rPr>
        <sz val="7"/>
        <color rgb="FF231F20"/>
        <rFont val="Calibri"/>
        <charset val="134"/>
      </rPr>
      <t>8.60e-14</t>
    </r>
  </si>
  <si>
    <r>
      <rPr>
        <sz val="7"/>
        <color rgb="FF231F20"/>
        <rFont val="Calibri"/>
        <charset val="134"/>
      </rPr>
      <t>1.03e-14</t>
    </r>
  </si>
  <si>
    <r>
      <rPr>
        <sz val="7"/>
        <color rgb="FF231F20"/>
        <rFont val="Calibri"/>
        <charset val="134"/>
      </rPr>
      <t>7.21e-15</t>
    </r>
  </si>
  <si>
    <r>
      <rPr>
        <sz val="7"/>
        <color rgb="FF231F20"/>
        <rFont val="Calibri"/>
        <charset val="134"/>
      </rPr>
      <t>1,1-Difluoroethyl  carbonofluoridate</t>
    </r>
  </si>
  <si>
    <r>
      <rPr>
        <sz val="7"/>
        <color rgb="FF231F20"/>
        <rFont val="Calibri"/>
        <charset val="134"/>
      </rPr>
      <t>FCOOCF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</si>
  <si>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0.17</t>
    </r>
    <r>
      <rPr>
        <sz val="4"/>
        <color rgb="FF231F20"/>
        <rFont val="Calibri"/>
        <charset val="134"/>
      </rPr>
      <t>i</t>
    </r>
  </si>
  <si>
    <r>
      <rPr>
        <sz val="7"/>
        <color rgb="FF231F20"/>
        <rFont val="Calibri"/>
        <charset val="134"/>
      </rPr>
      <t>2.46e-12</t>
    </r>
  </si>
  <si>
    <r>
      <rPr>
        <sz val="7"/>
        <color rgb="FF231F20"/>
        <rFont val="Calibri"/>
        <charset val="134"/>
      </rPr>
      <t>2.02e-14</t>
    </r>
  </si>
  <si>
    <r>
      <rPr>
        <sz val="7"/>
        <color rgb="FF231F20"/>
        <rFont val="Calibri"/>
        <charset val="134"/>
      </rPr>
      <t>2.78e-15</t>
    </r>
  </si>
  <si>
    <r>
      <rPr>
        <sz val="7"/>
        <color rgb="FF231F20"/>
        <rFont val="Calibri"/>
        <charset val="134"/>
      </rPr>
      <t>2.02e-15</t>
    </r>
  </si>
  <si>
    <r>
      <rPr>
        <sz val="7"/>
        <color rgb="FF231F20"/>
        <rFont val="Calibri"/>
        <charset val="134"/>
      </rPr>
      <t>1,1-Difluoroethyl  2,2,2-trifluoroacetate</t>
    </r>
  </si>
  <si>
    <r>
      <rPr>
        <sz val="7"/>
        <color rgb="FF231F20"/>
        <rFont val="Calibri"/>
        <charset val="134"/>
      </rPr>
      <t>CF</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</si>
  <si>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0.27</t>
    </r>
    <r>
      <rPr>
        <sz val="4"/>
        <color rgb="FF231F20"/>
        <rFont val="Calibri"/>
        <charset val="134"/>
      </rPr>
      <t>i</t>
    </r>
  </si>
  <si>
    <r>
      <rPr>
        <sz val="7"/>
        <color rgb="FF231F20"/>
        <rFont val="Calibri"/>
        <charset val="134"/>
      </rPr>
      <t>2.83e-12</t>
    </r>
  </si>
  <si>
    <r>
      <rPr>
        <sz val="7"/>
        <color rgb="FF231F20"/>
        <rFont val="Calibri"/>
        <charset val="134"/>
      </rPr>
      <t>2.33e-14</t>
    </r>
  </si>
  <si>
    <r>
      <rPr>
        <sz val="7"/>
        <color rgb="FF231F20"/>
        <rFont val="Calibri"/>
        <charset val="134"/>
      </rPr>
      <t>3.20e-15</t>
    </r>
  </si>
  <si>
    <r>
      <rPr>
        <sz val="7"/>
        <color rgb="FF231F20"/>
        <rFont val="Calibri"/>
        <charset val="134"/>
      </rPr>
      <t>2.32e-15</t>
    </r>
  </si>
  <si>
    <r>
      <rPr>
        <sz val="7"/>
        <color rgb="FF231F20"/>
        <rFont val="Calibri"/>
        <charset val="134"/>
      </rPr>
      <t>Ethyl  2,2,2-trifluoroacetate</t>
    </r>
  </si>
  <si>
    <r>
      <rPr>
        <sz val="7"/>
        <color rgb="FF231F20"/>
        <rFont val="Calibri"/>
        <charset val="134"/>
      </rPr>
      <t>CF</t>
    </r>
    <r>
      <rPr>
        <sz val="4"/>
        <color rgb="FF231F20"/>
        <rFont val="Calibri"/>
        <charset val="134"/>
      </rPr>
      <t>3</t>
    </r>
    <r>
      <rPr>
        <sz val="7"/>
        <color rgb="FF231F20"/>
        <rFont val="Calibri"/>
        <charset val="134"/>
      </rPr>
      <t>COOCH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</si>
  <si>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0.05</t>
    </r>
    <r>
      <rPr>
        <sz val="4"/>
        <color rgb="FF231F20"/>
        <rFont val="Calibri"/>
        <charset val="134"/>
      </rPr>
      <t>i</t>
    </r>
  </si>
  <si>
    <r>
      <rPr>
        <sz val="7"/>
        <color rgb="FF231F20"/>
        <rFont val="Calibri"/>
        <charset val="134"/>
      </rPr>
      <t>1.26e-13</t>
    </r>
  </si>
  <si>
    <r>
      <rPr>
        <sz val="7"/>
        <color rgb="FF231F20"/>
        <rFont val="Calibri"/>
        <charset val="134"/>
      </rPr>
      <t>1.00e-15</t>
    </r>
  </si>
  <si>
    <r>
      <rPr>
        <sz val="7"/>
        <color rgb="FF231F20"/>
        <rFont val="Calibri"/>
        <charset val="134"/>
      </rPr>
      <t>1.41e-16</t>
    </r>
  </si>
  <si>
    <r>
      <rPr>
        <sz val="7"/>
        <color rgb="FF231F20"/>
        <rFont val="Calibri"/>
        <charset val="134"/>
      </rPr>
      <t>1.03e-16</t>
    </r>
  </si>
  <si>
    <r>
      <rPr>
        <sz val="7"/>
        <color rgb="FF231F20"/>
        <rFont val="Calibri"/>
        <charset val="134"/>
      </rPr>
      <t>2,2,2-Trifluoroethyl  2,2,2-trifluoroacetate</t>
    </r>
  </si>
  <si>
    <r>
      <rPr>
        <sz val="7"/>
        <color rgb="FF231F20"/>
        <rFont val="Calibri"/>
        <charset val="134"/>
      </rPr>
      <t>CF</t>
    </r>
    <r>
      <rPr>
        <sz val="4"/>
        <color rgb="FF231F20"/>
        <rFont val="Calibri"/>
        <charset val="134"/>
      </rPr>
      <t>3</t>
    </r>
    <r>
      <rPr>
        <sz val="7"/>
        <color rgb="FF231F20"/>
        <rFont val="Calibri"/>
        <charset val="134"/>
      </rPr>
      <t>COOCH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</si>
  <si>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54.8 days</t>
    </r>
  </si>
  <si>
    <r>
      <rPr>
        <sz val="7"/>
        <color rgb="FF231F20"/>
        <rFont val="Calibri"/>
        <charset val="134"/>
      </rPr>
      <t>0.15</t>
    </r>
    <r>
      <rPr>
        <sz val="4"/>
        <color rgb="FF231F20"/>
        <rFont val="Calibri"/>
        <charset val="134"/>
      </rPr>
      <t>i</t>
    </r>
  </si>
  <si>
    <r>
      <rPr>
        <sz val="7"/>
        <color rgb="FF231F20"/>
        <rFont val="Calibri"/>
        <charset val="134"/>
      </rPr>
      <t>6.27e-13</t>
    </r>
  </si>
  <si>
    <r>
      <rPr>
        <sz val="7"/>
        <color rgb="FF231F20"/>
        <rFont val="Calibri"/>
        <charset val="134"/>
      </rPr>
      <t>5.06e-15</t>
    </r>
  </si>
  <si>
    <r>
      <rPr>
        <sz val="7"/>
        <color rgb="FF231F20"/>
        <rFont val="Calibri"/>
        <charset val="134"/>
      </rPr>
      <t>7.07e-16</t>
    </r>
  </si>
  <si>
    <r>
      <rPr>
        <sz val="7"/>
        <color rgb="FF231F20"/>
        <rFont val="Calibri"/>
        <charset val="134"/>
      </rPr>
      <t>5.15e-16</t>
    </r>
  </si>
  <si>
    <r>
      <rPr>
        <sz val="7"/>
        <color rgb="FF231F20"/>
        <rFont val="Calibri"/>
        <charset val="134"/>
      </rPr>
      <t>Methyl  2,2,2-trifluoroacetate</t>
    </r>
  </si>
  <si>
    <r>
      <rPr>
        <sz val="7"/>
        <color rgb="FF231F20"/>
        <rFont val="Calibri"/>
        <charset val="134"/>
      </rPr>
      <t>CF</t>
    </r>
    <r>
      <rPr>
        <sz val="4"/>
        <color rgb="FF231F20"/>
        <rFont val="Calibri"/>
        <charset val="134"/>
      </rPr>
      <t>3</t>
    </r>
    <r>
      <rPr>
        <sz val="7"/>
        <color rgb="FF231F20"/>
        <rFont val="Calibri"/>
        <charset val="134"/>
      </rPr>
      <t>COOCH</t>
    </r>
    <r>
      <rPr>
        <sz val="4"/>
        <color rgb="FF231F20"/>
        <rFont val="Calibri"/>
        <charset val="134"/>
      </rPr>
      <t>3</t>
    </r>
  </si>
  <si>
    <r>
      <rPr>
        <sz val="7"/>
        <color rgb="FF231F20"/>
        <rFont val="Calibri"/>
        <charset val="134"/>
      </rPr>
      <t>0.18</t>
    </r>
    <r>
      <rPr>
        <sz val="4"/>
        <color rgb="FF231F20"/>
        <rFont val="Calibri"/>
        <charset val="134"/>
      </rPr>
      <t>i</t>
    </r>
  </si>
  <si>
    <r>
      <rPr>
        <sz val="7"/>
        <color rgb="FF231F20"/>
        <rFont val="Calibri"/>
        <charset val="134"/>
      </rPr>
      <t>4.80e-12</t>
    </r>
  </si>
  <si>
    <r>
      <rPr>
        <sz val="7"/>
        <color rgb="FF231F20"/>
        <rFont val="Calibri"/>
        <charset val="134"/>
      </rPr>
      <t>4.08e-14</t>
    </r>
  </si>
  <si>
    <r>
      <rPr>
        <sz val="7"/>
        <color rgb="FF231F20"/>
        <rFont val="Calibri"/>
        <charset val="134"/>
      </rPr>
      <t>5.47e-15</t>
    </r>
  </si>
  <si>
    <r>
      <rPr>
        <sz val="7"/>
        <color rgb="FF231F20"/>
        <rFont val="Calibri"/>
        <charset val="134"/>
      </rPr>
      <t>3.95e-15</t>
    </r>
  </si>
  <si>
    <r>
      <rPr>
        <sz val="7"/>
        <color rgb="FF231F20"/>
        <rFont val="Calibri"/>
        <charset val="134"/>
      </rPr>
      <t>Methyl 2,2-difluoroacetate</t>
    </r>
  </si>
  <si>
    <r>
      <rPr>
        <sz val="7"/>
        <color rgb="FF231F20"/>
        <rFont val="Calibri"/>
        <charset val="134"/>
      </rPr>
      <t>HCF</t>
    </r>
    <r>
      <rPr>
        <sz val="4"/>
        <color rgb="FF231F20"/>
        <rFont val="Calibri"/>
        <charset val="134"/>
      </rPr>
      <t>2</t>
    </r>
    <r>
      <rPr>
        <sz val="7"/>
        <color rgb="FF231F20"/>
        <rFont val="Calibri"/>
        <charset val="134"/>
      </rPr>
      <t>COOCH</t>
    </r>
    <r>
      <rPr>
        <sz val="4"/>
        <color rgb="FF231F20"/>
        <rFont val="Calibri"/>
        <charset val="134"/>
      </rPr>
      <t>3</t>
    </r>
  </si>
  <si>
    <r>
      <rPr>
        <sz val="7"/>
        <color rgb="FF231F20"/>
        <rFont val="Calibri"/>
        <charset val="134"/>
      </rPr>
      <t>40.1 days</t>
    </r>
  </si>
  <si>
    <r>
      <rPr>
        <sz val="7"/>
        <color rgb="FF231F20"/>
        <rFont val="Calibri"/>
        <charset val="134"/>
      </rPr>
      <t>3.00e-13</t>
    </r>
  </si>
  <si>
    <r>
      <rPr>
        <sz val="7"/>
        <color rgb="FF231F20"/>
        <rFont val="Calibri"/>
        <charset val="134"/>
      </rPr>
      <t>2.41e-15</t>
    </r>
  </si>
  <si>
    <r>
      <rPr>
        <sz val="7"/>
        <color rgb="FF231F20"/>
        <rFont val="Calibri"/>
        <charset val="134"/>
      </rPr>
      <t>3.38e-16</t>
    </r>
  </si>
  <si>
    <r>
      <rPr>
        <sz val="7"/>
        <color rgb="FF231F20"/>
        <rFont val="Calibri"/>
        <charset val="134"/>
      </rPr>
      <t>Difluoromethyl  2,2,2-trifluoroacetate</t>
    </r>
  </si>
  <si>
    <r>
      <rPr>
        <sz val="7"/>
        <color rgb="FF231F20"/>
        <rFont val="Calibri"/>
        <charset val="134"/>
      </rPr>
      <t>CF</t>
    </r>
    <r>
      <rPr>
        <sz val="4"/>
        <color rgb="FF231F20"/>
        <rFont val="Calibri"/>
        <charset val="134"/>
      </rPr>
      <t>3</t>
    </r>
    <r>
      <rPr>
        <sz val="7"/>
        <color rgb="FF231F20"/>
        <rFont val="Calibri"/>
        <charset val="134"/>
      </rPr>
      <t>COOCHF</t>
    </r>
    <r>
      <rPr>
        <sz val="4"/>
        <color rgb="FF231F20"/>
        <rFont val="Calibri"/>
        <charset val="134"/>
      </rPr>
      <t>2</t>
    </r>
  </si>
  <si>
    <r>
      <rPr>
        <sz val="7"/>
        <color rgb="FF231F20"/>
        <rFont val="Calibri"/>
        <charset val="134"/>
      </rPr>
      <t>0.24</t>
    </r>
    <r>
      <rPr>
        <sz val="4"/>
        <color rgb="FF231F20"/>
        <rFont val="Calibri"/>
        <charset val="134"/>
      </rPr>
      <t>i</t>
    </r>
  </si>
  <si>
    <r>
      <rPr>
        <sz val="7"/>
        <color rgb="FF231F20"/>
        <rFont val="Calibri"/>
        <charset val="134"/>
      </rPr>
      <t>2.48e-12</t>
    </r>
  </si>
  <si>
    <r>
      <rPr>
        <sz val="7"/>
        <color rgb="FF231F20"/>
        <rFont val="Calibri"/>
        <charset val="134"/>
      </rPr>
      <t>2.04e-14</t>
    </r>
  </si>
  <si>
    <r>
      <rPr>
        <sz val="7"/>
        <color rgb="FF231F20"/>
        <rFont val="Calibri"/>
        <charset val="134"/>
      </rPr>
      <t>2.81e-15</t>
    </r>
  </si>
  <si>
    <r>
      <rPr>
        <sz val="7"/>
        <color rgb="FF231F20"/>
        <rFont val="Calibri"/>
        <charset val="134"/>
      </rPr>
      <t>2.04e-15</t>
    </r>
  </si>
  <si>
    <r>
      <rPr>
        <sz val="7"/>
        <color rgb="FF231F20"/>
        <rFont val="Calibri"/>
        <charset val="134"/>
      </rPr>
      <t>2,2,3,3,4,4,4-Heptafluorobutan-1-ol</t>
    </r>
  </si>
  <si>
    <r>
      <rPr>
        <sz val="7"/>
        <color rgb="FF231F20"/>
        <rFont val="Calibri"/>
        <charset val="134"/>
      </rPr>
      <t>C</t>
    </r>
    <r>
      <rPr>
        <sz val="4"/>
        <color rgb="FF231F20"/>
        <rFont val="Calibri"/>
        <charset val="134"/>
      </rPr>
      <t>3</t>
    </r>
    <r>
      <rPr>
        <sz val="7"/>
        <color rgb="FF231F20"/>
        <rFont val="Calibri"/>
        <charset val="134"/>
      </rPr>
      <t>F</t>
    </r>
    <r>
      <rPr>
        <sz val="4"/>
        <color rgb="FF231F20"/>
        <rFont val="Calibri"/>
        <charset val="134"/>
      </rPr>
      <t>7</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</si>
  <si>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3.10e-12</t>
    </r>
  </si>
  <si>
    <r>
      <rPr>
        <sz val="7"/>
        <color rgb="FF231F20"/>
        <rFont val="Calibri"/>
        <charset val="134"/>
      </rPr>
      <t>3.52e-15</t>
    </r>
  </si>
  <si>
    <r>
      <rPr>
        <sz val="7"/>
        <color rgb="FF231F20"/>
        <rFont val="Calibri"/>
        <charset val="134"/>
      </rPr>
      <t>2.55e-15</t>
    </r>
  </si>
  <si>
    <r>
      <rPr>
        <sz val="7"/>
        <color rgb="FF231F20"/>
        <rFont val="Calibri"/>
        <charset val="134"/>
      </rPr>
      <t>1,1,2-Trifluoro-2-(trifluoromethoxy)-ethane</t>
    </r>
  </si>
  <si>
    <r>
      <rPr>
        <sz val="7"/>
        <color rgb="FF231F20"/>
        <rFont val="Calibri"/>
        <charset val="134"/>
      </rPr>
      <t>CHF</t>
    </r>
    <r>
      <rPr>
        <sz val="4"/>
        <color rgb="FF231F20"/>
        <rFont val="Calibri"/>
        <charset val="134"/>
      </rPr>
      <t>2</t>
    </r>
    <r>
      <rPr>
        <sz val="7"/>
        <color rgb="FF231F20"/>
        <rFont val="Calibri"/>
        <charset val="134"/>
      </rPr>
      <t>CHFOCF</t>
    </r>
    <r>
      <rPr>
        <sz val="4"/>
        <color rgb="FF231F20"/>
        <rFont val="Calibri"/>
        <charset val="134"/>
      </rPr>
      <t>3</t>
    </r>
  </si>
  <si>
    <r>
      <rPr>
        <sz val="7"/>
        <color rgb="FF231F20"/>
        <rFont val="Calibri"/>
        <charset val="134"/>
      </rPr>
      <t>9.91e-11</t>
    </r>
  </si>
  <si>
    <r>
      <rPr>
        <sz val="7"/>
        <color rgb="FF231F20"/>
        <rFont val="Calibri"/>
        <charset val="134"/>
      </rPr>
      <t>1.14e-10</t>
    </r>
  </si>
  <si>
    <r>
      <rPr>
        <sz val="7"/>
        <color rgb="FF231F20"/>
        <rFont val="Calibri"/>
        <charset val="134"/>
      </rPr>
      <t>2.03e-12</t>
    </r>
  </si>
  <si>
    <r>
      <rPr>
        <sz val="7"/>
        <color rgb="FF231F20"/>
        <rFont val="Calibri"/>
        <charset val="134"/>
      </rPr>
      <t>2.88e-13</t>
    </r>
  </si>
  <si>
    <r>
      <rPr>
        <sz val="7"/>
        <color rgb="FF231F20"/>
        <rFont val="Calibri"/>
        <charset val="134"/>
      </rPr>
      <t>9.74e-14</t>
    </r>
  </si>
  <si>
    <r>
      <rPr>
        <sz val="7"/>
        <color rgb="FF231F20"/>
        <rFont val="Calibri"/>
        <charset val="134"/>
      </rPr>
      <t>1-Ethoxy-1,1,2,3,3,3-hexafluoropropane</t>
    </r>
  </si>
  <si>
    <r>
      <rPr>
        <sz val="7"/>
        <color rgb="FF231F20"/>
        <rFont val="Calibri"/>
        <charset val="134"/>
      </rPr>
      <t>CF</t>
    </r>
    <r>
      <rPr>
        <sz val="4"/>
        <color rgb="FF231F20"/>
        <rFont val="Calibri"/>
        <charset val="134"/>
      </rPr>
      <t>3</t>
    </r>
    <r>
      <rPr>
        <sz val="7"/>
        <color rgb="FF231F20"/>
        <rFont val="Calibri"/>
        <charset val="134"/>
      </rPr>
      <t>CHFCF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</si>
  <si>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2.14e-12</t>
    </r>
  </si>
  <si>
    <r>
      <rPr>
        <sz val="7"/>
        <color rgb="FF231F20"/>
        <rFont val="Calibri"/>
        <charset val="134"/>
      </rPr>
      <t>1.77e-14</t>
    </r>
  </si>
  <si>
    <r>
      <rPr>
        <sz val="7"/>
        <color rgb="FF231F20"/>
        <rFont val="Calibri"/>
        <charset val="134"/>
      </rPr>
      <t>2.43e-15</t>
    </r>
  </si>
  <si>
    <r>
      <rPr>
        <sz val="7"/>
        <color rgb="FF231F20"/>
        <rFont val="Calibri"/>
        <charset val="134"/>
      </rPr>
      <t>1.76e-15</t>
    </r>
  </si>
  <si>
    <r>
      <rPr>
        <sz val="7"/>
        <color rgb="FF231F20"/>
        <rFont val="Calibri"/>
        <charset val="134"/>
      </rPr>
      <t xml:space="preserve">1,1,1,2,2,3,3-Heptafluoro-3-(1,2,2,2-
</t>
    </r>
    <r>
      <rPr>
        <sz val="7"/>
        <color rgb="FF231F20"/>
        <rFont val="Calibri"/>
        <charset val="134"/>
      </rPr>
      <t>tetrafluoroethoxy)-propane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</si>
  <si>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OCHFCF</t>
    </r>
    <r>
      <rPr>
        <sz val="4"/>
        <color rgb="FF231F20"/>
        <rFont val="Calibri"/>
        <charset val="134"/>
      </rPr>
      <t>3</t>
    </r>
  </si>
  <si>
    <r>
      <rPr>
        <sz val="7"/>
        <color rgb="FF231F20"/>
        <rFont val="Calibri"/>
        <charset val="134"/>
      </rPr>
      <t>1.98e-10</t>
    </r>
  </si>
  <si>
    <r>
      <rPr>
        <sz val="7"/>
        <color rgb="FF231F20"/>
        <rFont val="Calibri"/>
        <charset val="134"/>
      </rPr>
      <t>5.95e-10</t>
    </r>
  </si>
  <si>
    <r>
      <rPr>
        <sz val="7"/>
        <color rgb="FF231F20"/>
        <rFont val="Calibri"/>
        <charset val="134"/>
      </rPr>
      <t>5.57e-12</t>
    </r>
  </si>
  <si>
    <r>
      <rPr>
        <sz val="7"/>
        <color rgb="FF231F20"/>
        <rFont val="Calibri"/>
        <charset val="134"/>
      </rPr>
      <t>4.29e-12</t>
    </r>
  </si>
  <si>
    <r>
      <rPr>
        <sz val="7"/>
        <color rgb="FF231F20"/>
        <rFont val="Calibri"/>
        <charset val="134"/>
      </rPr>
      <t>2.39e-12</t>
    </r>
  </si>
  <si>
    <r>
      <rPr>
        <sz val="7"/>
        <color rgb="FF231F20"/>
        <rFont val="Calibri"/>
        <charset val="134"/>
      </rPr>
      <t>2,2,3,3-Tetrafluoro-1-propanol</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</si>
  <si>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</si>
  <si>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91.3 days</t>
    </r>
  </si>
  <si>
    <r>
      <rPr>
        <sz val="7"/>
        <color rgb="FF231F20"/>
        <rFont val="Calibri"/>
        <charset val="134"/>
      </rPr>
      <t>1.19e-12</t>
    </r>
  </si>
  <si>
    <r>
      <rPr>
        <sz val="7"/>
        <color rgb="FF231F20"/>
        <rFont val="Calibri"/>
        <charset val="134"/>
      </rPr>
      <t>9.72e-15</t>
    </r>
  </si>
  <si>
    <r>
      <rPr>
        <sz val="7"/>
        <color rgb="FF231F20"/>
        <rFont val="Calibri"/>
        <charset val="134"/>
      </rPr>
      <t>1.35e-15</t>
    </r>
  </si>
  <si>
    <r>
      <rPr>
        <sz val="7"/>
        <color rgb="FF231F20"/>
        <rFont val="Calibri"/>
        <charset val="134"/>
      </rPr>
      <t>9.79e-16</t>
    </r>
  </si>
  <si>
    <r>
      <rPr>
        <sz val="7"/>
        <color rgb="FF231F20"/>
        <rFont val="Calibri"/>
        <charset val="134"/>
      </rPr>
      <t>2,2,3,4,4,4-Hexafluoro-1-butanol</t>
    </r>
  </si>
  <si>
    <r>
      <rPr>
        <sz val="7"/>
        <color rgb="FF231F20"/>
        <rFont val="Calibri"/>
        <charset val="134"/>
      </rPr>
      <t>CF</t>
    </r>
    <r>
      <rPr>
        <sz val="4"/>
        <color rgb="FF231F20"/>
        <rFont val="Calibri"/>
        <charset val="134"/>
      </rPr>
      <t>3</t>
    </r>
    <r>
      <rPr>
        <sz val="7"/>
        <color rgb="FF231F20"/>
        <rFont val="Calibri"/>
        <charset val="134"/>
      </rPr>
      <t>CHFCF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</si>
  <si>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94.9 days</t>
    </r>
  </si>
  <si>
    <r>
      <rPr>
        <sz val="7"/>
        <color rgb="FF231F20"/>
        <rFont val="Calibri"/>
        <charset val="134"/>
      </rPr>
      <t>1.56e-12</t>
    </r>
  </si>
  <si>
    <r>
      <rPr>
        <sz val="7"/>
        <color rgb="FF231F20"/>
        <rFont val="Calibri"/>
        <charset val="134"/>
      </rPr>
      <t>1.27e-14</t>
    </r>
  </si>
  <si>
    <r>
      <rPr>
        <sz val="7"/>
        <color rgb="FF231F20"/>
        <rFont val="Calibri"/>
        <charset val="134"/>
      </rPr>
      <t>1.28e-15</t>
    </r>
  </si>
  <si>
    <r>
      <rPr>
        <sz val="7"/>
        <color rgb="FF231F20"/>
        <rFont val="Calibri"/>
        <charset val="134"/>
      </rPr>
      <t>2,2,3,3,4,4,4-Heptafluoro-1-butanol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</si>
  <si>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</si>
  <si>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1.49e-12</t>
    </r>
  </si>
  <si>
    <r>
      <rPr>
        <sz val="7"/>
        <color rgb="FF231F20"/>
        <rFont val="Calibri"/>
        <charset val="134"/>
      </rPr>
      <t>1.23e-14</t>
    </r>
  </si>
  <si>
    <r>
      <rPr>
        <sz val="7"/>
        <color rgb="FF231F20"/>
        <rFont val="Calibri"/>
        <charset val="134"/>
      </rPr>
      <t>1.69e-15</t>
    </r>
  </si>
  <si>
    <r>
      <rPr>
        <sz val="7"/>
        <color rgb="FF231F20"/>
        <rFont val="Calibri"/>
        <charset val="134"/>
      </rPr>
      <t>1,1,2,2-Tetrafluoro-3-methoxy-propane</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</si>
  <si>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</si>
  <si>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14.2 days</t>
    </r>
  </si>
  <si>
    <r>
      <rPr>
        <sz val="7"/>
        <color rgb="FF231F20"/>
        <rFont val="Calibri"/>
        <charset val="134"/>
      </rPr>
      <t>4.82e-14</t>
    </r>
  </si>
  <si>
    <r>
      <rPr>
        <sz val="7"/>
        <color rgb="FF231F20"/>
        <rFont val="Calibri"/>
        <charset val="134"/>
      </rPr>
      <t>3.84e-16</t>
    </r>
  </si>
  <si>
    <r>
      <rPr>
        <sz val="7"/>
        <color rgb="FF231F20"/>
        <rFont val="Calibri"/>
        <charset val="134"/>
      </rPr>
      <t>5.41e-17</t>
    </r>
  </si>
  <si>
    <r>
      <rPr>
        <sz val="7"/>
        <color rgb="FF231F20"/>
        <rFont val="Calibri"/>
        <charset val="134"/>
      </rPr>
      <t>3.96e-17</t>
    </r>
  </si>
  <si>
    <r>
      <rPr>
        <sz val="7"/>
        <color rgb="FF231F20"/>
        <rFont val="Calibri"/>
        <charset val="134"/>
      </rPr>
      <t>perfluoro-2-methyl-3-pentanone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</si>
  <si>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C(O)CF(CF</t>
    </r>
    <r>
      <rPr>
        <sz val="4"/>
        <color rgb="FF231F20"/>
        <rFont val="Calibri"/>
        <charset val="134"/>
      </rPr>
      <t>3</t>
    </r>
    <r>
      <rPr>
        <sz val="7"/>
        <color rgb="FF231F20"/>
        <rFont val="Calibri"/>
        <charset val="134"/>
      </rPr>
      <t>)</t>
    </r>
    <r>
      <rPr>
        <sz val="4"/>
        <color rgb="FF231F20"/>
        <rFont val="Calibri"/>
        <charset val="134"/>
      </rPr>
      <t>2</t>
    </r>
  </si>
  <si>
    <r>
      <rPr>
        <sz val="7"/>
        <color rgb="FF231F20"/>
        <rFont val="Calibri"/>
        <charset val="134"/>
      </rPr>
      <t>9.14e-15</t>
    </r>
  </si>
  <si>
    <r>
      <rPr>
        <sz val="7"/>
        <color rgb="FF231F20"/>
        <rFont val="Calibri"/>
        <charset val="134"/>
      </rPr>
      <t>7.27e-17</t>
    </r>
  </si>
  <si>
    <r>
      <rPr>
        <sz val="7"/>
        <color rgb="FF231F20"/>
        <rFont val="Calibri"/>
        <charset val="134"/>
      </rPr>
      <t>1.03e-17</t>
    </r>
  </si>
  <si>
    <r>
      <rPr>
        <sz val="7"/>
        <color rgb="FF231F20"/>
        <rFont val="Calibri"/>
        <charset val="134"/>
      </rPr>
      <t>7.51e-18</t>
    </r>
  </si>
  <si>
    <r>
      <rPr>
        <sz val="7"/>
        <color rgb="FF231F20"/>
        <rFont val="Calibri"/>
        <charset val="134"/>
      </rPr>
      <t>3,3,3-Trifluoro-propanal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</si>
  <si>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CHO</t>
    </r>
  </si>
  <si>
    <r>
      <rPr>
        <sz val="7"/>
        <color rgb="FF231F20"/>
        <rFont val="Calibri"/>
        <charset val="134"/>
      </rPr>
      <t>2.0 days</t>
    </r>
  </si>
  <si>
    <r>
      <rPr>
        <sz val="7"/>
        <color rgb="FF231F20"/>
        <rFont val="Calibri"/>
        <charset val="134"/>
      </rPr>
      <t>9.86e-16</t>
    </r>
  </si>
  <si>
    <r>
      <rPr>
        <sz val="7"/>
        <color rgb="FF231F20"/>
        <rFont val="Calibri"/>
        <charset val="134"/>
      </rPr>
      <t>7.84e-18</t>
    </r>
  </si>
  <si>
    <r>
      <rPr>
        <sz val="7"/>
        <color rgb="FF231F20"/>
        <rFont val="Calibri"/>
        <charset val="134"/>
      </rPr>
      <t>1.11e-18</t>
    </r>
  </si>
  <si>
    <r>
      <rPr>
        <sz val="7"/>
        <color rgb="FF231F20"/>
        <rFont val="Calibri"/>
        <charset val="134"/>
      </rPr>
      <t>8.10e-19</t>
    </r>
  </si>
  <si>
    <r>
      <rPr>
        <sz val="7"/>
        <color rgb="FF231F20"/>
        <rFont val="Calibri"/>
        <charset val="134"/>
      </rPr>
      <t>2-Fluoroethanol</t>
    </r>
  </si>
  <si>
    <r>
      <rPr>
        <sz val="7"/>
        <color rgb="FF231F20"/>
        <rFont val="Calibri"/>
        <charset val="134"/>
      </rPr>
      <t>CH</t>
    </r>
    <r>
      <rPr>
        <sz val="4"/>
        <color rgb="FF231F20"/>
        <rFont val="Calibri"/>
        <charset val="134"/>
      </rPr>
      <t>2</t>
    </r>
    <r>
      <rPr>
        <sz val="7"/>
        <color rgb="FF231F20"/>
        <rFont val="Calibri"/>
        <charset val="134"/>
      </rPr>
      <t>FCH</t>
    </r>
    <r>
      <rPr>
        <sz val="4"/>
        <color rgb="FF231F20"/>
        <rFont val="Calibri"/>
        <charset val="134"/>
      </rPr>
      <t>2</t>
    </r>
    <r>
      <rPr>
        <sz val="7"/>
        <color rgb="FF231F20"/>
        <rFont val="Calibri"/>
        <charset val="134"/>
      </rPr>
      <t>OH</t>
    </r>
  </si>
  <si>
    <r>
      <rPr>
        <sz val="7"/>
        <color rgb="FF231F20"/>
        <rFont val="Calibri"/>
        <charset val="134"/>
      </rPr>
      <t>20.4 days</t>
    </r>
  </si>
  <si>
    <r>
      <rPr>
        <sz val="7"/>
        <color rgb="FF231F20"/>
        <rFont val="Calibri"/>
        <charset val="134"/>
      </rPr>
      <t>8.07e-14</t>
    </r>
  </si>
  <si>
    <r>
      <rPr>
        <sz val="7"/>
        <color rgb="FF231F20"/>
        <rFont val="Calibri"/>
        <charset val="134"/>
      </rPr>
      <t>6.45e-16</t>
    </r>
  </si>
  <si>
    <r>
      <rPr>
        <sz val="7"/>
        <color rgb="FF231F20"/>
        <rFont val="Calibri"/>
        <charset val="134"/>
      </rPr>
      <t>9.07e-17</t>
    </r>
  </si>
  <si>
    <r>
      <rPr>
        <sz val="7"/>
        <color rgb="FF231F20"/>
        <rFont val="Calibri"/>
        <charset val="134"/>
      </rPr>
      <t>6.63e-17</t>
    </r>
  </si>
  <si>
    <r>
      <rPr>
        <sz val="7"/>
        <color rgb="FF231F20"/>
        <rFont val="Calibri"/>
        <charset val="134"/>
      </rPr>
      <t>2,2-Difluoroethanol</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</si>
  <si>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</si>
  <si>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40.0 days</t>
    </r>
  </si>
  <si>
    <r>
      <rPr>
        <sz val="7"/>
        <color rgb="FF231F20"/>
        <rFont val="Calibri"/>
        <charset val="134"/>
      </rPr>
      <t>2.78e-13</t>
    </r>
  </si>
  <si>
    <r>
      <rPr>
        <sz val="7"/>
        <color rgb="FF231F20"/>
        <rFont val="Calibri"/>
        <charset val="134"/>
      </rPr>
      <t>2.23e-15</t>
    </r>
  </si>
  <si>
    <r>
      <rPr>
        <sz val="7"/>
        <color rgb="FF231F20"/>
        <rFont val="Calibri"/>
        <charset val="134"/>
      </rPr>
      <t>2.28e-16</t>
    </r>
  </si>
  <si>
    <r>
      <rPr>
        <sz val="7"/>
        <color rgb="FF231F20"/>
        <rFont val="Calibri"/>
        <charset val="134"/>
      </rPr>
      <t>2,2,2-Trifluoroethanol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</si>
  <si>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</si>
  <si>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1.83e-12</t>
    </r>
  </si>
  <si>
    <r>
      <rPr>
        <sz val="7"/>
        <color rgb="FF231F20"/>
        <rFont val="Calibri"/>
        <charset val="134"/>
      </rPr>
      <t>1.50e-14</t>
    </r>
  </si>
  <si>
    <r>
      <rPr>
        <sz val="7"/>
        <color rgb="FF231F20"/>
        <rFont val="Calibri"/>
        <charset val="134"/>
      </rPr>
      <t>2.07e-15</t>
    </r>
  </si>
  <si>
    <r>
      <rPr>
        <sz val="7"/>
        <color rgb="FF231F20"/>
        <rFont val="Calibri"/>
        <charset val="134"/>
      </rPr>
      <t>1.50e-15</t>
    </r>
  </si>
  <si>
    <r>
      <rPr>
        <sz val="7"/>
        <color rgb="FF231F20"/>
        <rFont val="Calibri"/>
        <charset val="134"/>
      </rPr>
      <t>1,1’-Oxybis[2-(difluoromethoxy)-1,1,2,2-tetrafluoroethane</t>
    </r>
  </si>
  <si>
    <r>
      <rPr>
        <sz val="7"/>
        <color rgb="FF231F20"/>
        <rFont val="Calibri"/>
        <charset val="134"/>
      </rPr>
      <t>HCF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</si>
  <si>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1.15</t>
    </r>
    <r>
      <rPr>
        <sz val="4"/>
        <color rgb="FF231F20"/>
        <rFont val="Calibri"/>
        <charset val="134"/>
      </rPr>
      <t>k</t>
    </r>
  </si>
  <si>
    <r>
      <rPr>
        <sz val="7"/>
        <color rgb="FF231F20"/>
        <rFont val="Calibri"/>
        <charset val="134"/>
      </rPr>
      <t>2.47e-10</t>
    </r>
  </si>
  <si>
    <r>
      <rPr>
        <sz val="7"/>
        <color rgb="FF231F20"/>
        <rFont val="Calibri"/>
        <charset val="134"/>
      </rPr>
      <t>4.51e-10</t>
    </r>
  </si>
  <si>
    <r>
      <rPr>
        <sz val="7"/>
        <color rgb="FF231F20"/>
        <rFont val="Calibri"/>
        <charset val="134"/>
      </rPr>
      <t>6.38e-12</t>
    </r>
  </si>
  <si>
    <r>
      <rPr>
        <sz val="7"/>
        <color rgb="FF231F20"/>
        <rFont val="Calibri"/>
        <charset val="134"/>
      </rPr>
      <t>2.75e-12</t>
    </r>
  </si>
  <si>
    <r>
      <rPr>
        <sz val="7"/>
        <color rgb="FF231F20"/>
        <rFont val="Calibri"/>
        <charset val="134"/>
      </rPr>
      <t>7.45e-13</t>
    </r>
  </si>
  <si>
    <r>
      <rPr>
        <sz val="7"/>
        <color rgb="FF231F20"/>
        <rFont val="Calibri"/>
        <charset val="134"/>
      </rPr>
      <t xml:space="preserve">1,1,3,3,4,4,6,6,7,7,9,9,10,10,12,12-hexa-
</t>
    </r>
    <r>
      <rPr>
        <sz val="7"/>
        <color rgb="FF231F20"/>
        <rFont val="Calibri"/>
        <charset val="134"/>
      </rPr>
      <t>decafluoro-2,5,8,11-Tetraoxadodecane</t>
    </r>
  </si>
  <si>
    <r>
      <rPr>
        <sz val="7"/>
        <color rgb="FF231F20"/>
        <rFont val="Calibri"/>
        <charset val="134"/>
      </rPr>
      <t>HCF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</si>
  <si>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1.43</t>
    </r>
    <r>
      <rPr>
        <sz val="4"/>
        <color rgb="FF231F20"/>
        <rFont val="Calibri"/>
        <charset val="134"/>
      </rPr>
      <t>k</t>
    </r>
  </si>
  <si>
    <r>
      <rPr>
        <sz val="7"/>
        <color rgb="FF231F20"/>
        <rFont val="Calibri"/>
        <charset val="134"/>
      </rPr>
      <t>2.26e-10</t>
    </r>
  </si>
  <si>
    <r>
      <rPr>
        <sz val="7"/>
        <color rgb="FF231F20"/>
        <rFont val="Calibri"/>
        <charset val="134"/>
      </rPr>
      <t>4.12e-10</t>
    </r>
  </si>
  <si>
    <r>
      <rPr>
        <sz val="7"/>
        <color rgb="FF231F20"/>
        <rFont val="Calibri"/>
        <charset val="134"/>
      </rPr>
      <t>2.51e-12</t>
    </r>
  </si>
  <si>
    <r>
      <rPr>
        <sz val="7"/>
        <color rgb="FF231F20"/>
        <rFont val="Calibri"/>
        <charset val="134"/>
      </rPr>
      <t>6.81e-13</t>
    </r>
  </si>
  <si>
    <r>
      <rPr>
        <sz val="7"/>
        <color rgb="FF231F20"/>
        <rFont val="Calibri"/>
        <charset val="134"/>
      </rPr>
      <t xml:space="preserve">1,1,3,3,4,4,6,6,7,7,9,9,10,10,12,12,13,13,15,15-eico-
</t>
    </r>
    <r>
      <rPr>
        <sz val="7"/>
        <color rgb="FF231F20"/>
        <rFont val="Calibri"/>
        <charset val="134"/>
      </rPr>
      <t>safluoro-2,5,8,11,14-Pentaoxapentadecane</t>
    </r>
  </si>
  <si>
    <r>
      <rPr>
        <sz val="7"/>
        <color rgb="FF231F20"/>
        <rFont val="Calibri"/>
        <charset val="134"/>
      </rPr>
      <t>HCF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4</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</si>
  <si>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1.46</t>
    </r>
    <r>
      <rPr>
        <sz val="4"/>
        <color rgb="FF231F20"/>
        <rFont val="Calibri"/>
        <charset val="134"/>
      </rPr>
      <t>k</t>
    </r>
  </si>
  <si>
    <r>
      <rPr>
        <sz val="7"/>
        <color rgb="FF231F20"/>
        <rFont val="Calibri"/>
        <charset val="134"/>
      </rPr>
      <t>1.83e-10</t>
    </r>
  </si>
  <si>
    <r>
      <rPr>
        <sz val="7"/>
        <color rgb="FF231F20"/>
        <rFont val="Calibri"/>
        <charset val="134"/>
      </rPr>
      <t>3.33e-10</t>
    </r>
  </si>
  <si>
    <r>
      <rPr>
        <sz val="7"/>
        <color rgb="FF231F20"/>
        <rFont val="Calibri"/>
        <charset val="134"/>
      </rPr>
      <t>5.50e-13</t>
    </r>
  </si>
  <si>
    <t>20-Year GWP</t>
  </si>
  <si>
    <t>100-Year GWP</t>
  </si>
  <si>
    <t>Source or Note</t>
  </si>
  <si>
    <t>p. 731, Table 8.A, Row 1</t>
  </si>
  <si>
    <t>p. 740, Table 8.A.5, Row 3 (VOC North America)</t>
  </si>
  <si>
    <t>p. 740, Table 8.A.4, Row 3 (CO North America)</t>
  </si>
  <si>
    <t>p. 739, Table 8.A.3, Row 3 (NOx North America)</t>
  </si>
  <si>
    <t>This is handled via BC and OC, below.  To include a value here would be double-counting.</t>
  </si>
  <si>
    <t>No value is reported by the IPCC for SOx.</t>
  </si>
  <si>
    <t>p. 740, Table 8.A.6, Row 2 (BC four regions)</t>
  </si>
  <si>
    <t>p. 740, Table 8.A.6, Row 7 (OC four regions)</t>
  </si>
  <si>
    <t>p. 731, Table 8.A, Row 2</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</si>
  <si>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</si>
  <si>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</si>
  <si>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</si>
  <si>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</si>
  <si>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</si>
  <si>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France</t>
  </si>
  <si>
    <t>Rebate Rate</t>
  </si>
  <si>
    <t>$/GPM</t>
  </si>
  <si>
    <t>Ireland</t>
  </si>
  <si>
    <t>Germany</t>
  </si>
  <si>
    <t>$/GPM (gasoline)</t>
  </si>
  <si>
    <t>Fuel Economy Standards [LDVs]</t>
  </si>
  <si>
    <t>BAU 2050 Tested Fuel Economy for New Light Duty Vehicle</t>
  </si>
  <si>
    <t>(EIA, Annual Energy Outlook, Table 7, 2040 value extraploated to 2050)</t>
  </si>
  <si>
    <t>2050 Optimisitc Fuel Economy, test MPG</t>
  </si>
  <si>
    <t>Potential Pecentage Improvement</t>
  </si>
  <si>
    <t>Fuel Economy Standards [HDVs]</t>
  </si>
  <si>
    <t>Average Fuel Efficiency of New Freight Trucks in 2010</t>
  </si>
  <si>
    <t>AEO 2012</t>
  </si>
  <si>
    <t>Average Fuel Intensity of New Freight Trucks in 2010</t>
  </si>
  <si>
    <t>Calculated</t>
  </si>
  <si>
    <t>Potential Improvement in Fuel Intensity by 2050</t>
  </si>
  <si>
    <t>NREL</t>
  </si>
  <si>
    <t>2050 Potential Fuel Intensity</t>
  </si>
  <si>
    <t>2050 Potential Fuel Efficiency of New Freight Trucks</t>
  </si>
  <si>
    <t>BAU 2050 Fuel Efficiency of New Trucks</t>
  </si>
  <si>
    <t>AEO 2016</t>
  </si>
  <si>
    <t>Additional Improvement Potential</t>
  </si>
  <si>
    <t>Fuel Economy Standards [Aircraft]</t>
  </si>
  <si>
    <t>BAU Reductions in Energy Intensity relative to 2007</t>
  </si>
  <si>
    <t>BAU 2007 Energy Efficiency from AEO 2010 (seat mpg) - From AEO 2010</t>
  </si>
  <si>
    <t>BAU 2007 Energy Intensity from AEO 2010 (gallon/seat*mile)</t>
  </si>
  <si>
    <t>BAU 2050 Energy Intensity</t>
  </si>
  <si>
    <t>BAU 2050 Energy Efficiency</t>
  </si>
  <si>
    <t>Additional Potential Reduction in Energy Intensity by 2050</t>
  </si>
  <si>
    <t>Potential 2050 Energy Intensity</t>
  </si>
  <si>
    <t>Potential 2050 Energy Efficiency (seat mpg)</t>
  </si>
  <si>
    <t>Potential additional improvement in fuel efficiency by 2050 above BAU</t>
  </si>
  <si>
    <t>Fuel Economy Standards [Rail]</t>
  </si>
  <si>
    <t>ASSUME SAME VALUE AS FOR SHIPS</t>
  </si>
  <si>
    <t>Fuel Economy Standards [Ships]</t>
  </si>
  <si>
    <t>BAU 2007 Energy Efficiency from AEO 2010 (ton miles per thousand BTU) - From AEO 2010</t>
  </si>
  <si>
    <t>Fuel Economy Standards [Motorbikes]</t>
  </si>
  <si>
    <t>BAU energy efficiency in 2050 (see model file VFP), passenger*miles/BTU</t>
  </si>
  <si>
    <t>Average passenger loading (from AVLO file)</t>
  </si>
  <si>
    <t>BAU energy intensity in 2050 (MJ/km)</t>
  </si>
  <si>
    <t>BAU energy efficiency in 2050 (km/MJ)</t>
  </si>
  <si>
    <t>Potential 2050 Energy Intensity (MJ/km)</t>
  </si>
  <si>
    <t>Potential 2050 Energy Efficiency (km/MJ)</t>
  </si>
  <si>
    <r>
      <rPr>
        <b/>
        <sz val="11"/>
        <rFont val="Arial"/>
        <charset val="134"/>
      </rPr>
      <t>Table 5-1: Assumed marginal efficiency levels for residential electric end uses in 2050 relative to 2006 by scenario and dwelling type</t>
    </r>
  </si>
  <si>
    <r>
      <rPr>
        <b/>
        <sz val="10"/>
        <rFont val="Book Antiqua"/>
        <charset val="134"/>
      </rPr>
      <t>2050 End-Use Marginal Efficiency Relative to 2006 (100% = 2006 Efficiency Level)</t>
    </r>
  </si>
  <si>
    <r>
      <rPr>
        <b/>
        <sz val="10"/>
        <rFont val="Book Antiqua"/>
        <charset val="134"/>
      </rPr>
      <t>Optimistic Efficiency Technology</t>
    </r>
  </si>
  <si>
    <r>
      <rPr>
        <b/>
        <sz val="10"/>
        <rFont val="Book Antiqua"/>
        <charset val="134"/>
      </rPr>
      <t>Green Dream</t>
    </r>
  </si>
  <si>
    <r>
      <rPr>
        <b/>
        <sz val="10"/>
        <rFont val="Book Antiqua"/>
        <charset val="134"/>
      </rPr>
      <t>End Use</t>
    </r>
  </si>
  <si>
    <r>
      <rPr>
        <b/>
        <sz val="10"/>
        <rFont val="Book Antiqua"/>
        <charset val="134"/>
      </rPr>
      <t>Existing (%)</t>
    </r>
  </si>
  <si>
    <r>
      <rPr>
        <b/>
        <sz val="10"/>
        <rFont val="Book Antiqua"/>
        <charset val="134"/>
      </rPr>
      <t>New (%)</t>
    </r>
  </si>
  <si>
    <t>Additional Improvement Potential in 2050</t>
  </si>
  <si>
    <r>
      <rPr>
        <sz val="10"/>
        <rFont val="Book Antiqua"/>
        <charset val="134"/>
      </rPr>
      <t>Water Heating</t>
    </r>
  </si>
  <si>
    <r>
      <rPr>
        <sz val="10"/>
        <rFont val="Book Antiqua"/>
        <charset val="134"/>
      </rPr>
      <t>Dishwasher</t>
    </r>
  </si>
  <si>
    <r>
      <rPr>
        <sz val="10"/>
        <rFont val="Book Antiqua"/>
        <charset val="134"/>
      </rPr>
      <t>Water Heating - Dishwasher</t>
    </r>
  </si>
  <si>
    <r>
      <rPr>
        <sz val="10"/>
        <rFont val="Book Antiqua"/>
        <charset val="134"/>
      </rPr>
      <t>Clothes Washer</t>
    </r>
  </si>
  <si>
    <t>Exclude</t>
  </si>
  <si>
    <r>
      <rPr>
        <sz val="10"/>
        <rFont val="Book Antiqua"/>
        <charset val="134"/>
      </rPr>
      <t>Water Heating - Clothes Washer</t>
    </r>
  </si>
  <si>
    <r>
      <rPr>
        <sz val="10"/>
        <rFont val="Book Antiqua"/>
        <charset val="134"/>
      </rPr>
      <t>Clothes Dryer</t>
    </r>
  </si>
  <si>
    <r>
      <rPr>
        <sz val="10"/>
        <rFont val="Book Antiqua"/>
        <charset val="134"/>
      </rPr>
      <t>Other</t>
    </r>
  </si>
  <si>
    <t>Other Component</t>
  </si>
  <si>
    <r>
      <rPr>
        <sz val="10"/>
        <rFont val="Book Antiqua"/>
        <charset val="134"/>
      </rPr>
      <t>Cooking</t>
    </r>
  </si>
  <si>
    <r>
      <rPr>
        <sz val="10"/>
        <rFont val="Book Antiqua"/>
        <charset val="134"/>
      </rPr>
      <t>Refrigerator</t>
    </r>
  </si>
  <si>
    <r>
      <rPr>
        <sz val="10"/>
        <rFont val="Book Antiqua"/>
        <charset val="134"/>
      </rPr>
      <t>Freezer</t>
    </r>
  </si>
  <si>
    <r>
      <rPr>
        <sz val="10"/>
        <rFont val="Book Antiqua"/>
        <charset val="134"/>
      </rPr>
      <t>Swimming Pool Pump</t>
    </r>
  </si>
  <si>
    <r>
      <rPr>
        <sz val="10"/>
        <rFont val="Book Antiqua"/>
        <charset val="134"/>
      </rPr>
      <t>Hot Tub Pump</t>
    </r>
  </si>
  <si>
    <r>
      <rPr>
        <sz val="10"/>
        <rFont val="Book Antiqua"/>
        <charset val="134"/>
      </rPr>
      <t>Hot Tub Heating</t>
    </r>
  </si>
  <si>
    <r>
      <rPr>
        <sz val="10"/>
        <rFont val="Book Antiqua"/>
        <charset val="134"/>
      </rPr>
      <t>Lighting</t>
    </r>
  </si>
  <si>
    <r>
      <rPr>
        <sz val="10"/>
        <rFont val="Book Antiqua"/>
        <charset val="134"/>
      </rPr>
      <t>Space Heating</t>
    </r>
  </si>
  <si>
    <r>
      <rPr>
        <sz val="10"/>
        <rFont val="Book Antiqua"/>
        <charset val="134"/>
      </rPr>
      <t>Furnace Fan</t>
    </r>
  </si>
  <si>
    <r>
      <rPr>
        <sz val="10"/>
        <rFont val="Book Antiqua"/>
        <charset val="134"/>
      </rPr>
      <t>Central Air Conditioner</t>
    </r>
  </si>
  <si>
    <r>
      <rPr>
        <sz val="10"/>
        <rFont val="Book Antiqua"/>
        <charset val="134"/>
      </rPr>
      <t>Room Air Conditioner</t>
    </r>
  </si>
  <si>
    <t>Building Retrofits</t>
  </si>
  <si>
    <t>2010-2020 Retrofit Proportion</t>
  </si>
  <si>
    <t>Annual Retrofit Rate</t>
  </si>
  <si>
    <t>Distributed Solar Carve Out</t>
  </si>
  <si>
    <t>Reinventing Fire: Transform Scneario - Rooftop PV Generation (TWh/yr)</t>
  </si>
  <si>
    <t>Reinventing Fire: Transform Scneario - Total Generation (TWh/yr)</t>
  </si>
  <si>
    <t>Share from Distributed Solar</t>
  </si>
  <si>
    <t>Renewable Portoflio Standard</t>
  </si>
  <si>
    <t>BAU RPS in 2050 (modeling input)</t>
  </si>
  <si>
    <t>Additional Potential, Assuming 100% possible</t>
  </si>
  <si>
    <t>Transmission Capacity</t>
  </si>
  <si>
    <t>Additional Transmission Capacity by 2050 (MW-miles) for 90% Scenario</t>
  </si>
  <si>
    <t>Existing Total Transmission Capacity in US (MW-Miles), aveage of 150 and 200 million MW-miles</t>
  </si>
  <si>
    <t>Additional Transmission Capacity by 2030, as a percentage</t>
  </si>
  <si>
    <t>Industrial Energy Efficiency</t>
  </si>
  <si>
    <t>BAU annual improvement rate</t>
  </si>
  <si>
    <t>Potential annual improvement rate</t>
  </si>
  <si>
    <t>Timeframe (years of model run)</t>
  </si>
  <si>
    <t>BAU total energy use as fraction of start year</t>
  </si>
  <si>
    <t>Potential total energy use as fraction of start year</t>
  </si>
  <si>
    <t>Potential improvement vs. BAU</t>
  </si>
  <si>
    <t>Afforestation/Reforestation</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</si>
  <si>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</si>
  <si>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</si>
  <si>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</si>
  <si>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</si>
  <si>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</si>
  <si>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</si>
  <si>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</si>
  <si>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</si>
  <si>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Passenger Modes, OECD Nations (from Figure 5.12)</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</si>
  <si>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</si>
  <si>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</si>
  <si>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</si>
  <si>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</si>
  <si>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</si>
  <si>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</si>
  <si>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</si>
  <si>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</si>
  <si>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</si>
  <si>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</si>
  <si>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</si>
  <si>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</si>
  <si>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</si>
  <si>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Passenger Modes, Non-OECD Nations (from Figure 5.12)</t>
  </si>
  <si>
    <t>Freight Modes (from Figure 6.7)</t>
  </si>
  <si>
    <t>Heavy Trucks</t>
  </si>
  <si>
    <t>Medium Trucks</t>
  </si>
  <si>
    <t>Light Commercial</t>
  </si>
  <si>
    <t>Perc Change in Freight HDVs</t>
  </si>
  <si>
    <t>Version</t>
  </si>
  <si>
    <t>Data</t>
  </si>
  <si>
    <t>Region</t>
  </si>
  <si>
    <t>Notes</t>
  </si>
  <si>
    <t>Main Changes</t>
  </si>
  <si>
    <t>Policy Characteristics</t>
  </si>
  <si>
    <t>PolicyLevers</t>
  </si>
  <si>
    <t>UnitControlCenter</t>
  </si>
  <si>
    <t>OutputGraphs</t>
  </si>
  <si>
    <t>Output Graph Color Key</t>
  </si>
  <si>
    <t>Reference Scenarios</t>
  </si>
  <si>
    <t>v1.0</t>
  </si>
  <si>
    <t>Shandong</t>
  </si>
  <si>
    <t>Update based on Xindi's iGDP China WebappData and US EPS WebappData</t>
  </si>
  <si>
    <t>1. Added Shandong specific descriptions for the following rows: 5, 6, 13, 24 - 28, 30-34, 43, 45, 46, 55, 66, 71
2. Changed descriptions for the following rows according to our findings and that doesn't fit Smart Trans Model Description: 7, 9, 29, 44, 47-49
3. Adjusted sider values for the following rows: 12, 13</t>
  </si>
  <si>
    <t>1. Turned off policy levers for the following rows: 68, 69, 72, 73, 116, 121, 126, 151, 190, 191, 211, 456, 506, 696, 986, 1048, 1268
2. Turned on policy levers for the following rows: 75, 157, 158, 160, 201, 203, 204-210, 231-246, 263, 264, 420, 448, 1009, 1010, 1016
3. Changed subscript labeling to make "Lignite" appear as "Gangue"
4. Changed subscript labeling to make "wood products" appear as "Wood Products and Furniture"
5. Changed subscript labeling to make "Glass and Glass Products" appear as "Specialized Equipment Manufacturing"
6. Changed subscript labeling to make "Cement and Other Nonmetallic Minerals" appear as "Cement, Glass, and Other Nonmetallic Minerals"
7. Changed subscript labeling to make "Energy Pipelines and Gas Processing" appear as "Gas Production and Supply"</t>
  </si>
  <si>
    <t>Changed values to appear on graph for the following units to suit chinese reading convention:
1. million metric tons / year -&gt; 10^8 tons / year
2. thousand metric tons / year -&gt; 10^4 tons / year
3. shi yi (10^9) kwh -&gt; terawatt-hours (TWh) / year
4. 2020 RMB / wan (10^4) kWh -&gt; 2020 RMB / MWh
etc.</t>
  </si>
  <si>
    <t>1. Changed inclusion of graphs in the following rows: 56, 57, 78-83</t>
  </si>
  <si>
    <t>1. Changed subscript labeling to make "Lignite" appear as "Gangue"
2. Changed subscript labeling to make "wood products" appear as "Wood Products and Furniture"
3. Changed subscript labeling to make "Glass and Glass Products" appear as "Specialized Equipment Manufacturing"
4. Changed subscript labeling to make "Cement and Other Nonmetallic Minerals" appear as "Cement, Glass, and Other Nonmetallic Minerals"
5. Changed subscript labeling to make "Energy Pipelines and Gas Processing" appear as "Gas Production and Supply"</t>
  </si>
  <si>
    <t>Updated the name of Shandong's 14th FYP Policy Scenario</t>
  </si>
  <si>
    <t>v1.1</t>
  </si>
  <si>
    <t>Bring changes by Minshu on EI repository to the integrated file</t>
  </si>
  <si>
    <t>1. Changed power sector CCS to clean electricity standards policy</t>
  </si>
  <si>
    <t>1. Turned on policy levers for EV Depolyment and Boolean Improved Contrractor Edu and Training</t>
  </si>
  <si>
    <t>1. Removed NDC targets for main emission graph</t>
  </si>
  <si>
    <t>v1.2</t>
  </si>
  <si>
    <t>Value Correction</t>
  </si>
  <si>
    <t>1. Switched order text for pop-ver panel description. The order in the previous version is wrong, making EGGRA covid impact text to be shown on GRA, and text for GRA distributed solar subsidy to be shown on GRA for Fuel Subsidies
affected rows: 91-100
2. Change to policy short name and policy group for forest restoration from "grassland restoration" to "forest retoration" to correctly reflect the policy's intention. Affects row 61</t>
  </si>
  <si>
    <t>1. Turned off output graph that are ethnicity based in the following rows: 80-83
2. Turned off output graph that are regarding union status in the following rows: 56, 57</t>
  </si>
  <si>
    <t>v1.3</t>
  </si>
  <si>
    <t>Proposed Changes &amp; Text Update based on current iGDP China WebappData</t>
  </si>
  <si>
    <t>1. Added text for Pop-Over Panel Descriptions used in iGDP China WebappData in the following rows: 60, 61, 67, 74, 77
2. Changed text description for reduce fossil fuel product on row 58</t>
  </si>
  <si>
    <t>1. Turned off policy levers for high temp heat fuel shift for agricultural, textile, construction in the following rows: 456, 465, 506, 515, 696, 705
2. Turned on policy levers for industry energy efficiency standards to affect consturction sector hydrogen in  the following row: 986</t>
  </si>
  <si>
    <t>1. Changed second tier menu name of battery graph from "Utility-Scale Batteries" to "Batteries" to appear the same as iGDP's national model</t>
  </si>
  <si>
    <t>Inner Mongolia</t>
  </si>
  <si>
    <t>Update policy characteristics from Shandong to Inner Mongolia policies</t>
  </si>
  <si>
    <t>1. Added Inner Mongolia specific descriptions and removed descrpitions for China and Shandong that does not fit for the following rows: 5, 11, 13, 14, 24-26, 28, 30, 31, 33, 38, 43, 45, 46, 48, 49, 55, 58, 59, 66</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</si>
</sst>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00_-;\-* #,##0.00_-;_-* &quot;-&quot;??_-;_-@_-"/>
    <numFmt numFmtId="178" formatCode="_-* #,##0.00\ _F_-;\-* #,##0.00\ _F_-;_-* &quot;-&quot;??\ _F_-;_-@_-"/>
    <numFmt numFmtId="179" formatCode="#,##0.0000"/>
    <numFmt numFmtId="180" formatCode="0.0000000"/>
    <numFmt numFmtId="181" formatCode="0.000E+00"/>
    <numFmt numFmtId="182" formatCode="###0;###0"/>
    <numFmt numFmtId="183" formatCode="_(* #,##0_);_(* \(#,##0\);_(* &quot;-&quot;??_);_(@_)"/>
    <numFmt numFmtId="184" formatCode="###0.0;###0.0"/>
    <numFmt numFmtId="185" formatCode="###0.00;###0.00"/>
    <numFmt numFmtId="186" formatCode="#,##0;#,##0"/>
    <numFmt numFmtId="187" formatCode="#,##0.0;#,##0.0"/>
    <numFmt numFmtId="188" formatCode="###0.000;###0.000"/>
    <numFmt numFmtId="189" formatCode="0.00_);[Red]\(0.00\)"/>
    <numFmt numFmtId="190" formatCode="0.0%"/>
  </numFmts>
  <fonts count="129">
    <font>
      <sz val="11"/>
      <name val="DengXian"/>
      <charset val="134"/>
      <scheme val="minor"/>
    </font>
    <font>
      <b/>
      <sz val="11"/>
      <name val="DengXian"/>
      <charset val="134"/>
      <scheme val="minor"/>
    </font>
    <font>
      <sz val="8"/>
      <name val="DengXian"/>
      <charset val="134"/>
      <scheme val="minor"/>
    </font>
    <font>
      <sz val="8"/>
      <name val="DengXian"/>
      <charset val="134"/>
    </font>
    <font>
      <sz val="8"/>
      <color rgb="FFFF0000"/>
      <name val="DengXian"/>
      <charset val="134"/>
      <scheme val="minor"/>
    </font>
    <font>
      <sz val="8"/>
      <color theme="1"/>
      <name val="DengXian"/>
      <charset val="134"/>
      <scheme val="minor"/>
    </font>
    <font>
      <sz val="9"/>
      <color indexed="8"/>
      <name val="Calibri"/>
      <charset val="134"/>
    </font>
    <font>
      <b/>
      <sz val="11"/>
      <color theme="1"/>
      <name val="DengXian"/>
      <charset val="134"/>
      <scheme val="minor"/>
    </font>
    <font>
      <i/>
      <sz val="11"/>
      <color theme="1"/>
      <name val="DengXian"/>
      <charset val="134"/>
      <scheme val="minor"/>
    </font>
    <font>
      <b/>
      <sz val="11"/>
      <name val="Arial"/>
      <charset val="134"/>
    </font>
    <font>
      <b/>
      <sz val="10"/>
      <name val="Book Antiqua"/>
      <charset val="134"/>
    </font>
    <font>
      <sz val="10"/>
      <color rgb="FF000000"/>
      <name val="Times New Roman"/>
      <charset val="134"/>
    </font>
    <font>
      <sz val="10"/>
      <name val="Book Antiqua"/>
      <charset val="134"/>
    </font>
    <font>
      <sz val="9"/>
      <color rgb="FF000000"/>
      <name val="Arial"/>
      <charset val="134"/>
    </font>
    <font>
      <sz val="10"/>
      <color rgb="FFFF0000"/>
      <name val="Times New Roman"/>
      <charset val="134"/>
    </font>
    <font>
      <u/>
      <sz val="11"/>
      <color theme="10"/>
      <name val="DengXian"/>
      <charset val="134"/>
      <scheme val="minor"/>
    </font>
    <font>
      <sz val="9"/>
      <name val="Times New Roman"/>
      <charset val="134"/>
    </font>
    <font>
      <b/>
      <sz val="12"/>
      <name val="Times New Roman"/>
      <charset val="134"/>
    </font>
    <font>
      <sz val="9"/>
      <color indexed="8"/>
      <name val="Times New Roman"/>
      <charset val="134"/>
    </font>
    <font>
      <sz val="10"/>
      <name val="Times New Roman"/>
      <charset val="134"/>
    </font>
    <font>
      <b/>
      <sz val="9"/>
      <name val="Times New Roman"/>
      <charset val="134"/>
    </font>
    <font>
      <sz val="10"/>
      <name val="Arial"/>
      <charset val="134"/>
    </font>
    <font>
      <sz val="12"/>
      <name val="Times New Roman"/>
      <charset val="134"/>
    </font>
    <font>
      <b/>
      <sz val="9"/>
      <color indexed="8"/>
      <name val="Times New Roman"/>
      <charset val="134"/>
    </font>
    <font>
      <b/>
      <i/>
      <sz val="9"/>
      <name val="Times New Roman"/>
      <charset val="134"/>
    </font>
    <font>
      <b/>
      <i/>
      <sz val="11"/>
      <color theme="1"/>
      <name val="DengXian"/>
      <charset val="134"/>
      <scheme val="minor"/>
    </font>
    <font>
      <b/>
      <sz val="12"/>
      <name val="Arial Narrow"/>
      <charset val="134"/>
    </font>
    <font>
      <b/>
      <sz val="8"/>
      <name val="Arial Narrow"/>
      <charset val="134"/>
    </font>
    <font>
      <sz val="8"/>
      <name val="Calibri"/>
      <charset val="134"/>
    </font>
    <font>
      <sz val="7"/>
      <name val="Calibri"/>
      <charset val="134"/>
    </font>
    <font>
      <b/>
      <sz val="7"/>
      <color rgb="FF231F20"/>
      <name val="Arial Narrow"/>
      <charset val="134"/>
    </font>
    <font>
      <sz val="7"/>
      <color rgb="FF231F20"/>
      <name val="Calibri"/>
      <charset val="134"/>
    </font>
    <font>
      <b/>
      <sz val="7"/>
      <name val="Arial Narrow"/>
      <charset val="134"/>
    </font>
    <font>
      <b/>
      <sz val="7"/>
      <color rgb="FF231F20"/>
      <name val="Calibri"/>
      <charset val="134"/>
    </font>
    <font>
      <b/>
      <sz val="7"/>
      <name val="Calibri"/>
      <charset val="134"/>
    </font>
    <font>
      <sz val="11"/>
      <color rgb="FFFF0000"/>
      <name val="DengXian"/>
      <charset val="134"/>
      <scheme val="minor"/>
    </font>
    <font>
      <sz val="11"/>
      <color theme="0" tint="-0.499984740745262"/>
      <name val="DengXian"/>
      <charset val="134"/>
      <scheme val="minor"/>
    </font>
    <font>
      <sz val="9"/>
      <name val="Apotos"/>
      <charset val="134"/>
    </font>
    <font>
      <sz val="11"/>
      <color rgb="FF000000"/>
      <name val="DengXian"/>
      <charset val="134"/>
      <scheme val="minor"/>
    </font>
    <font>
      <sz val="11"/>
      <color theme="1"/>
      <name val="DengXian"/>
      <charset val="134"/>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u/>
      <sz val="10"/>
      <color indexed="12"/>
      <name val="Times New Roman"/>
      <charset val="134"/>
    </font>
    <font>
      <sz val="11"/>
      <color indexed="8"/>
      <name val="Calibri"/>
      <charset val="134"/>
    </font>
    <font>
      <sz val="11"/>
      <color indexed="8"/>
      <name val="Calibri"/>
      <charset val="186"/>
    </font>
    <font>
      <sz val="11"/>
      <color theme="0"/>
      <name val="DengXian"/>
      <charset val="134"/>
      <scheme val="minor"/>
    </font>
    <font>
      <sz val="11"/>
      <color indexed="9"/>
      <name val="Calibri"/>
      <charset val="134"/>
    </font>
    <font>
      <sz val="11"/>
      <color indexed="9"/>
      <name val="Calibri"/>
      <charset val="186"/>
    </font>
    <font>
      <sz val="12"/>
      <color indexed="8"/>
      <name val="Times New Roman"/>
      <charset val="134"/>
    </font>
    <font>
      <b/>
      <sz val="11"/>
      <color rgb="FF3F3F3F"/>
      <name val="DengXian"/>
      <charset val="134"/>
      <scheme val="minor"/>
    </font>
    <font>
      <b/>
      <sz val="11"/>
      <color indexed="63"/>
      <name val="Calibri"/>
      <charset val="134"/>
    </font>
    <font>
      <b/>
      <sz val="11"/>
      <color indexed="63"/>
      <name val="Calibri"/>
      <charset val="186"/>
    </font>
    <font>
      <sz val="11"/>
      <color indexed="20"/>
      <name val="Calibri"/>
      <charset val="186"/>
    </font>
    <font>
      <sz val="11"/>
      <color indexed="20"/>
      <name val="Calibri"/>
      <charset val="134"/>
    </font>
    <font>
      <b/>
      <sz val="11"/>
      <color rgb="FFFA7D00"/>
      <name val="DengXian"/>
      <charset val="134"/>
      <scheme val="minor"/>
    </font>
    <font>
      <b/>
      <sz val="11"/>
      <color indexed="52"/>
      <name val="Calibri"/>
      <charset val="134"/>
    </font>
    <font>
      <b/>
      <sz val="11"/>
      <color indexed="52"/>
      <name val="Calibri"/>
      <charset val="186"/>
    </font>
    <font>
      <b/>
      <sz val="11"/>
      <color indexed="9"/>
      <name val="Calibri"/>
      <charset val="186"/>
    </font>
    <font>
      <b/>
      <sz val="11"/>
      <color indexed="9"/>
      <name val="Calibri"/>
      <charset val="134"/>
    </font>
    <font>
      <sz val="8"/>
      <name val="Helvetica"/>
      <charset val="134"/>
    </font>
    <font>
      <b/>
      <sz val="11"/>
      <color indexed="12"/>
      <name val="Arial"/>
      <charset val="204"/>
    </font>
    <font>
      <sz val="11"/>
      <color rgb="FF3F3F76"/>
      <name val="DengXian"/>
      <charset val="134"/>
      <scheme val="minor"/>
    </font>
    <font>
      <sz val="11"/>
      <color indexed="62"/>
      <name val="Calibri"/>
      <charset val="134"/>
    </font>
    <font>
      <sz val="11"/>
      <color indexed="62"/>
      <name val="Calibri"/>
      <charset val="186"/>
    </font>
    <font>
      <b/>
      <sz val="11"/>
      <color indexed="8"/>
      <name val="Calibri"/>
      <charset val="134"/>
    </font>
    <font>
      <b/>
      <sz val="11"/>
      <color indexed="8"/>
      <name val="Calibri"/>
      <charset val="186"/>
    </font>
    <font>
      <i/>
      <sz val="11"/>
      <color rgb="FF7F7F7F"/>
      <name val="DengXian"/>
      <charset val="134"/>
      <scheme val="minor"/>
    </font>
    <font>
      <i/>
      <sz val="11"/>
      <color indexed="23"/>
      <name val="Calibri"/>
      <charset val="134"/>
    </font>
    <font>
      <i/>
      <sz val="11"/>
      <color indexed="23"/>
      <name val="Calibri"/>
      <charset val="186"/>
    </font>
    <font>
      <sz val="11"/>
      <color indexed="17"/>
      <name val="Calibri"/>
      <charset val="186"/>
    </font>
    <font>
      <sz val="11"/>
      <color indexed="17"/>
      <name val="Calibri"/>
      <charset val="134"/>
    </font>
    <font>
      <b/>
      <sz val="9"/>
      <color indexed="8"/>
      <name val="Calibri"/>
      <charset val="134"/>
    </font>
    <font>
      <b/>
      <sz val="15"/>
      <color indexed="56"/>
      <name val="Calibri"/>
      <charset val="186"/>
    </font>
    <font>
      <b/>
      <sz val="15"/>
      <color indexed="56"/>
      <name val="Calibri"/>
      <charset val="134"/>
    </font>
    <font>
      <b/>
      <sz val="13"/>
      <color indexed="56"/>
      <name val="Calibri"/>
      <charset val="186"/>
    </font>
    <font>
      <b/>
      <sz val="13"/>
      <color indexed="56"/>
      <name val="Calibri"/>
      <charset val="134"/>
    </font>
    <font>
      <b/>
      <sz val="11"/>
      <color indexed="56"/>
      <name val="Calibri"/>
      <charset val="186"/>
    </font>
    <font>
      <b/>
      <sz val="11"/>
      <color indexed="56"/>
      <name val="Calibri"/>
      <charset val="134"/>
    </font>
    <font>
      <b/>
      <sz val="12"/>
      <color indexed="8"/>
      <name val="Times New Roman"/>
      <charset val="134"/>
    </font>
    <font>
      <sz val="11"/>
      <color indexed="52"/>
      <name val="Calibri"/>
      <charset val="186"/>
    </font>
    <font>
      <sz val="11"/>
      <color indexed="52"/>
      <name val="Calibri"/>
      <charset val="134"/>
    </font>
    <font>
      <sz val="11"/>
      <color indexed="60"/>
      <name val="Calibri"/>
      <charset val="186"/>
    </font>
    <font>
      <sz val="14"/>
      <color theme="1"/>
      <name val="Roboto"/>
      <charset val="134"/>
    </font>
    <font>
      <sz val="10"/>
      <name val="Arial"/>
      <charset val="186"/>
    </font>
    <font>
      <sz val="10"/>
      <name val="Arial"/>
      <charset val="204"/>
    </font>
    <font>
      <b/>
      <sz val="10"/>
      <name val="Arial"/>
      <charset val="134"/>
    </font>
    <font>
      <b/>
      <sz val="18"/>
      <color indexed="56"/>
      <name val="Cambria"/>
      <charset val="186"/>
    </font>
    <font>
      <b/>
      <sz val="18"/>
      <color indexed="56"/>
      <name val="Cambria"/>
      <charset val="134"/>
    </font>
    <font>
      <sz val="11"/>
      <color indexed="10"/>
      <name val="Calibri"/>
      <charset val="134"/>
    </font>
    <font>
      <sz val="11"/>
      <color indexed="10"/>
      <name val="Calibri"/>
      <charset val="186"/>
    </font>
    <font>
      <u/>
      <sz val="10"/>
      <color indexed="12"/>
      <name val="Times New Roman"/>
      <charset val="186"/>
    </font>
    <font>
      <sz val="4"/>
      <color rgb="FF231F20"/>
      <name val="Calibri"/>
      <charset val="134"/>
    </font>
    <font>
      <sz val="9"/>
      <color rgb="FF92D050"/>
      <name val="Apotos"/>
      <charset val="134"/>
    </font>
    <font>
      <sz val="9"/>
      <color rgb="FFFF0000"/>
      <name val="Apotos"/>
      <charset val="134"/>
    </font>
    <font>
      <b/>
      <vertAlign val="subscript"/>
      <sz val="9"/>
      <name val="Times New Roman"/>
      <charset val="134"/>
    </font>
    <font>
      <b/>
      <vertAlign val="superscript"/>
      <sz val="9"/>
      <name val="Times New Roman"/>
      <charset val="134"/>
    </font>
    <font>
      <b/>
      <vertAlign val="subscript"/>
      <sz val="11"/>
      <name val="DengXian"/>
      <charset val="134"/>
      <scheme val="minor"/>
    </font>
    <font>
      <sz val="8"/>
      <color rgb="FF231F20"/>
      <name val="Calibri"/>
      <charset val="134"/>
    </font>
    <font>
      <sz val="5"/>
      <color rgb="FF231F20"/>
      <name val="Calibri"/>
      <charset val="134"/>
    </font>
    <font>
      <b/>
      <sz val="8"/>
      <color rgb="FF231F20"/>
      <name val="Calibri"/>
      <charset val="134"/>
    </font>
    <font>
      <b/>
      <vertAlign val="superscript"/>
      <sz val="9"/>
      <color indexed="8"/>
      <name val="Times New Roman"/>
      <charset val="134"/>
    </font>
    <font>
      <b/>
      <i/>
      <sz val="9"/>
      <color indexed="8"/>
      <name val="Times New Roman"/>
      <charset val="134"/>
    </font>
    <font>
      <b/>
      <sz val="11"/>
      <color rgb="FF740000"/>
      <name val="DengXian"/>
      <charset val="134"/>
      <scheme val="minor"/>
    </font>
    <font>
      <vertAlign val="subscript"/>
      <sz val="9"/>
      <name val="Times New Roman"/>
      <charset val="134"/>
    </font>
    <font>
      <i/>
      <sz val="9"/>
      <name val="Times New Roman"/>
      <charset val="134"/>
    </font>
    <font>
      <b/>
      <vertAlign val="subscript"/>
      <sz val="12"/>
      <name val="Times New Roman"/>
      <charset val="134"/>
    </font>
    <font>
      <vertAlign val="superscript"/>
      <sz val="9"/>
      <name val="Times New Roman"/>
      <charset val="134"/>
    </font>
    <font>
      <b/>
      <sz val="12"/>
      <color rgb="FF18305C"/>
      <name val="Arial Narrow"/>
      <charset val="134"/>
    </font>
    <font>
      <b/>
      <sz val="8"/>
      <color rgb="FF18305C"/>
      <name val="Arial Narrow"/>
      <charset val="134"/>
    </font>
    <font>
      <b/>
      <sz val="8"/>
      <color rgb="FF18305C"/>
      <name val="Calibri"/>
      <charset val="134"/>
    </font>
    <font>
      <b/>
      <sz val="8"/>
      <color rgb="FF231F20"/>
      <name val="Arial Narrow"/>
      <charset val="134"/>
    </font>
    <font>
      <sz val="9"/>
      <color theme="8" tint="-0.249977111117893"/>
      <name val="Apotos"/>
      <charset val="134"/>
    </font>
    <font>
      <sz val="11"/>
      <color rgb="FF000000"/>
      <name val="DengXian"/>
      <charset val="0"/>
      <scheme val="minor"/>
    </font>
  </fonts>
  <fills count="114">
    <fill>
      <patternFill patternType="none"/>
    </fill>
    <fill>
      <patternFill patternType="gray125"/>
    </fill>
    <fill>
      <patternFill patternType="solid">
        <fgColor theme="3" tint="0.749992370372631"/>
        <bgColor indexed="64"/>
      </patternFill>
    </fill>
    <fill>
      <patternFill patternType="solid">
        <fgColor theme="0" tint="-0.14996795556505"/>
        <bgColor indexed="64"/>
      </patternFill>
    </fill>
    <fill>
      <patternFill patternType="solid">
        <fgColor theme="4" tint="0.799951170384838"/>
        <bgColor indexed="64"/>
      </patternFill>
    </fill>
    <fill>
      <patternFill patternType="solid">
        <fgColor rgb="FFCCCCCC"/>
        <bgColor indexed="64"/>
      </patternFill>
    </fill>
    <fill>
      <patternFill patternType="solid">
        <fgColor rgb="FFFFFF00"/>
        <bgColor indexed="64"/>
      </patternFill>
    </fill>
    <fill>
      <patternFill patternType="solid">
        <fgColor theme="4" tint="0.599993896298105"/>
        <bgColor indexed="64"/>
      </patternFill>
    </fill>
    <fill>
      <patternFill patternType="solid">
        <fgColor theme="0" tint="-0.249977111117893"/>
        <bgColor indexed="64"/>
      </patternFill>
    </fill>
    <fill>
      <patternFill patternType="solid">
        <fgColor indexed="9"/>
        <bgColor indexed="64"/>
      </patternFill>
    </fill>
    <fill>
      <patternFill patternType="solid">
        <fgColor indexed="42"/>
        <bgColor indexed="64"/>
      </patternFill>
    </fill>
    <fill>
      <patternFill patternType="solid">
        <fgColor rgb="FFCCFFCC"/>
        <bgColor indexed="64"/>
      </patternFill>
    </fill>
    <fill>
      <patternFill patternType="solid">
        <fgColor rgb="FFFFFFFF"/>
        <bgColor indexed="64"/>
      </patternFill>
    </fill>
    <fill>
      <patternFill patternType="solid">
        <fgColor rgb="FF969696"/>
        <bgColor indexed="64"/>
      </patternFill>
    </fill>
    <fill>
      <patternFill patternType="solid">
        <fgColor theme="3" tint="0.799951170384838"/>
        <bgColor indexed="64"/>
      </patternFill>
    </fill>
    <fill>
      <patternFill patternType="solid">
        <fgColor indexed="47"/>
        <bgColor indexed="64"/>
      </patternFill>
    </fill>
    <fill>
      <patternFill patternType="solid">
        <fgColor rgb="FFFFCC99"/>
        <bgColor indexed="64"/>
      </patternFill>
    </fill>
    <fill>
      <patternFill patternType="solid">
        <fgColor theme="0"/>
        <bgColor indexed="64"/>
      </patternFill>
    </fill>
    <fill>
      <patternFill patternType="solid">
        <fgColor rgb="FFD2E8F0"/>
        <bgColor indexed="64"/>
      </patternFill>
    </fill>
    <fill>
      <patternFill patternType="solid">
        <fgColor rgb="FFFFF4E0"/>
        <bgColor indexed="64"/>
      </patternFill>
    </fill>
    <fill>
      <patternFill patternType="solid">
        <fgColor rgb="FF620E7A"/>
        <bgColor indexed="64"/>
      </patternFill>
    </fill>
    <fill>
      <patternFill patternType="solid">
        <fgColor rgb="FF00B050"/>
        <bgColor indexed="64"/>
      </patternFill>
    </fill>
    <fill>
      <patternFill patternType="solid">
        <fgColor rgb="FFFF6400"/>
        <bgColor indexed="64"/>
      </patternFill>
    </fill>
    <fill>
      <patternFill patternType="solid">
        <fgColor rgb="FFF1BB18"/>
        <bgColor indexed="64"/>
      </patternFill>
    </fill>
    <fill>
      <patternFill patternType="solid">
        <fgColor rgb="FFC2DFFD"/>
        <bgColor indexed="64"/>
      </patternFill>
    </fill>
    <fill>
      <patternFill patternType="solid">
        <fgColor rgb="FF087BF1"/>
        <bgColor indexed="64"/>
      </patternFill>
    </fill>
    <fill>
      <patternFill patternType="solid">
        <fgColor rgb="FF004185"/>
        <bgColor indexed="64"/>
      </patternFill>
    </fill>
    <fill>
      <patternFill patternType="solid">
        <fgColor rgb="FF04FFAF"/>
        <bgColor indexed="64"/>
      </patternFill>
    </fill>
    <fill>
      <patternFill patternType="solid">
        <fgColor rgb="FFBFB088"/>
        <bgColor indexed="64"/>
      </patternFill>
    </fill>
    <fill>
      <patternFill patternType="solid">
        <fgColor rgb="FFFF00FF"/>
        <bgColor indexed="64"/>
      </patternFill>
    </fill>
    <fill>
      <patternFill patternType="solid">
        <fgColor theme="1"/>
        <bgColor indexed="64"/>
      </patternFill>
    </fill>
    <fill>
      <patternFill patternType="solid">
        <fgColor rgb="FFAD6600"/>
        <bgColor indexed="64"/>
      </patternFill>
    </fill>
    <fill>
      <patternFill patternType="solid">
        <fgColor rgb="FF740000"/>
        <bgColor indexed="64"/>
      </patternFill>
    </fill>
    <fill>
      <patternFill patternType="solid">
        <fgColor rgb="FFF593E0"/>
        <bgColor indexed="64"/>
      </patternFill>
    </fill>
    <fill>
      <patternFill patternType="solid">
        <fgColor rgb="FFC01B00"/>
        <bgColor indexed="64"/>
      </patternFill>
    </fill>
    <fill>
      <patternFill patternType="solid">
        <fgColor rgb="FF004D10"/>
        <bgColor indexed="64"/>
      </patternFill>
    </fill>
    <fill>
      <patternFill patternType="solid">
        <fgColor rgb="FFAF64FF"/>
        <bgColor indexed="64"/>
      </patternFill>
    </fill>
    <fill>
      <patternFill patternType="solid">
        <fgColor rgb="FF620E70"/>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theme="5" tint="0.399945066682943"/>
        <bgColor indexed="64"/>
      </patternFill>
    </fill>
    <fill>
      <patternFill patternType="solid">
        <fgColor rgb="FF92D050"/>
        <bgColor indexed="64"/>
      </patternFill>
    </fill>
    <fill>
      <patternFill patternType="solid">
        <fgColor theme="3" tint="0.599993896298105"/>
        <bgColor indexed="64"/>
      </patternFill>
    </fill>
    <fill>
      <patternFill patternType="solid">
        <fgColor theme="7"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theme="5" tint="0.799951170384838"/>
        <bgColor indexed="64"/>
      </patternFill>
    </fill>
    <fill>
      <patternFill patternType="solid">
        <fgColor indexed="45"/>
        <bgColor indexed="64"/>
      </patternFill>
    </fill>
    <fill>
      <patternFill patternType="solid">
        <fgColor theme="6" tint="0.799951170384838"/>
        <bgColor indexed="64"/>
      </patternFill>
    </fill>
    <fill>
      <patternFill patternType="solid">
        <fgColor indexed="46"/>
        <bgColor indexed="64"/>
      </patternFill>
    </fill>
    <fill>
      <patternFill patternType="solid">
        <fgColor theme="8" tint="0.799951170384838"/>
        <bgColor indexed="64"/>
      </patternFill>
    </fill>
    <fill>
      <patternFill patternType="solid">
        <fgColor indexed="27"/>
        <bgColor indexed="64"/>
      </patternFill>
    </fill>
    <fill>
      <patternFill patternType="solid">
        <fgColor theme="9" tint="0.799951170384838"/>
        <bgColor indexed="64"/>
      </patternFill>
    </fill>
    <fill>
      <patternFill patternType="solid">
        <fgColor indexed="44"/>
        <bgColor indexed="64"/>
      </patternFill>
    </fill>
    <fill>
      <patternFill patternType="solid">
        <fgColor theme="5" tint="0.599993896298105"/>
        <bgColor indexed="64"/>
      </patternFill>
    </fill>
    <fill>
      <patternFill patternType="solid">
        <fgColor indexed="29"/>
        <bgColor indexed="64"/>
      </patternFill>
    </fill>
    <fill>
      <patternFill patternType="solid">
        <fgColor theme="6" tint="0.599993896298105"/>
        <bgColor indexed="64"/>
      </patternFill>
    </fill>
    <fill>
      <patternFill patternType="solid">
        <fgColor indexed="11"/>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indexed="51"/>
        <bgColor indexed="64"/>
      </patternFill>
    </fill>
    <fill>
      <patternFill patternType="solid">
        <fgColor theme="4" tint="0.399945066682943"/>
        <bgColor indexed="64"/>
      </patternFill>
    </fill>
    <fill>
      <patternFill patternType="solid">
        <fgColor indexed="30"/>
        <bgColor indexed="64"/>
      </patternFill>
    </fill>
    <fill>
      <patternFill patternType="solid">
        <fgColor theme="6" tint="0.399945066682943"/>
        <bgColor indexed="64"/>
      </patternFill>
    </fill>
    <fill>
      <patternFill patternType="solid">
        <fgColor theme="7" tint="0.399945066682943"/>
        <bgColor indexed="64"/>
      </patternFill>
    </fill>
    <fill>
      <patternFill patternType="solid">
        <fgColor indexed="36"/>
        <bgColor indexed="64"/>
      </patternFill>
    </fill>
    <fill>
      <patternFill patternType="solid">
        <fgColor theme="8" tint="0.399945066682943"/>
        <bgColor indexed="64"/>
      </patternFill>
    </fill>
    <fill>
      <patternFill patternType="solid">
        <fgColor indexed="49"/>
        <bgColor indexed="64"/>
      </patternFill>
    </fill>
    <fill>
      <patternFill patternType="solid">
        <fgColor theme="9" tint="0.399945066682943"/>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rgb="FFF2F2F2"/>
        <bgColor indexed="64"/>
      </patternFill>
    </fill>
    <fill>
      <patternFill patternType="solid">
        <fgColor indexed="22"/>
        <bgColor indexed="64"/>
      </patternFill>
    </fill>
    <fill>
      <patternFill patternType="solid">
        <fgColor indexed="55"/>
        <bgColor indexed="64"/>
      </patternFill>
    </fill>
    <fill>
      <patternFill patternType="solid">
        <fgColor indexed="23"/>
        <bgColor indexed="64"/>
      </patternFill>
    </fill>
    <fill>
      <patternFill patternType="solid">
        <fgColor indexed="43"/>
        <bgColor indexed="64"/>
      </patternFill>
    </fill>
    <fill>
      <patternFill patternType="solid">
        <fgColor indexed="26"/>
        <bgColor indexed="64"/>
      </patternFill>
    </fill>
    <fill>
      <patternFill patternType="darkTrellis"/>
    </fill>
  </fills>
  <borders count="79">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right/>
      <top/>
      <bottom style="medium">
        <color auto="1"/>
      </bottom>
      <diagonal/>
    </border>
    <border>
      <left style="thin">
        <color theme="4" tint="0.399945066682943"/>
      </left>
      <right/>
      <top style="thin">
        <color theme="4" tint="0.399945066682943"/>
      </top>
      <bottom/>
      <diagonal/>
    </border>
    <border>
      <left/>
      <right/>
      <top style="thin">
        <color theme="4" tint="0.399945066682943"/>
      </top>
      <bottom/>
      <diagonal/>
    </border>
    <border>
      <left/>
      <right style="thin">
        <color theme="4" tint="0.399945066682943"/>
      </right>
      <top style="thin">
        <color theme="4" tint="0.399945066682943"/>
      </top>
      <bottom/>
      <diagonal/>
    </border>
    <border>
      <left/>
      <right style="thick">
        <color auto="1"/>
      </right>
      <top/>
      <bottom/>
      <diagonal/>
    </border>
    <border>
      <left style="thick">
        <color auto="1"/>
      </left>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ashed">
        <color rgb="FFBFBFBF"/>
      </bottom>
      <diagonal/>
    </border>
    <border>
      <left style="double">
        <color indexed="63"/>
      </left>
      <right style="double">
        <color indexed="63"/>
      </right>
      <top style="double">
        <color indexed="63"/>
      </top>
      <bottom style="double">
        <color indexed="63"/>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indexed="62"/>
      </top>
      <bottom style="double">
        <color indexed="62"/>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2191">
    <xf numFmtId="0" fontId="0" fillId="0" borderId="0"/>
    <xf numFmtId="176" fontId="0" fillId="0" borderId="0" applyFont="0" applyFill="0" applyBorder="0" applyAlignment="0" applyProtection="0"/>
    <xf numFmtId="44" fontId="39" fillId="0" borderId="0" applyFont="0" applyFill="0" applyBorder="0" applyAlignment="0" applyProtection="0">
      <alignment vertical="center"/>
    </xf>
    <xf numFmtId="9" fontId="39" fillId="0" borderId="0" applyFont="0" applyFill="0" applyBorder="0" applyAlignment="0" applyProtection="0"/>
    <xf numFmtId="41"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15" fillId="0" borderId="0" applyNumberFormat="0" applyFill="0" applyBorder="0" applyAlignment="0" applyProtection="0"/>
    <xf numFmtId="0" fontId="40" fillId="0" borderId="0" applyNumberFormat="0" applyFill="0" applyBorder="0" applyAlignment="0" applyProtection="0">
      <alignment vertical="center"/>
    </xf>
    <xf numFmtId="0" fontId="39" fillId="46" borderId="52"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53" applyNumberFormat="0" applyFill="0" applyAlignment="0" applyProtection="0">
      <alignment vertical="center"/>
    </xf>
    <xf numFmtId="0" fontId="45" fillId="0" borderId="53" applyNumberFormat="0" applyFill="0" applyAlignment="0" applyProtection="0">
      <alignment vertical="center"/>
    </xf>
    <xf numFmtId="0" fontId="46" fillId="0" borderId="54" applyNumberFormat="0" applyFill="0" applyAlignment="0" applyProtection="0">
      <alignment vertical="center"/>
    </xf>
    <xf numFmtId="0" fontId="46" fillId="0" borderId="0" applyNumberFormat="0" applyFill="0" applyBorder="0" applyAlignment="0" applyProtection="0">
      <alignment vertical="center"/>
    </xf>
    <xf numFmtId="0" fontId="47" fillId="47" borderId="55" applyNumberFormat="0" applyAlignment="0" applyProtection="0">
      <alignment vertical="center"/>
    </xf>
    <xf numFmtId="0" fontId="48" fillId="48" borderId="56" applyNumberFormat="0" applyAlignment="0" applyProtection="0">
      <alignment vertical="center"/>
    </xf>
    <xf numFmtId="0" fontId="49" fillId="48" borderId="55" applyNumberFormat="0" applyAlignment="0" applyProtection="0">
      <alignment vertical="center"/>
    </xf>
    <xf numFmtId="0" fontId="50" fillId="49" borderId="57" applyNumberFormat="0" applyAlignment="0" applyProtection="0">
      <alignment vertical="center"/>
    </xf>
    <xf numFmtId="0" fontId="51" fillId="0" borderId="58" applyNumberFormat="0" applyFill="0" applyAlignment="0" applyProtection="0">
      <alignment vertical="center"/>
    </xf>
    <xf numFmtId="0" fontId="52" fillId="0" borderId="59" applyNumberFormat="0" applyFill="0" applyAlignment="0" applyProtection="0">
      <alignment vertical="center"/>
    </xf>
    <xf numFmtId="0" fontId="53" fillId="50" borderId="0" applyNumberFormat="0" applyBorder="0" applyAlignment="0" applyProtection="0">
      <alignment vertical="center"/>
    </xf>
    <xf numFmtId="0" fontId="54" fillId="51" borderId="0" applyNumberFormat="0" applyBorder="0" applyAlignment="0" applyProtection="0">
      <alignment vertical="center"/>
    </xf>
    <xf numFmtId="0" fontId="55" fillId="52" borderId="0" applyNumberFormat="0" applyBorder="0" applyAlignment="0" applyProtection="0">
      <alignment vertical="center"/>
    </xf>
    <xf numFmtId="0" fontId="56" fillId="53" borderId="0" applyNumberFormat="0" applyBorder="0" applyAlignment="0" applyProtection="0">
      <alignment vertical="center"/>
    </xf>
    <xf numFmtId="0" fontId="57" fillId="54" borderId="0" applyNumberFormat="0" applyBorder="0" applyAlignment="0" applyProtection="0">
      <alignment vertical="center"/>
    </xf>
    <xf numFmtId="0" fontId="57" fillId="55" borderId="0" applyNumberFormat="0" applyBorder="0" applyAlignment="0" applyProtection="0">
      <alignment vertical="center"/>
    </xf>
    <xf numFmtId="0" fontId="56" fillId="56" borderId="0" applyNumberFormat="0" applyBorder="0" applyAlignment="0" applyProtection="0">
      <alignment vertical="center"/>
    </xf>
    <xf numFmtId="0" fontId="56" fillId="57" borderId="0" applyNumberFormat="0" applyBorder="0" applyAlignment="0" applyProtection="0">
      <alignment vertical="center"/>
    </xf>
    <xf numFmtId="0" fontId="57" fillId="58" borderId="0" applyNumberFormat="0" applyBorder="0" applyAlignment="0" applyProtection="0">
      <alignment vertical="center"/>
    </xf>
    <xf numFmtId="0" fontId="57" fillId="59" borderId="0" applyNumberFormat="0" applyBorder="0" applyAlignment="0" applyProtection="0">
      <alignment vertical="center"/>
    </xf>
    <xf numFmtId="0" fontId="56" fillId="60" borderId="0" applyNumberFormat="0" applyBorder="0" applyAlignment="0" applyProtection="0">
      <alignment vertical="center"/>
    </xf>
    <xf numFmtId="0" fontId="56" fillId="61" borderId="0" applyNumberFormat="0" applyBorder="0" applyAlignment="0" applyProtection="0">
      <alignment vertical="center"/>
    </xf>
    <xf numFmtId="0" fontId="57" fillId="62" borderId="0" applyNumberFormat="0" applyBorder="0" applyAlignment="0" applyProtection="0">
      <alignment vertical="center"/>
    </xf>
    <xf numFmtId="0" fontId="57" fillId="63" borderId="0" applyNumberFormat="0" applyBorder="0" applyAlignment="0" applyProtection="0">
      <alignment vertical="center"/>
    </xf>
    <xf numFmtId="0" fontId="56" fillId="64" borderId="0" applyNumberFormat="0" applyBorder="0" applyAlignment="0" applyProtection="0">
      <alignment vertical="center"/>
    </xf>
    <xf numFmtId="0" fontId="56" fillId="65" borderId="0" applyNumberFormat="0" applyBorder="0" applyAlignment="0" applyProtection="0">
      <alignment vertical="center"/>
    </xf>
    <xf numFmtId="0" fontId="57" fillId="66" borderId="0" applyNumberFormat="0" applyBorder="0" applyAlignment="0" applyProtection="0">
      <alignment vertical="center"/>
    </xf>
    <xf numFmtId="0" fontId="57" fillId="67" borderId="0" applyNumberFormat="0" applyBorder="0" applyAlignment="0" applyProtection="0">
      <alignment vertical="center"/>
    </xf>
    <xf numFmtId="0" fontId="56" fillId="68" borderId="0" applyNumberFormat="0" applyBorder="0" applyAlignment="0" applyProtection="0">
      <alignment vertical="center"/>
    </xf>
    <xf numFmtId="0" fontId="56" fillId="69" borderId="0" applyNumberFormat="0" applyBorder="0" applyAlignment="0" applyProtection="0">
      <alignment vertical="center"/>
    </xf>
    <xf numFmtId="0" fontId="57" fillId="70" borderId="0" applyNumberFormat="0" applyBorder="0" applyAlignment="0" applyProtection="0">
      <alignment vertical="center"/>
    </xf>
    <xf numFmtId="0" fontId="57" fillId="71" borderId="0" applyNumberFormat="0" applyBorder="0" applyAlignment="0" applyProtection="0">
      <alignment vertical="center"/>
    </xf>
    <xf numFmtId="0" fontId="56" fillId="72" borderId="0" applyNumberFormat="0" applyBorder="0" applyAlignment="0" applyProtection="0">
      <alignment vertical="center"/>
    </xf>
    <xf numFmtId="0" fontId="56" fillId="73" borderId="0" applyNumberFormat="0" applyBorder="0" applyAlignment="0" applyProtection="0">
      <alignment vertical="center"/>
    </xf>
    <xf numFmtId="0" fontId="57" fillId="74" borderId="0" applyNumberFormat="0" applyBorder="0" applyAlignment="0" applyProtection="0">
      <alignment vertical="center"/>
    </xf>
    <xf numFmtId="0" fontId="57" fillId="75" borderId="0" applyNumberFormat="0" applyBorder="0" applyAlignment="0" applyProtection="0">
      <alignment vertical="center"/>
    </xf>
    <xf numFmtId="0" fontId="56" fillId="76" borderId="0" applyNumberFormat="0" applyBorder="0" applyAlignment="0" applyProtection="0">
      <alignment vertical="center"/>
    </xf>
    <xf numFmtId="0" fontId="58" fillId="0" borderId="0" applyNumberFormat="0" applyFill="0" applyBorder="0" applyAlignment="0" applyProtection="0"/>
    <xf numFmtId="0" fontId="39" fillId="4" borderId="0" applyNumberFormat="0" applyBorder="0" applyAlignment="0" applyProtection="0"/>
    <xf numFmtId="0" fontId="59" fillId="77" borderId="0" applyNumberFormat="0" applyBorder="0" applyAlignment="0" applyProtection="0"/>
    <xf numFmtId="0" fontId="60" fillId="77" borderId="0" applyNumberFormat="0" applyBorder="0" applyAlignment="0" applyProtection="0"/>
    <xf numFmtId="0" fontId="39" fillId="78" borderId="0" applyNumberFormat="0" applyBorder="0" applyAlignment="0" applyProtection="0"/>
    <xf numFmtId="0" fontId="59" fillId="79" borderId="0" applyNumberFormat="0" applyBorder="0" applyAlignment="0" applyProtection="0"/>
    <xf numFmtId="0" fontId="60" fillId="79" borderId="0" applyNumberFormat="0" applyBorder="0" applyAlignment="0" applyProtection="0"/>
    <xf numFmtId="0" fontId="39" fillId="80" borderId="0" applyNumberFormat="0" applyBorder="0" applyAlignment="0" applyProtection="0"/>
    <xf numFmtId="0" fontId="59" fillId="10" borderId="0" applyNumberFormat="0" applyBorder="0" applyAlignment="0" applyProtection="0"/>
    <xf numFmtId="0" fontId="60" fillId="10" borderId="0" applyNumberFormat="0" applyBorder="0" applyAlignment="0" applyProtection="0"/>
    <xf numFmtId="0" fontId="39" fillId="45" borderId="0" applyNumberFormat="0" applyBorder="0" applyAlignment="0" applyProtection="0"/>
    <xf numFmtId="0" fontId="59" fillId="81" borderId="0" applyNumberFormat="0" applyBorder="0" applyAlignment="0" applyProtection="0"/>
    <xf numFmtId="0" fontId="60" fillId="81" borderId="0" applyNumberFormat="0" applyBorder="0" applyAlignment="0" applyProtection="0"/>
    <xf numFmtId="0" fontId="39" fillId="82" borderId="0" applyNumberFormat="0" applyBorder="0" applyAlignment="0" applyProtection="0"/>
    <xf numFmtId="0" fontId="59" fillId="83" borderId="0" applyNumberFormat="0" applyBorder="0" applyAlignment="0" applyProtection="0"/>
    <xf numFmtId="0" fontId="60" fillId="83" borderId="0" applyNumberFormat="0" applyBorder="0" applyAlignment="0" applyProtection="0"/>
    <xf numFmtId="0" fontId="39" fillId="84" borderId="0" applyNumberFormat="0" applyBorder="0" applyAlignment="0" applyProtection="0"/>
    <xf numFmtId="0" fontId="59" fillId="15" borderId="0" applyNumberFormat="0" applyBorder="0" applyAlignment="0" applyProtection="0"/>
    <xf numFmtId="0" fontId="60" fillId="15" borderId="0" applyNumberFormat="0" applyBorder="0" applyAlignment="0" applyProtection="0"/>
    <xf numFmtId="0" fontId="60" fillId="77" borderId="0" applyNumberFormat="0" applyBorder="0" applyAlignment="0" applyProtection="0"/>
    <xf numFmtId="0" fontId="60" fillId="77" borderId="0" applyNumberFormat="0" applyBorder="0" applyAlignment="0" applyProtection="0"/>
    <xf numFmtId="0" fontId="60" fillId="79" borderId="0" applyNumberFormat="0" applyBorder="0" applyAlignment="0" applyProtection="0"/>
    <xf numFmtId="0" fontId="60" fillId="79" borderId="0" applyNumberFormat="0" applyBorder="0" applyAlignment="0" applyProtection="0"/>
    <xf numFmtId="0" fontId="60" fillId="10" borderId="0" applyNumberFormat="0" applyBorder="0" applyAlignment="0" applyProtection="0"/>
    <xf numFmtId="0" fontId="60" fillId="10" borderId="0" applyNumberFormat="0" applyBorder="0" applyAlignment="0" applyProtection="0"/>
    <xf numFmtId="0" fontId="60" fillId="81" borderId="0" applyNumberFormat="0" applyBorder="0" applyAlignment="0" applyProtection="0"/>
    <xf numFmtId="0" fontId="60" fillId="81" borderId="0" applyNumberFormat="0" applyBorder="0" applyAlignment="0" applyProtection="0"/>
    <xf numFmtId="0" fontId="60" fillId="83" borderId="0" applyNumberFormat="0" applyBorder="0" applyAlignment="0" applyProtection="0"/>
    <xf numFmtId="0" fontId="60" fillId="83" borderId="0" applyNumberFormat="0" applyBorder="0" applyAlignment="0" applyProtection="0"/>
    <xf numFmtId="0" fontId="60" fillId="15" borderId="0" applyNumberFormat="0" applyBorder="0" applyAlignment="0" applyProtection="0"/>
    <xf numFmtId="0" fontId="60" fillId="15" borderId="0" applyNumberFormat="0" applyBorder="0" applyAlignment="0" applyProtection="0"/>
    <xf numFmtId="0" fontId="21" fillId="0" borderId="0" applyNumberFormat="0" applyFont="0" applyFill="0" applyBorder="0" applyProtection="0">
      <alignment horizontal="left" vertical="center" indent="2"/>
    </xf>
    <xf numFmtId="0" fontId="21" fillId="0" borderId="0" applyNumberFormat="0" applyFont="0" applyFill="0" applyBorder="0" applyProtection="0">
      <alignment horizontal="left" vertical="center" indent="2"/>
    </xf>
    <xf numFmtId="0" fontId="21" fillId="0" borderId="0"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0" fontId="39" fillId="7" borderId="0" applyNumberFormat="0" applyBorder="0" applyAlignment="0" applyProtection="0"/>
    <xf numFmtId="0" fontId="59" fillId="85" borderId="0" applyNumberFormat="0" applyBorder="0" applyAlignment="0" applyProtection="0"/>
    <xf numFmtId="0" fontId="60" fillId="85" borderId="0" applyNumberFormat="0" applyBorder="0" applyAlignment="0" applyProtection="0"/>
    <xf numFmtId="0" fontId="39" fillId="86" borderId="0" applyNumberFormat="0" applyBorder="0" applyAlignment="0" applyProtection="0"/>
    <xf numFmtId="0" fontId="59" fillId="87" borderId="0" applyNumberFormat="0" applyBorder="0" applyAlignment="0" applyProtection="0"/>
    <xf numFmtId="0" fontId="60" fillId="87" borderId="0" applyNumberFormat="0" applyBorder="0" applyAlignment="0" applyProtection="0"/>
    <xf numFmtId="0" fontId="39" fillId="88" borderId="0" applyNumberFormat="0" applyBorder="0" applyAlignment="0" applyProtection="0"/>
    <xf numFmtId="0" fontId="59" fillId="89" borderId="0" applyNumberFormat="0" applyBorder="0" applyAlignment="0" applyProtection="0"/>
    <xf numFmtId="0" fontId="60" fillId="89" borderId="0" applyNumberFormat="0" applyBorder="0" applyAlignment="0" applyProtection="0"/>
    <xf numFmtId="0" fontId="39" fillId="90" borderId="0" applyNumberFormat="0" applyBorder="0" applyAlignment="0" applyProtection="0"/>
    <xf numFmtId="0" fontId="59" fillId="81" borderId="0" applyNumberFormat="0" applyBorder="0" applyAlignment="0" applyProtection="0"/>
    <xf numFmtId="0" fontId="60" fillId="81" borderId="0" applyNumberFormat="0" applyBorder="0" applyAlignment="0" applyProtection="0"/>
    <xf numFmtId="0" fontId="39" fillId="91" borderId="0" applyNumberFormat="0" applyBorder="0" applyAlignment="0" applyProtection="0"/>
    <xf numFmtId="0" fontId="59" fillId="85" borderId="0" applyNumberFormat="0" applyBorder="0" applyAlignment="0" applyProtection="0"/>
    <xf numFmtId="0" fontId="60" fillId="85" borderId="0" applyNumberFormat="0" applyBorder="0" applyAlignment="0" applyProtection="0"/>
    <xf numFmtId="0" fontId="39" fillId="92" borderId="0" applyNumberFormat="0" applyBorder="0" applyAlignment="0" applyProtection="0"/>
    <xf numFmtId="0" fontId="59" fillId="93" borderId="0" applyNumberFormat="0" applyBorder="0" applyAlignment="0" applyProtection="0"/>
    <xf numFmtId="0" fontId="60" fillId="93" borderId="0" applyNumberFormat="0" applyBorder="0" applyAlignment="0" applyProtection="0"/>
    <xf numFmtId="0" fontId="60" fillId="85" borderId="0" applyNumberFormat="0" applyBorder="0" applyAlignment="0" applyProtection="0"/>
    <xf numFmtId="0" fontId="60" fillId="85" borderId="0" applyNumberFormat="0" applyBorder="0" applyAlignment="0" applyProtection="0"/>
    <xf numFmtId="0" fontId="60" fillId="87" borderId="0" applyNumberFormat="0" applyBorder="0" applyAlignment="0" applyProtection="0"/>
    <xf numFmtId="0" fontId="60" fillId="87" borderId="0" applyNumberFormat="0" applyBorder="0" applyAlignment="0" applyProtection="0"/>
    <xf numFmtId="0" fontId="60" fillId="89" borderId="0" applyNumberFormat="0" applyBorder="0" applyAlignment="0" applyProtection="0"/>
    <xf numFmtId="0" fontId="60" fillId="89" borderId="0" applyNumberFormat="0" applyBorder="0" applyAlignment="0" applyProtection="0"/>
    <xf numFmtId="0" fontId="60" fillId="81" borderId="0" applyNumberFormat="0" applyBorder="0" applyAlignment="0" applyProtection="0"/>
    <xf numFmtId="0" fontId="60" fillId="81" borderId="0" applyNumberFormat="0" applyBorder="0" applyAlignment="0" applyProtection="0"/>
    <xf numFmtId="0" fontId="60" fillId="85" borderId="0" applyNumberFormat="0" applyBorder="0" applyAlignment="0" applyProtection="0"/>
    <xf numFmtId="0" fontId="60" fillId="85" borderId="0" applyNumberFormat="0" applyBorder="0" applyAlignment="0" applyProtection="0"/>
    <xf numFmtId="0" fontId="60" fillId="93" borderId="0" applyNumberFormat="0" applyBorder="0" applyAlignment="0" applyProtection="0"/>
    <xf numFmtId="0" fontId="60" fillId="93" borderId="0" applyNumberFormat="0" applyBorder="0" applyAlignment="0" applyProtection="0"/>
    <xf numFmtId="0" fontId="21" fillId="0" borderId="0" applyNumberFormat="0" applyFont="0" applyFill="0" applyBorder="0" applyProtection="0">
      <alignment horizontal="left" vertical="center" indent="5"/>
    </xf>
    <xf numFmtId="0" fontId="21" fillId="0" borderId="0" applyNumberFormat="0" applyFont="0" applyFill="0" applyBorder="0" applyProtection="0">
      <alignment horizontal="left" vertical="center" indent="5"/>
    </xf>
    <xf numFmtId="0" fontId="21" fillId="0" borderId="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0" fontId="21" fillId="0" borderId="0" applyNumberFormat="0" applyFont="0" applyFill="0" applyBorder="0" applyProtection="0">
      <alignment horizontal="left" vertical="center"/>
    </xf>
    <xf numFmtId="0" fontId="61" fillId="94" borderId="0" applyNumberFormat="0" applyBorder="0" applyAlignment="0" applyProtection="0"/>
    <xf numFmtId="0" fontId="62" fillId="95" borderId="0" applyNumberFormat="0" applyBorder="0" applyAlignment="0" applyProtection="0"/>
    <xf numFmtId="0" fontId="63" fillId="95" borderId="0" applyNumberFormat="0" applyBorder="0" applyAlignment="0" applyProtection="0"/>
    <xf numFmtId="0" fontId="61" fillId="42" borderId="0" applyNumberFormat="0" applyBorder="0" applyAlignment="0" applyProtection="0"/>
    <xf numFmtId="0" fontId="62" fillId="87" borderId="0" applyNumberFormat="0" applyBorder="0" applyAlignment="0" applyProtection="0"/>
    <xf numFmtId="0" fontId="63" fillId="87" borderId="0" applyNumberFormat="0" applyBorder="0" applyAlignment="0" applyProtection="0"/>
    <xf numFmtId="0" fontId="61" fillId="96" borderId="0" applyNumberFormat="0" applyBorder="0" applyAlignment="0" applyProtection="0"/>
    <xf numFmtId="0" fontId="62" fillId="89" borderId="0" applyNumberFormat="0" applyBorder="0" applyAlignment="0" applyProtection="0"/>
    <xf numFmtId="0" fontId="63" fillId="89" borderId="0" applyNumberFormat="0" applyBorder="0" applyAlignment="0" applyProtection="0"/>
    <xf numFmtId="0" fontId="61" fillId="97" borderId="0" applyNumberFormat="0" applyBorder="0" applyAlignment="0" applyProtection="0"/>
    <xf numFmtId="0" fontId="62" fillId="98" borderId="0" applyNumberFormat="0" applyBorder="0" applyAlignment="0" applyProtection="0"/>
    <xf numFmtId="0" fontId="63" fillId="98" borderId="0" applyNumberFormat="0" applyBorder="0" applyAlignment="0" applyProtection="0"/>
    <xf numFmtId="0" fontId="61" fillId="99" borderId="0" applyNumberFormat="0" applyBorder="0" applyAlignment="0" applyProtection="0"/>
    <xf numFmtId="0" fontId="62" fillId="100" borderId="0" applyNumberFormat="0" applyBorder="0" applyAlignment="0" applyProtection="0"/>
    <xf numFmtId="0" fontId="63" fillId="100" borderId="0" applyNumberFormat="0" applyBorder="0" applyAlignment="0" applyProtection="0"/>
    <xf numFmtId="0" fontId="61" fillId="101" borderId="0" applyNumberFormat="0" applyBorder="0" applyAlignment="0" applyProtection="0"/>
    <xf numFmtId="0" fontId="62" fillId="102" borderId="0" applyNumberFormat="0" applyBorder="0" applyAlignment="0" applyProtection="0"/>
    <xf numFmtId="0" fontId="63" fillId="102" borderId="0" applyNumberFormat="0" applyBorder="0" applyAlignment="0" applyProtection="0"/>
    <xf numFmtId="0" fontId="63" fillId="95" borderId="0" applyNumberFormat="0" applyBorder="0" applyAlignment="0" applyProtection="0"/>
    <xf numFmtId="0" fontId="63" fillId="95" borderId="0" applyNumberFormat="0" applyBorder="0" applyAlignment="0" applyProtection="0"/>
    <xf numFmtId="0" fontId="63" fillId="87" borderId="0" applyNumberFormat="0" applyBorder="0" applyAlignment="0" applyProtection="0"/>
    <xf numFmtId="0" fontId="63" fillId="87" borderId="0" applyNumberFormat="0" applyBorder="0" applyAlignment="0" applyProtection="0"/>
    <xf numFmtId="0" fontId="63" fillId="89" borderId="0" applyNumberFormat="0" applyBorder="0" applyAlignment="0" applyProtection="0"/>
    <xf numFmtId="0" fontId="63" fillId="89" borderId="0" applyNumberFormat="0" applyBorder="0" applyAlignment="0" applyProtection="0"/>
    <xf numFmtId="0" fontId="63" fillId="98" borderId="0" applyNumberFormat="0" applyBorder="0" applyAlignment="0" applyProtection="0"/>
    <xf numFmtId="0" fontId="63" fillId="98" borderId="0" applyNumberFormat="0" applyBorder="0" applyAlignment="0" applyProtection="0"/>
    <xf numFmtId="0" fontId="63" fillId="100" borderId="0" applyNumberFormat="0" applyBorder="0" applyAlignment="0" applyProtection="0"/>
    <xf numFmtId="0" fontId="63" fillId="100" borderId="0" applyNumberFormat="0" applyBorder="0" applyAlignment="0" applyProtection="0"/>
    <xf numFmtId="0" fontId="63" fillId="102" borderId="0" applyNumberFormat="0" applyBorder="0" applyAlignment="0" applyProtection="0"/>
    <xf numFmtId="0" fontId="63" fillId="102" borderId="0" applyNumberFormat="0" applyBorder="0" applyAlignment="0" applyProtection="0"/>
    <xf numFmtId="0" fontId="63" fillId="103" borderId="0" applyNumberFormat="0" applyBorder="0" applyAlignment="0" applyProtection="0"/>
    <xf numFmtId="0" fontId="63" fillId="103" borderId="0" applyNumberFormat="0" applyBorder="0" applyAlignment="0" applyProtection="0"/>
    <xf numFmtId="0" fontId="62" fillId="103" borderId="0" applyNumberFormat="0" applyBorder="0" applyAlignment="0" applyProtection="0"/>
    <xf numFmtId="0" fontId="63" fillId="104" borderId="0" applyNumberFormat="0" applyBorder="0" applyAlignment="0" applyProtection="0"/>
    <xf numFmtId="0" fontId="63" fillId="104" borderId="0" applyNumberFormat="0" applyBorder="0" applyAlignment="0" applyProtection="0"/>
    <xf numFmtId="0" fontId="62" fillId="104" borderId="0" applyNumberFormat="0" applyBorder="0" applyAlignment="0" applyProtection="0"/>
    <xf numFmtId="0" fontId="63" fillId="105" borderId="0" applyNumberFormat="0" applyBorder="0" applyAlignment="0" applyProtection="0"/>
    <xf numFmtId="0" fontId="63" fillId="105" borderId="0" applyNumberFormat="0" applyBorder="0" applyAlignment="0" applyProtection="0"/>
    <xf numFmtId="0" fontId="62" fillId="105" borderId="0" applyNumberFormat="0" applyBorder="0" applyAlignment="0" applyProtection="0"/>
    <xf numFmtId="0" fontId="63" fillId="98" borderId="0" applyNumberFormat="0" applyBorder="0" applyAlignment="0" applyProtection="0"/>
    <xf numFmtId="0" fontId="63" fillId="98" borderId="0" applyNumberFormat="0" applyBorder="0" applyAlignment="0" applyProtection="0"/>
    <xf numFmtId="0" fontId="62" fillId="98" borderId="0" applyNumberFormat="0" applyBorder="0" applyAlignment="0" applyProtection="0"/>
    <xf numFmtId="0" fontId="63" fillId="100" borderId="0" applyNumberFormat="0" applyBorder="0" applyAlignment="0" applyProtection="0"/>
    <xf numFmtId="0" fontId="63" fillId="100" borderId="0" applyNumberFormat="0" applyBorder="0" applyAlignment="0" applyProtection="0"/>
    <xf numFmtId="0" fontId="62" fillId="100" borderId="0" applyNumberFormat="0" applyBorder="0" applyAlignment="0" applyProtection="0"/>
    <xf numFmtId="0" fontId="63" fillId="106" borderId="0" applyNumberFormat="0" applyBorder="0" applyAlignment="0" applyProtection="0"/>
    <xf numFmtId="0" fontId="63" fillId="106" borderId="0" applyNumberFormat="0" applyBorder="0" applyAlignment="0" applyProtection="0"/>
    <xf numFmtId="0" fontId="62" fillId="106" borderId="0" applyNumberFormat="0" applyBorder="0" applyAlignment="0" applyProtection="0"/>
    <xf numFmtId="0" fontId="20" fillId="83" borderId="0" applyBorder="0" applyAlignment="0"/>
    <xf numFmtId="4" fontId="20" fillId="83" borderId="0" applyBorder="0" applyAlignment="0"/>
    <xf numFmtId="0" fontId="16" fillId="83" borderId="0" applyBorder="0">
      <alignment horizontal="right" vertical="center"/>
    </xf>
    <xf numFmtId="4" fontId="16" fillId="83" borderId="0" applyBorder="0">
      <alignment horizontal="right" vertical="center"/>
    </xf>
    <xf numFmtId="0" fontId="16" fillId="83" borderId="1">
      <alignment horizontal="right" vertical="center"/>
    </xf>
    <xf numFmtId="0" fontId="16" fillId="10" borderId="0" applyBorder="0">
      <alignment horizontal="right" vertical="center"/>
    </xf>
    <xf numFmtId="4" fontId="16" fillId="10" borderId="0" applyBorder="0">
      <alignment horizontal="right" vertical="center"/>
    </xf>
    <xf numFmtId="0" fontId="16" fillId="10" borderId="0" applyBorder="0">
      <alignment horizontal="right" vertical="center"/>
    </xf>
    <xf numFmtId="0" fontId="16" fillId="10" borderId="0" applyBorder="0">
      <alignment horizontal="right" vertical="center"/>
    </xf>
    <xf numFmtId="0" fontId="16" fillId="10" borderId="0" applyBorder="0">
      <alignment horizontal="right" vertical="center"/>
    </xf>
    <xf numFmtId="4" fontId="16" fillId="10" borderId="0" applyBorder="0">
      <alignment horizontal="right" vertical="center"/>
    </xf>
    <xf numFmtId="0" fontId="16" fillId="10" borderId="0" applyBorder="0">
      <alignment horizontal="right" vertical="center"/>
    </xf>
    <xf numFmtId="0" fontId="16" fillId="10" borderId="0" applyBorder="0">
      <alignment horizontal="right" vertical="center"/>
    </xf>
    <xf numFmtId="0" fontId="16" fillId="10" borderId="61">
      <alignment horizontal="right" vertical="center"/>
    </xf>
    <xf numFmtId="0"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62">
      <alignment horizontal="right" vertical="center"/>
    </xf>
    <xf numFmtId="0" fontId="23" fillId="10" borderId="1">
      <alignment horizontal="right" vertical="center"/>
    </xf>
    <xf numFmtId="0"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62">
      <alignment horizontal="right" vertical="center"/>
    </xf>
    <xf numFmtId="0"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63">
      <alignment horizontal="right" vertical="center"/>
    </xf>
    <xf numFmtId="0"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4" fontId="18" fillId="15" borderId="64">
      <alignment horizontal="right" vertical="center"/>
    </xf>
    <xf numFmtId="0" fontId="62" fillId="103" borderId="0" applyNumberFormat="0" applyBorder="0" applyAlignment="0" applyProtection="0"/>
    <xf numFmtId="0" fontId="62" fillId="104" borderId="0" applyNumberFormat="0" applyBorder="0" applyAlignment="0" applyProtection="0"/>
    <xf numFmtId="0" fontId="62" fillId="105" borderId="0" applyNumberFormat="0" applyBorder="0" applyAlignment="0" applyProtection="0"/>
    <xf numFmtId="0" fontId="62" fillId="98" borderId="0" applyNumberFormat="0" applyBorder="0" applyAlignment="0" applyProtection="0"/>
    <xf numFmtId="0" fontId="62" fillId="100" borderId="0" applyNumberFormat="0" applyBorder="0" applyAlignment="0" applyProtection="0"/>
    <xf numFmtId="0" fontId="62" fillId="106" borderId="0" applyNumberFormat="0" applyBorder="0" applyAlignment="0" applyProtection="0"/>
    <xf numFmtId="0" fontId="65" fillId="107" borderId="56"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6" fillId="108" borderId="65" applyNumberFormat="0" applyAlignment="0" applyProtection="0"/>
    <xf numFmtId="0" fontId="68" fillId="79" borderId="0" applyNumberFormat="0" applyBorder="0" applyAlignment="0" applyProtection="0"/>
    <xf numFmtId="0" fontId="68" fillId="79" borderId="0" applyNumberFormat="0" applyBorder="0" applyAlignment="0" applyProtection="0"/>
    <xf numFmtId="0" fontId="69" fillId="79" borderId="0" applyNumberFormat="0" applyBorder="0" applyAlignment="0" applyProtection="0"/>
    <xf numFmtId="0" fontId="70" fillId="107" borderId="55"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71" fillId="108" borderId="66" applyNumberFormat="0" applyAlignment="0" applyProtection="0"/>
    <xf numFmtId="0" fontId="6" fillId="0" borderId="67" applyNumberFormat="0" applyFont="0" applyProtection="0">
      <alignment wrapText="1"/>
    </xf>
    <xf numFmtId="4" fontId="20" fillId="0" borderId="26" applyFill="0" applyBorder="0" applyProtection="0">
      <alignment horizontal="right" vertical="center"/>
    </xf>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2" fillId="108" borderId="66" applyNumberFormat="0" applyAlignment="0" applyProtection="0"/>
    <xf numFmtId="0" fontId="73" fillId="109" borderId="68" applyNumberFormat="0" applyAlignment="0" applyProtection="0"/>
    <xf numFmtId="0" fontId="73" fillId="109" borderId="68" applyNumberFormat="0" applyAlignment="0" applyProtection="0"/>
    <xf numFmtId="0" fontId="74" fillId="109" borderId="68" applyNumberFormat="0" applyAlignment="0" applyProtection="0"/>
    <xf numFmtId="177" fontId="59" fillId="0" borderId="0" applyFont="0" applyFill="0" applyBorder="0" applyAlignment="0" applyProtection="0"/>
    <xf numFmtId="178" fontId="75" fillId="0" borderId="0" applyFont="0" applyFill="0" applyBorder="0" applyAlignment="0" applyProtection="0"/>
    <xf numFmtId="178" fontId="75" fillId="0" borderId="0" applyFont="0" applyFill="0" applyBorder="0" applyAlignment="0" applyProtection="0"/>
    <xf numFmtId="177" fontId="59" fillId="0" borderId="0" applyFont="0" applyFill="0" applyBorder="0" applyAlignment="0" applyProtection="0"/>
    <xf numFmtId="176" fontId="39" fillId="0" borderId="0" applyFont="0" applyFill="0" applyBorder="0" applyAlignment="0" applyProtection="0"/>
    <xf numFmtId="0" fontId="18" fillId="0" borderId="0" applyNumberFormat="0">
      <alignment horizontal="right"/>
    </xf>
    <xf numFmtId="0" fontId="76" fillId="0" borderId="0">
      <alignment horizontal="left" vertical="center" indent="1"/>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39" fillId="0" borderId="0"/>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8" fillId="0" borderId="70">
      <alignment horizontal="left" vertical="top" wrapText="1"/>
    </xf>
    <xf numFmtId="0" fontId="77" fillId="16" borderId="55" applyNumberFormat="0" applyAlignment="0" applyProtection="0"/>
    <xf numFmtId="0" fontId="77" fillId="16" borderId="55"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21" fillId="0" borderId="45"/>
    <xf numFmtId="0" fontId="7" fillId="0" borderId="59"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10" borderId="0" applyNumberFormat="0" applyBorder="0" applyAlignment="0" applyProtection="0"/>
    <xf numFmtId="0" fontId="85" fillId="10" borderId="0" applyNumberFormat="0" applyBorder="0" applyAlignment="0" applyProtection="0"/>
    <xf numFmtId="0" fontId="86" fillId="10" borderId="0" applyNumberFormat="0" applyBorder="0" applyAlignment="0" applyProtection="0"/>
    <xf numFmtId="0" fontId="86" fillId="10" borderId="0" applyNumberFormat="0" applyBorder="0" applyAlignment="0" applyProtection="0"/>
    <xf numFmtId="0" fontId="87" fillId="0" borderId="72" applyNumberFormat="0" applyProtection="0">
      <alignment wrapText="1"/>
    </xf>
    <xf numFmtId="0" fontId="88" fillId="0" borderId="73" applyNumberFormat="0" applyFill="0" applyAlignment="0" applyProtection="0"/>
    <xf numFmtId="0" fontId="88" fillId="0" borderId="73" applyNumberFormat="0" applyFill="0" applyAlignment="0" applyProtection="0"/>
    <xf numFmtId="0" fontId="89" fillId="0" borderId="73" applyNumberFormat="0" applyFill="0" applyAlignment="0" applyProtection="0"/>
    <xf numFmtId="0" fontId="90" fillId="0" borderId="74" applyNumberFormat="0" applyFill="0" applyAlignment="0" applyProtection="0"/>
    <xf numFmtId="0" fontId="90" fillId="0" borderId="74" applyNumberFormat="0" applyFill="0" applyAlignment="0" applyProtection="0"/>
    <xf numFmtId="0" fontId="91" fillId="0" borderId="74" applyNumberFormat="0" applyFill="0" applyAlignment="0" applyProtection="0"/>
    <xf numFmtId="0" fontId="92" fillId="0" borderId="75" applyNumberFormat="0" applyFill="0" applyAlignment="0" applyProtection="0"/>
    <xf numFmtId="0" fontId="92" fillId="0" borderId="75" applyNumberFormat="0" applyFill="0" applyAlignment="0" applyProtection="0"/>
    <xf numFmtId="0" fontId="93" fillId="0" borderId="75" applyNumberFormat="0" applyFill="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3" fillId="0" borderId="0" applyNumberFormat="0" applyFill="0" applyBorder="0" applyAlignment="0" applyProtection="0"/>
    <xf numFmtId="0" fontId="17" fillId="0" borderId="0" applyNumberFormat="0" applyFill="0" applyBorder="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7" fillId="16" borderId="55" applyNumberFormat="0" applyAlignment="0" applyProtection="0"/>
    <xf numFmtId="0" fontId="16" fillId="0" borderId="0" applyBorder="0">
      <alignment horizontal="right" vertical="center"/>
    </xf>
    <xf numFmtId="4" fontId="16" fillId="0" borderId="0" applyBorder="0">
      <alignment horizontal="right" vertical="center"/>
    </xf>
    <xf numFmtId="0" fontId="16" fillId="0" borderId="0" applyBorder="0">
      <alignment horizontal="right" vertical="center"/>
    </xf>
    <xf numFmtId="0" fontId="16" fillId="0" borderId="0" applyBorder="0">
      <alignment horizontal="right" vertical="center"/>
    </xf>
    <xf numFmtId="0" fontId="16" fillId="0" borderId="76">
      <alignment horizontal="right" vertical="center"/>
    </xf>
    <xf numFmtId="0"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62">
      <alignment horizontal="right" vertical="center"/>
    </xf>
    <xf numFmtId="1" fontId="94" fillId="10" borderId="0" applyBorder="0">
      <alignment horizontal="right" vertical="center"/>
    </xf>
    <xf numFmtId="0" fontId="21" fillId="110" borderId="1"/>
    <xf numFmtId="0" fontId="95" fillId="0" borderId="77" applyNumberFormat="0" applyFill="0" applyAlignment="0" applyProtection="0"/>
    <xf numFmtId="0" fontId="95" fillId="0" borderId="77" applyNumberFormat="0" applyFill="0" applyAlignment="0" applyProtection="0"/>
    <xf numFmtId="0" fontId="96" fillId="0" borderId="77" applyNumberFormat="0" applyFill="0" applyAlignment="0" applyProtection="0"/>
    <xf numFmtId="0" fontId="97" fillId="111" borderId="0" applyNumberFormat="0" applyBorder="0" applyAlignment="0" applyProtection="0"/>
    <xf numFmtId="0" fontId="97" fillId="111" borderId="0" applyNumberFormat="0" applyBorder="0" applyAlignment="0" applyProtection="0"/>
    <xf numFmtId="0" fontId="21" fillId="0" borderId="0"/>
    <xf numFmtId="0" fontId="21" fillId="0" borderId="0"/>
    <xf numFmtId="0" fontId="39" fillId="0" borderId="0"/>
    <xf numFmtId="0" fontId="39" fillId="0" borderId="0"/>
    <xf numFmtId="0" fontId="39" fillId="0" borderId="0"/>
    <xf numFmtId="0" fontId="39" fillId="0" borderId="0"/>
    <xf numFmtId="0" fontId="21" fillId="0" borderId="0"/>
    <xf numFmtId="0" fontId="21" fillId="0" borderId="0"/>
    <xf numFmtId="0" fontId="39" fillId="0" borderId="0"/>
    <xf numFmtId="0" fontId="6" fillId="0" borderId="0"/>
    <xf numFmtId="0" fontId="21" fillId="0" borderId="0"/>
    <xf numFmtId="0" fontId="21" fillId="0" borderId="0"/>
    <xf numFmtId="0" fontId="75" fillId="0" borderId="0"/>
    <xf numFmtId="0" fontId="75" fillId="0" borderId="0"/>
    <xf numFmtId="4" fontId="21" fillId="0" borderId="0"/>
    <xf numFmtId="0" fontId="21" fillId="0" borderId="0"/>
    <xf numFmtId="0" fontId="98" fillId="0" borderId="0"/>
    <xf numFmtId="4" fontId="99" fillId="0" borderId="0"/>
    <xf numFmtId="4" fontId="21" fillId="0" borderId="0"/>
    <xf numFmtId="4" fontId="21" fillId="0" borderId="0"/>
    <xf numFmtId="4" fontId="21" fillId="0" borderId="0"/>
    <xf numFmtId="4" fontId="21" fillId="0" borderId="0"/>
    <xf numFmtId="0" fontId="21" fillId="0" borderId="0"/>
    <xf numFmtId="0" fontId="21" fillId="0" borderId="0"/>
    <xf numFmtId="0" fontId="21" fillId="0" borderId="0"/>
    <xf numFmtId="0" fontId="100" fillId="0" borderId="0"/>
    <xf numFmtId="0" fontId="100" fillId="0" borderId="0"/>
    <xf numFmtId="0" fontId="100"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39" fillId="0" borderId="0"/>
    <xf numFmtId="0" fontId="39" fillId="0" borderId="0"/>
    <xf numFmtId="0" fontId="21" fillId="0" borderId="0"/>
    <xf numFmtId="0" fontId="21" fillId="0" borderId="0"/>
    <xf numFmtId="0" fontId="100" fillId="0" borderId="0"/>
    <xf numFmtId="0" fontId="39" fillId="0" borderId="0"/>
    <xf numFmtId="0" fontId="39" fillId="0" borderId="0"/>
    <xf numFmtId="4" fontId="16" fillId="0" borderId="0" applyFill="0" applyBorder="0" applyProtection="0">
      <alignment horizontal="right" vertical="center"/>
    </xf>
    <xf numFmtId="4" fontId="16" fillId="0" borderId="0"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0" fontId="20" fillId="0" borderId="0" applyNumberFormat="0" applyFill="0" applyBorder="0" applyProtection="0">
      <alignment horizontal="left" vertical="center"/>
    </xf>
    <xf numFmtId="0" fontId="20" fillId="0" borderId="0"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21" fillId="109" borderId="0" applyNumberFormat="0" applyFont="0" applyBorder="0" applyAlignment="0" applyProtection="0"/>
    <xf numFmtId="0" fontId="21" fillId="109" borderId="0" applyNumberFormat="0" applyFont="0" applyBorder="0" applyAlignment="0" applyProtection="0"/>
    <xf numFmtId="4" fontId="21" fillId="109" borderId="0" applyNumberFormat="0" applyFont="0" applyBorder="0" applyAlignment="0" applyProtection="0"/>
    <xf numFmtId="4" fontId="21" fillId="109" borderId="0" applyNumberFormat="0" applyFont="0" applyBorder="0" applyAlignment="0" applyProtection="0"/>
    <xf numFmtId="0" fontId="21" fillId="109" borderId="0" applyNumberFormat="0" applyFont="0" applyBorder="0" applyAlignment="0" applyProtection="0"/>
    <xf numFmtId="0" fontId="21" fillId="109" borderId="0" applyNumberFormat="0" applyFont="0" applyBorder="0" applyAlignment="0" applyProtection="0"/>
    <xf numFmtId="0" fontId="21" fillId="109" borderId="0" applyNumberFormat="0" applyFont="0" applyBorder="0" applyAlignment="0" applyProtection="0"/>
    <xf numFmtId="0" fontId="21" fillId="109" borderId="0" applyNumberFormat="0" applyFont="0" applyBorder="0" applyAlignment="0" applyProtection="0"/>
    <xf numFmtId="0" fontId="75" fillId="108" borderId="0" applyNumberFormat="0" applyFont="0" applyBorder="0" applyAlignment="0" applyProtection="0"/>
    <xf numFmtId="0" fontId="75" fillId="108" borderId="0" applyNumberFormat="0" applyFont="0" applyBorder="0" applyAlignment="0" applyProtection="0"/>
    <xf numFmtId="4" fontId="21" fillId="0" borderId="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60"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21" fillId="112" borderId="78" applyNumberFormat="0" applyFon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0" fontId="67" fillId="108" borderId="65" applyNumberFormat="0" applyAlignment="0" applyProtection="0"/>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179" fontId="16" fillId="113" borderId="1" applyNumberFormat="0" applyFont="0" applyBorder="0" applyAlignment="0" applyProtection="0">
      <alignment horizontal="right" vertical="center"/>
    </xf>
    <xf numFmtId="9" fontId="75" fillId="0" borderId="0" applyFont="0" applyFill="0" applyBorder="0" applyAlignment="0" applyProtection="0"/>
    <xf numFmtId="9" fontId="75" fillId="0" borderId="0" applyFont="0" applyFill="0" applyBorder="0" applyAlignment="0" applyProtection="0"/>
    <xf numFmtId="0" fontId="101" fillId="0" borderId="0" applyNumberFormat="0" applyFill="0" applyBorder="0" applyAlignment="0" applyProtection="0"/>
    <xf numFmtId="0" fontId="69" fillId="79" borderId="0" applyNumberFormat="0" applyBorder="0" applyAlignment="0" applyProtection="0"/>
    <xf numFmtId="0"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4"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1"/>
    <xf numFmtId="0" fontId="16" fillId="109" borderId="62"/>
    <xf numFmtId="0" fontId="39" fillId="0" borderId="0"/>
    <xf numFmtId="0" fontId="39" fillId="0" borderId="0"/>
    <xf numFmtId="0" fontId="39" fillId="0" borderId="0"/>
    <xf numFmtId="0" fontId="39" fillId="0" borderId="0"/>
    <xf numFmtId="0" fontId="102" fillId="0" borderId="0" applyNumberFormat="0" applyFill="0" applyBorder="0" applyAlignment="0" applyProtection="0"/>
    <xf numFmtId="0" fontId="102" fillId="0" borderId="0" applyNumberFormat="0" applyFill="0" applyBorder="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103" fillId="0" borderId="0" applyNumberFormat="0" applyFill="0" applyBorder="0" applyAlignment="0" applyProtection="0"/>
    <xf numFmtId="0" fontId="89" fillId="0" borderId="73" applyNumberFormat="0" applyFill="0" applyAlignment="0" applyProtection="0"/>
    <xf numFmtId="0" fontId="91" fillId="0" borderId="74" applyNumberFormat="0" applyFill="0" applyAlignment="0" applyProtection="0"/>
    <xf numFmtId="0" fontId="93" fillId="0" borderId="75" applyNumberFormat="0" applyFill="0" applyAlignment="0" applyProtection="0"/>
    <xf numFmtId="0" fontId="93" fillId="0" borderId="0" applyNumberFormat="0" applyFill="0" applyBorder="0" applyAlignment="0" applyProtection="0"/>
    <xf numFmtId="0" fontId="96" fillId="0" borderId="77" applyNumberFormat="0" applyFill="0" applyAlignment="0" applyProtection="0"/>
    <xf numFmtId="0" fontId="35" fillId="0" borderId="0" applyNumberFormat="0" applyFill="0" applyBorder="0" applyAlignment="0" applyProtection="0"/>
    <xf numFmtId="0" fontId="104"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74" fillId="109" borderId="68" applyNumberFormat="0" applyAlignment="0" applyProtection="0"/>
    <xf numFmtId="0" fontId="58" fillId="0" borderId="0" applyNumberFormat="0" applyFill="0" applyBorder="0" applyAlignment="0" applyProtection="0"/>
    <xf numFmtId="0" fontId="10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16" fillId="0" borderId="0"/>
    <xf numFmtId="0" fontId="16" fillId="0" borderId="0"/>
    <xf numFmtId="0" fontId="19" fillId="0" borderId="0"/>
  </cellStyleXfs>
  <cellXfs count="431">
    <xf numFmtId="0" fontId="0" fillId="0" borderId="0" xfId="0"/>
    <xf numFmtId="0" fontId="1" fillId="0" borderId="0" xfId="0" applyFont="1" applyAlignment="1">
      <alignment horizontal="center"/>
    </xf>
    <xf numFmtId="0" fontId="0" fillId="0" borderId="0" xfId="0" applyAlignment="1">
      <alignment horizontal="left" vertical="center"/>
    </xf>
    <xf numFmtId="0" fontId="0" fillId="0" borderId="0" xfId="0" applyAlignment="1">
      <alignment vertical="center"/>
    </xf>
    <xf numFmtId="0" fontId="1" fillId="2" borderId="1" xfId="0" applyFon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0" xfId="1532"/>
    <xf numFmtId="0" fontId="7" fillId="3" borderId="0" xfId="0" applyFont="1" applyFill="1" applyAlignment="1">
      <alignment horizontal="left"/>
    </xf>
    <xf numFmtId="0" fontId="0" fillId="4" borderId="0" xfId="0" applyFill="1" applyAlignment="1">
      <alignment horizontal="left"/>
    </xf>
    <xf numFmtId="0" fontId="0" fillId="0" borderId="2" xfId="0" applyBorder="1"/>
    <xf numFmtId="0" fontId="7" fillId="0" borderId="0" xfId="0" applyFont="1"/>
    <xf numFmtId="0" fontId="7" fillId="0" borderId="2" xfId="0" applyFont="1" applyBorder="1"/>
    <xf numFmtId="9" fontId="0" fillId="0" borderId="0" xfId="3" applyFont="1" applyAlignment="1"/>
    <xf numFmtId="9" fontId="0" fillId="0" borderId="2" xfId="3" applyFont="1" applyBorder="1" applyAlignment="1"/>
    <xf numFmtId="9" fontId="0" fillId="0" borderId="0" xfId="0" applyNumberFormat="1"/>
    <xf numFmtId="180" fontId="0" fillId="0" borderId="0" xfId="0" applyNumberFormat="1"/>
    <xf numFmtId="9" fontId="0" fillId="0" borderId="0" xfId="3" applyFont="1" applyBorder="1" applyAlignment="1"/>
    <xf numFmtId="0" fontId="8" fillId="0" borderId="0" xfId="0" applyFont="1"/>
    <xf numFmtId="11" fontId="0" fillId="0" borderId="0" xfId="0" applyNumberFormat="1"/>
    <xf numFmtId="181" fontId="0" fillId="0" borderId="0" xfId="0" applyNumberFormat="1"/>
    <xf numFmtId="0" fontId="0" fillId="0" borderId="0" xfId="0" applyAlignment="1">
      <alignment wrapText="1"/>
    </xf>
    <xf numFmtId="0" fontId="9" fillId="0" borderId="0" xfId="0" applyFont="1" applyAlignment="1">
      <alignment horizontal="left"/>
    </xf>
    <xf numFmtId="0" fontId="0" fillId="0" borderId="0" xfId="0" applyAlignment="1">
      <alignment horizontal="left"/>
    </xf>
    <xf numFmtId="0" fontId="0" fillId="5" borderId="3" xfId="0"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0" fillId="5" borderId="7" xfId="0" applyFill="1" applyBorder="1" applyAlignment="1">
      <alignment horizontal="left" wrapText="1"/>
    </xf>
    <xf numFmtId="0" fontId="10" fillId="5" borderId="8" xfId="0" applyFont="1" applyFill="1" applyBorder="1" applyAlignment="1">
      <alignment horizontal="left" wrapText="1"/>
    </xf>
    <xf numFmtId="0" fontId="10" fillId="5" borderId="9" xfId="0" applyFont="1" applyFill="1" applyBorder="1" applyAlignment="1">
      <alignment horizontal="left" wrapText="1"/>
    </xf>
    <xf numFmtId="0" fontId="11" fillId="0" borderId="0" xfId="0" applyFont="1" applyAlignment="1">
      <alignment horizontal="left"/>
    </xf>
    <xf numFmtId="0" fontId="12" fillId="0" borderId="10" xfId="0" applyFont="1" applyBorder="1" applyAlignment="1">
      <alignment horizontal="left" wrapText="1"/>
    </xf>
    <xf numFmtId="182" fontId="13" fillId="0" borderId="11" xfId="0" applyNumberFormat="1" applyFont="1" applyBorder="1" applyAlignment="1">
      <alignment horizontal="center" wrapText="1"/>
    </xf>
    <xf numFmtId="182" fontId="13" fillId="0" borderId="12" xfId="0" applyNumberFormat="1" applyFont="1" applyBorder="1" applyAlignment="1">
      <alignment horizontal="center" wrapText="1"/>
    </xf>
    <xf numFmtId="0" fontId="12" fillId="0" borderId="13" xfId="0" applyFont="1" applyBorder="1" applyAlignment="1">
      <alignment horizontal="left" wrapText="1"/>
    </xf>
    <xf numFmtId="182" fontId="13" fillId="0" borderId="14" xfId="0" applyNumberFormat="1" applyFont="1" applyBorder="1" applyAlignment="1">
      <alignment horizontal="center" wrapText="1"/>
    </xf>
    <xf numFmtId="182" fontId="13" fillId="0" borderId="15" xfId="0" applyNumberFormat="1" applyFont="1" applyBorder="1" applyAlignment="1">
      <alignment horizontal="center" wrapText="1"/>
    </xf>
    <xf numFmtId="0" fontId="14" fillId="0" borderId="0" xfId="0" applyFont="1" applyAlignment="1">
      <alignment horizontal="left"/>
    </xf>
    <xf numFmtId="16" fontId="0" fillId="0" borderId="0" xfId="0" applyNumberFormat="1"/>
    <xf numFmtId="0" fontId="12" fillId="0" borderId="16" xfId="0" applyFont="1" applyBorder="1" applyAlignment="1">
      <alignment horizontal="left" wrapText="1"/>
    </xf>
    <xf numFmtId="182" fontId="13" fillId="0" borderId="17" xfId="0" applyNumberFormat="1" applyFont="1" applyBorder="1" applyAlignment="1">
      <alignment horizontal="center" wrapText="1"/>
    </xf>
    <xf numFmtId="182" fontId="13" fillId="0" borderId="18" xfId="0" applyNumberFormat="1" applyFont="1" applyBorder="1" applyAlignment="1">
      <alignment horizontal="center" wrapText="1"/>
    </xf>
    <xf numFmtId="10" fontId="0" fillId="0" borderId="2" xfId="3" applyNumberFormat="1" applyFont="1" applyBorder="1" applyAlignment="1"/>
    <xf numFmtId="10" fontId="0" fillId="0" borderId="0" xfId="3" applyNumberFormat="1" applyFont="1" applyBorder="1" applyAlignment="1"/>
    <xf numFmtId="1" fontId="0" fillId="0" borderId="0" xfId="0" applyNumberFormat="1"/>
    <xf numFmtId="1" fontId="0" fillId="0" borderId="0" xfId="3" applyNumberFormat="1" applyFont="1" applyBorder="1" applyAlignment="1"/>
    <xf numFmtId="10" fontId="0" fillId="0" borderId="0" xfId="0" applyNumberFormat="1"/>
    <xf numFmtId="0" fontId="15" fillId="0" borderId="0" xfId="6" applyAlignment="1"/>
    <xf numFmtId="0" fontId="7" fillId="3" borderId="0" xfId="0" applyFont="1" applyFill="1"/>
    <xf numFmtId="0" fontId="7" fillId="6" borderId="0" xfId="0" applyFont="1" applyFill="1"/>
    <xf numFmtId="0" fontId="7" fillId="7" borderId="0" xfId="0" applyFont="1" applyFill="1" applyAlignment="1">
      <alignment horizontal="center"/>
    </xf>
    <xf numFmtId="0" fontId="7" fillId="8" borderId="0" xfId="0" applyFont="1" applyFill="1"/>
    <xf numFmtId="0" fontId="16" fillId="0" borderId="0" xfId="1532" applyFont="1"/>
    <xf numFmtId="0" fontId="7" fillId="0" borderId="0" xfId="0" applyFont="1" applyAlignment="1">
      <alignment wrapText="1"/>
    </xf>
    <xf numFmtId="0" fontId="7" fillId="0" borderId="0" xfId="0" applyFont="1" applyAlignment="1">
      <alignment horizontal="right" wrapText="1"/>
    </xf>
    <xf numFmtId="0" fontId="17" fillId="9" borderId="0" xfId="1359" applyFill="1" applyAlignment="1">
      <alignment horizontal="left"/>
    </xf>
    <xf numFmtId="0" fontId="17" fillId="9" borderId="0" xfId="1359" applyFill="1" applyAlignment="1"/>
    <xf numFmtId="0" fontId="18" fillId="9" borderId="0" xfId="981" applyNumberFormat="1" applyFill="1">
      <alignment horizontal="right"/>
    </xf>
    <xf numFmtId="0" fontId="19" fillId="9" borderId="0" xfId="1532" applyFont="1" applyFill="1"/>
    <xf numFmtId="0" fontId="20" fillId="10" borderId="19" xfId="1731" applyNumberFormat="1" applyFill="1" applyBorder="1" applyAlignment="1">
      <alignment horizontal="left" vertical="top"/>
    </xf>
    <xf numFmtId="0" fontId="20" fillId="10" borderId="1" xfId="1731" applyNumberFormat="1" applyFill="1" applyBorder="1" applyAlignment="1">
      <alignment horizontal="center" vertical="center"/>
    </xf>
    <xf numFmtId="0" fontId="20" fillId="10" borderId="20" xfId="1731" applyNumberFormat="1" applyFill="1" applyBorder="1" applyAlignment="1">
      <alignment horizontal="left" vertical="top"/>
    </xf>
    <xf numFmtId="0" fontId="20" fillId="10" borderId="21" xfId="1731" applyNumberFormat="1" applyFill="1" applyBorder="1" applyAlignment="1">
      <alignment horizontal="center" vertical="center"/>
    </xf>
    <xf numFmtId="0" fontId="20" fillId="10" borderId="22" xfId="1731" applyNumberFormat="1" applyFill="1" applyBorder="1" applyAlignment="1">
      <alignment horizontal="center" vertical="center"/>
    </xf>
    <xf numFmtId="0" fontId="20" fillId="10" borderId="23" xfId="1731" applyNumberFormat="1" applyFill="1" applyBorder="1" applyAlignment="1">
      <alignment horizontal="center" vertical="center"/>
    </xf>
    <xf numFmtId="0" fontId="20" fillId="10" borderId="24" xfId="1731" applyNumberFormat="1" applyFill="1" applyBorder="1">
      <alignment horizontal="left" vertical="center"/>
    </xf>
    <xf numFmtId="2" fontId="20" fillId="11" borderId="1" xfId="0" applyNumberFormat="1" applyFont="1" applyFill="1" applyBorder="1" applyAlignment="1">
      <alignment horizontal="right"/>
    </xf>
    <xf numFmtId="0" fontId="20" fillId="10" borderId="25" xfId="1731" applyNumberFormat="1" applyFill="1" applyBorder="1">
      <alignment horizontal="left" vertical="center"/>
    </xf>
    <xf numFmtId="0" fontId="20" fillId="10" borderId="1" xfId="1731" applyNumberFormat="1" applyFill="1" applyBorder="1" applyAlignment="1">
      <alignment horizontal="left" vertical="center" indent="1"/>
    </xf>
    <xf numFmtId="0" fontId="20" fillId="10" borderId="1" xfId="80" applyNumberFormat="1" applyFont="1" applyFill="1" applyBorder="1">
      <alignment horizontal="left" vertical="center" indent="2"/>
    </xf>
    <xf numFmtId="2" fontId="20" fillId="12" borderId="1" xfId="0" applyNumberFormat="1" applyFont="1" applyFill="1" applyBorder="1" applyAlignment="1">
      <alignment horizontal="right"/>
    </xf>
    <xf numFmtId="0" fontId="20" fillId="10" borderId="26" xfId="1731" applyNumberFormat="1" applyFill="1" applyBorder="1" applyAlignment="1">
      <alignment horizontal="left" vertical="center" indent="1"/>
    </xf>
    <xf numFmtId="0" fontId="20" fillId="10" borderId="1" xfId="80" applyNumberFormat="1" applyFont="1" applyFill="1" applyBorder="1" applyAlignment="1">
      <alignment horizontal="left" vertical="top" wrapText="1" indent="2"/>
    </xf>
    <xf numFmtId="0" fontId="20" fillId="10" borderId="24" xfId="1731" applyNumberFormat="1" applyFill="1" applyBorder="1" applyAlignment="1">
      <alignment horizontal="left" vertical="center" indent="1"/>
    </xf>
    <xf numFmtId="0" fontId="20" fillId="10" borderId="1" xfId="1731" applyNumberFormat="1" applyFill="1" applyBorder="1">
      <alignment horizontal="left" vertical="center"/>
    </xf>
    <xf numFmtId="2" fontId="20" fillId="13" borderId="1" xfId="0" applyNumberFormat="1" applyFont="1" applyFill="1" applyBorder="1" applyAlignment="1">
      <alignment horizontal="right"/>
    </xf>
    <xf numFmtId="0" fontId="20" fillId="10" borderId="26" xfId="1731" applyNumberFormat="1" applyFill="1" applyBorder="1">
      <alignment horizontal="left" vertical="center"/>
    </xf>
    <xf numFmtId="0" fontId="20" fillId="10" borderId="1" xfId="155" applyNumberFormat="1" applyFont="1" applyFill="1" applyBorder="1" applyAlignment="1">
      <alignment horizontal="left" vertical="center" indent="2"/>
    </xf>
    <xf numFmtId="0" fontId="20" fillId="10" borderId="19" xfId="1731" applyNumberFormat="1" applyFill="1" applyBorder="1" applyAlignment="1">
      <alignment horizontal="left" vertical="center" indent="1"/>
    </xf>
    <xf numFmtId="0" fontId="20" fillId="10" borderId="1" xfId="247" applyFont="1" applyBorder="1" applyAlignment="1">
      <alignment horizontal="left" vertical="center" indent="1"/>
    </xf>
    <xf numFmtId="0" fontId="20" fillId="10" borderId="1" xfId="247" applyFont="1" applyBorder="1" applyAlignment="1">
      <alignment horizontal="left" vertical="center" indent="2"/>
    </xf>
    <xf numFmtId="1" fontId="0" fillId="0" borderId="0" xfId="0" applyNumberFormat="1" applyAlignment="1">
      <alignment wrapText="1"/>
    </xf>
    <xf numFmtId="0" fontId="7" fillId="14" borderId="0" xfId="0" applyFont="1" applyFill="1" applyAlignment="1">
      <alignment wrapText="1"/>
    </xf>
    <xf numFmtId="1" fontId="7" fillId="14" borderId="0" xfId="0" applyNumberFormat="1" applyFont="1" applyFill="1" applyAlignment="1">
      <alignment wrapText="1"/>
    </xf>
    <xf numFmtId="2" fontId="0" fillId="0" borderId="0" xfId="0" applyNumberFormat="1" applyAlignment="1">
      <alignment wrapText="1"/>
    </xf>
    <xf numFmtId="0" fontId="17" fillId="9" borderId="27" xfId="1359" applyFill="1" applyBorder="1" applyAlignment="1">
      <alignment horizontal="left"/>
    </xf>
    <xf numFmtId="0" fontId="17" fillId="9" borderId="28" xfId="1359" applyFill="1" applyBorder="1" applyAlignment="1">
      <alignment horizontal="left"/>
    </xf>
    <xf numFmtId="0" fontId="21" fillId="9" borderId="28" xfId="1532" applyFont="1" applyFill="1" applyBorder="1"/>
    <xf numFmtId="0" fontId="6" fillId="9" borderId="0" xfId="1532" applyFill="1"/>
    <xf numFmtId="0" fontId="17" fillId="9" borderId="29" xfId="1359" applyFill="1" applyBorder="1" applyAlignment="1"/>
    <xf numFmtId="0" fontId="22" fillId="9" borderId="0" xfId="1532" applyFont="1" applyFill="1"/>
    <xf numFmtId="0" fontId="21" fillId="9" borderId="0" xfId="1532" applyFont="1" applyFill="1"/>
    <xf numFmtId="0" fontId="20" fillId="15" borderId="19" xfId="2189" applyFont="1" applyFill="1" applyBorder="1" applyAlignment="1">
      <alignment horizontal="left" vertical="top"/>
    </xf>
    <xf numFmtId="0" fontId="20" fillId="15" borderId="30" xfId="2189" applyFont="1" applyFill="1" applyBorder="1" applyAlignment="1">
      <alignment horizontal="center" vertical="center"/>
    </xf>
    <xf numFmtId="0" fontId="20" fillId="9" borderId="31" xfId="1532" applyFont="1" applyFill="1" applyBorder="1" applyAlignment="1">
      <alignment horizontal="center" vertical="center"/>
    </xf>
    <xf numFmtId="0" fontId="20" fillId="15" borderId="32" xfId="2189" applyFont="1" applyFill="1" applyBorder="1" applyAlignment="1">
      <alignment horizontal="center" vertical="center"/>
    </xf>
    <xf numFmtId="0" fontId="20" fillId="15" borderId="31" xfId="2189" applyFont="1" applyFill="1" applyBorder="1" applyAlignment="1">
      <alignment horizontal="center" vertical="center"/>
    </xf>
    <xf numFmtId="0" fontId="20" fillId="9" borderId="32" xfId="1532" applyFont="1" applyFill="1" applyBorder="1" applyAlignment="1">
      <alignment horizontal="center" vertical="center"/>
    </xf>
    <xf numFmtId="0" fontId="20" fillId="15" borderId="25" xfId="2189" applyFont="1" applyFill="1" applyBorder="1" applyAlignment="1">
      <alignment horizontal="left" vertical="top"/>
    </xf>
    <xf numFmtId="0" fontId="20" fillId="15" borderId="33" xfId="2189" applyFont="1" applyFill="1" applyBorder="1" applyAlignment="1">
      <alignment horizontal="center" vertical="center"/>
    </xf>
    <xf numFmtId="0" fontId="20" fillId="15" borderId="34" xfId="2189" applyFont="1" applyFill="1" applyBorder="1" applyAlignment="1">
      <alignment horizontal="center" vertical="center"/>
    </xf>
    <xf numFmtId="0" fontId="20" fillId="15" borderId="19" xfId="2189" applyFont="1" applyFill="1" applyBorder="1" applyAlignment="1">
      <alignment horizontal="center" vertical="center"/>
    </xf>
    <xf numFmtId="0" fontId="20" fillId="15" borderId="35" xfId="2189" applyFont="1" applyFill="1" applyBorder="1" applyAlignment="1">
      <alignment horizontal="center" vertical="center"/>
    </xf>
    <xf numFmtId="0" fontId="20" fillId="15" borderId="36" xfId="2189" applyFont="1" applyFill="1" applyBorder="1" applyAlignment="1">
      <alignment horizontal="center" vertical="center"/>
    </xf>
    <xf numFmtId="0" fontId="20" fillId="15" borderId="26" xfId="2189" applyFont="1" applyFill="1" applyBorder="1" applyAlignment="1">
      <alignment horizontal="center" vertical="center"/>
    </xf>
    <xf numFmtId="0" fontId="20" fillId="9" borderId="26" xfId="1532" applyFont="1" applyFill="1" applyBorder="1" applyAlignment="1">
      <alignment horizontal="center" vertical="center"/>
    </xf>
    <xf numFmtId="0" fontId="20" fillId="15" borderId="20" xfId="2189" applyFont="1" applyFill="1" applyBorder="1" applyAlignment="1">
      <alignment horizontal="left" vertical="top"/>
    </xf>
    <xf numFmtId="0" fontId="20" fillId="15" borderId="23" xfId="2189" applyFont="1" applyFill="1" applyBorder="1" applyAlignment="1">
      <alignment horizontal="center" vertical="center"/>
    </xf>
    <xf numFmtId="0" fontId="20" fillId="15" borderId="37" xfId="2189" applyFont="1" applyFill="1" applyBorder="1" applyAlignment="1">
      <alignment horizontal="center" vertical="center"/>
    </xf>
    <xf numFmtId="0" fontId="20" fillId="15" borderId="21" xfId="2189" applyFont="1" applyFill="1" applyBorder="1" applyAlignment="1">
      <alignment horizontal="center" vertical="center"/>
    </xf>
    <xf numFmtId="0" fontId="20" fillId="9" borderId="22" xfId="1532" applyFont="1" applyFill="1" applyBorder="1" applyAlignment="1">
      <alignment horizontal="center" vertical="center"/>
    </xf>
    <xf numFmtId="0" fontId="20" fillId="9" borderId="23" xfId="1532" applyFont="1" applyFill="1" applyBorder="1" applyAlignment="1">
      <alignment horizontal="center" vertical="center"/>
    </xf>
    <xf numFmtId="0" fontId="20" fillId="15" borderId="1" xfId="2189" applyFont="1" applyFill="1" applyBorder="1" applyAlignment="1">
      <alignment vertical="center"/>
    </xf>
    <xf numFmtId="2" fontId="16" fillId="16" borderId="1" xfId="0" applyNumberFormat="1" applyFont="1" applyFill="1" applyBorder="1" applyAlignment="1">
      <alignment horizontal="right"/>
    </xf>
    <xf numFmtId="2" fontId="16" fillId="13" borderId="1" xfId="0" applyNumberFormat="1" applyFont="1" applyFill="1" applyBorder="1" applyAlignment="1">
      <alignment horizontal="right"/>
    </xf>
    <xf numFmtId="0" fontId="20" fillId="15" borderId="1" xfId="155" applyFont="1" applyFill="1" applyBorder="1">
      <alignment horizontal="left" vertical="center" indent="5"/>
    </xf>
    <xf numFmtId="0" fontId="20" fillId="15" borderId="26" xfId="1731" applyFill="1" applyBorder="1">
      <alignment horizontal="left" vertical="center"/>
    </xf>
    <xf numFmtId="0" fontId="20" fillId="15" borderId="30" xfId="155" applyFont="1" applyFill="1" applyBorder="1">
      <alignment horizontal="left" vertical="center" indent="5"/>
    </xf>
    <xf numFmtId="0" fontId="20" fillId="15" borderId="30" xfId="155" applyFont="1" applyFill="1" applyBorder="1" applyAlignment="1">
      <alignment horizontal="left" vertical="center" indent="2"/>
    </xf>
    <xf numFmtId="0" fontId="20" fillId="16" borderId="1" xfId="0" applyFont="1" applyFill="1" applyBorder="1" applyAlignment="1">
      <alignment horizontal="left" indent="4"/>
    </xf>
    <xf numFmtId="0" fontId="20" fillId="16" borderId="1" xfId="0" applyFont="1" applyFill="1" applyBorder="1" applyAlignment="1">
      <alignment horizontal="left" indent="6"/>
    </xf>
    <xf numFmtId="2" fontId="16" fillId="12" borderId="1" xfId="0" applyNumberFormat="1" applyFont="1" applyFill="1" applyBorder="1" applyAlignment="1">
      <alignment horizontal="right"/>
    </xf>
    <xf numFmtId="0" fontId="20" fillId="15" borderId="30" xfId="2189" applyFont="1" applyFill="1" applyBorder="1" applyAlignment="1">
      <alignment horizontal="left" vertical="center" indent="2"/>
    </xf>
    <xf numFmtId="0" fontId="20" fillId="15" borderId="1" xfId="155" applyFont="1" applyFill="1" applyBorder="1" applyAlignment="1">
      <alignment horizontal="left" vertical="center" indent="2"/>
    </xf>
    <xf numFmtId="0" fontId="23" fillId="15" borderId="1" xfId="1731" applyFont="1" applyFill="1" applyBorder="1">
      <alignment horizontal="left" vertical="center"/>
    </xf>
    <xf numFmtId="0" fontId="23" fillId="15" borderId="1" xfId="155" applyFont="1" applyFill="1" applyBorder="1">
      <alignment horizontal="left" vertical="center" indent="5"/>
    </xf>
    <xf numFmtId="0" fontId="23" fillId="15" borderId="1" xfId="2189" applyFont="1" applyFill="1" applyBorder="1" applyAlignment="1">
      <alignment horizontal="left" vertical="center" indent="2"/>
    </xf>
    <xf numFmtId="0" fontId="23" fillId="15" borderId="1" xfId="2189" applyFont="1" applyFill="1" applyBorder="1" applyAlignment="1">
      <alignment horizontal="left" vertical="center" indent="5"/>
    </xf>
    <xf numFmtId="0" fontId="20" fillId="16" borderId="1" xfId="0" applyFont="1" applyFill="1" applyBorder="1" applyAlignment="1">
      <alignment horizontal="left" indent="8"/>
    </xf>
    <xf numFmtId="0" fontId="20" fillId="15" borderId="1" xfId="1731" applyFill="1" applyBorder="1">
      <alignment horizontal="left" vertical="center"/>
    </xf>
    <xf numFmtId="0" fontId="20" fillId="15" borderId="1" xfId="2189" applyFont="1" applyFill="1" applyBorder="1" applyAlignment="1">
      <alignment horizontal="left" vertical="center" indent="1"/>
    </xf>
    <xf numFmtId="0" fontId="20" fillId="15" borderId="1" xfId="155" applyFont="1" applyFill="1" applyBorder="1" applyAlignment="1">
      <alignment horizontal="left" vertical="center" indent="1"/>
    </xf>
    <xf numFmtId="0" fontId="20" fillId="15" borderId="1" xfId="2189" applyFont="1" applyFill="1" applyBorder="1" applyAlignment="1">
      <alignment horizontal="left" vertical="center" indent="2"/>
    </xf>
    <xf numFmtId="0" fontId="23" fillId="15" borderId="30" xfId="155" applyFont="1" applyFill="1" applyBorder="1" applyAlignment="1">
      <alignment horizontal="left" vertical="center" indent="2"/>
    </xf>
    <xf numFmtId="0" fontId="20" fillId="15" borderId="26" xfId="2189" applyFont="1" applyFill="1" applyBorder="1" applyAlignment="1">
      <alignment vertical="center"/>
    </xf>
    <xf numFmtId="0" fontId="20" fillId="15" borderId="26" xfId="2189" applyFont="1" applyFill="1" applyBorder="1" applyAlignment="1">
      <alignment horizontal="left" vertical="center"/>
    </xf>
    <xf numFmtId="0" fontId="16" fillId="13" borderId="26" xfId="2189" applyFill="1" applyBorder="1" applyAlignment="1">
      <alignment horizontal="right" vertical="center"/>
    </xf>
    <xf numFmtId="0" fontId="20" fillId="15" borderId="1" xfId="2189" applyFont="1" applyFill="1" applyBorder="1" applyAlignment="1">
      <alignment horizontal="left" vertical="center"/>
    </xf>
    <xf numFmtId="2" fontId="7" fillId="14" borderId="0" xfId="0" applyNumberFormat="1" applyFont="1" applyFill="1" applyAlignment="1">
      <alignment wrapText="1"/>
    </xf>
    <xf numFmtId="0" fontId="16" fillId="9" borderId="0" xfId="1532" applyFont="1" applyFill="1"/>
    <xf numFmtId="0" fontId="16" fillId="9" borderId="0" xfId="2189" applyFill="1"/>
    <xf numFmtId="0" fontId="16" fillId="9" borderId="0" xfId="981" applyFont="1" applyFill="1">
      <alignment horizontal="right"/>
    </xf>
    <xf numFmtId="0" fontId="16" fillId="9" borderId="0" xfId="2189" applyFill="1" applyAlignment="1">
      <alignment vertical="center"/>
    </xf>
    <xf numFmtId="0" fontId="20" fillId="10" borderId="19" xfId="2189" applyFont="1" applyFill="1" applyBorder="1" applyAlignment="1">
      <alignment horizontal="left" vertical="center"/>
    </xf>
    <xf numFmtId="0" fontId="20" fillId="10" borderId="32" xfId="2189" applyFont="1" applyFill="1" applyBorder="1" applyAlignment="1">
      <alignment horizontal="center" vertical="center"/>
    </xf>
    <xf numFmtId="0" fontId="20" fillId="10" borderId="30" xfId="2189" applyFont="1" applyFill="1" applyBorder="1" applyAlignment="1">
      <alignment horizontal="center" vertical="center"/>
    </xf>
    <xf numFmtId="0" fontId="20" fillId="10" borderId="30" xfId="2189" applyFont="1" applyFill="1" applyBorder="1" applyAlignment="1">
      <alignment horizontal="center" vertical="center" wrapText="1"/>
    </xf>
    <xf numFmtId="4" fontId="20" fillId="10" borderId="1" xfId="1818" applyNumberFormat="1" applyFont="1" applyFill="1" applyBorder="1" applyAlignment="1">
      <alignment horizontal="center" vertical="center"/>
    </xf>
    <xf numFmtId="0" fontId="20" fillId="10" borderId="1" xfId="2189" applyFont="1" applyFill="1" applyBorder="1" applyAlignment="1">
      <alignment horizontal="center" vertical="center"/>
    </xf>
    <xf numFmtId="0" fontId="20" fillId="10" borderId="20" xfId="2189" applyFont="1" applyFill="1" applyBorder="1" applyAlignment="1">
      <alignment horizontal="left" vertical="center"/>
    </xf>
    <xf numFmtId="0" fontId="20" fillId="10" borderId="22" xfId="2189" applyFont="1" applyFill="1" applyBorder="1" applyAlignment="1">
      <alignment horizontal="center" vertical="center"/>
    </xf>
    <xf numFmtId="0" fontId="20" fillId="10" borderId="23" xfId="2189" applyFont="1" applyFill="1" applyBorder="1" applyAlignment="1">
      <alignment horizontal="center" vertical="center"/>
    </xf>
    <xf numFmtId="0" fontId="20" fillId="10" borderId="21" xfId="2189" applyFont="1" applyFill="1" applyBorder="1" applyAlignment="1">
      <alignment horizontal="center" vertical="center"/>
    </xf>
    <xf numFmtId="0" fontId="20" fillId="10" borderId="38" xfId="2189" applyFont="1" applyFill="1" applyBorder="1" applyAlignment="1">
      <alignment vertical="center"/>
    </xf>
    <xf numFmtId="2" fontId="16" fillId="11" borderId="1" xfId="0" applyNumberFormat="1" applyFont="1" applyFill="1" applyBorder="1" applyAlignment="1">
      <alignment horizontal="right"/>
    </xf>
    <xf numFmtId="0" fontId="20" fillId="10" borderId="1" xfId="2189" applyFont="1" applyFill="1" applyBorder="1" applyAlignment="1">
      <alignment vertical="center"/>
    </xf>
    <xf numFmtId="0" fontId="20" fillId="10" borderId="1" xfId="80" applyFont="1" applyFill="1" applyBorder="1">
      <alignment horizontal="left" vertical="center" indent="2"/>
    </xf>
    <xf numFmtId="0" fontId="20" fillId="10" borderId="26" xfId="2189" applyFont="1" applyFill="1" applyBorder="1" applyAlignment="1">
      <alignment vertical="center"/>
    </xf>
    <xf numFmtId="0" fontId="20" fillId="10" borderId="26" xfId="80" applyFont="1" applyFill="1" applyBorder="1">
      <alignment horizontal="left" vertical="center" indent="2"/>
    </xf>
    <xf numFmtId="0" fontId="20" fillId="10" borderId="19" xfId="80" applyFont="1" applyFill="1" applyBorder="1">
      <alignment horizontal="left" vertical="center" indent="2"/>
    </xf>
    <xf numFmtId="0" fontId="20" fillId="10" borderId="19" xfId="80" applyFont="1" applyFill="1" applyBorder="1" applyAlignment="1">
      <alignment horizontal="left" vertical="center" wrapText="1" indent="2"/>
    </xf>
    <xf numFmtId="0" fontId="20" fillId="10" borderId="26" xfId="1731" applyFill="1" applyBorder="1" applyProtection="1">
      <alignment horizontal="left" vertical="center"/>
    </xf>
    <xf numFmtId="0" fontId="20" fillId="10" borderId="1" xfId="80" applyFont="1" applyFill="1" applyBorder="1" applyAlignment="1">
      <alignment horizontal="left" vertical="center"/>
    </xf>
    <xf numFmtId="0" fontId="20" fillId="10" borderId="19" xfId="80" applyFont="1" applyFill="1" applyBorder="1" applyAlignment="1">
      <alignment horizontal="left" vertical="center"/>
    </xf>
    <xf numFmtId="0" fontId="20" fillId="10" borderId="1" xfId="1731" applyFill="1" applyBorder="1" applyProtection="1">
      <alignment horizontal="left" vertical="center"/>
    </xf>
    <xf numFmtId="0" fontId="20" fillId="10" borderId="26" xfId="1731" applyFill="1" applyBorder="1" applyAlignment="1" applyProtection="1">
      <alignment horizontal="left" vertical="center" wrapText="1"/>
    </xf>
    <xf numFmtId="0" fontId="17" fillId="17" borderId="0" xfId="1359" applyFill="1" applyAlignment="1">
      <alignment horizontal="left" vertical="center"/>
    </xf>
    <xf numFmtId="0" fontId="16" fillId="9" borderId="0" xfId="2189" applyFill="1" applyAlignment="1">
      <alignment horizontal="right" vertical="center"/>
    </xf>
    <xf numFmtId="0" fontId="17" fillId="9" borderId="0" xfId="1359" applyFill="1" applyAlignment="1">
      <alignment vertical="center"/>
    </xf>
    <xf numFmtId="0" fontId="22" fillId="9" borderId="0" xfId="2189" applyFont="1" applyFill="1" applyAlignment="1">
      <alignment vertical="center"/>
    </xf>
    <xf numFmtId="0" fontId="20" fillId="9" borderId="0" xfId="1359" applyFont="1" applyFill="1" applyAlignment="1">
      <alignment vertical="center"/>
    </xf>
    <xf numFmtId="0" fontId="20" fillId="9" borderId="0" xfId="2189" applyFont="1" applyFill="1" applyAlignment="1">
      <alignment vertical="center"/>
    </xf>
    <xf numFmtId="0" fontId="20" fillId="10" borderId="19" xfId="2189" applyFont="1" applyFill="1" applyBorder="1" applyAlignment="1">
      <alignment horizontal="left" vertical="center" wrapText="1"/>
    </xf>
    <xf numFmtId="0" fontId="20" fillId="10" borderId="31" xfId="2189" applyFont="1" applyFill="1" applyBorder="1" applyAlignment="1">
      <alignment horizontal="center" vertical="center" textRotation="90"/>
    </xf>
    <xf numFmtId="0" fontId="20" fillId="10" borderId="1" xfId="2189" applyFont="1" applyFill="1" applyBorder="1" applyAlignment="1">
      <alignment horizontal="center" vertical="center" textRotation="90"/>
    </xf>
    <xf numFmtId="0" fontId="20" fillId="10" borderId="30" xfId="2189" applyFont="1" applyFill="1" applyBorder="1" applyAlignment="1">
      <alignment horizontal="center" vertical="center" textRotation="90"/>
    </xf>
    <xf numFmtId="0" fontId="20" fillId="10" borderId="30" xfId="2189" applyFont="1" applyFill="1" applyBorder="1" applyAlignment="1">
      <alignment horizontal="center" vertical="center" textRotation="90" wrapText="1"/>
    </xf>
    <xf numFmtId="4" fontId="20" fillId="10" borderId="1" xfId="1818" applyNumberFormat="1" applyFont="1" applyFill="1" applyBorder="1" applyAlignment="1">
      <alignment horizontal="center" vertical="center" textRotation="90"/>
    </xf>
    <xf numFmtId="0" fontId="20" fillId="10" borderId="20" xfId="2189" applyFont="1" applyFill="1" applyBorder="1" applyAlignment="1">
      <alignment horizontal="left" vertical="center" wrapText="1"/>
    </xf>
    <xf numFmtId="0" fontId="20" fillId="10" borderId="21" xfId="2189" applyFont="1" applyFill="1" applyBorder="1" applyAlignment="1">
      <alignment horizontal="center" vertical="center" wrapText="1"/>
    </xf>
    <xf numFmtId="0" fontId="20" fillId="10" borderId="23" xfId="2189" applyFont="1" applyFill="1" applyBorder="1" applyAlignment="1">
      <alignment horizontal="center" vertical="center" wrapText="1"/>
    </xf>
    <xf numFmtId="0" fontId="20" fillId="10" borderId="22" xfId="2189" applyFont="1" applyFill="1" applyBorder="1" applyAlignment="1">
      <alignment horizontal="center" vertical="center" wrapText="1"/>
    </xf>
    <xf numFmtId="0" fontId="20" fillId="10" borderId="37" xfId="2189" applyFont="1" applyFill="1" applyBorder="1" applyAlignment="1">
      <alignment horizontal="center" vertical="center"/>
    </xf>
    <xf numFmtId="0" fontId="20" fillId="10" borderId="26" xfId="2189" applyFont="1" applyFill="1" applyBorder="1" applyAlignment="1">
      <alignment horizontal="left" vertical="center" wrapText="1"/>
    </xf>
    <xf numFmtId="0" fontId="16" fillId="10" borderId="1" xfId="80" applyFont="1" applyFill="1" applyBorder="1" applyAlignment="1">
      <alignment horizontal="left" vertical="center"/>
    </xf>
    <xf numFmtId="0" fontId="16" fillId="10" borderId="1" xfId="155" applyFont="1" applyFill="1" applyBorder="1" applyAlignment="1">
      <alignment horizontal="left" vertical="center"/>
    </xf>
    <xf numFmtId="0" fontId="16" fillId="10" borderId="19" xfId="80" applyFont="1" applyFill="1" applyBorder="1" applyAlignment="1">
      <alignment horizontal="left" vertical="center"/>
    </xf>
    <xf numFmtId="0" fontId="20" fillId="10" borderId="1" xfId="2189" applyFont="1" applyFill="1" applyBorder="1" applyAlignment="1">
      <alignment horizontal="left" vertical="center" wrapText="1"/>
    </xf>
    <xf numFmtId="0" fontId="20" fillId="10" borderId="26" xfId="2189" applyFont="1" applyFill="1" applyBorder="1" applyAlignment="1">
      <alignment horizontal="left" vertical="center"/>
    </xf>
    <xf numFmtId="0" fontId="16" fillId="11" borderId="1" xfId="0" applyFont="1" applyFill="1" applyBorder="1" applyAlignment="1">
      <alignment horizontal="left" indent="2"/>
    </xf>
    <xf numFmtId="0" fontId="20" fillId="10" borderId="37" xfId="2189" applyFont="1" applyFill="1" applyBorder="1" applyAlignment="1">
      <alignment horizontal="left" vertical="center"/>
    </xf>
    <xf numFmtId="0" fontId="20" fillId="9" borderId="22" xfId="1532" applyFont="1" applyFill="1" applyBorder="1" applyAlignment="1">
      <alignment horizontal="center" vertical="center" wrapText="1"/>
    </xf>
    <xf numFmtId="0" fontId="20" fillId="9" borderId="23" xfId="1532" applyFont="1" applyFill="1" applyBorder="1" applyAlignment="1">
      <alignment horizontal="center" vertical="center" wrapText="1"/>
    </xf>
    <xf numFmtId="0" fontId="16" fillId="10" borderId="1" xfId="2189" applyFill="1" applyBorder="1" applyAlignment="1">
      <alignment horizontal="left" vertical="center" wrapText="1"/>
    </xf>
    <xf numFmtId="0" fontId="16" fillId="10" borderId="1" xfId="2189" applyFill="1" applyBorder="1" applyAlignment="1">
      <alignment vertical="center" wrapText="1"/>
    </xf>
    <xf numFmtId="0" fontId="16" fillId="10" borderId="1" xfId="1731" applyFont="1" applyFill="1" applyBorder="1" applyProtection="1">
      <alignment horizontal="left" vertical="center"/>
    </xf>
    <xf numFmtId="0" fontId="16" fillId="10" borderId="1" xfId="1731" applyFont="1" applyFill="1" applyBorder="1" applyAlignment="1" applyProtection="1">
      <alignment horizontal="left" vertical="center" wrapText="1"/>
    </xf>
    <xf numFmtId="0" fontId="16" fillId="10" borderId="1" xfId="2189" applyFill="1" applyBorder="1" applyAlignment="1">
      <alignment vertical="center"/>
    </xf>
    <xf numFmtId="0" fontId="20" fillId="10" borderId="19" xfId="1731" applyFill="1" applyBorder="1" applyProtection="1">
      <alignment horizontal="left" vertical="center"/>
    </xf>
    <xf numFmtId="0" fontId="20" fillId="10" borderId="31" xfId="1731" applyFill="1" applyBorder="1" applyAlignment="1" applyProtection="1">
      <alignment horizontal="center" vertical="center"/>
    </xf>
    <xf numFmtId="0" fontId="20" fillId="10" borderId="20" xfId="1731" applyFill="1" applyBorder="1" applyProtection="1">
      <alignment horizontal="left" vertical="center"/>
    </xf>
    <xf numFmtId="0" fontId="20" fillId="10" borderId="38" xfId="1731" applyFill="1" applyBorder="1" applyProtection="1">
      <alignment horizontal="left" vertical="center"/>
    </xf>
    <xf numFmtId="0" fontId="16" fillId="10" borderId="1" xfId="80" applyFont="1" applyFill="1" applyBorder="1">
      <alignment horizontal="left" vertical="center" indent="2"/>
    </xf>
    <xf numFmtId="0" fontId="24" fillId="10" borderId="1" xfId="80" applyFont="1" applyFill="1" applyBorder="1" applyAlignment="1">
      <alignment horizontal="left" vertical="center" indent="4"/>
    </xf>
    <xf numFmtId="0" fontId="16" fillId="10" borderId="1" xfId="155" applyFont="1" applyFill="1" applyBorder="1">
      <alignment horizontal="left" vertical="center" indent="5"/>
    </xf>
    <xf numFmtId="0" fontId="16" fillId="11" borderId="1" xfId="0" applyFont="1" applyFill="1" applyBorder="1" applyAlignment="1">
      <alignment horizontal="left" indent="8"/>
    </xf>
    <xf numFmtId="0" fontId="16" fillId="11" borderId="1" xfId="0" applyFont="1" applyFill="1" applyBorder="1" applyAlignment="1">
      <alignment horizontal="left" indent="4"/>
    </xf>
    <xf numFmtId="0" fontId="16" fillId="10" borderId="1" xfId="80" applyFont="1" applyFill="1" applyBorder="1" applyAlignment="1">
      <alignment horizontal="left" vertical="center" indent="4"/>
    </xf>
    <xf numFmtId="0" fontId="16" fillId="11" borderId="1" xfId="0" applyFont="1" applyFill="1" applyBorder="1" applyAlignment="1">
      <alignment horizontal="left" indent="6"/>
    </xf>
    <xf numFmtId="0" fontId="16" fillId="10" borderId="26" xfId="80" applyFont="1" applyFill="1" applyBorder="1">
      <alignment horizontal="left" vertical="center" indent="2"/>
    </xf>
    <xf numFmtId="2" fontId="20" fillId="10" borderId="24" xfId="2189" applyNumberFormat="1" applyFont="1" applyFill="1" applyBorder="1" applyAlignment="1">
      <alignment horizontal="left" vertical="center"/>
    </xf>
    <xf numFmtId="2" fontId="20" fillId="10" borderId="1" xfId="2189" applyNumberFormat="1" applyFont="1" applyFill="1" applyBorder="1" applyAlignment="1">
      <alignment horizontal="left" vertical="center"/>
    </xf>
    <xf numFmtId="2" fontId="20" fillId="10" borderId="26" xfId="2189" applyNumberFormat="1" applyFont="1" applyFill="1" applyBorder="1" applyAlignment="1">
      <alignment horizontal="left" vertical="center"/>
    </xf>
    <xf numFmtId="0" fontId="20" fillId="14" borderId="0" xfId="1731" applyFill="1" applyBorder="1" applyProtection="1">
      <alignment horizontal="left" vertical="center"/>
    </xf>
    <xf numFmtId="2" fontId="7" fillId="14" borderId="0" xfId="0" applyNumberFormat="1" applyFont="1" applyFill="1"/>
    <xf numFmtId="0" fontId="16" fillId="9" borderId="0" xfId="2190" applyFont="1" applyFill="1"/>
    <xf numFmtId="0" fontId="20" fillId="10" borderId="19" xfId="2190" applyFont="1" applyFill="1" applyBorder="1" applyAlignment="1">
      <alignment horizontal="left" vertical="center" wrapText="1"/>
    </xf>
    <xf numFmtId="0" fontId="20" fillId="10" borderId="31" xfId="2190" applyFont="1" applyFill="1" applyBorder="1" applyAlignment="1">
      <alignment horizontal="center" vertical="center" wrapText="1"/>
    </xf>
    <xf numFmtId="0" fontId="20" fillId="10" borderId="20" xfId="2190" applyFont="1" applyFill="1" applyBorder="1" applyAlignment="1">
      <alignment horizontal="left" vertical="center" wrapText="1"/>
    </xf>
    <xf numFmtId="0" fontId="20" fillId="10" borderId="21" xfId="2190" applyFont="1" applyFill="1" applyBorder="1" applyAlignment="1">
      <alignment horizontal="center" vertical="top" wrapText="1"/>
    </xf>
    <xf numFmtId="0" fontId="20" fillId="10" borderId="22" xfId="2190" applyFont="1" applyFill="1" applyBorder="1" applyAlignment="1">
      <alignment horizontal="center" vertical="top" wrapText="1"/>
    </xf>
    <xf numFmtId="0" fontId="20" fillId="10" borderId="23" xfId="2190" applyFont="1" applyFill="1" applyBorder="1" applyAlignment="1">
      <alignment horizontal="center" vertical="top" wrapText="1"/>
    </xf>
    <xf numFmtId="0" fontId="20" fillId="10" borderId="24" xfId="2190" applyFont="1" applyFill="1" applyBorder="1" applyAlignment="1">
      <alignment vertical="top" wrapText="1"/>
    </xf>
    <xf numFmtId="0" fontId="20" fillId="10" borderId="26" xfId="2190" applyFont="1" applyFill="1" applyBorder="1" applyAlignment="1">
      <alignment horizontal="left" vertical="top" wrapText="1"/>
    </xf>
    <xf numFmtId="0" fontId="16" fillId="10" borderId="1" xfId="2190" applyFont="1" applyFill="1" applyBorder="1" applyAlignment="1">
      <alignment horizontal="left" vertical="top" wrapText="1"/>
    </xf>
    <xf numFmtId="0" fontId="16" fillId="10" borderId="19" xfId="2190" applyFont="1" applyFill="1" applyBorder="1" applyAlignment="1">
      <alignment horizontal="left" vertical="top" wrapText="1"/>
    </xf>
    <xf numFmtId="0" fontId="20" fillId="10" borderId="1" xfId="2190" applyFont="1" applyFill="1" applyBorder="1" applyAlignment="1">
      <alignment horizontal="left" vertical="top" wrapText="1"/>
    </xf>
    <xf numFmtId="0" fontId="20" fillId="10" borderId="1" xfId="338" applyFont="1" applyAlignment="1">
      <alignment horizontal="left" vertical="center"/>
    </xf>
    <xf numFmtId="0" fontId="17" fillId="9" borderId="0" xfId="1359" applyFill="1" applyAlignment="1">
      <alignment horizontal="left" vertical="center"/>
    </xf>
    <xf numFmtId="0" fontId="16" fillId="9" borderId="0" xfId="1243" applyFont="1" applyFill="1" applyBorder="1"/>
    <xf numFmtId="4" fontId="20" fillId="10" borderId="19" xfId="2189" applyNumberFormat="1" applyFont="1" applyFill="1" applyBorder="1" applyAlignment="1">
      <alignment horizontal="left" vertical="center" wrapText="1"/>
    </xf>
    <xf numFmtId="4" fontId="20" fillId="10" borderId="31" xfId="2189" applyNumberFormat="1" applyFont="1" applyFill="1" applyBorder="1" applyAlignment="1">
      <alignment horizontal="center" vertical="center"/>
    </xf>
    <xf numFmtId="4" fontId="20" fillId="10" borderId="1" xfId="2189" applyNumberFormat="1" applyFont="1" applyFill="1" applyBorder="1" applyAlignment="1">
      <alignment horizontal="center" vertical="center"/>
    </xf>
    <xf numFmtId="4" fontId="20" fillId="10" borderId="30" xfId="2189" applyNumberFormat="1" applyFont="1" applyFill="1" applyBorder="1" applyAlignment="1">
      <alignment horizontal="center" vertical="center"/>
    </xf>
    <xf numFmtId="4" fontId="20" fillId="10" borderId="20" xfId="2189" applyNumberFormat="1" applyFont="1" applyFill="1" applyBorder="1" applyAlignment="1">
      <alignment horizontal="left" vertical="center" wrapText="1"/>
    </xf>
    <xf numFmtId="4" fontId="20" fillId="10" borderId="21" xfId="2189" applyNumberFormat="1" applyFont="1" applyFill="1" applyBorder="1" applyAlignment="1">
      <alignment horizontal="center" vertical="center"/>
    </xf>
    <xf numFmtId="4" fontId="20" fillId="10" borderId="22" xfId="2189" applyNumberFormat="1" applyFont="1" applyFill="1" applyBorder="1" applyAlignment="1">
      <alignment horizontal="center" vertical="center"/>
    </xf>
    <xf numFmtId="4" fontId="20" fillId="10" borderId="23" xfId="2189" applyNumberFormat="1" applyFont="1" applyFill="1" applyBorder="1" applyAlignment="1">
      <alignment horizontal="center" vertical="center"/>
    </xf>
    <xf numFmtId="4" fontId="20" fillId="10" borderId="25" xfId="2189" applyNumberFormat="1" applyFont="1" applyFill="1" applyBorder="1" applyAlignment="1">
      <alignment vertical="center"/>
    </xf>
    <xf numFmtId="4" fontId="20" fillId="10" borderId="1" xfId="2189" applyNumberFormat="1" applyFont="1" applyFill="1" applyBorder="1" applyAlignment="1">
      <alignment vertical="center"/>
    </xf>
    <xf numFmtId="0" fontId="16" fillId="10" borderId="1" xfId="80" applyFont="1" applyFill="1" applyBorder="1" applyAlignment="1">
      <alignment horizontal="left" vertical="center" wrapText="1"/>
    </xf>
    <xf numFmtId="4" fontId="16" fillId="10" borderId="1" xfId="2189" applyNumberFormat="1" applyFill="1" applyBorder="1" applyAlignment="1">
      <alignment horizontal="left" vertical="center"/>
    </xf>
    <xf numFmtId="4" fontId="16" fillId="10" borderId="1" xfId="2189" applyNumberFormat="1" applyFill="1" applyBorder="1" applyAlignment="1">
      <alignment horizontal="left" vertical="center" wrapText="1"/>
    </xf>
    <xf numFmtId="0" fontId="1" fillId="14" borderId="0" xfId="1731" applyNumberFormat="1" applyFont="1" applyFill="1" applyBorder="1" applyAlignment="1">
      <alignment horizontal="center" vertical="center"/>
    </xf>
    <xf numFmtId="0" fontId="25" fillId="0" borderId="0" xfId="0" applyFont="1" applyAlignment="1">
      <alignment wrapText="1"/>
    </xf>
    <xf numFmtId="1" fontId="25" fillId="0" borderId="0" xfId="0" applyNumberFormat="1" applyFont="1" applyAlignment="1">
      <alignment horizontal="right" wrapText="1"/>
    </xf>
    <xf numFmtId="0" fontId="8" fillId="0" borderId="0" xfId="0" applyFont="1" applyAlignment="1">
      <alignment horizontal="right" wrapText="1"/>
    </xf>
    <xf numFmtId="1" fontId="8" fillId="0" borderId="0" xfId="0" applyNumberFormat="1" applyFont="1" applyAlignment="1">
      <alignment horizontal="right" wrapText="1"/>
    </xf>
    <xf numFmtId="1" fontId="8" fillId="0" borderId="0" xfId="0" applyNumberFormat="1" applyFont="1" applyAlignment="1">
      <alignment horizontal="right"/>
    </xf>
    <xf numFmtId="2" fontId="8" fillId="0" borderId="0" xfId="0" applyNumberFormat="1" applyFont="1" applyAlignment="1">
      <alignment wrapText="1"/>
    </xf>
    <xf numFmtId="1" fontId="7" fillId="0" borderId="0" xfId="0" applyNumberFormat="1" applyFont="1" applyAlignment="1">
      <alignment wrapText="1"/>
    </xf>
    <xf numFmtId="0" fontId="7" fillId="14" borderId="0" xfId="0" applyFont="1" applyFill="1"/>
    <xf numFmtId="183" fontId="0" fillId="0" borderId="0" xfId="1" applyNumberFormat="1" applyFont="1" applyAlignment="1"/>
    <xf numFmtId="0" fontId="7" fillId="0" borderId="39" xfId="0" applyFont="1" applyBorder="1" applyAlignment="1">
      <alignment wrapText="1"/>
    </xf>
    <xf numFmtId="1" fontId="7" fillId="0" borderId="40" xfId="0" applyNumberFormat="1" applyFont="1" applyBorder="1" applyAlignment="1">
      <alignment wrapText="1"/>
    </xf>
    <xf numFmtId="9" fontId="0" fillId="0" borderId="0" xfId="3" applyFont="1" applyAlignment="1">
      <alignment wrapText="1"/>
    </xf>
    <xf numFmtId="0" fontId="26" fillId="0" borderId="0" xfId="0" applyFont="1" applyAlignment="1">
      <alignment horizontal="left" vertical="top"/>
    </xf>
    <xf numFmtId="0" fontId="0" fillId="0" borderId="0" xfId="0" applyAlignment="1">
      <alignment horizontal="left" vertical="top"/>
    </xf>
    <xf numFmtId="0" fontId="27" fillId="18" borderId="41" xfId="0" applyFont="1" applyFill="1" applyBorder="1" applyAlignment="1">
      <alignment horizontal="center" vertical="top" wrapText="1"/>
    </xf>
    <xf numFmtId="0" fontId="27" fillId="18" borderId="41" xfId="0" applyFont="1" applyFill="1" applyBorder="1" applyAlignment="1">
      <alignment horizontal="left" vertical="top" wrapText="1"/>
    </xf>
    <xf numFmtId="0" fontId="28" fillId="18" borderId="41" xfId="0" applyFont="1" applyFill="1" applyBorder="1" applyAlignment="1">
      <alignment horizontal="left" vertical="top" wrapText="1"/>
    </xf>
    <xf numFmtId="0" fontId="0" fillId="18" borderId="41" xfId="0" applyFill="1" applyBorder="1" applyAlignment="1">
      <alignment horizontal="left" vertical="top" wrapText="1"/>
    </xf>
    <xf numFmtId="0" fontId="0" fillId="18" borderId="41" xfId="0" applyFill="1" applyBorder="1" applyAlignment="1">
      <alignment horizontal="center" vertical="top" wrapText="1"/>
    </xf>
    <xf numFmtId="0" fontId="29" fillId="19" borderId="42" xfId="0" applyFont="1" applyFill="1" applyBorder="1" applyAlignment="1">
      <alignment horizontal="left" vertical="top" wrapText="1"/>
    </xf>
    <xf numFmtId="0" fontId="0" fillId="19" borderId="42" xfId="0" applyFill="1" applyBorder="1" applyAlignment="1">
      <alignment horizontal="center" vertical="top" wrapText="1"/>
    </xf>
    <xf numFmtId="0" fontId="29" fillId="19" borderId="42" xfId="0" applyFont="1" applyFill="1" applyBorder="1" applyAlignment="1">
      <alignment horizontal="center" vertical="top" wrapText="1"/>
    </xf>
    <xf numFmtId="182" fontId="30" fillId="19" borderId="42" xfId="0" applyNumberFormat="1" applyFont="1" applyFill="1" applyBorder="1" applyAlignment="1">
      <alignment horizontal="center" vertical="top" wrapText="1"/>
    </xf>
    <xf numFmtId="0" fontId="29" fillId="0" borderId="43" xfId="0" applyFont="1" applyBorder="1" applyAlignment="1">
      <alignment horizontal="left" vertical="top" wrapText="1"/>
    </xf>
    <xf numFmtId="0" fontId="0" fillId="0" borderId="43" xfId="0" applyBorder="1" applyAlignment="1">
      <alignment horizontal="center" vertical="top" wrapText="1"/>
    </xf>
    <xf numFmtId="182" fontId="30" fillId="0" borderId="43" xfId="0" applyNumberFormat="1" applyFont="1" applyBorder="1" applyAlignment="1">
      <alignment horizontal="center" vertical="top" wrapText="1"/>
    </xf>
    <xf numFmtId="0" fontId="29" fillId="19" borderId="43" xfId="0" applyFont="1" applyFill="1" applyBorder="1" applyAlignment="1">
      <alignment horizontal="left" vertical="top" wrapText="1"/>
    </xf>
    <xf numFmtId="0" fontId="0" fillId="19" borderId="43" xfId="0" applyFill="1" applyBorder="1" applyAlignment="1">
      <alignment horizontal="center" vertical="top" wrapText="1"/>
    </xf>
    <xf numFmtId="182" fontId="30" fillId="19" borderId="43" xfId="0" applyNumberFormat="1" applyFont="1" applyFill="1" applyBorder="1" applyAlignment="1">
      <alignment horizontal="center" vertical="top" wrapText="1"/>
    </xf>
    <xf numFmtId="0" fontId="29" fillId="0" borderId="44" xfId="0" applyFont="1" applyBorder="1" applyAlignment="1">
      <alignment horizontal="left" vertical="top" wrapText="1"/>
    </xf>
    <xf numFmtId="0" fontId="0" fillId="0" borderId="44" xfId="0" applyBorder="1" applyAlignment="1">
      <alignment horizontal="center" vertical="top" wrapText="1"/>
    </xf>
    <xf numFmtId="182" fontId="30" fillId="0" borderId="44" xfId="0" applyNumberFormat="1" applyFont="1" applyBorder="1" applyAlignment="1">
      <alignment horizontal="center" vertical="top" wrapText="1"/>
    </xf>
    <xf numFmtId="184" fontId="31" fillId="19" borderId="42" xfId="0" applyNumberFormat="1" applyFont="1" applyFill="1" applyBorder="1" applyAlignment="1">
      <alignment horizontal="center" vertical="top" wrapText="1"/>
    </xf>
    <xf numFmtId="185" fontId="31" fillId="19" borderId="42" xfId="0" applyNumberFormat="1" applyFont="1" applyFill="1" applyBorder="1" applyAlignment="1">
      <alignment horizontal="center" vertical="top" wrapText="1"/>
    </xf>
    <xf numFmtId="184" fontId="31" fillId="0" borderId="43" xfId="0" applyNumberFormat="1" applyFont="1" applyBorder="1" applyAlignment="1">
      <alignment horizontal="left" vertical="top" wrapText="1"/>
    </xf>
    <xf numFmtId="185" fontId="31" fillId="0" borderId="43" xfId="0" applyNumberFormat="1" applyFont="1" applyBorder="1" applyAlignment="1">
      <alignment horizontal="center" vertical="top" wrapText="1"/>
    </xf>
    <xf numFmtId="186" fontId="30" fillId="0" borderId="43" xfId="0" applyNumberFormat="1" applyFont="1" applyBorder="1" applyAlignment="1">
      <alignment horizontal="left" vertical="top" wrapText="1"/>
    </xf>
    <xf numFmtId="184" fontId="31" fillId="19" borderId="43" xfId="0" applyNumberFormat="1" applyFont="1" applyFill="1" applyBorder="1" applyAlignment="1">
      <alignment horizontal="left" vertical="top" wrapText="1"/>
    </xf>
    <xf numFmtId="185" fontId="31" fillId="19" borderId="43" xfId="0" applyNumberFormat="1" applyFont="1" applyFill="1" applyBorder="1" applyAlignment="1">
      <alignment horizontal="center" vertical="top" wrapText="1"/>
    </xf>
    <xf numFmtId="186" fontId="30" fillId="19" borderId="43" xfId="0" applyNumberFormat="1" applyFont="1" applyFill="1" applyBorder="1" applyAlignment="1">
      <alignment horizontal="left" vertical="top" wrapText="1"/>
    </xf>
    <xf numFmtId="0" fontId="0" fillId="0" borderId="43" xfId="0" applyBorder="1" applyAlignment="1">
      <alignment horizontal="left" vertical="top" wrapText="1"/>
    </xf>
    <xf numFmtId="184" fontId="31" fillId="0" borderId="43" xfId="0" applyNumberFormat="1" applyFont="1" applyBorder="1" applyAlignment="1">
      <alignment horizontal="center" vertical="top" wrapText="1"/>
    </xf>
    <xf numFmtId="0" fontId="0" fillId="19" borderId="43" xfId="0" applyFill="1" applyBorder="1" applyAlignment="1">
      <alignment horizontal="left" vertical="top" wrapText="1"/>
    </xf>
    <xf numFmtId="0" fontId="0" fillId="0" borderId="44" xfId="0" applyBorder="1" applyAlignment="1">
      <alignment horizontal="left" vertical="top" wrapText="1"/>
    </xf>
    <xf numFmtId="187" fontId="31" fillId="0" borderId="44" xfId="0" applyNumberFormat="1" applyFont="1" applyBorder="1" applyAlignment="1">
      <alignment horizontal="left" vertical="top" wrapText="1"/>
    </xf>
    <xf numFmtId="185" fontId="31" fillId="0" borderId="44" xfId="0" applyNumberFormat="1" applyFont="1" applyBorder="1" applyAlignment="1">
      <alignment horizontal="center" vertical="top" wrapText="1"/>
    </xf>
    <xf numFmtId="184" fontId="31" fillId="19" borderId="43" xfId="0" applyNumberFormat="1" applyFont="1" applyFill="1" applyBorder="1" applyAlignment="1">
      <alignment horizontal="center" vertical="top" wrapText="1"/>
    </xf>
    <xf numFmtId="0" fontId="0" fillId="19" borderId="44" xfId="0" applyFill="1" applyBorder="1" applyAlignment="1">
      <alignment horizontal="left" vertical="top" wrapText="1"/>
    </xf>
    <xf numFmtId="0" fontId="29" fillId="19" borderId="44" xfId="0" applyFont="1" applyFill="1" applyBorder="1" applyAlignment="1">
      <alignment horizontal="left" vertical="top" wrapText="1"/>
    </xf>
    <xf numFmtId="185" fontId="31" fillId="19" borderId="44" xfId="0" applyNumberFormat="1" applyFont="1" applyFill="1" applyBorder="1" applyAlignment="1">
      <alignment horizontal="center" vertical="top" wrapText="1"/>
    </xf>
    <xf numFmtId="182" fontId="30" fillId="19" borderId="44" xfId="0" applyNumberFormat="1" applyFont="1" applyFill="1" applyBorder="1" applyAlignment="1">
      <alignment horizontal="center" vertical="top" wrapText="1"/>
    </xf>
    <xf numFmtId="0" fontId="32" fillId="19" borderId="44" xfId="0" applyFont="1" applyFill="1" applyBorder="1" applyAlignment="1">
      <alignment horizontal="center" vertical="top" wrapText="1"/>
    </xf>
    <xf numFmtId="184" fontId="31" fillId="19" borderId="42" xfId="0" applyNumberFormat="1" applyFont="1" applyFill="1" applyBorder="1" applyAlignment="1">
      <alignment horizontal="left" vertical="top" wrapText="1"/>
    </xf>
    <xf numFmtId="186" fontId="33" fillId="19" borderId="42" xfId="0" applyNumberFormat="1" applyFont="1" applyFill="1" applyBorder="1" applyAlignment="1">
      <alignment horizontal="left" vertical="top" wrapText="1"/>
    </xf>
    <xf numFmtId="182" fontId="33" fillId="0" borderId="43" xfId="0" applyNumberFormat="1" applyFont="1" applyBorder="1" applyAlignment="1">
      <alignment horizontal="center" vertical="top" wrapText="1"/>
    </xf>
    <xf numFmtId="182" fontId="33" fillId="0" borderId="43" xfId="0" applyNumberFormat="1" applyFont="1" applyBorder="1" applyAlignment="1">
      <alignment horizontal="left" vertical="top" wrapText="1"/>
    </xf>
    <xf numFmtId="182" fontId="33" fillId="19" borderId="43" xfId="0" applyNumberFormat="1" applyFont="1" applyFill="1" applyBorder="1" applyAlignment="1">
      <alignment horizontal="center" vertical="top" wrapText="1"/>
    </xf>
    <xf numFmtId="182" fontId="33" fillId="19" borderId="43" xfId="0" applyNumberFormat="1" applyFont="1" applyFill="1" applyBorder="1" applyAlignment="1">
      <alignment horizontal="left" vertical="top" wrapText="1"/>
    </xf>
    <xf numFmtId="0" fontId="34" fillId="19" borderId="43" xfId="0" applyFont="1" applyFill="1" applyBorder="1" applyAlignment="1">
      <alignment horizontal="center" vertical="top" wrapText="1"/>
    </xf>
    <xf numFmtId="0" fontId="34" fillId="0" borderId="43" xfId="0" applyFont="1" applyBorder="1" applyAlignment="1">
      <alignment horizontal="center" vertical="top" wrapText="1"/>
    </xf>
    <xf numFmtId="182" fontId="33" fillId="0" borderId="44" xfId="0" applyNumberFormat="1" applyFont="1" applyBorder="1" applyAlignment="1">
      <alignment horizontal="center" vertical="top" wrapText="1"/>
    </xf>
    <xf numFmtId="0" fontId="34" fillId="0" borderId="44" xfId="0" applyFont="1" applyBorder="1" applyAlignment="1">
      <alignment horizontal="center" vertical="top" wrapText="1"/>
    </xf>
    <xf numFmtId="0" fontId="0" fillId="19" borderId="42" xfId="0" applyFill="1" applyBorder="1" applyAlignment="1">
      <alignment horizontal="left" vertical="top" wrapText="1"/>
    </xf>
    <xf numFmtId="185" fontId="31" fillId="19" borderId="42" xfId="0" applyNumberFormat="1" applyFont="1" applyFill="1" applyBorder="1" applyAlignment="1">
      <alignment horizontal="left" vertical="top" wrapText="1"/>
    </xf>
    <xf numFmtId="182" fontId="33" fillId="19" borderId="42" xfId="0" applyNumberFormat="1" applyFont="1" applyFill="1" applyBorder="1" applyAlignment="1">
      <alignment horizontal="center" vertical="top" wrapText="1"/>
    </xf>
    <xf numFmtId="0" fontId="34" fillId="19" borderId="42" xfId="0" applyFont="1" applyFill="1" applyBorder="1" applyAlignment="1">
      <alignment horizontal="center" vertical="top" wrapText="1"/>
    </xf>
    <xf numFmtId="185" fontId="31" fillId="0" borderId="43" xfId="0" applyNumberFormat="1" applyFont="1" applyBorder="1" applyAlignment="1">
      <alignment horizontal="left" vertical="top" wrapText="1"/>
    </xf>
    <xf numFmtId="185" fontId="31" fillId="19" borderId="43" xfId="0" applyNumberFormat="1" applyFont="1" applyFill="1" applyBorder="1" applyAlignment="1">
      <alignment horizontal="left" vertical="top" wrapText="1"/>
    </xf>
    <xf numFmtId="185" fontId="31" fillId="19" borderId="44" xfId="0" applyNumberFormat="1" applyFont="1" applyFill="1" applyBorder="1" applyAlignment="1">
      <alignment horizontal="left" vertical="top" wrapText="1"/>
    </xf>
    <xf numFmtId="0" fontId="34" fillId="19" borderId="44" xfId="0" applyFont="1" applyFill="1" applyBorder="1" applyAlignment="1">
      <alignment horizontal="center" vertical="top" wrapText="1"/>
    </xf>
    <xf numFmtId="185" fontId="31" fillId="0" borderId="44" xfId="0" applyNumberFormat="1" applyFont="1" applyBorder="1" applyAlignment="1">
      <alignment horizontal="left" vertical="top" wrapText="1"/>
    </xf>
    <xf numFmtId="188" fontId="31" fillId="19" borderId="42" xfId="0" applyNumberFormat="1" applyFont="1" applyFill="1" applyBorder="1" applyAlignment="1">
      <alignment horizontal="left" vertical="top" wrapText="1"/>
    </xf>
    <xf numFmtId="184" fontId="31" fillId="0" borderId="44" xfId="0" applyNumberFormat="1" applyFont="1" applyBorder="1" applyAlignment="1">
      <alignment horizontal="left" vertical="top" wrapText="1"/>
    </xf>
    <xf numFmtId="182" fontId="33" fillId="0" borderId="44" xfId="0" applyNumberFormat="1" applyFont="1" applyBorder="1" applyAlignment="1">
      <alignment horizontal="left" vertical="top" wrapText="1"/>
    </xf>
    <xf numFmtId="187" fontId="31" fillId="0" borderId="43" xfId="0" applyNumberFormat="1" applyFont="1" applyBorder="1" applyAlignment="1">
      <alignment horizontal="left" vertical="top" wrapText="1"/>
    </xf>
    <xf numFmtId="186" fontId="33" fillId="0" borderId="43" xfId="0" applyNumberFormat="1" applyFont="1" applyBorder="1" applyAlignment="1">
      <alignment horizontal="left" vertical="top" wrapText="1"/>
    </xf>
    <xf numFmtId="186" fontId="33" fillId="19" borderId="43" xfId="0" applyNumberFormat="1" applyFont="1" applyFill="1" applyBorder="1" applyAlignment="1">
      <alignment horizontal="left" vertical="top" wrapText="1"/>
    </xf>
    <xf numFmtId="187" fontId="31" fillId="19" borderId="43" xfId="0" applyNumberFormat="1" applyFont="1" applyFill="1" applyBorder="1" applyAlignment="1">
      <alignment horizontal="left" vertical="top" wrapText="1"/>
    </xf>
    <xf numFmtId="0" fontId="0" fillId="19" borderId="44" xfId="0" applyFill="1" applyBorder="1" applyAlignment="1">
      <alignment horizontal="center" vertical="top" wrapText="1"/>
    </xf>
    <xf numFmtId="187" fontId="31" fillId="19" borderId="44" xfId="0" applyNumberFormat="1" applyFont="1" applyFill="1" applyBorder="1" applyAlignment="1">
      <alignment horizontal="left" vertical="top" wrapText="1"/>
    </xf>
    <xf numFmtId="182" fontId="33" fillId="19" borderId="44" xfId="0" applyNumberFormat="1" applyFont="1" applyFill="1" applyBorder="1" applyAlignment="1">
      <alignment horizontal="left" vertical="top" wrapText="1"/>
    </xf>
    <xf numFmtId="186" fontId="33" fillId="19" borderId="44" xfId="0" applyNumberFormat="1" applyFont="1" applyFill="1" applyBorder="1" applyAlignment="1">
      <alignment horizontal="left" vertical="top" wrapText="1"/>
    </xf>
    <xf numFmtId="187" fontId="31" fillId="19" borderId="42" xfId="0" applyNumberFormat="1" applyFont="1" applyFill="1" applyBorder="1" applyAlignment="1">
      <alignment horizontal="left" vertical="top" wrapText="1"/>
    </xf>
    <xf numFmtId="182" fontId="33" fillId="19" borderId="42" xfId="0" applyNumberFormat="1" applyFont="1" applyFill="1" applyBorder="1" applyAlignment="1">
      <alignment horizontal="left" vertical="top" wrapText="1"/>
    </xf>
    <xf numFmtId="188" fontId="31" fillId="0" borderId="43" xfId="0" applyNumberFormat="1" applyFont="1" applyBorder="1" applyAlignment="1">
      <alignment horizontal="left" vertical="top" wrapText="1"/>
    </xf>
    <xf numFmtId="184" fontId="31" fillId="19" borderId="44" xfId="0" applyNumberFormat="1" applyFont="1" applyFill="1" applyBorder="1" applyAlignment="1">
      <alignment horizontal="left" vertical="top" wrapText="1"/>
    </xf>
    <xf numFmtId="182" fontId="33" fillId="19" borderId="44" xfId="0" applyNumberFormat="1" applyFont="1" applyFill="1" applyBorder="1" applyAlignment="1">
      <alignment horizontal="center" vertical="top" wrapText="1"/>
    </xf>
    <xf numFmtId="0" fontId="0" fillId="8" borderId="0" xfId="0" applyFill="1"/>
    <xf numFmtId="0" fontId="7" fillId="8" borderId="0" xfId="0" applyFont="1" applyFill="1" applyAlignment="1">
      <alignment horizontal="center"/>
    </xf>
    <xf numFmtId="0" fontId="0" fillId="0" borderId="0" xfId="0" applyAlignment="1">
      <alignment horizontal="center"/>
    </xf>
    <xf numFmtId="0" fontId="0" fillId="6" borderId="0" xfId="0" applyFill="1" applyAlignment="1">
      <alignment wrapText="1"/>
    </xf>
    <xf numFmtId="0" fontId="0" fillId="8" borderId="0" xfId="0" applyFill="1" applyAlignment="1">
      <alignment horizontal="left"/>
    </xf>
    <xf numFmtId="0" fontId="7" fillId="0" borderId="0" xfId="0" applyFont="1" applyAlignment="1">
      <alignment horizontal="left"/>
    </xf>
    <xf numFmtId="0" fontId="0" fillId="20" borderId="0" xfId="0" applyFill="1"/>
    <xf numFmtId="0" fontId="0" fillId="21" borderId="0" xfId="0" applyFill="1"/>
    <xf numFmtId="0" fontId="0" fillId="22" borderId="0" xfId="0" applyFill="1"/>
    <xf numFmtId="0" fontId="0" fillId="23" borderId="0" xfId="0" applyFill="1"/>
    <xf numFmtId="0" fontId="0" fillId="6" borderId="0" xfId="0" applyFill="1"/>
    <xf numFmtId="0" fontId="0" fillId="24" borderId="0" xfId="0" applyFill="1"/>
    <xf numFmtId="0" fontId="0" fillId="25" borderId="0" xfId="0" applyFill="1"/>
    <xf numFmtId="49" fontId="0" fillId="0" borderId="0" xfId="0" applyNumberFormat="1" applyAlignment="1">
      <alignment horizontal="left"/>
    </xf>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13" borderId="0" xfId="0" applyFill="1"/>
    <xf numFmtId="0" fontId="0" fillId="36" borderId="0" xfId="0" applyFill="1"/>
    <xf numFmtId="0" fontId="0" fillId="37" borderId="0" xfId="0" applyFill="1"/>
    <xf numFmtId="0" fontId="35" fillId="0" borderId="0" xfId="0" applyFont="1"/>
    <xf numFmtId="0" fontId="0" fillId="38" borderId="0" xfId="0" applyFill="1"/>
    <xf numFmtId="0" fontId="0" fillId="39" borderId="0" xfId="0" applyFill="1"/>
    <xf numFmtId="0" fontId="0" fillId="40" borderId="0" xfId="0" applyFill="1"/>
    <xf numFmtId="0" fontId="0" fillId="41" borderId="0" xfId="0" applyFill="1"/>
    <xf numFmtId="0" fontId="0" fillId="0" borderId="45" xfId="0" applyBorder="1" applyAlignment="1">
      <alignment wrapText="1"/>
    </xf>
    <xf numFmtId="0" fontId="1" fillId="8" borderId="46" xfId="0" applyFont="1" applyFill="1" applyBorder="1" applyAlignment="1">
      <alignment wrapText="1"/>
    </xf>
    <xf numFmtId="0" fontId="1" fillId="8" borderId="47" xfId="0" applyFont="1" applyFill="1" applyBorder="1" applyAlignment="1">
      <alignment wrapText="1"/>
    </xf>
    <xf numFmtId="0" fontId="1" fillId="8" borderId="47" xfId="0" applyFont="1" applyFill="1" applyBorder="1" applyAlignment="1">
      <alignment horizontal="left" wrapText="1"/>
    </xf>
    <xf numFmtId="0" fontId="1" fillId="8" borderId="48" xfId="0" applyFont="1" applyFill="1" applyBorder="1" applyAlignment="1">
      <alignment wrapText="1"/>
    </xf>
    <xf numFmtId="0" fontId="7" fillId="8" borderId="0" xfId="0" applyFont="1" applyFill="1" applyAlignment="1">
      <alignment wrapText="1"/>
    </xf>
    <xf numFmtId="0" fontId="0" fillId="0" borderId="0" xfId="0" applyAlignment="1">
      <alignment horizontal="left" wrapText="1"/>
    </xf>
    <xf numFmtId="0" fontId="0" fillId="0" borderId="45" xfId="0" applyBorder="1" applyAlignment="1">
      <alignment horizontal="left" wrapText="1"/>
    </xf>
    <xf numFmtId="11" fontId="0" fillId="0" borderId="0" xfId="0" applyNumberFormat="1" applyAlignment="1">
      <alignment wrapText="1"/>
    </xf>
    <xf numFmtId="11" fontId="0" fillId="0" borderId="45" xfId="0" applyNumberFormat="1" applyBorder="1" applyAlignment="1">
      <alignment wrapText="1"/>
    </xf>
    <xf numFmtId="0" fontId="7" fillId="6" borderId="0" xfId="0" applyFont="1" applyFill="1" applyAlignment="1">
      <alignment horizontal="center"/>
    </xf>
    <xf numFmtId="0" fontId="7" fillId="8" borderId="0" xfId="0" applyFont="1" applyFill="1" applyAlignment="1">
      <alignment horizontal="center" vertical="center"/>
    </xf>
    <xf numFmtId="0" fontId="0" fillId="8" borderId="0" xfId="0" applyFill="1" applyAlignment="1">
      <alignment wrapText="1"/>
    </xf>
    <xf numFmtId="0" fontId="36" fillId="0" borderId="0" xfId="0" applyFont="1" applyAlignment="1">
      <alignment wrapText="1"/>
    </xf>
    <xf numFmtId="0" fontId="0" fillId="0" borderId="49" xfId="0" applyBorder="1" applyAlignment="1">
      <alignment wrapText="1"/>
    </xf>
    <xf numFmtId="0" fontId="0" fillId="0" borderId="50" xfId="0" applyBorder="1" applyAlignment="1">
      <alignment horizontal="left" wrapText="1"/>
    </xf>
    <xf numFmtId="0" fontId="1" fillId="42" borderId="0" xfId="0" applyFont="1" applyFill="1" applyAlignment="1">
      <alignment wrapText="1"/>
    </xf>
    <xf numFmtId="0" fontId="1" fillId="42" borderId="49" xfId="0" applyFont="1" applyFill="1" applyBorder="1" applyAlignment="1">
      <alignment wrapText="1"/>
    </xf>
    <xf numFmtId="0" fontId="1" fillId="43" borderId="0" xfId="0" applyFont="1" applyFill="1"/>
    <xf numFmtId="0" fontId="1" fillId="43" borderId="0" xfId="0" applyFont="1" applyFill="1" applyAlignment="1">
      <alignment wrapText="1"/>
    </xf>
    <xf numFmtId="0" fontId="1" fillId="43" borderId="0" xfId="0" applyFont="1" applyFill="1" applyAlignment="1">
      <alignment horizontal="left" wrapText="1"/>
    </xf>
    <xf numFmtId="0" fontId="1" fillId="43" borderId="49" xfId="0" applyFont="1" applyFill="1" applyBorder="1" applyAlignment="1">
      <alignment wrapText="1"/>
    </xf>
    <xf numFmtId="0" fontId="1" fillId="42" borderId="50" xfId="0" applyFont="1" applyFill="1" applyBorder="1" applyAlignment="1">
      <alignment horizontal="left" wrapText="1"/>
    </xf>
    <xf numFmtId="0" fontId="36" fillId="0" borderId="0" xfId="0" applyFont="1"/>
    <xf numFmtId="0" fontId="36" fillId="0" borderId="49" xfId="0" applyFont="1" applyBorder="1"/>
    <xf numFmtId="49" fontId="0" fillId="0" borderId="49" xfId="0" applyNumberFormat="1" applyBorder="1" applyAlignment="1">
      <alignment wrapText="1"/>
    </xf>
    <xf numFmtId="0" fontId="36" fillId="0" borderId="50" xfId="0" applyFont="1" applyBorder="1"/>
    <xf numFmtId="9" fontId="36" fillId="0" borderId="0" xfId="3" applyFont="1" applyAlignment="1"/>
    <xf numFmtId="49" fontId="0" fillId="0" borderId="0" xfId="0" applyNumberFormat="1" applyAlignment="1">
      <alignment wrapText="1"/>
    </xf>
    <xf numFmtId="49" fontId="35" fillId="0" borderId="0" xfId="0" applyNumberFormat="1" applyFont="1" applyAlignment="1">
      <alignment wrapText="1"/>
    </xf>
    <xf numFmtId="49" fontId="36" fillId="0" borderId="0" xfId="0" applyNumberFormat="1" applyFont="1" applyAlignment="1">
      <alignment wrapText="1"/>
    </xf>
    <xf numFmtId="0" fontId="36" fillId="0" borderId="0" xfId="0" applyFont="1" applyAlignment="1">
      <alignment horizontal="left"/>
    </xf>
    <xf numFmtId="49" fontId="0" fillId="0" borderId="0" xfId="0" applyNumberFormat="1"/>
    <xf numFmtId="0" fontId="36" fillId="0" borderId="0" xfId="3" applyNumberFormat="1" applyFont="1" applyFill="1" applyBorder="1" applyAlignment="1"/>
    <xf numFmtId="0" fontId="36" fillId="0" borderId="49" xfId="0" applyFont="1" applyBorder="1" applyAlignment="1">
      <alignment wrapText="1"/>
    </xf>
    <xf numFmtId="0" fontId="36" fillId="0" borderId="0" xfId="3" applyNumberFormat="1" applyFont="1" applyAlignment="1"/>
    <xf numFmtId="0" fontId="0" fillId="0" borderId="51" xfId="0" applyBorder="1"/>
    <xf numFmtId="0" fontId="1" fillId="8" borderId="0" xfId="0" applyFont="1" applyFill="1" applyAlignment="1">
      <alignment wrapText="1"/>
    </xf>
    <xf numFmtId="0" fontId="1" fillId="8" borderId="0" xfId="0" applyFont="1" applyFill="1" applyAlignment="1">
      <alignment horizontal="left" wrapText="1"/>
    </xf>
    <xf numFmtId="0" fontId="1" fillId="8" borderId="0" xfId="0" applyFont="1" applyFill="1" applyAlignment="1">
      <alignment horizontal="right" wrapText="1"/>
    </xf>
    <xf numFmtId="0" fontId="1" fillId="44" borderId="51" xfId="0" applyFont="1" applyFill="1" applyBorder="1" applyAlignment="1">
      <alignment wrapText="1"/>
    </xf>
    <xf numFmtId="0" fontId="1" fillId="44" borderId="0" xfId="0" applyFont="1" applyFill="1" applyAlignment="1">
      <alignment wrapText="1"/>
    </xf>
    <xf numFmtId="9" fontId="0" fillId="0" borderId="0" xfId="0" applyNumberFormat="1" applyAlignment="1">
      <alignment wrapText="1"/>
    </xf>
    <xf numFmtId="189" fontId="37" fillId="0" borderId="0" xfId="0" applyNumberFormat="1" applyFont="1" applyAlignment="1">
      <alignment vertical="top" wrapText="1"/>
    </xf>
    <xf numFmtId="49" fontId="0" fillId="0" borderId="0" xfId="3" applyNumberFormat="1" applyFont="1" applyFill="1" applyBorder="1" applyAlignment="1">
      <alignment wrapText="1"/>
    </xf>
    <xf numFmtId="0" fontId="0" fillId="0" borderId="0" xfId="3" applyNumberFormat="1" applyFont="1" applyAlignment="1">
      <alignment wrapText="1"/>
    </xf>
    <xf numFmtId="189" fontId="37" fillId="45" borderId="0" xfId="0" applyNumberFormat="1" applyFont="1" applyFill="1" applyAlignment="1">
      <alignment vertical="top" wrapText="1"/>
    </xf>
    <xf numFmtId="0" fontId="0" fillId="0" borderId="51" xfId="0" applyBorder="1" applyAlignment="1">
      <alignment wrapText="1"/>
    </xf>
    <xf numFmtId="9" fontId="0" fillId="0" borderId="0" xfId="3" applyFont="1" applyFill="1" applyBorder="1" applyAlignment="1">
      <alignment wrapText="1"/>
    </xf>
    <xf numFmtId="49" fontId="0" fillId="0" borderId="51" xfId="3" applyNumberFormat="1" applyFont="1" applyFill="1" applyBorder="1" applyAlignment="1">
      <alignment wrapText="1"/>
    </xf>
    <xf numFmtId="1" fontId="0" fillId="0" borderId="0" xfId="3" applyNumberFormat="1" applyFont="1" applyFill="1" applyBorder="1" applyAlignment="1">
      <alignment wrapText="1"/>
    </xf>
    <xf numFmtId="49" fontId="0" fillId="0" borderId="51" xfId="0" applyNumberFormat="1" applyBorder="1" applyAlignment="1">
      <alignment wrapText="1"/>
    </xf>
    <xf numFmtId="9" fontId="35" fillId="45" borderId="0" xfId="0" applyNumberFormat="1" applyFont="1" applyFill="1" applyAlignment="1">
      <alignment wrapText="1"/>
    </xf>
    <xf numFmtId="49" fontId="38" fillId="0" borderId="51" xfId="0" applyNumberFormat="1" applyFont="1" applyBorder="1" applyAlignment="1">
      <alignment wrapText="1"/>
    </xf>
    <xf numFmtId="190" fontId="0" fillId="0" borderId="0" xfId="0" applyNumberFormat="1" applyAlignment="1">
      <alignment wrapText="1"/>
    </xf>
    <xf numFmtId="0" fontId="0" fillId="0" borderId="0" xfId="3" applyNumberFormat="1" applyFont="1" applyFill="1" applyBorder="1" applyAlignment="1">
      <alignment wrapText="1"/>
    </xf>
    <xf numFmtId="0" fontId="0" fillId="45" borderId="0" xfId="0" applyFill="1" applyAlignment="1">
      <alignment wrapText="1"/>
    </xf>
    <xf numFmtId="9" fontId="36" fillId="0" borderId="0" xfId="3" applyFont="1" applyFill="1" applyBorder="1" applyAlignment="1">
      <alignment wrapText="1"/>
    </xf>
    <xf numFmtId="9" fontId="36" fillId="0" borderId="0" xfId="3" applyFont="1" applyAlignment="1">
      <alignment wrapText="1"/>
    </xf>
    <xf numFmtId="0" fontId="39" fillId="0" borderId="51" xfId="0" applyFont="1" applyBorder="1" applyAlignment="1">
      <alignment wrapText="1"/>
    </xf>
    <xf numFmtId="0" fontId="0" fillId="0" borderId="0" xfId="0" applyAlignment="1" quotePrefix="1">
      <alignment wrapText="1"/>
    </xf>
    <xf numFmtId="0" fontId="0" fillId="0" borderId="45" xfId="0" applyBorder="1" applyAlignment="1" quotePrefix="1">
      <alignment wrapText="1"/>
    </xf>
    <xf numFmtId="0" fontId="0" fillId="0" borderId="0" xfId="0" applyAlignment="1" quotePrefix="1">
      <alignment horizontal="left"/>
    </xf>
    <xf numFmtId="49" fontId="0" fillId="0" borderId="0" xfId="0" applyNumberFormat="1" applyAlignment="1" quotePrefix="1">
      <alignment horizontal="left"/>
    </xf>
    <xf numFmtId="0" fontId="0" fillId="0" borderId="0" xfId="0" quotePrefix="1"/>
    <xf numFmtId="0" fontId="20" fillId="10" borderId="32" xfId="2189" applyFont="1" applyFill="1" applyBorder="1" applyAlignment="1" quotePrefix="1">
      <alignment horizontal="center" vertical="center"/>
    </xf>
    <xf numFmtId="0" fontId="20" fillId="10" borderId="30" xfId="2189" applyFont="1" applyFill="1" applyBorder="1" applyAlignment="1" quotePrefix="1">
      <alignment horizontal="center" vertical="center"/>
    </xf>
    <xf numFmtId="0" fontId="20" fillId="10" borderId="1" xfId="2189" applyFont="1" applyFill="1" applyBorder="1" applyAlignment="1" quotePrefix="1">
      <alignment horizontal="center" vertical="center"/>
    </xf>
    <xf numFmtId="0" fontId="20" fillId="10" borderId="1" xfId="2189" applyFont="1" applyFill="1" applyBorder="1" applyAlignment="1" quotePrefix="1">
      <alignment horizontal="center" vertical="center" textRotation="90"/>
    </xf>
    <xf numFmtId="0" fontId="20" fillId="10" borderId="30" xfId="2189" applyFont="1" applyFill="1" applyBorder="1" applyAlignment="1" quotePrefix="1">
      <alignment horizontal="center" vertical="center" textRotation="90"/>
    </xf>
    <xf numFmtId="4" fontId="20" fillId="10" borderId="31" xfId="2189" applyNumberFormat="1" applyFont="1" applyFill="1" applyBorder="1" applyAlignment="1" quotePrefix="1">
      <alignment horizontal="center" vertical="center"/>
    </xf>
    <xf numFmtId="4" fontId="20" fillId="10" borderId="1" xfId="2189" applyNumberFormat="1" applyFont="1" applyFill="1" applyBorder="1" applyAlignment="1" quotePrefix="1">
      <alignment horizontal="center" vertical="center"/>
    </xf>
  </cellXfs>
  <cellStyles count="219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20 % - Akzent1" xfId="50"/>
    <cellStyle name="20 % - Akzent1 2" xfId="51"/>
    <cellStyle name="20 % - Akzent1 3" xfId="52"/>
    <cellStyle name="20 % - Akzent2" xfId="53"/>
    <cellStyle name="20 % - Akzent2 2" xfId="54"/>
    <cellStyle name="20 % - Akzent2 3" xfId="55"/>
    <cellStyle name="20 % - Akzent3" xfId="56"/>
    <cellStyle name="20 % - Akzent3 2" xfId="57"/>
    <cellStyle name="20 % - Akzent3 3" xfId="58"/>
    <cellStyle name="20 % - Akzent4" xfId="59"/>
    <cellStyle name="20 % - Akzent4 2" xfId="60"/>
    <cellStyle name="20 % - Akzent4 3" xfId="61"/>
    <cellStyle name="20 % - Akzent5" xfId="62"/>
    <cellStyle name="20 % - Akzent5 2" xfId="63"/>
    <cellStyle name="20 % - Akzent5 3" xfId="64"/>
    <cellStyle name="20 % - Akzent6" xfId="65"/>
    <cellStyle name="20 % - Akzent6 2" xfId="66"/>
    <cellStyle name="20 % - Akzent6 3" xfId="67"/>
    <cellStyle name="20% - Accent1 2" xfId="68"/>
    <cellStyle name="20% - Accent1 3" xfId="69"/>
    <cellStyle name="20% - Accent2 2" xfId="70"/>
    <cellStyle name="20% - Accent2 3" xfId="71"/>
    <cellStyle name="20% - Accent3 2" xfId="72"/>
    <cellStyle name="20% - Accent3 3" xfId="73"/>
    <cellStyle name="20% - Accent4 2" xfId="74"/>
    <cellStyle name="20% - Accent4 3" xfId="75"/>
    <cellStyle name="20% - Accent5 2" xfId="76"/>
    <cellStyle name="20% - Accent5 3" xfId="77"/>
    <cellStyle name="20% - Accent6 2" xfId="78"/>
    <cellStyle name="20% - Accent6 3" xfId="79"/>
    <cellStyle name="2x indented GHG Textfiels" xfId="80"/>
    <cellStyle name="2x indented GHG Textfiels 2" xfId="81"/>
    <cellStyle name="2x indented GHG Textfiels 2 2" xfId="82"/>
    <cellStyle name="2x indented GHG Textfiels 3" xfId="83"/>
    <cellStyle name="2x indented GHG Textfiels 3 2" xfId="84"/>
    <cellStyle name="2x indented GHG Textfiels 3 2 2" xfId="85"/>
    <cellStyle name="2x indented GHG Textfiels 3 2 2 2" xfId="86"/>
    <cellStyle name="2x indented GHG Textfiels 3 2 2 2 2" xfId="87"/>
    <cellStyle name="2x indented GHG Textfiels 3 2 2 2 3" xfId="88"/>
    <cellStyle name="2x indented GHG Textfiels 3 2 2 2 4" xfId="89"/>
    <cellStyle name="2x indented GHG Textfiels 3 2 2 3" xfId="90"/>
    <cellStyle name="2x indented GHG Textfiels 3 2 2 4" xfId="91"/>
    <cellStyle name="2x indented GHG Textfiels 3 2 2 5" xfId="92"/>
    <cellStyle name="2x indented GHG Textfiels 3 2 3" xfId="93"/>
    <cellStyle name="2x indented GHG Textfiels 3 2 3 2" xfId="94"/>
    <cellStyle name="2x indented GHG Textfiels 3 2 3 3" xfId="95"/>
    <cellStyle name="2x indented GHG Textfiels 3 2 3 4" xfId="96"/>
    <cellStyle name="2x indented GHG Textfiels 3 3" xfId="97"/>
    <cellStyle name="2x indented GHG Textfiels 3 3 2" xfId="98"/>
    <cellStyle name="2x indented GHG Textfiels 3 3 2 2" xfId="99"/>
    <cellStyle name="2x indented GHG Textfiels 3 3 2 2 2" xfId="100"/>
    <cellStyle name="2x indented GHG Textfiels 3 3 2 2 3" xfId="101"/>
    <cellStyle name="2x indented GHG Textfiels 3 3 2 2 4" xfId="102"/>
    <cellStyle name="2x indented GHG Textfiels 3 3 2 3" xfId="103"/>
    <cellStyle name="2x indented GHG Textfiels 3 3 2 4" xfId="104"/>
    <cellStyle name="2x indented GHG Textfiels 3 3 2 5" xfId="105"/>
    <cellStyle name="2x indented GHG Textfiels 3 3 3" xfId="106"/>
    <cellStyle name="2x indented GHG Textfiels 3 3 3 2" xfId="107"/>
    <cellStyle name="2x indented GHG Textfiels 3 3 3 2 2" xfId="108"/>
    <cellStyle name="2x indented GHG Textfiels 3 3 3 2 3" xfId="109"/>
    <cellStyle name="2x indented GHG Textfiels 3 3 3 2 4" xfId="110"/>
    <cellStyle name="2x indented GHG Textfiels 3 3 3 3" xfId="111"/>
    <cellStyle name="2x indented GHG Textfiels 3 3 3 4" xfId="112"/>
    <cellStyle name="2x indented GHG Textfiels 3 3 3 5" xfId="113"/>
    <cellStyle name="2x indented GHG Textfiels 3 3 4" xfId="114"/>
    <cellStyle name="2x indented GHG Textfiels 3 3 4 2" xfId="115"/>
    <cellStyle name="2x indented GHG Textfiels 3 3 4 2 2" xfId="116"/>
    <cellStyle name="2x indented GHG Textfiels 3 3 4 2 3" xfId="117"/>
    <cellStyle name="2x indented GHG Textfiels 3 3 4 2 4" xfId="118"/>
    <cellStyle name="2x indented GHG Textfiels 3 3 4 3" xfId="119"/>
    <cellStyle name="2x indented GHG Textfiels 3 3 4 4" xfId="120"/>
    <cellStyle name="2x indented GHG Textfiels 3 3 4 5" xfId="121"/>
    <cellStyle name="2x indented GHG Textfiels 3 3 5" xfId="122"/>
    <cellStyle name="2x indented GHG Textfiels 3 3 6" xfId="123"/>
    <cellStyle name="2x indented GHG Textfiels 3 3 7" xfId="124"/>
    <cellStyle name="40 % - Akzent1" xfId="125"/>
    <cellStyle name="40 % - Akzent1 2" xfId="126"/>
    <cellStyle name="40 % - Akzent1 3" xfId="127"/>
    <cellStyle name="40 % - Akzent2" xfId="128"/>
    <cellStyle name="40 % - Akzent2 2" xfId="129"/>
    <cellStyle name="40 % - Akzent2 3" xfId="130"/>
    <cellStyle name="40 % - Akzent3" xfId="131"/>
    <cellStyle name="40 % - Akzent3 2" xfId="132"/>
    <cellStyle name="40 % - Akzent3 3" xfId="133"/>
    <cellStyle name="40 % - Akzent4" xfId="134"/>
    <cellStyle name="40 % - Akzent4 2" xfId="135"/>
    <cellStyle name="40 % - Akzent4 3" xfId="136"/>
    <cellStyle name="40 % - Akzent5" xfId="137"/>
    <cellStyle name="40 % - Akzent5 2" xfId="138"/>
    <cellStyle name="40 % - Akzent5 3" xfId="139"/>
    <cellStyle name="40 % - Akzent6" xfId="140"/>
    <cellStyle name="40 % - Akzent6 2" xfId="141"/>
    <cellStyle name="40 % - Akzent6 3" xfId="142"/>
    <cellStyle name="40% - Accent1 2" xfId="143"/>
    <cellStyle name="40% - Accent1 3" xfId="144"/>
    <cellStyle name="40% - Accent2 2" xfId="145"/>
    <cellStyle name="40% - Accent2 3" xfId="146"/>
    <cellStyle name="40% - Accent3 2" xfId="147"/>
    <cellStyle name="40% - Accent3 3" xfId="148"/>
    <cellStyle name="40% - Accent4 2" xfId="149"/>
    <cellStyle name="40% - Accent4 3" xfId="150"/>
    <cellStyle name="40% - Accent5 2" xfId="151"/>
    <cellStyle name="40% - Accent5 3" xfId="152"/>
    <cellStyle name="40% - Accent6 2" xfId="153"/>
    <cellStyle name="40% - Accent6 3" xfId="154"/>
    <cellStyle name="5x indented GHG Textfiels" xfId="155"/>
    <cellStyle name="5x indented GHG Textfiels 2" xfId="156"/>
    <cellStyle name="5x indented GHG Textfiels 2 2" xfId="157"/>
    <cellStyle name="5x indented GHG Textfiels 3" xfId="158"/>
    <cellStyle name="5x indented GHG Textfiels 3 2" xfId="159"/>
    <cellStyle name="5x indented GHG Textfiels 3 3" xfId="160"/>
    <cellStyle name="5x indented GHG Textfiels 3 3 2" xfId="161"/>
    <cellStyle name="5x indented GHG Textfiels 3 3 2 2" xfId="162"/>
    <cellStyle name="5x indented GHG Textfiels 3 3 2 2 2" xfId="163"/>
    <cellStyle name="5x indented GHG Textfiels 3 3 2 2 3" xfId="164"/>
    <cellStyle name="5x indented GHG Textfiels 3 3 2 2 4" xfId="165"/>
    <cellStyle name="5x indented GHG Textfiels 3 3 2 3" xfId="166"/>
    <cellStyle name="5x indented GHG Textfiels 3 3 2 4" xfId="167"/>
    <cellStyle name="5x indented GHG Textfiels 3 3 2 5" xfId="168"/>
    <cellStyle name="5x indented GHG Textfiels 3 3 3" xfId="169"/>
    <cellStyle name="5x indented GHG Textfiels 3 3 3 2" xfId="170"/>
    <cellStyle name="5x indented GHG Textfiels 3 3 3 2 2" xfId="171"/>
    <cellStyle name="5x indented GHG Textfiels 3 3 3 2 3" xfId="172"/>
    <cellStyle name="5x indented GHG Textfiels 3 3 3 2 4" xfId="173"/>
    <cellStyle name="5x indented GHG Textfiels 3 3 3 3" xfId="174"/>
    <cellStyle name="5x indented GHG Textfiels 3 3 3 4" xfId="175"/>
    <cellStyle name="5x indented GHG Textfiels 3 3 3 5" xfId="176"/>
    <cellStyle name="5x indented GHG Textfiels 3 3 4" xfId="177"/>
    <cellStyle name="5x indented GHG Textfiels 3 3 4 2" xfId="178"/>
    <cellStyle name="5x indented GHG Textfiels 3 3 4 2 2" xfId="179"/>
    <cellStyle name="5x indented GHG Textfiels 3 3 4 2 3" xfId="180"/>
    <cellStyle name="5x indented GHG Textfiels 3 3 4 2 4" xfId="181"/>
    <cellStyle name="5x indented GHG Textfiels 3 3 4 3" xfId="182"/>
    <cellStyle name="5x indented GHG Textfiels 3 3 4 4" xfId="183"/>
    <cellStyle name="5x indented GHG Textfiels 3 3 4 5" xfId="184"/>
    <cellStyle name="5x indented GHG Textfiels 3 3 5" xfId="185"/>
    <cellStyle name="5x indented GHG Textfiels 3 3 6" xfId="186"/>
    <cellStyle name="5x indented GHG Textfiels 3 3 7" xfId="187"/>
    <cellStyle name="5x indented GHG Textfiels 3 3 8" xfId="188"/>
    <cellStyle name="5x indented GHG Textfiels_Table 4(II)" xfId="189"/>
    <cellStyle name="60 % - Akzent1" xfId="190"/>
    <cellStyle name="60 % - Akzent1 2" xfId="191"/>
    <cellStyle name="60 % - Akzent1 3" xfId="192"/>
    <cellStyle name="60 % - Akzent2" xfId="193"/>
    <cellStyle name="60 % - Akzent2 2" xfId="194"/>
    <cellStyle name="60 % - Akzent2 3" xfId="195"/>
    <cellStyle name="60 % - Akzent3" xfId="196"/>
    <cellStyle name="60 % - Akzent3 2" xfId="197"/>
    <cellStyle name="60 % - Akzent3 3" xfId="198"/>
    <cellStyle name="60 % - Akzent4" xfId="199"/>
    <cellStyle name="60 % - Akzent4 2" xfId="200"/>
    <cellStyle name="60 % - Akzent4 3" xfId="201"/>
    <cellStyle name="60 % - Akzent5" xfId="202"/>
    <cellStyle name="60 % - Akzent5 2" xfId="203"/>
    <cellStyle name="60 % - Akzent5 3" xfId="204"/>
    <cellStyle name="60 % - Akzent6" xfId="205"/>
    <cellStyle name="60 % - Akzent6 2" xfId="206"/>
    <cellStyle name="60 % - Akzent6 3" xfId="207"/>
    <cellStyle name="60% - Accent1 2" xfId="208"/>
    <cellStyle name="60% - Accent1 3" xfId="209"/>
    <cellStyle name="60% - Accent2 2" xfId="210"/>
    <cellStyle name="60% - Accent2 3" xfId="211"/>
    <cellStyle name="60% - Accent3 2" xfId="212"/>
    <cellStyle name="60% - Accent3 3" xfId="213"/>
    <cellStyle name="60% - Accent4 2" xfId="214"/>
    <cellStyle name="60% - Accent4 3" xfId="215"/>
    <cellStyle name="60% - Accent5 2" xfId="216"/>
    <cellStyle name="60% - Accent5 3" xfId="217"/>
    <cellStyle name="60% - Accent6 2" xfId="218"/>
    <cellStyle name="60% - Accent6 3" xfId="219"/>
    <cellStyle name="Accent1 2" xfId="220"/>
    <cellStyle name="Accent1 3" xfId="221"/>
    <cellStyle name="Accent1 4" xfId="222"/>
    <cellStyle name="Accent2 2" xfId="223"/>
    <cellStyle name="Accent2 3" xfId="224"/>
    <cellStyle name="Accent2 4" xfId="225"/>
    <cellStyle name="Accent3 2" xfId="226"/>
    <cellStyle name="Accent3 3" xfId="227"/>
    <cellStyle name="Accent3 4" xfId="228"/>
    <cellStyle name="Accent4 2" xfId="229"/>
    <cellStyle name="Accent4 3" xfId="230"/>
    <cellStyle name="Accent4 4" xfId="231"/>
    <cellStyle name="Accent5 2" xfId="232"/>
    <cellStyle name="Accent5 3" xfId="233"/>
    <cellStyle name="Accent5 4" xfId="234"/>
    <cellStyle name="Accent6 2" xfId="235"/>
    <cellStyle name="Accent6 3" xfId="236"/>
    <cellStyle name="Accent6 4" xfId="237"/>
    <cellStyle name="AggblueBoldCels" xfId="238"/>
    <cellStyle name="AggblueBoldCels 2" xfId="239"/>
    <cellStyle name="AggblueCels" xfId="240"/>
    <cellStyle name="AggblueCels 2" xfId="241"/>
    <cellStyle name="AggblueCels_1x" xfId="242"/>
    <cellStyle name="AggBoldCells" xfId="243"/>
    <cellStyle name="AggBoldCells 2" xfId="244"/>
    <cellStyle name="AggBoldCells 3" xfId="245"/>
    <cellStyle name="AggBoldCells 4" xfId="246"/>
    <cellStyle name="AggCels" xfId="247"/>
    <cellStyle name="AggCels 2" xfId="248"/>
    <cellStyle name="AggCels 3" xfId="249"/>
    <cellStyle name="AggCels 4" xfId="250"/>
    <cellStyle name="AggCels_T(2)" xfId="251"/>
    <cellStyle name="AggGreen" xfId="252"/>
    <cellStyle name="AggGreen 2" xfId="253"/>
    <cellStyle name="AggGreen 2 2" xfId="254"/>
    <cellStyle name="AggGreen 2 2 2" xfId="255"/>
    <cellStyle name="AggGreen 2 2 2 2" xfId="256"/>
    <cellStyle name="AggGreen 2 2 2 2 2" xfId="257"/>
    <cellStyle name="AggGreen 2 2 2 2 3" xfId="258"/>
    <cellStyle name="AggGreen 2 2 2 2 4" xfId="259"/>
    <cellStyle name="AggGreen 2 2 2 3" xfId="260"/>
    <cellStyle name="AggGreen 2 2 2 4" xfId="261"/>
    <cellStyle name="AggGreen 2 2 2 5" xfId="262"/>
    <cellStyle name="AggGreen 2 2 3" xfId="263"/>
    <cellStyle name="AggGreen 2 2 3 2" xfId="264"/>
    <cellStyle name="AggGreen 2 2 3 3" xfId="265"/>
    <cellStyle name="AggGreen 2 2 3 4" xfId="266"/>
    <cellStyle name="AggGreen 2 3" xfId="267"/>
    <cellStyle name="AggGreen 2 3 2" xfId="268"/>
    <cellStyle name="AggGreen 2 3 2 2" xfId="269"/>
    <cellStyle name="AggGreen 2 3 2 2 2" xfId="270"/>
    <cellStyle name="AggGreen 2 3 2 2 3" xfId="271"/>
    <cellStyle name="AggGreen 2 3 2 2 4" xfId="272"/>
    <cellStyle name="AggGreen 2 3 2 3" xfId="273"/>
    <cellStyle name="AggGreen 2 3 2 4" xfId="274"/>
    <cellStyle name="AggGreen 2 3 2 5" xfId="275"/>
    <cellStyle name="AggGreen 2 3 3" xfId="276"/>
    <cellStyle name="AggGreen 2 3 3 2" xfId="277"/>
    <cellStyle name="AggGreen 2 3 3 2 2" xfId="278"/>
    <cellStyle name="AggGreen 2 3 3 2 3" xfId="279"/>
    <cellStyle name="AggGreen 2 3 3 2 4" xfId="280"/>
    <cellStyle name="AggGreen 2 3 3 3" xfId="281"/>
    <cellStyle name="AggGreen 2 3 3 4" xfId="282"/>
    <cellStyle name="AggGreen 2 3 3 5" xfId="283"/>
    <cellStyle name="AggGreen 2 3 4" xfId="284"/>
    <cellStyle name="AggGreen 2 3 4 2" xfId="285"/>
    <cellStyle name="AggGreen 2 3 4 2 2" xfId="286"/>
    <cellStyle name="AggGreen 2 3 4 2 3" xfId="287"/>
    <cellStyle name="AggGreen 2 3 4 2 4" xfId="288"/>
    <cellStyle name="AggGreen 2 3 4 3" xfId="289"/>
    <cellStyle name="AggGreen 2 3 4 4" xfId="290"/>
    <cellStyle name="AggGreen 2 3 4 5" xfId="291"/>
    <cellStyle name="AggGreen 2 3 5" xfId="292"/>
    <cellStyle name="AggGreen 2 3 6" xfId="293"/>
    <cellStyle name="AggGreen 2 3 7" xfId="294"/>
    <cellStyle name="AggGreen 3" xfId="295"/>
    <cellStyle name="AggGreen 3 2" xfId="296"/>
    <cellStyle name="AggGreen 3 2 2" xfId="297"/>
    <cellStyle name="AggGreen 3 2 2 2" xfId="298"/>
    <cellStyle name="AggGreen 3 2 2 3" xfId="299"/>
    <cellStyle name="AggGreen 3 2 2 4" xfId="300"/>
    <cellStyle name="AggGreen 3 2 3" xfId="301"/>
    <cellStyle name="AggGreen 3 2 4" xfId="302"/>
    <cellStyle name="AggGreen 3 2 5" xfId="303"/>
    <cellStyle name="AggGreen 3 3" xfId="304"/>
    <cellStyle name="AggGreen 3 3 2" xfId="305"/>
    <cellStyle name="AggGreen 3 3 3" xfId="306"/>
    <cellStyle name="AggGreen 3 3 4" xfId="307"/>
    <cellStyle name="AggGreen 4" xfId="308"/>
    <cellStyle name="AggGreen 4 2" xfId="309"/>
    <cellStyle name="AggGreen 4 2 2" xfId="310"/>
    <cellStyle name="AggGreen 4 2 2 2" xfId="311"/>
    <cellStyle name="AggGreen 4 2 2 3" xfId="312"/>
    <cellStyle name="AggGreen 4 2 2 4" xfId="313"/>
    <cellStyle name="AggGreen 4 2 3" xfId="314"/>
    <cellStyle name="AggGreen 4 2 4" xfId="315"/>
    <cellStyle name="AggGreen 4 2 5" xfId="316"/>
    <cellStyle name="AggGreen 4 3" xfId="317"/>
    <cellStyle name="AggGreen 4 3 2" xfId="318"/>
    <cellStyle name="AggGreen 4 3 2 2" xfId="319"/>
    <cellStyle name="AggGreen 4 3 2 3" xfId="320"/>
    <cellStyle name="AggGreen 4 3 2 4" xfId="321"/>
    <cellStyle name="AggGreen 4 3 3" xfId="322"/>
    <cellStyle name="AggGreen 4 3 4" xfId="323"/>
    <cellStyle name="AggGreen 4 3 5" xfId="324"/>
    <cellStyle name="AggGreen 4 4" xfId="325"/>
    <cellStyle name="AggGreen 4 4 2" xfId="326"/>
    <cellStyle name="AggGreen 4 4 2 2" xfId="327"/>
    <cellStyle name="AggGreen 4 4 2 3" xfId="328"/>
    <cellStyle name="AggGreen 4 4 2 4" xfId="329"/>
    <cellStyle name="AggGreen 4 4 3" xfId="330"/>
    <cellStyle name="AggGreen 4 4 4" xfId="331"/>
    <cellStyle name="AggGreen 4 4 5" xfId="332"/>
    <cellStyle name="AggGreen 4 5" xfId="333"/>
    <cellStyle name="AggGreen 4 6" xfId="334"/>
    <cellStyle name="AggGreen 4 7" xfId="335"/>
    <cellStyle name="AggGreen 5" xfId="336"/>
    <cellStyle name="AggGreen_Bbdr" xfId="337"/>
    <cellStyle name="AggGreen_bld" xfId="338"/>
    <cellStyle name="AggGreen12" xfId="339"/>
    <cellStyle name="AggGreen12 2" xfId="340"/>
    <cellStyle name="AggGreen12 2 2" xfId="341"/>
    <cellStyle name="AggGreen12 2 2 2" xfId="342"/>
    <cellStyle name="AggGreen12 2 2 2 2" xfId="343"/>
    <cellStyle name="AggGreen12 2 2 2 2 2" xfId="344"/>
    <cellStyle name="AggGreen12 2 2 2 2 3" xfId="345"/>
    <cellStyle name="AggGreen12 2 2 2 2 4" xfId="346"/>
    <cellStyle name="AggGreen12 2 2 2 3" xfId="347"/>
    <cellStyle name="AggGreen12 2 2 2 4" xfId="348"/>
    <cellStyle name="AggGreen12 2 2 2 5" xfId="349"/>
    <cellStyle name="AggGreen12 2 2 3" xfId="350"/>
    <cellStyle name="AggGreen12 2 2 3 2" xfId="351"/>
    <cellStyle name="AggGreen12 2 2 3 3" xfId="352"/>
    <cellStyle name="AggGreen12 2 2 3 4" xfId="353"/>
    <cellStyle name="AggGreen12 2 3" xfId="354"/>
    <cellStyle name="AggGreen12 2 3 2" xfId="355"/>
    <cellStyle name="AggGreen12 2 3 2 2" xfId="356"/>
    <cellStyle name="AggGreen12 2 3 2 2 2" xfId="357"/>
    <cellStyle name="AggGreen12 2 3 2 2 3" xfId="358"/>
    <cellStyle name="AggGreen12 2 3 2 2 4" xfId="359"/>
    <cellStyle name="AggGreen12 2 3 2 3" xfId="360"/>
    <cellStyle name="AggGreen12 2 3 2 4" xfId="361"/>
    <cellStyle name="AggGreen12 2 3 2 5" xfId="362"/>
    <cellStyle name="AggGreen12 2 3 3" xfId="363"/>
    <cellStyle name="AggGreen12 2 3 3 2" xfId="364"/>
    <cellStyle name="AggGreen12 2 3 3 2 2" xfId="365"/>
    <cellStyle name="AggGreen12 2 3 3 2 3" xfId="366"/>
    <cellStyle name="AggGreen12 2 3 3 2 4" xfId="367"/>
    <cellStyle name="AggGreen12 2 3 3 3" xfId="368"/>
    <cellStyle name="AggGreen12 2 3 3 4" xfId="369"/>
    <cellStyle name="AggGreen12 2 3 3 5" xfId="370"/>
    <cellStyle name="AggGreen12 2 3 4" xfId="371"/>
    <cellStyle name="AggGreen12 2 3 4 2" xfId="372"/>
    <cellStyle name="AggGreen12 2 3 4 2 2" xfId="373"/>
    <cellStyle name="AggGreen12 2 3 4 2 3" xfId="374"/>
    <cellStyle name="AggGreen12 2 3 4 2 4" xfId="375"/>
    <cellStyle name="AggGreen12 2 3 4 3" xfId="376"/>
    <cellStyle name="AggGreen12 2 3 4 4" xfId="377"/>
    <cellStyle name="AggGreen12 2 3 4 5" xfId="378"/>
    <cellStyle name="AggGreen12 2 3 5" xfId="379"/>
    <cellStyle name="AggGreen12 2 3 6" xfId="380"/>
    <cellStyle name="AggGreen12 2 3 7" xfId="381"/>
    <cellStyle name="AggGreen12 3" xfId="382"/>
    <cellStyle name="AggGreen12 3 2" xfId="383"/>
    <cellStyle name="AggGreen12 3 2 2" xfId="384"/>
    <cellStyle name="AggGreen12 3 2 2 2" xfId="385"/>
    <cellStyle name="AggGreen12 3 2 2 3" xfId="386"/>
    <cellStyle name="AggGreen12 3 2 2 4" xfId="387"/>
    <cellStyle name="AggGreen12 3 2 3" xfId="388"/>
    <cellStyle name="AggGreen12 3 2 4" xfId="389"/>
    <cellStyle name="AggGreen12 3 2 5" xfId="390"/>
    <cellStyle name="AggGreen12 3 3" xfId="391"/>
    <cellStyle name="AggGreen12 3 3 2" xfId="392"/>
    <cellStyle name="AggGreen12 3 3 3" xfId="393"/>
    <cellStyle name="AggGreen12 3 3 4" xfId="394"/>
    <cellStyle name="AggGreen12 4" xfId="395"/>
    <cellStyle name="AggGreen12 4 2" xfId="396"/>
    <cellStyle name="AggGreen12 4 2 2" xfId="397"/>
    <cellStyle name="AggGreen12 4 2 2 2" xfId="398"/>
    <cellStyle name="AggGreen12 4 2 2 3" xfId="399"/>
    <cellStyle name="AggGreen12 4 2 2 4" xfId="400"/>
    <cellStyle name="AggGreen12 4 2 3" xfId="401"/>
    <cellStyle name="AggGreen12 4 2 4" xfId="402"/>
    <cellStyle name="AggGreen12 4 2 5" xfId="403"/>
    <cellStyle name="AggGreen12 4 3" xfId="404"/>
    <cellStyle name="AggGreen12 4 3 2" xfId="405"/>
    <cellStyle name="AggGreen12 4 3 2 2" xfId="406"/>
    <cellStyle name="AggGreen12 4 3 2 3" xfId="407"/>
    <cellStyle name="AggGreen12 4 3 2 4" xfId="408"/>
    <cellStyle name="AggGreen12 4 3 3" xfId="409"/>
    <cellStyle name="AggGreen12 4 3 4" xfId="410"/>
    <cellStyle name="AggGreen12 4 3 5" xfId="411"/>
    <cellStyle name="AggGreen12 4 4" xfId="412"/>
    <cellStyle name="AggGreen12 4 4 2" xfId="413"/>
    <cellStyle name="AggGreen12 4 4 2 2" xfId="414"/>
    <cellStyle name="AggGreen12 4 4 2 3" xfId="415"/>
    <cellStyle name="AggGreen12 4 4 2 4" xfId="416"/>
    <cellStyle name="AggGreen12 4 4 3" xfId="417"/>
    <cellStyle name="AggGreen12 4 4 4" xfId="418"/>
    <cellStyle name="AggGreen12 4 4 5" xfId="419"/>
    <cellStyle name="AggGreen12 4 5" xfId="420"/>
    <cellStyle name="AggGreen12 4 6" xfId="421"/>
    <cellStyle name="AggGreen12 4 7" xfId="422"/>
    <cellStyle name="AggGreen12 5" xfId="423"/>
    <cellStyle name="AggOrange" xfId="424"/>
    <cellStyle name="AggOrange 2" xfId="425"/>
    <cellStyle name="AggOrange 2 2" xfId="426"/>
    <cellStyle name="AggOrange 2 2 2" xfId="427"/>
    <cellStyle name="AggOrange 2 2 2 2" xfId="428"/>
    <cellStyle name="AggOrange 2 2 2 2 2" xfId="429"/>
    <cellStyle name="AggOrange 2 2 2 2 3" xfId="430"/>
    <cellStyle name="AggOrange 2 2 2 2 4" xfId="431"/>
    <cellStyle name="AggOrange 2 2 2 3" xfId="432"/>
    <cellStyle name="AggOrange 2 2 2 4" xfId="433"/>
    <cellStyle name="AggOrange 2 2 2 5" xfId="434"/>
    <cellStyle name="AggOrange 2 2 3" xfId="435"/>
    <cellStyle name="AggOrange 2 2 3 2" xfId="436"/>
    <cellStyle name="AggOrange 2 2 3 3" xfId="437"/>
    <cellStyle name="AggOrange 2 2 3 4" xfId="438"/>
    <cellStyle name="AggOrange 2 3" xfId="439"/>
    <cellStyle name="AggOrange 2 3 2" xfId="440"/>
    <cellStyle name="AggOrange 2 3 2 2" xfId="441"/>
    <cellStyle name="AggOrange 2 3 2 2 2" xfId="442"/>
    <cellStyle name="AggOrange 2 3 2 2 3" xfId="443"/>
    <cellStyle name="AggOrange 2 3 2 2 4" xfId="444"/>
    <cellStyle name="AggOrange 2 3 2 3" xfId="445"/>
    <cellStyle name="AggOrange 2 3 2 4" xfId="446"/>
    <cellStyle name="AggOrange 2 3 2 5" xfId="447"/>
    <cellStyle name="AggOrange 2 3 3" xfId="448"/>
    <cellStyle name="AggOrange 2 3 3 2" xfId="449"/>
    <cellStyle name="AggOrange 2 3 3 2 2" xfId="450"/>
    <cellStyle name="AggOrange 2 3 3 2 3" xfId="451"/>
    <cellStyle name="AggOrange 2 3 3 2 4" xfId="452"/>
    <cellStyle name="AggOrange 2 3 3 3" xfId="453"/>
    <cellStyle name="AggOrange 2 3 3 4" xfId="454"/>
    <cellStyle name="AggOrange 2 3 3 5" xfId="455"/>
    <cellStyle name="AggOrange 2 3 4" xfId="456"/>
    <cellStyle name="AggOrange 2 3 4 2" xfId="457"/>
    <cellStyle name="AggOrange 2 3 4 2 2" xfId="458"/>
    <cellStyle name="AggOrange 2 3 4 2 3" xfId="459"/>
    <cellStyle name="AggOrange 2 3 4 2 4" xfId="460"/>
    <cellStyle name="AggOrange 2 3 4 3" xfId="461"/>
    <cellStyle name="AggOrange 2 3 4 4" xfId="462"/>
    <cellStyle name="AggOrange 2 3 4 5" xfId="463"/>
    <cellStyle name="AggOrange 2 3 5" xfId="464"/>
    <cellStyle name="AggOrange 2 3 6" xfId="465"/>
    <cellStyle name="AggOrange 2 3 7" xfId="466"/>
    <cellStyle name="AggOrange 3" xfId="467"/>
    <cellStyle name="AggOrange 3 2" xfId="468"/>
    <cellStyle name="AggOrange 3 2 2" xfId="469"/>
    <cellStyle name="AggOrange 3 2 2 2" xfId="470"/>
    <cellStyle name="AggOrange 3 2 2 3" xfId="471"/>
    <cellStyle name="AggOrange 3 2 2 4" xfId="472"/>
    <cellStyle name="AggOrange 3 2 3" xfId="473"/>
    <cellStyle name="AggOrange 3 2 4" xfId="474"/>
    <cellStyle name="AggOrange 3 2 5" xfId="475"/>
    <cellStyle name="AggOrange 3 3" xfId="476"/>
    <cellStyle name="AggOrange 3 3 2" xfId="477"/>
    <cellStyle name="AggOrange 3 3 3" xfId="478"/>
    <cellStyle name="AggOrange 3 3 4" xfId="479"/>
    <cellStyle name="AggOrange 4" xfId="480"/>
    <cellStyle name="AggOrange 4 2" xfId="481"/>
    <cellStyle name="AggOrange 4 2 2" xfId="482"/>
    <cellStyle name="AggOrange 4 2 2 2" xfId="483"/>
    <cellStyle name="AggOrange 4 2 2 3" xfId="484"/>
    <cellStyle name="AggOrange 4 2 2 4" xfId="485"/>
    <cellStyle name="AggOrange 4 2 3" xfId="486"/>
    <cellStyle name="AggOrange 4 2 4" xfId="487"/>
    <cellStyle name="AggOrange 4 2 5" xfId="488"/>
    <cellStyle name="AggOrange 4 3" xfId="489"/>
    <cellStyle name="AggOrange 4 3 2" xfId="490"/>
    <cellStyle name="AggOrange 4 3 2 2" xfId="491"/>
    <cellStyle name="AggOrange 4 3 2 3" xfId="492"/>
    <cellStyle name="AggOrange 4 3 2 4" xfId="493"/>
    <cellStyle name="AggOrange 4 3 3" xfId="494"/>
    <cellStyle name="AggOrange 4 3 4" xfId="495"/>
    <cellStyle name="AggOrange 4 3 5" xfId="496"/>
    <cellStyle name="AggOrange 4 4" xfId="497"/>
    <cellStyle name="AggOrange 4 4 2" xfId="498"/>
    <cellStyle name="AggOrange 4 4 2 2" xfId="499"/>
    <cellStyle name="AggOrange 4 4 2 3" xfId="500"/>
    <cellStyle name="AggOrange 4 4 2 4" xfId="501"/>
    <cellStyle name="AggOrange 4 4 3" xfId="502"/>
    <cellStyle name="AggOrange 4 4 4" xfId="503"/>
    <cellStyle name="AggOrange 4 4 5" xfId="504"/>
    <cellStyle name="AggOrange 4 5" xfId="505"/>
    <cellStyle name="AggOrange 4 6" xfId="506"/>
    <cellStyle name="AggOrange 4 7" xfId="507"/>
    <cellStyle name="AggOrange 5" xfId="508"/>
    <cellStyle name="AggOrange_B_border" xfId="509"/>
    <cellStyle name="AggOrange9" xfId="510"/>
    <cellStyle name="AggOrange9 2" xfId="511"/>
    <cellStyle name="AggOrange9 2 2" xfId="512"/>
    <cellStyle name="AggOrange9 2 2 2" xfId="513"/>
    <cellStyle name="AggOrange9 2 2 2 2" xfId="514"/>
    <cellStyle name="AggOrange9 2 2 2 2 2" xfId="515"/>
    <cellStyle name="AggOrange9 2 2 2 2 3" xfId="516"/>
    <cellStyle name="AggOrange9 2 2 2 2 4" xfId="517"/>
    <cellStyle name="AggOrange9 2 2 2 3" xfId="518"/>
    <cellStyle name="AggOrange9 2 2 2 4" xfId="519"/>
    <cellStyle name="AggOrange9 2 2 2 5" xfId="520"/>
    <cellStyle name="AggOrange9 2 2 3" xfId="521"/>
    <cellStyle name="AggOrange9 2 2 3 2" xfId="522"/>
    <cellStyle name="AggOrange9 2 2 3 3" xfId="523"/>
    <cellStyle name="AggOrange9 2 2 3 4" xfId="524"/>
    <cellStyle name="AggOrange9 2 3" xfId="525"/>
    <cellStyle name="AggOrange9 2 3 2" xfId="526"/>
    <cellStyle name="AggOrange9 2 3 2 2" xfId="527"/>
    <cellStyle name="AggOrange9 2 3 2 2 2" xfId="528"/>
    <cellStyle name="AggOrange9 2 3 2 2 3" xfId="529"/>
    <cellStyle name="AggOrange9 2 3 2 2 4" xfId="530"/>
    <cellStyle name="AggOrange9 2 3 2 3" xfId="531"/>
    <cellStyle name="AggOrange9 2 3 2 4" xfId="532"/>
    <cellStyle name="AggOrange9 2 3 2 5" xfId="533"/>
    <cellStyle name="AggOrange9 2 3 3" xfId="534"/>
    <cellStyle name="AggOrange9 2 3 3 2" xfId="535"/>
    <cellStyle name="AggOrange9 2 3 3 2 2" xfId="536"/>
    <cellStyle name="AggOrange9 2 3 3 2 3" xfId="537"/>
    <cellStyle name="AggOrange9 2 3 3 2 4" xfId="538"/>
    <cellStyle name="AggOrange9 2 3 3 3" xfId="539"/>
    <cellStyle name="AggOrange9 2 3 3 4" xfId="540"/>
    <cellStyle name="AggOrange9 2 3 3 5" xfId="541"/>
    <cellStyle name="AggOrange9 2 3 4" xfId="542"/>
    <cellStyle name="AggOrange9 2 3 4 2" xfId="543"/>
    <cellStyle name="AggOrange9 2 3 4 2 2" xfId="544"/>
    <cellStyle name="AggOrange9 2 3 4 2 3" xfId="545"/>
    <cellStyle name="AggOrange9 2 3 4 2 4" xfId="546"/>
    <cellStyle name="AggOrange9 2 3 4 3" xfId="547"/>
    <cellStyle name="AggOrange9 2 3 4 4" xfId="548"/>
    <cellStyle name="AggOrange9 2 3 4 5" xfId="549"/>
    <cellStyle name="AggOrange9 2 3 5" xfId="550"/>
    <cellStyle name="AggOrange9 2 3 6" xfId="551"/>
    <cellStyle name="AggOrange9 2 3 7" xfId="552"/>
    <cellStyle name="AggOrange9 3" xfId="553"/>
    <cellStyle name="AggOrange9 3 2" xfId="554"/>
    <cellStyle name="AggOrange9 3 2 2" xfId="555"/>
    <cellStyle name="AggOrange9 3 2 2 2" xfId="556"/>
    <cellStyle name="AggOrange9 3 2 2 3" xfId="557"/>
    <cellStyle name="AggOrange9 3 2 2 4" xfId="558"/>
    <cellStyle name="AggOrange9 3 2 3" xfId="559"/>
    <cellStyle name="AggOrange9 3 2 4" xfId="560"/>
    <cellStyle name="AggOrange9 3 2 5" xfId="561"/>
    <cellStyle name="AggOrange9 3 3" xfId="562"/>
    <cellStyle name="AggOrange9 3 3 2" xfId="563"/>
    <cellStyle name="AggOrange9 3 3 3" xfId="564"/>
    <cellStyle name="AggOrange9 3 3 4" xfId="565"/>
    <cellStyle name="AggOrange9 4" xfId="566"/>
    <cellStyle name="AggOrange9 4 2" xfId="567"/>
    <cellStyle name="AggOrange9 4 2 2" xfId="568"/>
    <cellStyle name="AggOrange9 4 2 2 2" xfId="569"/>
    <cellStyle name="AggOrange9 4 2 2 3" xfId="570"/>
    <cellStyle name="AggOrange9 4 2 2 4" xfId="571"/>
    <cellStyle name="AggOrange9 4 2 3" xfId="572"/>
    <cellStyle name="AggOrange9 4 2 4" xfId="573"/>
    <cellStyle name="AggOrange9 4 2 5" xfId="574"/>
    <cellStyle name="AggOrange9 4 3" xfId="575"/>
    <cellStyle name="AggOrange9 4 3 2" xfId="576"/>
    <cellStyle name="AggOrange9 4 3 2 2" xfId="577"/>
    <cellStyle name="AggOrange9 4 3 2 3" xfId="578"/>
    <cellStyle name="AggOrange9 4 3 2 4" xfId="579"/>
    <cellStyle name="AggOrange9 4 3 3" xfId="580"/>
    <cellStyle name="AggOrange9 4 3 4" xfId="581"/>
    <cellStyle name="AggOrange9 4 3 5" xfId="582"/>
    <cellStyle name="AggOrange9 4 4" xfId="583"/>
    <cellStyle name="AggOrange9 4 4 2" xfId="584"/>
    <cellStyle name="AggOrange9 4 4 2 2" xfId="585"/>
    <cellStyle name="AggOrange9 4 4 2 3" xfId="586"/>
    <cellStyle name="AggOrange9 4 4 2 4" xfId="587"/>
    <cellStyle name="AggOrange9 4 4 3" xfId="588"/>
    <cellStyle name="AggOrange9 4 4 4" xfId="589"/>
    <cellStyle name="AggOrange9 4 4 5" xfId="590"/>
    <cellStyle name="AggOrange9 4 5" xfId="591"/>
    <cellStyle name="AggOrange9 4 6" xfId="592"/>
    <cellStyle name="AggOrange9 4 7" xfId="593"/>
    <cellStyle name="AggOrange9 5" xfId="594"/>
    <cellStyle name="AggOrangeLB_2x" xfId="595"/>
    <cellStyle name="AggOrangeLBorder" xfId="596"/>
    <cellStyle name="AggOrangeLBorder 2" xfId="597"/>
    <cellStyle name="AggOrangeLBorder 2 2" xfId="598"/>
    <cellStyle name="AggOrangeLBorder 2 3" xfId="599"/>
    <cellStyle name="AggOrangeLBorder 2 3 2" xfId="600"/>
    <cellStyle name="AggOrangeLBorder 2 3 2 2" xfId="601"/>
    <cellStyle name="AggOrangeLBorder 2 3 2 2 2" xfId="602"/>
    <cellStyle name="AggOrangeLBorder 2 3 2 2 3" xfId="603"/>
    <cellStyle name="AggOrangeLBorder 2 3 2 2 4" xfId="604"/>
    <cellStyle name="AggOrangeLBorder 2 3 2 3" xfId="605"/>
    <cellStyle name="AggOrangeLBorder 2 3 2 4" xfId="606"/>
    <cellStyle name="AggOrangeLBorder 2 3 2 5" xfId="607"/>
    <cellStyle name="AggOrangeLBorder 2 3 3" xfId="608"/>
    <cellStyle name="AggOrangeLBorder 2 3 3 2" xfId="609"/>
    <cellStyle name="AggOrangeLBorder 2 3 3 2 2" xfId="610"/>
    <cellStyle name="AggOrangeLBorder 2 3 3 2 3" xfId="611"/>
    <cellStyle name="AggOrangeLBorder 2 3 3 2 4" xfId="612"/>
    <cellStyle name="AggOrangeLBorder 2 3 3 3" xfId="613"/>
    <cellStyle name="AggOrangeLBorder 2 3 3 4" xfId="614"/>
    <cellStyle name="AggOrangeLBorder 2 3 3 5" xfId="615"/>
    <cellStyle name="AggOrangeLBorder 2 3 4" xfId="616"/>
    <cellStyle name="AggOrangeLBorder 2 3 4 2" xfId="617"/>
    <cellStyle name="AggOrangeLBorder 2 3 4 2 2" xfId="618"/>
    <cellStyle name="AggOrangeLBorder 2 3 4 2 3" xfId="619"/>
    <cellStyle name="AggOrangeLBorder 2 3 4 2 4" xfId="620"/>
    <cellStyle name="AggOrangeLBorder 2 3 4 3" xfId="621"/>
    <cellStyle name="AggOrangeLBorder 2 3 4 4" xfId="622"/>
    <cellStyle name="AggOrangeLBorder 2 3 4 5" xfId="623"/>
    <cellStyle name="AggOrangeLBorder 2 3 5" xfId="624"/>
    <cellStyle name="AggOrangeLBorder 2 3 6" xfId="625"/>
    <cellStyle name="AggOrangeLBorder 2 3 7" xfId="626"/>
    <cellStyle name="AggOrangeLBorder 2 3 8" xfId="627"/>
    <cellStyle name="AggOrangeLBorder 3" xfId="628"/>
    <cellStyle name="AggOrangeLBorder 4" xfId="629"/>
    <cellStyle name="AggOrangeLBorder 4 2" xfId="630"/>
    <cellStyle name="AggOrangeLBorder 4 2 2" xfId="631"/>
    <cellStyle name="AggOrangeLBorder 4 2 2 2" xfId="632"/>
    <cellStyle name="AggOrangeLBorder 4 2 2 3" xfId="633"/>
    <cellStyle name="AggOrangeLBorder 4 2 2 4" xfId="634"/>
    <cellStyle name="AggOrangeLBorder 4 2 3" xfId="635"/>
    <cellStyle name="AggOrangeLBorder 4 2 4" xfId="636"/>
    <cellStyle name="AggOrangeLBorder 4 2 5" xfId="637"/>
    <cellStyle name="AggOrangeLBorder 4 3" xfId="638"/>
    <cellStyle name="AggOrangeLBorder 4 3 2" xfId="639"/>
    <cellStyle name="AggOrangeLBorder 4 3 2 2" xfId="640"/>
    <cellStyle name="AggOrangeLBorder 4 3 2 3" xfId="641"/>
    <cellStyle name="AggOrangeLBorder 4 3 2 4" xfId="642"/>
    <cellStyle name="AggOrangeLBorder 4 3 3" xfId="643"/>
    <cellStyle name="AggOrangeLBorder 4 3 4" xfId="644"/>
    <cellStyle name="AggOrangeLBorder 4 3 5" xfId="645"/>
    <cellStyle name="AggOrangeLBorder 4 4" xfId="646"/>
    <cellStyle name="AggOrangeLBorder 4 4 2" xfId="647"/>
    <cellStyle name="AggOrangeLBorder 4 4 2 2" xfId="648"/>
    <cellStyle name="AggOrangeLBorder 4 4 2 3" xfId="649"/>
    <cellStyle name="AggOrangeLBorder 4 4 2 4" xfId="650"/>
    <cellStyle name="AggOrangeLBorder 4 4 3" xfId="651"/>
    <cellStyle name="AggOrangeLBorder 4 4 4" xfId="652"/>
    <cellStyle name="AggOrangeLBorder 4 4 5" xfId="653"/>
    <cellStyle name="AggOrangeLBorder 4 5" xfId="654"/>
    <cellStyle name="AggOrangeLBorder 4 6" xfId="655"/>
    <cellStyle name="AggOrangeLBorder 4 7" xfId="656"/>
    <cellStyle name="AggOrangeLBorder 4 8" xfId="657"/>
    <cellStyle name="AggOrangeLBorder 5" xfId="658"/>
    <cellStyle name="AggOrangeRBorder" xfId="659"/>
    <cellStyle name="AggOrangeRBorder 2" xfId="660"/>
    <cellStyle name="AggOrangeRBorder 2 2" xfId="661"/>
    <cellStyle name="AggOrangeRBorder 2 2 2" xfId="662"/>
    <cellStyle name="AggOrangeRBorder 2 2 2 2" xfId="663"/>
    <cellStyle name="AggOrangeRBorder 2 2 2 2 2" xfId="664"/>
    <cellStyle name="AggOrangeRBorder 2 2 2 2 3" xfId="665"/>
    <cellStyle name="AggOrangeRBorder 2 2 2 2 4" xfId="666"/>
    <cellStyle name="AggOrangeRBorder 2 2 2 3" xfId="667"/>
    <cellStyle name="AggOrangeRBorder 2 2 2 4" xfId="668"/>
    <cellStyle name="AggOrangeRBorder 2 2 2 5" xfId="669"/>
    <cellStyle name="AggOrangeRBorder 2 3" xfId="670"/>
    <cellStyle name="AggOrangeRBorder 2 3 2" xfId="671"/>
    <cellStyle name="AggOrangeRBorder 2 3 2 2" xfId="672"/>
    <cellStyle name="AggOrangeRBorder 2 3 2 2 2" xfId="673"/>
    <cellStyle name="AggOrangeRBorder 2 3 2 2 3" xfId="674"/>
    <cellStyle name="AggOrangeRBorder 2 3 2 2 4" xfId="675"/>
    <cellStyle name="AggOrangeRBorder 2 3 2 3" xfId="676"/>
    <cellStyle name="AggOrangeRBorder 2 3 2 4" xfId="677"/>
    <cellStyle name="AggOrangeRBorder 2 3 2 5" xfId="678"/>
    <cellStyle name="AggOrangeRBorder 2 3 3" xfId="679"/>
    <cellStyle name="AggOrangeRBorder 2 3 3 2" xfId="680"/>
    <cellStyle name="AggOrangeRBorder 2 3 3 2 2" xfId="681"/>
    <cellStyle name="AggOrangeRBorder 2 3 3 2 3" xfId="682"/>
    <cellStyle name="AggOrangeRBorder 2 3 3 2 4" xfId="683"/>
    <cellStyle name="AggOrangeRBorder 2 3 3 3" xfId="684"/>
    <cellStyle name="AggOrangeRBorder 2 3 3 4" xfId="685"/>
    <cellStyle name="AggOrangeRBorder 2 3 3 5" xfId="686"/>
    <cellStyle name="AggOrangeRBorder 2 3 4" xfId="687"/>
    <cellStyle name="AggOrangeRBorder 2 3 4 2" xfId="688"/>
    <cellStyle name="AggOrangeRBorder 2 3 4 2 2" xfId="689"/>
    <cellStyle name="AggOrangeRBorder 2 3 4 2 3" xfId="690"/>
    <cellStyle name="AggOrangeRBorder 2 3 4 2 4" xfId="691"/>
    <cellStyle name="AggOrangeRBorder 2 3 4 3" xfId="692"/>
    <cellStyle name="AggOrangeRBorder 2 3 4 4" xfId="693"/>
    <cellStyle name="AggOrangeRBorder 2 3 4 5" xfId="694"/>
    <cellStyle name="AggOrangeRBorder 2 3 5" xfId="695"/>
    <cellStyle name="AggOrangeRBorder 2 3 6" xfId="696"/>
    <cellStyle name="AggOrangeRBorder 2 3 7" xfId="697"/>
    <cellStyle name="AggOrangeRBorder 2 3 8" xfId="698"/>
    <cellStyle name="AggOrangeRBorder 3" xfId="699"/>
    <cellStyle name="AggOrangeRBorder 3 2" xfId="700"/>
    <cellStyle name="AggOrangeRBorder 3 2 2" xfId="701"/>
    <cellStyle name="AggOrangeRBorder 3 2 2 2" xfId="702"/>
    <cellStyle name="AggOrangeRBorder 3 2 2 3" xfId="703"/>
    <cellStyle name="AggOrangeRBorder 3 2 2 4" xfId="704"/>
    <cellStyle name="AggOrangeRBorder 3 2 3" xfId="705"/>
    <cellStyle name="AggOrangeRBorder 3 2 3 2" xfId="706"/>
    <cellStyle name="AggOrangeRBorder 3 2 3 3" xfId="707"/>
    <cellStyle name="AggOrangeRBorder 3 2 3 4" xfId="708"/>
    <cellStyle name="AggOrangeRBorder 4" xfId="709"/>
    <cellStyle name="AggOrangeRBorder 4 2" xfId="710"/>
    <cellStyle name="AggOrangeRBorder 4 2 2" xfId="711"/>
    <cellStyle name="AggOrangeRBorder 4 2 2 2" xfId="712"/>
    <cellStyle name="AggOrangeRBorder 4 2 2 3" xfId="713"/>
    <cellStyle name="AggOrangeRBorder 4 2 2 4" xfId="714"/>
    <cellStyle name="AggOrangeRBorder 4 2 3" xfId="715"/>
    <cellStyle name="AggOrangeRBorder 4 2 4" xfId="716"/>
    <cellStyle name="AggOrangeRBorder 4 2 5" xfId="717"/>
    <cellStyle name="AggOrangeRBorder 4 3" xfId="718"/>
    <cellStyle name="AggOrangeRBorder 4 3 2" xfId="719"/>
    <cellStyle name="AggOrangeRBorder 4 3 2 2" xfId="720"/>
    <cellStyle name="AggOrangeRBorder 4 3 2 3" xfId="721"/>
    <cellStyle name="AggOrangeRBorder 4 3 2 4" xfId="722"/>
    <cellStyle name="AggOrangeRBorder 4 3 3" xfId="723"/>
    <cellStyle name="AggOrangeRBorder 4 3 4" xfId="724"/>
    <cellStyle name="AggOrangeRBorder 4 3 5" xfId="725"/>
    <cellStyle name="AggOrangeRBorder 4 4" xfId="726"/>
    <cellStyle name="AggOrangeRBorder 4 4 2" xfId="727"/>
    <cellStyle name="AggOrangeRBorder 4 4 2 2" xfId="728"/>
    <cellStyle name="AggOrangeRBorder 4 4 2 3" xfId="729"/>
    <cellStyle name="AggOrangeRBorder 4 4 2 4" xfId="730"/>
    <cellStyle name="AggOrangeRBorder 4 4 3" xfId="731"/>
    <cellStyle name="AggOrangeRBorder 4 4 4" xfId="732"/>
    <cellStyle name="AggOrangeRBorder 4 4 5" xfId="733"/>
    <cellStyle name="AggOrangeRBorder 4 5" xfId="734"/>
    <cellStyle name="AggOrangeRBorder 4 6" xfId="735"/>
    <cellStyle name="AggOrangeRBorder 4 7" xfId="736"/>
    <cellStyle name="AggOrangeRBorder 4 8" xfId="737"/>
    <cellStyle name="AggOrangeRBorder 5" xfId="738"/>
    <cellStyle name="AggOrangeRBorder_CRFReport-template" xfId="739"/>
    <cellStyle name="Akzent1" xfId="740"/>
    <cellStyle name="Akzent2" xfId="741"/>
    <cellStyle name="Akzent3" xfId="742"/>
    <cellStyle name="Akzent4" xfId="743"/>
    <cellStyle name="Akzent5" xfId="744"/>
    <cellStyle name="Akzent6" xfId="745"/>
    <cellStyle name="Ausgabe" xfId="746"/>
    <cellStyle name="Ausgabe 2" xfId="747"/>
    <cellStyle name="Ausgabe 2 2" xfId="748"/>
    <cellStyle name="Ausgabe 2 2 2" xfId="749"/>
    <cellStyle name="Ausgabe 2 2 2 2" xfId="750"/>
    <cellStyle name="Ausgabe 2 2 2 3" xfId="751"/>
    <cellStyle name="Ausgabe 2 2 2 4" xfId="752"/>
    <cellStyle name="Ausgabe 2 2 3" xfId="753"/>
    <cellStyle name="Ausgabe 2 2 4" xfId="754"/>
    <cellStyle name="Ausgabe 2 2 5" xfId="755"/>
    <cellStyle name="Ausgabe 2 3" xfId="756"/>
    <cellStyle name="Ausgabe 2 3 2" xfId="757"/>
    <cellStyle name="Ausgabe 2 3 2 2" xfId="758"/>
    <cellStyle name="Ausgabe 2 3 2 3" xfId="759"/>
    <cellStyle name="Ausgabe 2 3 2 4" xfId="760"/>
    <cellStyle name="Ausgabe 2 3 3" xfId="761"/>
    <cellStyle name="Ausgabe 2 3 4" xfId="762"/>
    <cellStyle name="Ausgabe 2 3 5" xfId="763"/>
    <cellStyle name="Ausgabe 2 4" xfId="764"/>
    <cellStyle name="Ausgabe 2 4 2" xfId="765"/>
    <cellStyle name="Ausgabe 2 4 3" xfId="766"/>
    <cellStyle name="Ausgabe 2 4 4" xfId="767"/>
    <cellStyle name="Ausgabe 2 5" xfId="768"/>
    <cellStyle name="Ausgabe 3" xfId="769"/>
    <cellStyle name="Ausgabe 3 2" xfId="770"/>
    <cellStyle name="Ausgabe 3 2 2" xfId="771"/>
    <cellStyle name="Ausgabe 3 2 2 2" xfId="772"/>
    <cellStyle name="Ausgabe 3 2 2 3" xfId="773"/>
    <cellStyle name="Ausgabe 3 2 2 4" xfId="774"/>
    <cellStyle name="Ausgabe 3 2 3" xfId="775"/>
    <cellStyle name="Ausgabe 3 2 4" xfId="776"/>
    <cellStyle name="Ausgabe 3 2 5" xfId="777"/>
    <cellStyle name="Ausgabe 3 3" xfId="778"/>
    <cellStyle name="Ausgabe 3 3 2" xfId="779"/>
    <cellStyle name="Ausgabe 3 3 2 2" xfId="780"/>
    <cellStyle name="Ausgabe 3 3 2 3" xfId="781"/>
    <cellStyle name="Ausgabe 3 3 2 4" xfId="782"/>
    <cellStyle name="Ausgabe 3 3 3" xfId="783"/>
    <cellStyle name="Ausgabe 3 3 4" xfId="784"/>
    <cellStyle name="Ausgabe 3 3 5" xfId="785"/>
    <cellStyle name="Ausgabe 3 4" xfId="786"/>
    <cellStyle name="Ausgabe 3 4 2" xfId="787"/>
    <cellStyle name="Ausgabe 3 4 3" xfId="788"/>
    <cellStyle name="Ausgabe 3 4 4" xfId="789"/>
    <cellStyle name="Ausgabe 3 5" xfId="790"/>
    <cellStyle name="Ausgabe 4" xfId="791"/>
    <cellStyle name="Ausgabe 4 2" xfId="792"/>
    <cellStyle name="Ausgabe 4 2 2" xfId="793"/>
    <cellStyle name="Ausgabe 4 2 3" xfId="794"/>
    <cellStyle name="Ausgabe 4 2 4" xfId="795"/>
    <cellStyle name="Ausgabe 4 3" xfId="796"/>
    <cellStyle name="Ausgabe 4 4" xfId="797"/>
    <cellStyle name="Ausgabe 4 5" xfId="798"/>
    <cellStyle name="Ausgabe 5" xfId="799"/>
    <cellStyle name="Ausgabe 5 2" xfId="800"/>
    <cellStyle name="Ausgabe 5 2 2" xfId="801"/>
    <cellStyle name="Ausgabe 5 2 3" xfId="802"/>
    <cellStyle name="Ausgabe 5 2 4" xfId="803"/>
    <cellStyle name="Ausgabe 5 3" xfId="804"/>
    <cellStyle name="Ausgabe 5 4" xfId="805"/>
    <cellStyle name="Ausgabe 5 5" xfId="806"/>
    <cellStyle name="Ausgabe 6" xfId="807"/>
    <cellStyle name="Ausgabe 6 2" xfId="808"/>
    <cellStyle name="Ausgabe 6 3" xfId="809"/>
    <cellStyle name="Ausgabe 6 4" xfId="810"/>
    <cellStyle name="Bad 2" xfId="811"/>
    <cellStyle name="Bad 3" xfId="812"/>
    <cellStyle name="Bad 4" xfId="813"/>
    <cellStyle name="Berechnung" xfId="814"/>
    <cellStyle name="Berechnung 2" xfId="815"/>
    <cellStyle name="Berechnung 2 2" xfId="816"/>
    <cellStyle name="Berechnung 2 2 2" xfId="817"/>
    <cellStyle name="Berechnung 2 2 2 2" xfId="818"/>
    <cellStyle name="Berechnung 2 2 2 3" xfId="819"/>
    <cellStyle name="Berechnung 2 2 2 4" xfId="820"/>
    <cellStyle name="Berechnung 2 2 3" xfId="821"/>
    <cellStyle name="Berechnung 2 2 4" xfId="822"/>
    <cellStyle name="Berechnung 2 2 5" xfId="823"/>
    <cellStyle name="Berechnung 2 3" xfId="824"/>
    <cellStyle name="Berechnung 2 3 2" xfId="825"/>
    <cellStyle name="Berechnung 2 3 2 2" xfId="826"/>
    <cellStyle name="Berechnung 2 3 2 3" xfId="827"/>
    <cellStyle name="Berechnung 2 3 2 4" xfId="828"/>
    <cellStyle name="Berechnung 2 3 3" xfId="829"/>
    <cellStyle name="Berechnung 2 3 4" xfId="830"/>
    <cellStyle name="Berechnung 2 3 5" xfId="831"/>
    <cellStyle name="Berechnung 2 4" xfId="832"/>
    <cellStyle name="Berechnung 2 4 2" xfId="833"/>
    <cellStyle name="Berechnung 2 4 2 2" xfId="834"/>
    <cellStyle name="Berechnung 2 4 2 3" xfId="835"/>
    <cellStyle name="Berechnung 2 4 2 4" xfId="836"/>
    <cellStyle name="Berechnung 2 4 3" xfId="837"/>
    <cellStyle name="Berechnung 2 4 4" xfId="838"/>
    <cellStyle name="Berechnung 2 4 5" xfId="839"/>
    <cellStyle name="Berechnung 2 5" xfId="840"/>
    <cellStyle name="Berechnung 2 5 2" xfId="841"/>
    <cellStyle name="Berechnung 2 5 3" xfId="842"/>
    <cellStyle name="Berechnung 2 5 4" xfId="843"/>
    <cellStyle name="Berechnung 2 6" xfId="844"/>
    <cellStyle name="Berechnung 2 7" xfId="845"/>
    <cellStyle name="Berechnung 2 8" xfId="846"/>
    <cellStyle name="Berechnung 3" xfId="847"/>
    <cellStyle name="Berechnung 3 2" xfId="848"/>
    <cellStyle name="Berechnung 3 2 2" xfId="849"/>
    <cellStyle name="Berechnung 3 2 2 2" xfId="850"/>
    <cellStyle name="Berechnung 3 2 2 3" xfId="851"/>
    <cellStyle name="Berechnung 3 2 2 4" xfId="852"/>
    <cellStyle name="Berechnung 3 2 3" xfId="853"/>
    <cellStyle name="Berechnung 3 2 4" xfId="854"/>
    <cellStyle name="Berechnung 3 2 5" xfId="855"/>
    <cellStyle name="Berechnung 3 3" xfId="856"/>
    <cellStyle name="Berechnung 3 3 2" xfId="857"/>
    <cellStyle name="Berechnung 3 3 2 2" xfId="858"/>
    <cellStyle name="Berechnung 3 3 2 3" xfId="859"/>
    <cellStyle name="Berechnung 3 3 2 4" xfId="860"/>
    <cellStyle name="Berechnung 3 3 3" xfId="861"/>
    <cellStyle name="Berechnung 3 3 4" xfId="862"/>
    <cellStyle name="Berechnung 3 3 5" xfId="863"/>
    <cellStyle name="Berechnung 3 4" xfId="864"/>
    <cellStyle name="Berechnung 3 4 2" xfId="865"/>
    <cellStyle name="Berechnung 3 4 2 2" xfId="866"/>
    <cellStyle name="Berechnung 3 4 2 3" xfId="867"/>
    <cellStyle name="Berechnung 3 4 2 4" xfId="868"/>
    <cellStyle name="Berechnung 3 4 3" xfId="869"/>
    <cellStyle name="Berechnung 3 4 4" xfId="870"/>
    <cellStyle name="Berechnung 3 4 5" xfId="871"/>
    <cellStyle name="Berechnung 3 5" xfId="872"/>
    <cellStyle name="Berechnung 3 5 2" xfId="873"/>
    <cellStyle name="Berechnung 3 5 3" xfId="874"/>
    <cellStyle name="Berechnung 3 5 4" xfId="875"/>
    <cellStyle name="Berechnung 3 6" xfId="876"/>
    <cellStyle name="Berechnung 3 7" xfId="877"/>
    <cellStyle name="Berechnung 3 8" xfId="878"/>
    <cellStyle name="Berechnung 4" xfId="879"/>
    <cellStyle name="Berechnung 4 2" xfId="880"/>
    <cellStyle name="Berechnung 4 2 2" xfId="881"/>
    <cellStyle name="Berechnung 4 2 3" xfId="882"/>
    <cellStyle name="Berechnung 4 2 4" xfId="883"/>
    <cellStyle name="Berechnung 4 3" xfId="884"/>
    <cellStyle name="Berechnung 4 4" xfId="885"/>
    <cellStyle name="Berechnung 4 5" xfId="886"/>
    <cellStyle name="Berechnung 5" xfId="887"/>
    <cellStyle name="Berechnung 5 2" xfId="888"/>
    <cellStyle name="Berechnung 5 2 2" xfId="889"/>
    <cellStyle name="Berechnung 5 2 3" xfId="890"/>
    <cellStyle name="Berechnung 5 2 4" xfId="891"/>
    <cellStyle name="Berechnung 5 3" xfId="892"/>
    <cellStyle name="Berechnung 5 4" xfId="893"/>
    <cellStyle name="Berechnung 5 5" xfId="894"/>
    <cellStyle name="Berechnung 6" xfId="895"/>
    <cellStyle name="Berechnung 6 2" xfId="896"/>
    <cellStyle name="Berechnung 6 2 2" xfId="897"/>
    <cellStyle name="Berechnung 6 2 3" xfId="898"/>
    <cellStyle name="Berechnung 6 2 4" xfId="899"/>
    <cellStyle name="Berechnung 6 3" xfId="900"/>
    <cellStyle name="Berechnung 6 4" xfId="901"/>
    <cellStyle name="Berechnung 6 5" xfId="902"/>
    <cellStyle name="Berechnung 7" xfId="903"/>
    <cellStyle name="Berechnung 7 2" xfId="904"/>
    <cellStyle name="Berechnung 7 3" xfId="905"/>
    <cellStyle name="Berechnung 7 4" xfId="906"/>
    <cellStyle name="Body: normal cell 2" xfId="907"/>
    <cellStyle name="Bold GHG Numbers (0.00)" xfId="908"/>
    <cellStyle name="Calculation 2" xfId="909"/>
    <cellStyle name="Calculation 2 2" xfId="910"/>
    <cellStyle name="Calculation 2 2 2" xfId="911"/>
    <cellStyle name="Calculation 2 2 2 2" xfId="912"/>
    <cellStyle name="Calculation 2 2 2 3" xfId="913"/>
    <cellStyle name="Calculation 2 2 2 4" xfId="914"/>
    <cellStyle name="Calculation 2 2 3" xfId="915"/>
    <cellStyle name="Calculation 2 2 4" xfId="916"/>
    <cellStyle name="Calculation 2 2 5" xfId="917"/>
    <cellStyle name="Calculation 2 3" xfId="918"/>
    <cellStyle name="Calculation 2 3 2" xfId="919"/>
    <cellStyle name="Calculation 2 3 2 2" xfId="920"/>
    <cellStyle name="Calculation 2 3 2 3" xfId="921"/>
    <cellStyle name="Calculation 2 3 2 4" xfId="922"/>
    <cellStyle name="Calculation 2 3 3" xfId="923"/>
    <cellStyle name="Calculation 2 3 4" xfId="924"/>
    <cellStyle name="Calculation 2 3 5" xfId="925"/>
    <cellStyle name="Calculation 2 4" xfId="926"/>
    <cellStyle name="Calculation 2 4 2" xfId="927"/>
    <cellStyle name="Calculation 2 4 2 2" xfId="928"/>
    <cellStyle name="Calculation 2 4 2 3" xfId="929"/>
    <cellStyle name="Calculation 2 4 2 4" xfId="930"/>
    <cellStyle name="Calculation 2 4 3" xfId="931"/>
    <cellStyle name="Calculation 2 4 4" xfId="932"/>
    <cellStyle name="Calculation 2 4 5" xfId="933"/>
    <cellStyle name="Calculation 2 5" xfId="934"/>
    <cellStyle name="Calculation 2 5 2" xfId="935"/>
    <cellStyle name="Calculation 2 5 3" xfId="936"/>
    <cellStyle name="Calculation 2 5 4" xfId="937"/>
    <cellStyle name="Calculation 2 6" xfId="938"/>
    <cellStyle name="Calculation 2 7" xfId="939"/>
    <cellStyle name="Calculation 2 8" xfId="940"/>
    <cellStyle name="Calculation 3" xfId="941"/>
    <cellStyle name="Calculation 3 2" xfId="942"/>
    <cellStyle name="Calculation 3 2 2" xfId="943"/>
    <cellStyle name="Calculation 3 2 2 2" xfId="944"/>
    <cellStyle name="Calculation 3 2 2 3" xfId="945"/>
    <cellStyle name="Calculation 3 2 2 4" xfId="946"/>
    <cellStyle name="Calculation 3 2 3" xfId="947"/>
    <cellStyle name="Calculation 3 2 4" xfId="948"/>
    <cellStyle name="Calculation 3 2 5" xfId="949"/>
    <cellStyle name="Calculation 3 3" xfId="950"/>
    <cellStyle name="Calculation 3 3 2" xfId="951"/>
    <cellStyle name="Calculation 3 3 2 2" xfId="952"/>
    <cellStyle name="Calculation 3 3 2 3" xfId="953"/>
    <cellStyle name="Calculation 3 3 2 4" xfId="954"/>
    <cellStyle name="Calculation 3 3 3" xfId="955"/>
    <cellStyle name="Calculation 3 3 4" xfId="956"/>
    <cellStyle name="Calculation 3 3 5" xfId="957"/>
    <cellStyle name="Calculation 3 4" xfId="958"/>
    <cellStyle name="Calculation 3 4 2" xfId="959"/>
    <cellStyle name="Calculation 3 4 2 2" xfId="960"/>
    <cellStyle name="Calculation 3 4 2 3" xfId="961"/>
    <cellStyle name="Calculation 3 4 2 4" xfId="962"/>
    <cellStyle name="Calculation 3 4 3" xfId="963"/>
    <cellStyle name="Calculation 3 4 4" xfId="964"/>
    <cellStyle name="Calculation 3 4 5" xfId="965"/>
    <cellStyle name="Calculation 3 5" xfId="966"/>
    <cellStyle name="Calculation 3 5 2" xfId="967"/>
    <cellStyle name="Calculation 3 5 3" xfId="968"/>
    <cellStyle name="Calculation 3 5 4" xfId="969"/>
    <cellStyle name="Calculation 3 6" xfId="970"/>
    <cellStyle name="Calculation 3 7" xfId="971"/>
    <cellStyle name="Calculation 3 8" xfId="972"/>
    <cellStyle name="Check Cell 2" xfId="973"/>
    <cellStyle name="Check Cell 3" xfId="974"/>
    <cellStyle name="Check Cell 4" xfId="975"/>
    <cellStyle name="Comma 2" xfId="976"/>
    <cellStyle name="Comma 2 2" xfId="977"/>
    <cellStyle name="Comma 2 2 2" xfId="978"/>
    <cellStyle name="Comma 3" xfId="979"/>
    <cellStyle name="Comma 6" xfId="980"/>
    <cellStyle name="Constants" xfId="981"/>
    <cellStyle name="ContentsHyperlink" xfId="982"/>
    <cellStyle name="CustomCellsOrange" xfId="983"/>
    <cellStyle name="CustomCellsOrange 2" xfId="984"/>
    <cellStyle name="CustomCellsOrange 2 2" xfId="985"/>
    <cellStyle name="CustomCellsOrange 2 2 2" xfId="986"/>
    <cellStyle name="CustomCellsOrange 2 2 2 2" xfId="987"/>
    <cellStyle name="CustomCellsOrange 2 2 2 2 2" xfId="988"/>
    <cellStyle name="CustomCellsOrange 2 2 2 2 2 2" xfId="989"/>
    <cellStyle name="CustomCellsOrange 2 2 2 2 2 3" xfId="990"/>
    <cellStyle name="CustomCellsOrange 2 2 2 2 2 4" xfId="991"/>
    <cellStyle name="CustomCellsOrange 2 2 2 2 3" xfId="992"/>
    <cellStyle name="CustomCellsOrange 2 2 2 2 4" xfId="993"/>
    <cellStyle name="CustomCellsOrange 2 2 2 2 5" xfId="994"/>
    <cellStyle name="CustomCellsOrange 2 2 3" xfId="995"/>
    <cellStyle name="CustomCellsOrange 2 2 3 2" xfId="996"/>
    <cellStyle name="CustomCellsOrange 2 2 3 2 2" xfId="997"/>
    <cellStyle name="CustomCellsOrange 2 2 3 2 3" xfId="998"/>
    <cellStyle name="CustomCellsOrange 2 2 3 2 4" xfId="999"/>
    <cellStyle name="CustomCellsOrange 2 2 3 3" xfId="1000"/>
    <cellStyle name="CustomCellsOrange 2 2 3 4" xfId="1001"/>
    <cellStyle name="CustomCellsOrange 2 2 3 5" xfId="1002"/>
    <cellStyle name="CustomCellsOrange 2 2 4" xfId="1003"/>
    <cellStyle name="CustomCellsOrange 2 2 4 2" xfId="1004"/>
    <cellStyle name="CustomCellsOrange 2 2 4 2 2" xfId="1005"/>
    <cellStyle name="CustomCellsOrange 2 2 4 2 3" xfId="1006"/>
    <cellStyle name="CustomCellsOrange 2 2 4 2 4" xfId="1007"/>
    <cellStyle name="CustomCellsOrange 2 2 4 3" xfId="1008"/>
    <cellStyle name="CustomCellsOrange 2 2 4 4" xfId="1009"/>
    <cellStyle name="CustomCellsOrange 2 2 4 5" xfId="1010"/>
    <cellStyle name="CustomCellsOrange 2 2 5" xfId="1011"/>
    <cellStyle name="CustomCellsOrange 2 2 5 2" xfId="1012"/>
    <cellStyle name="CustomCellsOrange 2 2 5 2 2" xfId="1013"/>
    <cellStyle name="CustomCellsOrange 2 2 5 2 3" xfId="1014"/>
    <cellStyle name="CustomCellsOrange 2 2 5 2 4" xfId="1015"/>
    <cellStyle name="CustomCellsOrange 2 2 5 3" xfId="1016"/>
    <cellStyle name="CustomCellsOrange 2 2 5 4" xfId="1017"/>
    <cellStyle name="CustomCellsOrange 2 2 5 5" xfId="1018"/>
    <cellStyle name="CustomCellsOrange 2 2 6" xfId="1019"/>
    <cellStyle name="CustomCellsOrange 2 2 7" xfId="1020"/>
    <cellStyle name="CustomCellsOrange 2 2 8" xfId="1021"/>
    <cellStyle name="CustomCellsOrange 3" xfId="1022"/>
    <cellStyle name="CustomCellsOrange 3 2" xfId="1023"/>
    <cellStyle name="CustomCellsOrange 3 2 2" xfId="1024"/>
    <cellStyle name="CustomCellsOrange 3 2 2 2" xfId="1025"/>
    <cellStyle name="CustomCellsOrange 3 2 2 3" xfId="1026"/>
    <cellStyle name="CustomCellsOrange 3 2 2 4" xfId="1027"/>
    <cellStyle name="CustomCellsOrange 3 2 3" xfId="1028"/>
    <cellStyle name="CustomCellsOrange 3 2 4" xfId="1029"/>
    <cellStyle name="CustomCellsOrange 3 2 5" xfId="1030"/>
    <cellStyle name="CustomCellsOrange 3 3" xfId="1031"/>
    <cellStyle name="CustomCellsOrange 3 3 2" xfId="1032"/>
    <cellStyle name="CustomCellsOrange 3 3 2 2" xfId="1033"/>
    <cellStyle name="CustomCellsOrange 3 3 2 3" xfId="1034"/>
    <cellStyle name="CustomCellsOrange 3 3 2 4" xfId="1035"/>
    <cellStyle name="CustomCellsOrange 3 3 3" xfId="1036"/>
    <cellStyle name="CustomCellsOrange 3 3 4" xfId="1037"/>
    <cellStyle name="CustomCellsOrange 3 3 5" xfId="1038"/>
    <cellStyle name="CustomCellsOrange 3 4" xfId="1039"/>
    <cellStyle name="CustomCellsOrange 3 4 2" xfId="1040"/>
    <cellStyle name="CustomCellsOrange 3 4 2 2" xfId="1041"/>
    <cellStyle name="CustomCellsOrange 3 4 2 3" xfId="1042"/>
    <cellStyle name="CustomCellsOrange 3 4 2 4" xfId="1043"/>
    <cellStyle name="CustomCellsOrange 3 4 3" xfId="1044"/>
    <cellStyle name="CustomCellsOrange 3 4 4" xfId="1045"/>
    <cellStyle name="CustomCellsOrange 3 4 5" xfId="1046"/>
    <cellStyle name="CustomCellsOrange 3 5" xfId="1047"/>
    <cellStyle name="CustomCellsOrange 3 6" xfId="1048"/>
    <cellStyle name="CustomCellsOrange 3 7" xfId="1049"/>
    <cellStyle name="CustomCellsOrange 3 8" xfId="1050"/>
    <cellStyle name="CustomizationCells" xfId="1051"/>
    <cellStyle name="CustomizationCells 2" xfId="1052"/>
    <cellStyle name="CustomizationCells 2 2" xfId="1053"/>
    <cellStyle name="CustomizationCells 2 2 2" xfId="1054"/>
    <cellStyle name="CustomizationCells 2 2 2 2" xfId="1055"/>
    <cellStyle name="CustomizationCells 2 2 2 2 2" xfId="1056"/>
    <cellStyle name="CustomizationCells 2 2 2 2 2 2" xfId="1057"/>
    <cellStyle name="CustomizationCells 2 2 2 2 2 3" xfId="1058"/>
    <cellStyle name="CustomizationCells 2 2 2 2 2 4" xfId="1059"/>
    <cellStyle name="CustomizationCells 2 2 2 2 3" xfId="1060"/>
    <cellStyle name="CustomizationCells 2 2 2 2 4" xfId="1061"/>
    <cellStyle name="CustomizationCells 2 2 2 2 5" xfId="1062"/>
    <cellStyle name="CustomizationCells 2 2 3" xfId="1063"/>
    <cellStyle name="CustomizationCells 2 2 3 2" xfId="1064"/>
    <cellStyle name="CustomizationCells 2 2 3 2 2" xfId="1065"/>
    <cellStyle name="CustomizationCells 2 2 3 2 3" xfId="1066"/>
    <cellStyle name="CustomizationCells 2 2 3 2 4" xfId="1067"/>
    <cellStyle name="CustomizationCells 2 2 3 3" xfId="1068"/>
    <cellStyle name="CustomizationCells 2 2 3 4" xfId="1069"/>
    <cellStyle name="CustomizationCells 2 2 3 5" xfId="1070"/>
    <cellStyle name="CustomizationCells 2 2 4" xfId="1071"/>
    <cellStyle name="CustomizationCells 2 2 4 2" xfId="1072"/>
    <cellStyle name="CustomizationCells 2 2 4 2 2" xfId="1073"/>
    <cellStyle name="CustomizationCells 2 2 4 2 3" xfId="1074"/>
    <cellStyle name="CustomizationCells 2 2 4 2 4" xfId="1075"/>
    <cellStyle name="CustomizationCells 2 2 4 3" xfId="1076"/>
    <cellStyle name="CustomizationCells 2 2 4 4" xfId="1077"/>
    <cellStyle name="CustomizationCells 2 2 4 5" xfId="1078"/>
    <cellStyle name="CustomizationCells 2 2 5" xfId="1079"/>
    <cellStyle name="CustomizationCells 2 2 5 2" xfId="1080"/>
    <cellStyle name="CustomizationCells 2 2 5 3" xfId="1081"/>
    <cellStyle name="CustomizationCells 2 2 5 4" xfId="1082"/>
    <cellStyle name="CustomizationCells 2 2 5 5" xfId="1083"/>
    <cellStyle name="CustomizationCells 2 2 6" xfId="1084"/>
    <cellStyle name="CustomizationCells 2 2 7" xfId="1085"/>
    <cellStyle name="CustomizationCells 2 2 8" xfId="1086"/>
    <cellStyle name="CustomizationCells 3" xfId="1087"/>
    <cellStyle name="CustomizationCells 3 2" xfId="1088"/>
    <cellStyle name="CustomizationCells 3 2 2" xfId="1089"/>
    <cellStyle name="CustomizationCells 3 2 2 2" xfId="1090"/>
    <cellStyle name="CustomizationCells 3 2 2 3" xfId="1091"/>
    <cellStyle name="CustomizationCells 3 2 2 4" xfId="1092"/>
    <cellStyle name="CustomizationCells 3 2 3" xfId="1093"/>
    <cellStyle name="CustomizationCells 3 2 4" xfId="1094"/>
    <cellStyle name="CustomizationCells 3 2 5" xfId="1095"/>
    <cellStyle name="CustomizationCells 3 3" xfId="1096"/>
    <cellStyle name="CustomizationCells 3 3 2" xfId="1097"/>
    <cellStyle name="CustomizationCells 3 3 2 2" xfId="1098"/>
    <cellStyle name="CustomizationCells 3 3 2 3" xfId="1099"/>
    <cellStyle name="CustomizationCells 3 3 2 4" xfId="1100"/>
    <cellStyle name="CustomizationCells 3 3 3" xfId="1101"/>
    <cellStyle name="CustomizationCells 3 3 4" xfId="1102"/>
    <cellStyle name="CustomizationCells 3 3 5" xfId="1103"/>
    <cellStyle name="CustomizationCells 3 4" xfId="1104"/>
    <cellStyle name="CustomizationCells 3 4 2" xfId="1105"/>
    <cellStyle name="CustomizationCells 3 4 2 2" xfId="1106"/>
    <cellStyle name="CustomizationCells 3 4 2 3" xfId="1107"/>
    <cellStyle name="CustomizationCells 3 4 2 4" xfId="1108"/>
    <cellStyle name="CustomizationCells 3 4 3" xfId="1109"/>
    <cellStyle name="CustomizationCells 3 4 4" xfId="1110"/>
    <cellStyle name="CustomizationCells 3 4 5" xfId="1111"/>
    <cellStyle name="CustomizationCells 3 5" xfId="1112"/>
    <cellStyle name="CustomizationCells 3 6" xfId="1113"/>
    <cellStyle name="CustomizationCells 3 7" xfId="1114"/>
    <cellStyle name="CustomizationCells 3 8" xfId="1115"/>
    <cellStyle name="CustomizationCells 4" xfId="1116"/>
    <cellStyle name="CustomizationGreenCells" xfId="1117"/>
    <cellStyle name="CustomizationGreenCells 2" xfId="1118"/>
    <cellStyle name="CustomizationGreenCells 3" xfId="1119"/>
    <cellStyle name="CustomizationGreenCells 3 2" xfId="1120"/>
    <cellStyle name="CustomizationGreenCells 3 2 2" xfId="1121"/>
    <cellStyle name="CustomizationGreenCells 3 2 2 2" xfId="1122"/>
    <cellStyle name="CustomizationGreenCells 3 2 2 3" xfId="1123"/>
    <cellStyle name="CustomizationGreenCells 3 2 2 4" xfId="1124"/>
    <cellStyle name="CustomizationGreenCells 3 2 3" xfId="1125"/>
    <cellStyle name="CustomizationGreenCells 3 2 4" xfId="1126"/>
    <cellStyle name="CustomizationGreenCells 3 2 5" xfId="1127"/>
    <cellStyle name="CustomizationGreenCells 3 3" xfId="1128"/>
    <cellStyle name="CustomizationGreenCells 3 3 2" xfId="1129"/>
    <cellStyle name="CustomizationGreenCells 3 3 2 2" xfId="1130"/>
    <cellStyle name="CustomizationGreenCells 3 3 2 3" xfId="1131"/>
    <cellStyle name="CustomizationGreenCells 3 3 2 4" xfId="1132"/>
    <cellStyle name="CustomizationGreenCells 3 3 3" xfId="1133"/>
    <cellStyle name="CustomizationGreenCells 3 3 4" xfId="1134"/>
    <cellStyle name="CustomizationGreenCells 3 3 5" xfId="1135"/>
    <cellStyle name="CustomizationGreenCells 3 4" xfId="1136"/>
    <cellStyle name="CustomizationGreenCells 3 4 2" xfId="1137"/>
    <cellStyle name="CustomizationGreenCells 3 4 2 2" xfId="1138"/>
    <cellStyle name="CustomizationGreenCells 3 4 2 3" xfId="1139"/>
    <cellStyle name="CustomizationGreenCells 3 4 2 4" xfId="1140"/>
    <cellStyle name="CustomizationGreenCells 3 4 3" xfId="1141"/>
    <cellStyle name="CustomizationGreenCells 3 4 4" xfId="1142"/>
    <cellStyle name="CustomizationGreenCells 3 4 5" xfId="1143"/>
    <cellStyle name="CustomizationGreenCells 3 5" xfId="1144"/>
    <cellStyle name="CustomizationGreenCells 3 6" xfId="1145"/>
    <cellStyle name="CustomizationGreenCells 3 7" xfId="1146"/>
    <cellStyle name="CustomizationGreenCells 3 8" xfId="1147"/>
    <cellStyle name="DocBox_EmptyRow" xfId="1148"/>
    <cellStyle name="Eingabe" xfId="1149"/>
    <cellStyle name="Eingabe 2" xfId="1150"/>
    <cellStyle name="Eingabe 3" xfId="1151"/>
    <cellStyle name="Eingabe 3 2" xfId="1152"/>
    <cellStyle name="Eingabe 3 2 2" xfId="1153"/>
    <cellStyle name="Eingabe 3 2 2 2" xfId="1154"/>
    <cellStyle name="Eingabe 3 2 2 3" xfId="1155"/>
    <cellStyle name="Eingabe 3 2 2 4" xfId="1156"/>
    <cellStyle name="Eingabe 3 2 3" xfId="1157"/>
    <cellStyle name="Eingabe 3 2 4" xfId="1158"/>
    <cellStyle name="Eingabe 3 2 5" xfId="1159"/>
    <cellStyle name="Eingabe 3 3" xfId="1160"/>
    <cellStyle name="Eingabe 3 3 2" xfId="1161"/>
    <cellStyle name="Eingabe 3 3 2 2" xfId="1162"/>
    <cellStyle name="Eingabe 3 3 2 3" xfId="1163"/>
    <cellStyle name="Eingabe 3 3 2 4" xfId="1164"/>
    <cellStyle name="Eingabe 3 3 3" xfId="1165"/>
    <cellStyle name="Eingabe 3 3 4" xfId="1166"/>
    <cellStyle name="Eingabe 3 3 5" xfId="1167"/>
    <cellStyle name="Eingabe 3 4" xfId="1168"/>
    <cellStyle name="Eingabe 3 4 2" xfId="1169"/>
    <cellStyle name="Eingabe 3 4 2 2" xfId="1170"/>
    <cellStyle name="Eingabe 3 4 2 3" xfId="1171"/>
    <cellStyle name="Eingabe 3 4 2 4" xfId="1172"/>
    <cellStyle name="Eingabe 3 4 3" xfId="1173"/>
    <cellStyle name="Eingabe 3 4 4" xfId="1174"/>
    <cellStyle name="Eingabe 3 4 5" xfId="1175"/>
    <cellStyle name="Eingabe 3 5" xfId="1176"/>
    <cellStyle name="Eingabe 3 5 2" xfId="1177"/>
    <cellStyle name="Eingabe 3 5 3" xfId="1178"/>
    <cellStyle name="Eingabe 3 5 4" xfId="1179"/>
    <cellStyle name="Eingabe 3 6" xfId="1180"/>
    <cellStyle name="Eingabe 3 7" xfId="1181"/>
    <cellStyle name="Eingabe 3 8" xfId="1182"/>
    <cellStyle name="Eingabe 4" xfId="1183"/>
    <cellStyle name="Eingabe 4 2" xfId="1184"/>
    <cellStyle name="Eingabe 4 2 2" xfId="1185"/>
    <cellStyle name="Eingabe 4 2 2 2" xfId="1186"/>
    <cellStyle name="Eingabe 4 2 2 3" xfId="1187"/>
    <cellStyle name="Eingabe 4 2 2 4" xfId="1188"/>
    <cellStyle name="Eingabe 4 2 3" xfId="1189"/>
    <cellStyle name="Eingabe 4 2 4" xfId="1190"/>
    <cellStyle name="Eingabe 4 2 5" xfId="1191"/>
    <cellStyle name="Eingabe 4 3" xfId="1192"/>
    <cellStyle name="Eingabe 4 3 2" xfId="1193"/>
    <cellStyle name="Eingabe 4 3 2 2" xfId="1194"/>
    <cellStyle name="Eingabe 4 3 2 3" xfId="1195"/>
    <cellStyle name="Eingabe 4 3 2 4" xfId="1196"/>
    <cellStyle name="Eingabe 4 3 3" xfId="1197"/>
    <cellStyle name="Eingabe 4 3 4" xfId="1198"/>
    <cellStyle name="Eingabe 4 3 5" xfId="1199"/>
    <cellStyle name="Eingabe 4 4" xfId="1200"/>
    <cellStyle name="Eingabe 4 4 2" xfId="1201"/>
    <cellStyle name="Eingabe 4 4 2 2" xfId="1202"/>
    <cellStyle name="Eingabe 4 4 2 3" xfId="1203"/>
    <cellStyle name="Eingabe 4 4 2 4" xfId="1204"/>
    <cellStyle name="Eingabe 4 4 3" xfId="1205"/>
    <cellStyle name="Eingabe 4 4 4" xfId="1206"/>
    <cellStyle name="Eingabe 4 4 5" xfId="1207"/>
    <cellStyle name="Eingabe 4 5" xfId="1208"/>
    <cellStyle name="Eingabe 4 5 2" xfId="1209"/>
    <cellStyle name="Eingabe 4 5 3" xfId="1210"/>
    <cellStyle name="Eingabe 4 5 4" xfId="1211"/>
    <cellStyle name="Eingabe 4 6" xfId="1212"/>
    <cellStyle name="Eingabe 4 7" xfId="1213"/>
    <cellStyle name="Eingabe 4 8" xfId="1214"/>
    <cellStyle name="Eingabe 5" xfId="1215"/>
    <cellStyle name="Eingabe 5 2" xfId="1216"/>
    <cellStyle name="Eingabe 5 2 2" xfId="1217"/>
    <cellStyle name="Eingabe 5 2 3" xfId="1218"/>
    <cellStyle name="Eingabe 5 2 4" xfId="1219"/>
    <cellStyle name="Eingabe 5 3" xfId="1220"/>
    <cellStyle name="Eingabe 5 4" xfId="1221"/>
    <cellStyle name="Eingabe 5 5" xfId="1222"/>
    <cellStyle name="Eingabe 6" xfId="1223"/>
    <cellStyle name="Eingabe 6 2" xfId="1224"/>
    <cellStyle name="Eingabe 6 2 2" xfId="1225"/>
    <cellStyle name="Eingabe 6 2 3" xfId="1226"/>
    <cellStyle name="Eingabe 6 2 4" xfId="1227"/>
    <cellStyle name="Eingabe 6 3" xfId="1228"/>
    <cellStyle name="Eingabe 6 4" xfId="1229"/>
    <cellStyle name="Eingabe 6 5" xfId="1230"/>
    <cellStyle name="Eingabe 7" xfId="1231"/>
    <cellStyle name="Eingabe 7 2" xfId="1232"/>
    <cellStyle name="Eingabe 7 2 2" xfId="1233"/>
    <cellStyle name="Eingabe 7 2 3" xfId="1234"/>
    <cellStyle name="Eingabe 7 2 4" xfId="1235"/>
    <cellStyle name="Eingabe 7 3" xfId="1236"/>
    <cellStyle name="Eingabe 7 4" xfId="1237"/>
    <cellStyle name="Eingabe 7 5" xfId="1238"/>
    <cellStyle name="Eingabe 8" xfId="1239"/>
    <cellStyle name="Eingabe 8 2" xfId="1240"/>
    <cellStyle name="Eingabe 8 3" xfId="1241"/>
    <cellStyle name="Eingabe 8 4" xfId="1242"/>
    <cellStyle name="Empty_B_border" xfId="1243"/>
    <cellStyle name="Ergebnis" xfId="1244"/>
    <cellStyle name="Ergebnis 2" xfId="1245"/>
    <cellStyle name="Ergebnis 2 2" xfId="1246"/>
    <cellStyle name="Ergebnis 2 2 2" xfId="1247"/>
    <cellStyle name="Ergebnis 2 2 2 2" xfId="1248"/>
    <cellStyle name="Ergebnis 2 2 2 3" xfId="1249"/>
    <cellStyle name="Ergebnis 2 2 2 4" xfId="1250"/>
    <cellStyle name="Ergebnis 2 2 3" xfId="1251"/>
    <cellStyle name="Ergebnis 2 2 4" xfId="1252"/>
    <cellStyle name="Ergebnis 2 2 5" xfId="1253"/>
    <cellStyle name="Ergebnis 2 3" xfId="1254"/>
    <cellStyle name="Ergebnis 2 3 2" xfId="1255"/>
    <cellStyle name="Ergebnis 2 3 2 2" xfId="1256"/>
    <cellStyle name="Ergebnis 2 3 2 3" xfId="1257"/>
    <cellStyle name="Ergebnis 2 3 2 4" xfId="1258"/>
    <cellStyle name="Ergebnis 2 3 3" xfId="1259"/>
    <cellStyle name="Ergebnis 2 3 4" xfId="1260"/>
    <cellStyle name="Ergebnis 2 3 5" xfId="1261"/>
    <cellStyle name="Ergebnis 2 4" xfId="1262"/>
    <cellStyle name="Ergebnis 2 4 2" xfId="1263"/>
    <cellStyle name="Ergebnis 2 4 2 2" xfId="1264"/>
    <cellStyle name="Ergebnis 2 4 2 3" xfId="1265"/>
    <cellStyle name="Ergebnis 2 4 2 4" xfId="1266"/>
    <cellStyle name="Ergebnis 2 4 3" xfId="1267"/>
    <cellStyle name="Ergebnis 2 4 4" xfId="1268"/>
    <cellStyle name="Ergebnis 2 4 5" xfId="1269"/>
    <cellStyle name="Ergebnis 2 5" xfId="1270"/>
    <cellStyle name="Ergebnis 2 5 2" xfId="1271"/>
    <cellStyle name="Ergebnis 2 5 3" xfId="1272"/>
    <cellStyle name="Ergebnis 2 5 4" xfId="1273"/>
    <cellStyle name="Ergebnis 2 6" xfId="1274"/>
    <cellStyle name="Ergebnis 2 7" xfId="1275"/>
    <cellStyle name="Ergebnis 2 8" xfId="1276"/>
    <cellStyle name="Ergebnis 3" xfId="1277"/>
    <cellStyle name="Ergebnis 3 2" xfId="1278"/>
    <cellStyle name="Ergebnis 3 2 2" xfId="1279"/>
    <cellStyle name="Ergebnis 3 2 2 2" xfId="1280"/>
    <cellStyle name="Ergebnis 3 2 2 3" xfId="1281"/>
    <cellStyle name="Ergebnis 3 2 2 4" xfId="1282"/>
    <cellStyle name="Ergebnis 3 2 3" xfId="1283"/>
    <cellStyle name="Ergebnis 3 2 4" xfId="1284"/>
    <cellStyle name="Ergebnis 3 2 5" xfId="1285"/>
    <cellStyle name="Ergebnis 3 3" xfId="1286"/>
    <cellStyle name="Ergebnis 3 3 2" xfId="1287"/>
    <cellStyle name="Ergebnis 3 3 2 2" xfId="1288"/>
    <cellStyle name="Ergebnis 3 3 2 3" xfId="1289"/>
    <cellStyle name="Ergebnis 3 3 2 4" xfId="1290"/>
    <cellStyle name="Ergebnis 3 3 3" xfId="1291"/>
    <cellStyle name="Ergebnis 3 3 4" xfId="1292"/>
    <cellStyle name="Ergebnis 3 3 5" xfId="1293"/>
    <cellStyle name="Ergebnis 3 4" xfId="1294"/>
    <cellStyle name="Ergebnis 3 4 2" xfId="1295"/>
    <cellStyle name="Ergebnis 3 4 2 2" xfId="1296"/>
    <cellStyle name="Ergebnis 3 4 2 3" xfId="1297"/>
    <cellStyle name="Ergebnis 3 4 2 4" xfId="1298"/>
    <cellStyle name="Ergebnis 3 4 3" xfId="1299"/>
    <cellStyle name="Ergebnis 3 4 4" xfId="1300"/>
    <cellStyle name="Ergebnis 3 4 5" xfId="1301"/>
    <cellStyle name="Ergebnis 3 5" xfId="1302"/>
    <cellStyle name="Ergebnis 3 5 2" xfId="1303"/>
    <cellStyle name="Ergebnis 3 5 3" xfId="1304"/>
    <cellStyle name="Ergebnis 3 5 4" xfId="1305"/>
    <cellStyle name="Ergebnis 3 6" xfId="1306"/>
    <cellStyle name="Ergebnis 3 7" xfId="1307"/>
    <cellStyle name="Ergebnis 3 8" xfId="1308"/>
    <cellStyle name="Ergebnis 4" xfId="1309"/>
    <cellStyle name="Ergebnis 4 2" xfId="1310"/>
    <cellStyle name="Ergebnis 4 2 2" xfId="1311"/>
    <cellStyle name="Ergebnis 4 2 3" xfId="1312"/>
    <cellStyle name="Ergebnis 4 2 4" xfId="1313"/>
    <cellStyle name="Ergebnis 4 3" xfId="1314"/>
    <cellStyle name="Ergebnis 4 4" xfId="1315"/>
    <cellStyle name="Ergebnis 4 5" xfId="1316"/>
    <cellStyle name="Ergebnis 5" xfId="1317"/>
    <cellStyle name="Ergebnis 5 2" xfId="1318"/>
    <cellStyle name="Ergebnis 5 2 2" xfId="1319"/>
    <cellStyle name="Ergebnis 5 2 3" xfId="1320"/>
    <cellStyle name="Ergebnis 5 2 4" xfId="1321"/>
    <cellStyle name="Ergebnis 5 3" xfId="1322"/>
    <cellStyle name="Ergebnis 5 4" xfId="1323"/>
    <cellStyle name="Ergebnis 5 5" xfId="1324"/>
    <cellStyle name="Ergebnis 6" xfId="1325"/>
    <cellStyle name="Ergebnis 6 2" xfId="1326"/>
    <cellStyle name="Ergebnis 6 2 2" xfId="1327"/>
    <cellStyle name="Ergebnis 6 2 3" xfId="1328"/>
    <cellStyle name="Ergebnis 6 2 4" xfId="1329"/>
    <cellStyle name="Ergebnis 6 3" xfId="1330"/>
    <cellStyle name="Ergebnis 6 4" xfId="1331"/>
    <cellStyle name="Ergebnis 6 5" xfId="1332"/>
    <cellStyle name="Ergebnis 7" xfId="1333"/>
    <cellStyle name="Ergebnis 7 2" xfId="1334"/>
    <cellStyle name="Ergebnis 7 3" xfId="1335"/>
    <cellStyle name="Ergebnis 7 4" xfId="1336"/>
    <cellStyle name="Erklärender Text" xfId="1337"/>
    <cellStyle name="Erklärender Text 2" xfId="1338"/>
    <cellStyle name="Erklärender Text 3" xfId="1339"/>
    <cellStyle name="Explanatory Text 2" xfId="1340"/>
    <cellStyle name="Explanatory Text 3" xfId="1341"/>
    <cellStyle name="Good 2" xfId="1342"/>
    <cellStyle name="Good 3" xfId="1343"/>
    <cellStyle name="Good 4" xfId="1344"/>
    <cellStyle name="Gut" xfId="1345"/>
    <cellStyle name="Header: bottom row 2" xfId="1346"/>
    <cellStyle name="Heading 1 2" xfId="1347"/>
    <cellStyle name="Heading 1 3" xfId="1348"/>
    <cellStyle name="Heading 1 4" xfId="1349"/>
    <cellStyle name="Heading 2 2" xfId="1350"/>
    <cellStyle name="Heading 2 3" xfId="1351"/>
    <cellStyle name="Heading 2 4" xfId="1352"/>
    <cellStyle name="Heading 3 2" xfId="1353"/>
    <cellStyle name="Heading 3 3" xfId="1354"/>
    <cellStyle name="Heading 3 4" xfId="1355"/>
    <cellStyle name="Heading 4 2" xfId="1356"/>
    <cellStyle name="Heading 4 3" xfId="1357"/>
    <cellStyle name="Heading 4 4" xfId="1358"/>
    <cellStyle name="Headline" xfId="1359"/>
    <cellStyle name="Input 2" xfId="1360"/>
    <cellStyle name="Input 2 2" xfId="1361"/>
    <cellStyle name="Input 2 2 2" xfId="1362"/>
    <cellStyle name="Input 2 2 2 2" xfId="1363"/>
    <cellStyle name="Input 2 2 2 3" xfId="1364"/>
    <cellStyle name="Input 2 2 2 4" xfId="1365"/>
    <cellStyle name="Input 2 2 3" xfId="1366"/>
    <cellStyle name="Input 2 2 4" xfId="1367"/>
    <cellStyle name="Input 2 2 5" xfId="1368"/>
    <cellStyle name="Input 2 3" xfId="1369"/>
    <cellStyle name="Input 2 3 2" xfId="1370"/>
    <cellStyle name="Input 2 3 2 2" xfId="1371"/>
    <cellStyle name="Input 2 3 2 3" xfId="1372"/>
    <cellStyle name="Input 2 3 2 4" xfId="1373"/>
    <cellStyle name="Input 2 3 3" xfId="1374"/>
    <cellStyle name="Input 2 3 4" xfId="1375"/>
    <cellStyle name="Input 2 3 5" xfId="1376"/>
    <cellStyle name="Input 2 4" xfId="1377"/>
    <cellStyle name="Input 2 4 2" xfId="1378"/>
    <cellStyle name="Input 2 4 2 2" xfId="1379"/>
    <cellStyle name="Input 2 4 2 3" xfId="1380"/>
    <cellStyle name="Input 2 4 2 4" xfId="1381"/>
    <cellStyle name="Input 2 4 3" xfId="1382"/>
    <cellStyle name="Input 2 4 4" xfId="1383"/>
    <cellStyle name="Input 2 4 5" xfId="1384"/>
    <cellStyle name="Input 2 5" xfId="1385"/>
    <cellStyle name="Input 2 5 2" xfId="1386"/>
    <cellStyle name="Input 2 5 3" xfId="1387"/>
    <cellStyle name="Input 2 5 4" xfId="1388"/>
    <cellStyle name="Input 2 6" xfId="1389"/>
    <cellStyle name="Input 2 7" xfId="1390"/>
    <cellStyle name="Input 2 8" xfId="1391"/>
    <cellStyle name="Input 3" xfId="1392"/>
    <cellStyle name="Input 3 2" xfId="1393"/>
    <cellStyle name="Input 3 2 2" xfId="1394"/>
    <cellStyle name="Input 3 2 2 2" xfId="1395"/>
    <cellStyle name="Input 3 2 2 3" xfId="1396"/>
    <cellStyle name="Input 3 2 2 4" xfId="1397"/>
    <cellStyle name="Input 3 2 3" xfId="1398"/>
    <cellStyle name="Input 3 2 4" xfId="1399"/>
    <cellStyle name="Input 3 2 5" xfId="1400"/>
    <cellStyle name="Input 3 3" xfId="1401"/>
    <cellStyle name="Input 3 3 2" xfId="1402"/>
    <cellStyle name="Input 3 3 2 2" xfId="1403"/>
    <cellStyle name="Input 3 3 2 3" xfId="1404"/>
    <cellStyle name="Input 3 3 2 4" xfId="1405"/>
    <cellStyle name="Input 3 3 3" xfId="1406"/>
    <cellStyle name="Input 3 3 4" xfId="1407"/>
    <cellStyle name="Input 3 3 5" xfId="1408"/>
    <cellStyle name="Input 3 4" xfId="1409"/>
    <cellStyle name="Input 3 4 2" xfId="1410"/>
    <cellStyle name="Input 3 4 2 2" xfId="1411"/>
    <cellStyle name="Input 3 4 2 3" xfId="1412"/>
    <cellStyle name="Input 3 4 2 4" xfId="1413"/>
    <cellStyle name="Input 3 4 3" xfId="1414"/>
    <cellStyle name="Input 3 4 4" xfId="1415"/>
    <cellStyle name="Input 3 4 5" xfId="1416"/>
    <cellStyle name="Input 3 5" xfId="1417"/>
    <cellStyle name="Input 3 5 2" xfId="1418"/>
    <cellStyle name="Input 3 5 3" xfId="1419"/>
    <cellStyle name="Input 3 5 4" xfId="1420"/>
    <cellStyle name="Input 3 6" xfId="1421"/>
    <cellStyle name="Input 3 7" xfId="1422"/>
    <cellStyle name="Input 3 8" xfId="1423"/>
    <cellStyle name="Input 4" xfId="1424"/>
    <cellStyle name="InputCells" xfId="1425"/>
    <cellStyle name="InputCells 2" xfId="1426"/>
    <cellStyle name="InputCells 3" xfId="1427"/>
    <cellStyle name="InputCells 4" xfId="1428"/>
    <cellStyle name="InputCells_Bborder_1" xfId="1429"/>
    <cellStyle name="InputCells12" xfId="1430"/>
    <cellStyle name="InputCells12 2" xfId="1431"/>
    <cellStyle name="InputCells12 2 2" xfId="1432"/>
    <cellStyle name="InputCells12 2 2 2" xfId="1433"/>
    <cellStyle name="InputCells12 2 2 2 2" xfId="1434"/>
    <cellStyle name="InputCells12 2 2 2 2 2" xfId="1435"/>
    <cellStyle name="InputCells12 2 2 2 2 3" xfId="1436"/>
    <cellStyle name="InputCells12 2 2 2 2 4" xfId="1437"/>
    <cellStyle name="InputCells12 2 2 2 3" xfId="1438"/>
    <cellStyle name="InputCells12 2 2 2 4" xfId="1439"/>
    <cellStyle name="InputCells12 2 2 2 5" xfId="1440"/>
    <cellStyle name="InputCells12 2 2 3" xfId="1441"/>
    <cellStyle name="InputCells12 2 2 3 2" xfId="1442"/>
    <cellStyle name="InputCells12 2 2 3 3" xfId="1443"/>
    <cellStyle name="InputCells12 2 2 3 4" xfId="1444"/>
    <cellStyle name="InputCells12 2 3" xfId="1445"/>
    <cellStyle name="InputCells12 2 3 2" xfId="1446"/>
    <cellStyle name="InputCells12 2 3 2 2" xfId="1447"/>
    <cellStyle name="InputCells12 2 3 2 2 2" xfId="1448"/>
    <cellStyle name="InputCells12 2 3 2 2 3" xfId="1449"/>
    <cellStyle name="InputCells12 2 3 2 2 4" xfId="1450"/>
    <cellStyle name="InputCells12 2 3 2 3" xfId="1451"/>
    <cellStyle name="InputCells12 2 3 2 4" xfId="1452"/>
    <cellStyle name="InputCells12 2 3 2 5" xfId="1453"/>
    <cellStyle name="InputCells12 2 3 3" xfId="1454"/>
    <cellStyle name="InputCells12 2 3 3 2" xfId="1455"/>
    <cellStyle name="InputCells12 2 3 3 2 2" xfId="1456"/>
    <cellStyle name="InputCells12 2 3 3 2 3" xfId="1457"/>
    <cellStyle name="InputCells12 2 3 3 2 4" xfId="1458"/>
    <cellStyle name="InputCells12 2 3 3 3" xfId="1459"/>
    <cellStyle name="InputCells12 2 3 3 4" xfId="1460"/>
    <cellStyle name="InputCells12 2 3 3 5" xfId="1461"/>
    <cellStyle name="InputCells12 2 3 4" xfId="1462"/>
    <cellStyle name="InputCells12 2 3 4 2" xfId="1463"/>
    <cellStyle name="InputCells12 2 3 4 2 2" xfId="1464"/>
    <cellStyle name="InputCells12 2 3 4 2 3" xfId="1465"/>
    <cellStyle name="InputCells12 2 3 4 2 4" xfId="1466"/>
    <cellStyle name="InputCells12 2 3 4 3" xfId="1467"/>
    <cellStyle name="InputCells12 2 3 4 4" xfId="1468"/>
    <cellStyle name="InputCells12 2 3 4 5" xfId="1469"/>
    <cellStyle name="InputCells12 2 3 5" xfId="1470"/>
    <cellStyle name="InputCells12 2 3 6" xfId="1471"/>
    <cellStyle name="InputCells12 2 3 7" xfId="1472"/>
    <cellStyle name="InputCells12 3" xfId="1473"/>
    <cellStyle name="InputCells12 3 2" xfId="1474"/>
    <cellStyle name="InputCells12 3 2 2" xfId="1475"/>
    <cellStyle name="InputCells12 3 2 2 2" xfId="1476"/>
    <cellStyle name="InputCells12 3 2 2 3" xfId="1477"/>
    <cellStyle name="InputCells12 3 2 2 4" xfId="1478"/>
    <cellStyle name="InputCells12 3 2 3" xfId="1479"/>
    <cellStyle name="InputCells12 3 2 4" xfId="1480"/>
    <cellStyle name="InputCells12 3 2 5" xfId="1481"/>
    <cellStyle name="InputCells12 3 3" xfId="1482"/>
    <cellStyle name="InputCells12 3 3 2" xfId="1483"/>
    <cellStyle name="InputCells12 3 3 3" xfId="1484"/>
    <cellStyle name="InputCells12 3 3 4" xfId="1485"/>
    <cellStyle name="InputCells12 4" xfId="1486"/>
    <cellStyle name="InputCells12 4 2" xfId="1487"/>
    <cellStyle name="InputCells12 4 2 2" xfId="1488"/>
    <cellStyle name="InputCells12 4 2 2 2" xfId="1489"/>
    <cellStyle name="InputCells12 4 2 2 3" xfId="1490"/>
    <cellStyle name="InputCells12 4 2 2 4" xfId="1491"/>
    <cellStyle name="InputCells12 4 2 3" xfId="1492"/>
    <cellStyle name="InputCells12 4 2 4" xfId="1493"/>
    <cellStyle name="InputCells12 4 2 5" xfId="1494"/>
    <cellStyle name="InputCells12 4 3" xfId="1495"/>
    <cellStyle name="InputCells12 4 3 2" xfId="1496"/>
    <cellStyle name="InputCells12 4 3 2 2" xfId="1497"/>
    <cellStyle name="InputCells12 4 3 2 3" xfId="1498"/>
    <cellStyle name="InputCells12 4 3 2 4" xfId="1499"/>
    <cellStyle name="InputCells12 4 3 3" xfId="1500"/>
    <cellStyle name="InputCells12 4 3 4" xfId="1501"/>
    <cellStyle name="InputCells12 4 3 5" xfId="1502"/>
    <cellStyle name="InputCells12 4 4" xfId="1503"/>
    <cellStyle name="InputCells12 4 4 2" xfId="1504"/>
    <cellStyle name="InputCells12 4 4 2 2" xfId="1505"/>
    <cellStyle name="InputCells12 4 4 2 3" xfId="1506"/>
    <cellStyle name="InputCells12 4 4 2 4" xfId="1507"/>
    <cellStyle name="InputCells12 4 4 3" xfId="1508"/>
    <cellStyle name="InputCells12 4 4 4" xfId="1509"/>
    <cellStyle name="InputCells12 4 4 5" xfId="1510"/>
    <cellStyle name="InputCells12 4 5" xfId="1511"/>
    <cellStyle name="InputCells12 4 6" xfId="1512"/>
    <cellStyle name="InputCells12 4 7" xfId="1513"/>
    <cellStyle name="InputCells12 5" xfId="1514"/>
    <cellStyle name="InputCells12_BBorder" xfId="1515"/>
    <cellStyle name="IntCells" xfId="1516"/>
    <cellStyle name="KP_thin_border_dark_grey" xfId="1517"/>
    <cellStyle name="Linked Cell 2" xfId="1518"/>
    <cellStyle name="Linked Cell 3" xfId="1519"/>
    <cellStyle name="Linked Cell 4" xfId="1520"/>
    <cellStyle name="Neutral 2" xfId="1521"/>
    <cellStyle name="Neutral 3" xfId="1522"/>
    <cellStyle name="Normaali 2" xfId="1523"/>
    <cellStyle name="Normaali 2 2" xfId="1524"/>
    <cellStyle name="Normal 10" xfId="1525"/>
    <cellStyle name="Normal 10 2" xfId="1526"/>
    <cellStyle name="Normal 11" xfId="1527"/>
    <cellStyle name="Normal 11 2" xfId="1528"/>
    <cellStyle name="Normal 12" xfId="1529"/>
    <cellStyle name="Normal 12 2" xfId="1530"/>
    <cellStyle name="Normal 13" xfId="1531"/>
    <cellStyle name="Normal 2" xfId="1532"/>
    <cellStyle name="Normal 2 2" xfId="1533"/>
    <cellStyle name="Normal 2 2 2" xfId="1534"/>
    <cellStyle name="Normal 2 3" xfId="1535"/>
    <cellStyle name="Normal 2 3 2" xfId="1536"/>
    <cellStyle name="Normal 2 4" xfId="1537"/>
    <cellStyle name="Normal 2 5" xfId="1538"/>
    <cellStyle name="Normal 3" xfId="1539"/>
    <cellStyle name="Normal 3 2" xfId="1540"/>
    <cellStyle name="Normal 3 2 2" xfId="1541"/>
    <cellStyle name="Normal 3 3" xfId="1542"/>
    <cellStyle name="Normal 3 4" xfId="1543"/>
    <cellStyle name="Normal 3 5" xfId="1544"/>
    <cellStyle name="Normal 4" xfId="1545"/>
    <cellStyle name="Normal 4 2" xfId="1546"/>
    <cellStyle name="Normal 4 2 2" xfId="1547"/>
    <cellStyle name="Normal 4 2 3" xfId="1548"/>
    <cellStyle name="Normal 4 3" xfId="1549"/>
    <cellStyle name="Normal 4 3 2" xfId="1550"/>
    <cellStyle name="Normal 5" xfId="1551"/>
    <cellStyle name="Normal 5 2" xfId="1552"/>
    <cellStyle name="Normal 5 2 2" xfId="1553"/>
    <cellStyle name="Normal 5 2 2 2" xfId="1554"/>
    <cellStyle name="Normal 5 2 2 2 2" xfId="1555"/>
    <cellStyle name="Normal 5 2 2 2 2 2" xfId="1556"/>
    <cellStyle name="Normal 5 2 2 2 3" xfId="1557"/>
    <cellStyle name="Normal 5 2 2 3" xfId="1558"/>
    <cellStyle name="Normal 5 2 2 3 2" xfId="1559"/>
    <cellStyle name="Normal 5 2 2 4" xfId="1560"/>
    <cellStyle name="Normal 5 2 3" xfId="1561"/>
    <cellStyle name="Normal 5 2 3 2" xfId="1562"/>
    <cellStyle name="Normal 5 2 3 2 2" xfId="1563"/>
    <cellStyle name="Normal 5 2 3 3" xfId="1564"/>
    <cellStyle name="Normal 5 2 4" xfId="1565"/>
    <cellStyle name="Normal 5 2 4 2" xfId="1566"/>
    <cellStyle name="Normal 5 2 5" xfId="1567"/>
    <cellStyle name="Normal 5 2 5 2" xfId="1568"/>
    <cellStyle name="Normal 5 2 6" xfId="1569"/>
    <cellStyle name="Normal 5 3" xfId="1570"/>
    <cellStyle name="Normal 5 3 2" xfId="1571"/>
    <cellStyle name="Normal 5 3 2 2" xfId="1572"/>
    <cellStyle name="Normal 5 3 2 2 2" xfId="1573"/>
    <cellStyle name="Normal 5 3 2 3" xfId="1574"/>
    <cellStyle name="Normal 5 3 3" xfId="1575"/>
    <cellStyle name="Normal 5 3 3 2" xfId="1576"/>
    <cellStyle name="Normal 5 3 4" xfId="1577"/>
    <cellStyle name="Normal 5 4" xfId="1578"/>
    <cellStyle name="Normal 5 4 2" xfId="1579"/>
    <cellStyle name="Normal 5 4 2 2" xfId="1580"/>
    <cellStyle name="Normal 5 4 3" xfId="1581"/>
    <cellStyle name="Normal 5 5" xfId="1582"/>
    <cellStyle name="Normal 5 5 2" xfId="1583"/>
    <cellStyle name="Normal 5 6" xfId="1584"/>
    <cellStyle name="Normal 5 7" xfId="1585"/>
    <cellStyle name="Normal 5 8" xfId="1586"/>
    <cellStyle name="Normal 6" xfId="1587"/>
    <cellStyle name="Normal 6 10" xfId="1588"/>
    <cellStyle name="Normal 6 10 2" xfId="1589"/>
    <cellStyle name="Normal 6 11" xfId="1590"/>
    <cellStyle name="Normal 6 2" xfId="1591"/>
    <cellStyle name="Normal 6 2 2" xfId="1592"/>
    <cellStyle name="Normal 6 2 2 2" xfId="1593"/>
    <cellStyle name="Normal 6 2 2 2 2" xfId="1594"/>
    <cellStyle name="Normal 6 2 2 2 2 2" xfId="1595"/>
    <cellStyle name="Normal 6 2 2 2 3" xfId="1596"/>
    <cellStyle name="Normal 6 2 2 3" xfId="1597"/>
    <cellStyle name="Normal 6 2 2 3 2" xfId="1598"/>
    <cellStyle name="Normal 6 2 2 4" xfId="1599"/>
    <cellStyle name="Normal 6 2 3" xfId="1600"/>
    <cellStyle name="Normal 6 2 3 2" xfId="1601"/>
    <cellStyle name="Normal 6 2 3 2 2" xfId="1602"/>
    <cellStyle name="Normal 6 2 3 3" xfId="1603"/>
    <cellStyle name="Normal 6 2 4" xfId="1604"/>
    <cellStyle name="Normal 6 2 4 2" xfId="1605"/>
    <cellStyle name="Normal 6 2 5" xfId="1606"/>
    <cellStyle name="Normal 6 2 5 2" xfId="1607"/>
    <cellStyle name="Normal 6 2 6" xfId="1608"/>
    <cellStyle name="Normal 6 3" xfId="1609"/>
    <cellStyle name="Normal 6 3 2" xfId="1610"/>
    <cellStyle name="Normal 6 3 2 2" xfId="1611"/>
    <cellStyle name="Normal 6 3 2 2 2" xfId="1612"/>
    <cellStyle name="Normal 6 3 2 2 2 2" xfId="1613"/>
    <cellStyle name="Normal 6 3 2 2 3" xfId="1614"/>
    <cellStyle name="Normal 6 3 2 3" xfId="1615"/>
    <cellStyle name="Normal 6 3 2 3 2" xfId="1616"/>
    <cellStyle name="Normal 6 3 2 4" xfId="1617"/>
    <cellStyle name="Normal 6 3 3" xfId="1618"/>
    <cellStyle name="Normal 6 3 3 2" xfId="1619"/>
    <cellStyle name="Normal 6 3 3 2 2" xfId="1620"/>
    <cellStyle name="Normal 6 3 3 3" xfId="1621"/>
    <cellStyle name="Normal 6 3 4" xfId="1622"/>
    <cellStyle name="Normal 6 3 4 2" xfId="1623"/>
    <cellStyle name="Normal 6 3 5" xfId="1624"/>
    <cellStyle name="Normal 6 4" xfId="1625"/>
    <cellStyle name="Normal 6 4 2" xfId="1626"/>
    <cellStyle name="Normal 6 4 2 2" xfId="1627"/>
    <cellStyle name="Normal 6 4 2 2 2" xfId="1628"/>
    <cellStyle name="Normal 6 4 2 3" xfId="1629"/>
    <cellStyle name="Normal 6 4 3" xfId="1630"/>
    <cellStyle name="Normal 6 4 3 2" xfId="1631"/>
    <cellStyle name="Normal 6 4 4" xfId="1632"/>
    <cellStyle name="Normal 6 5" xfId="1633"/>
    <cellStyle name="Normal 6 5 2" xfId="1634"/>
    <cellStyle name="Normal 6 5 2 2" xfId="1635"/>
    <cellStyle name="Normal 6 5 3" xfId="1636"/>
    <cellStyle name="Normal 6 6" xfId="1637"/>
    <cellStyle name="Normal 6 6 2" xfId="1638"/>
    <cellStyle name="Normal 6 7" xfId="1639"/>
    <cellStyle name="Normal 6 7 2" xfId="1640"/>
    <cellStyle name="Normal 6 8" xfId="1641"/>
    <cellStyle name="Normal 6 8 2" xfId="1642"/>
    <cellStyle name="Normal 6 9" xfId="1643"/>
    <cellStyle name="Normal 6 9 2" xfId="1644"/>
    <cellStyle name="Normal 7" xfId="1645"/>
    <cellStyle name="Normal 7 2" xfId="1646"/>
    <cellStyle name="Normal 7 2 2" xfId="1647"/>
    <cellStyle name="Normal 7 2 2 2" xfId="1648"/>
    <cellStyle name="Normal 7 2 2 2 2" xfId="1649"/>
    <cellStyle name="Normal 7 2 2 2 2 2" xfId="1650"/>
    <cellStyle name="Normal 7 2 2 2 3" xfId="1651"/>
    <cellStyle name="Normal 7 2 2 3" xfId="1652"/>
    <cellStyle name="Normal 7 2 2 3 2" xfId="1653"/>
    <cellStyle name="Normal 7 2 2 4" xfId="1654"/>
    <cellStyle name="Normal 7 2 3" xfId="1655"/>
    <cellStyle name="Normal 7 2 3 2" xfId="1656"/>
    <cellStyle name="Normal 7 2 3 2 2" xfId="1657"/>
    <cellStyle name="Normal 7 2 3 3" xfId="1658"/>
    <cellStyle name="Normal 7 2 4" xfId="1659"/>
    <cellStyle name="Normal 7 2 4 2" xfId="1660"/>
    <cellStyle name="Normal 7 2 5" xfId="1661"/>
    <cellStyle name="Normal 7 2 5 2" xfId="1662"/>
    <cellStyle name="Normal 7 2 6" xfId="1663"/>
    <cellStyle name="Normal 7 3" xfId="1664"/>
    <cellStyle name="Normal 7 3 2" xfId="1665"/>
    <cellStyle name="Normal 7 3 2 2" xfId="1666"/>
    <cellStyle name="Normal 7 3 2 2 2" xfId="1667"/>
    <cellStyle name="Normal 7 3 2 3" xfId="1668"/>
    <cellStyle name="Normal 7 3 3" xfId="1669"/>
    <cellStyle name="Normal 7 3 3 2" xfId="1670"/>
    <cellStyle name="Normal 7 3 4" xfId="1671"/>
    <cellStyle name="Normal 7 4" xfId="1672"/>
    <cellStyle name="Normal 7 4 2" xfId="1673"/>
    <cellStyle name="Normal 7 4 2 2" xfId="1674"/>
    <cellStyle name="Normal 7 4 3" xfId="1675"/>
    <cellStyle name="Normal 7 5" xfId="1676"/>
    <cellStyle name="Normal 7 5 2" xfId="1677"/>
    <cellStyle name="Normal 7 6" xfId="1678"/>
    <cellStyle name="Normal 7 7" xfId="1679"/>
    <cellStyle name="Normal 7 8" xfId="1680"/>
    <cellStyle name="Normal 8" xfId="1681"/>
    <cellStyle name="Normal 8 2" xfId="1682"/>
    <cellStyle name="Normal 8 3" xfId="1683"/>
    <cellStyle name="Normal 9" xfId="1684"/>
    <cellStyle name="Normal 9 2" xfId="1685"/>
    <cellStyle name="Normal GHG Numbers (0.00)" xfId="1686"/>
    <cellStyle name="Normal GHG Numbers (0.00) 2" xfId="1687"/>
    <cellStyle name="Normal GHG Numbers (0.00) 3" xfId="1688"/>
    <cellStyle name="Normal GHG Numbers (0.00) 3 2" xfId="1689"/>
    <cellStyle name="Normal GHG Numbers (0.00) 3 2 2" xfId="1690"/>
    <cellStyle name="Normal GHG Numbers (0.00) 3 2 2 2" xfId="1691"/>
    <cellStyle name="Normal GHG Numbers (0.00) 3 2 2 2 2" xfId="1692"/>
    <cellStyle name="Normal GHG Numbers (0.00) 3 2 2 2 3" xfId="1693"/>
    <cellStyle name="Normal GHG Numbers (0.00) 3 2 2 2 4" xfId="1694"/>
    <cellStyle name="Normal GHG Numbers (0.00) 3 2 2 3" xfId="1695"/>
    <cellStyle name="Normal GHG Numbers (0.00) 3 2 2 4" xfId="1696"/>
    <cellStyle name="Normal GHG Numbers (0.00) 3 2 2 5" xfId="1697"/>
    <cellStyle name="Normal GHG Numbers (0.00) 3 2 3" xfId="1698"/>
    <cellStyle name="Normal GHG Numbers (0.00) 3 2 3 2" xfId="1699"/>
    <cellStyle name="Normal GHG Numbers (0.00) 3 2 3 3" xfId="1700"/>
    <cellStyle name="Normal GHG Numbers (0.00) 3 2 3 4" xfId="1701"/>
    <cellStyle name="Normal GHG Numbers (0.00) 3 3" xfId="1702"/>
    <cellStyle name="Normal GHG Numbers (0.00) 3 3 2" xfId="1703"/>
    <cellStyle name="Normal GHG Numbers (0.00) 3 3 2 2" xfId="1704"/>
    <cellStyle name="Normal GHG Numbers (0.00) 3 3 2 2 2" xfId="1705"/>
    <cellStyle name="Normal GHG Numbers (0.00) 3 3 2 2 3" xfId="1706"/>
    <cellStyle name="Normal GHG Numbers (0.00) 3 3 2 2 4" xfId="1707"/>
    <cellStyle name="Normal GHG Numbers (0.00) 3 3 2 3" xfId="1708"/>
    <cellStyle name="Normal GHG Numbers (0.00) 3 3 2 4" xfId="1709"/>
    <cellStyle name="Normal GHG Numbers (0.00) 3 3 2 5" xfId="1710"/>
    <cellStyle name="Normal GHG Numbers (0.00) 3 3 3" xfId="1711"/>
    <cellStyle name="Normal GHG Numbers (0.00) 3 3 3 2" xfId="1712"/>
    <cellStyle name="Normal GHG Numbers (0.00) 3 3 3 2 2" xfId="1713"/>
    <cellStyle name="Normal GHG Numbers (0.00) 3 3 3 2 3" xfId="1714"/>
    <cellStyle name="Normal GHG Numbers (0.00) 3 3 3 2 4" xfId="1715"/>
    <cellStyle name="Normal GHG Numbers (0.00) 3 3 3 3" xfId="1716"/>
    <cellStyle name="Normal GHG Numbers (0.00) 3 3 3 4" xfId="1717"/>
    <cellStyle name="Normal GHG Numbers (0.00) 3 3 3 5" xfId="1718"/>
    <cellStyle name="Normal GHG Numbers (0.00) 3 3 4" xfId="1719"/>
    <cellStyle name="Normal GHG Numbers (0.00) 3 3 4 2" xfId="1720"/>
    <cellStyle name="Normal GHG Numbers (0.00) 3 3 4 2 2" xfId="1721"/>
    <cellStyle name="Normal GHG Numbers (0.00) 3 3 4 2 3" xfId="1722"/>
    <cellStyle name="Normal GHG Numbers (0.00) 3 3 4 2 4" xfId="1723"/>
    <cellStyle name="Normal GHG Numbers (0.00) 3 3 4 3" xfId="1724"/>
    <cellStyle name="Normal GHG Numbers (0.00) 3 3 4 4" xfId="1725"/>
    <cellStyle name="Normal GHG Numbers (0.00) 3 3 4 5" xfId="1726"/>
    <cellStyle name="Normal GHG Numbers (0.00) 3 3 5" xfId="1727"/>
    <cellStyle name="Normal GHG Numbers (0.00) 3 3 6" xfId="1728"/>
    <cellStyle name="Normal GHG Numbers (0.00) 3 3 7" xfId="1729"/>
    <cellStyle name="Normal GHG Numbers (0.00) 3 4" xfId="1730"/>
    <cellStyle name="Normal GHG Textfiels Bold" xfId="1731"/>
    <cellStyle name="Normal GHG Textfiels Bold 2" xfId="1732"/>
    <cellStyle name="Normal GHG Textfiels Bold 3" xfId="1733"/>
    <cellStyle name="Normal GHG Textfiels Bold 3 2" xfId="1734"/>
    <cellStyle name="Normal GHG Textfiels Bold 3 2 2" xfId="1735"/>
    <cellStyle name="Normal GHG Textfiels Bold 3 2 2 2" xfId="1736"/>
    <cellStyle name="Normal GHG Textfiels Bold 3 2 2 2 2" xfId="1737"/>
    <cellStyle name="Normal GHG Textfiels Bold 3 2 2 2 3" xfId="1738"/>
    <cellStyle name="Normal GHG Textfiels Bold 3 2 2 2 4" xfId="1739"/>
    <cellStyle name="Normal GHG Textfiels Bold 3 2 2 3" xfId="1740"/>
    <cellStyle name="Normal GHG Textfiels Bold 3 2 2 4" xfId="1741"/>
    <cellStyle name="Normal GHG Textfiels Bold 3 2 2 5" xfId="1742"/>
    <cellStyle name="Normal GHG Textfiels Bold 3 2 3" xfId="1743"/>
    <cellStyle name="Normal GHG Textfiels Bold 3 2 3 2" xfId="1744"/>
    <cellStyle name="Normal GHG Textfiels Bold 3 2 3 3" xfId="1745"/>
    <cellStyle name="Normal GHG Textfiels Bold 3 2 3 4" xfId="1746"/>
    <cellStyle name="Normal GHG Textfiels Bold 3 3" xfId="1747"/>
    <cellStyle name="Normal GHG Textfiels Bold 3 3 2" xfId="1748"/>
    <cellStyle name="Normal GHG Textfiels Bold 3 3 2 2" xfId="1749"/>
    <cellStyle name="Normal GHG Textfiels Bold 3 3 2 2 2" xfId="1750"/>
    <cellStyle name="Normal GHG Textfiels Bold 3 3 2 2 3" xfId="1751"/>
    <cellStyle name="Normal GHG Textfiels Bold 3 3 2 2 4" xfId="1752"/>
    <cellStyle name="Normal GHG Textfiels Bold 3 3 2 3" xfId="1753"/>
    <cellStyle name="Normal GHG Textfiels Bold 3 3 2 4" xfId="1754"/>
    <cellStyle name="Normal GHG Textfiels Bold 3 3 2 5" xfId="1755"/>
    <cellStyle name="Normal GHG Textfiels Bold 3 3 3" xfId="1756"/>
    <cellStyle name="Normal GHG Textfiels Bold 3 3 3 2" xfId="1757"/>
    <cellStyle name="Normal GHG Textfiels Bold 3 3 3 2 2" xfId="1758"/>
    <cellStyle name="Normal GHG Textfiels Bold 3 3 3 2 3" xfId="1759"/>
    <cellStyle name="Normal GHG Textfiels Bold 3 3 3 2 4" xfId="1760"/>
    <cellStyle name="Normal GHG Textfiels Bold 3 3 3 3" xfId="1761"/>
    <cellStyle name="Normal GHG Textfiels Bold 3 3 3 4" xfId="1762"/>
    <cellStyle name="Normal GHG Textfiels Bold 3 3 3 5" xfId="1763"/>
    <cellStyle name="Normal GHG Textfiels Bold 3 3 4" xfId="1764"/>
    <cellStyle name="Normal GHG Textfiels Bold 3 3 4 2" xfId="1765"/>
    <cellStyle name="Normal GHG Textfiels Bold 3 3 4 2 2" xfId="1766"/>
    <cellStyle name="Normal GHG Textfiels Bold 3 3 4 2 3" xfId="1767"/>
    <cellStyle name="Normal GHG Textfiels Bold 3 3 4 2 4" xfId="1768"/>
    <cellStyle name="Normal GHG Textfiels Bold 3 3 4 3" xfId="1769"/>
    <cellStyle name="Normal GHG Textfiels Bold 3 3 4 4" xfId="1770"/>
    <cellStyle name="Normal GHG Textfiels Bold 3 3 4 5" xfId="1771"/>
    <cellStyle name="Normal GHG Textfiels Bold 3 3 5" xfId="1772"/>
    <cellStyle name="Normal GHG Textfiels Bold 3 3 6" xfId="1773"/>
    <cellStyle name="Normal GHG Textfiels Bold 3 3 7" xfId="1774"/>
    <cellStyle name="Normal GHG whole table" xfId="1775"/>
    <cellStyle name="Normal GHG whole table 2" xfId="1776"/>
    <cellStyle name="Normal GHG whole table 2 2" xfId="1777"/>
    <cellStyle name="Normal GHG whole table 2 2 2" xfId="1778"/>
    <cellStyle name="Normal GHG whole table 2 2 2 2" xfId="1779"/>
    <cellStyle name="Normal GHG whole table 2 2 2 3" xfId="1780"/>
    <cellStyle name="Normal GHG whole table 2 2 2 4" xfId="1781"/>
    <cellStyle name="Normal GHG whole table 2 2 3" xfId="1782"/>
    <cellStyle name="Normal GHG whole table 2 2 4" xfId="1783"/>
    <cellStyle name="Normal GHG whole table 2 2 5" xfId="1784"/>
    <cellStyle name="Normal GHG whole table 2 3" xfId="1785"/>
    <cellStyle name="Normal GHG whole table 2 3 2" xfId="1786"/>
    <cellStyle name="Normal GHG whole table 2 3 3" xfId="1787"/>
    <cellStyle name="Normal GHG whole table 2 3 4" xfId="1788"/>
    <cellStyle name="Normal GHG whole table 3" xfId="1789"/>
    <cellStyle name="Normal GHG whole table 3 2" xfId="1790"/>
    <cellStyle name="Normal GHG whole table 3 2 2" xfId="1791"/>
    <cellStyle name="Normal GHG whole table 3 2 2 2" xfId="1792"/>
    <cellStyle name="Normal GHG whole table 3 2 2 3" xfId="1793"/>
    <cellStyle name="Normal GHG whole table 3 2 2 4" xfId="1794"/>
    <cellStyle name="Normal GHG whole table 3 2 3" xfId="1795"/>
    <cellStyle name="Normal GHG whole table 3 2 4" xfId="1796"/>
    <cellStyle name="Normal GHG whole table 3 2 5" xfId="1797"/>
    <cellStyle name="Normal GHG whole table 3 3" xfId="1798"/>
    <cellStyle name="Normal GHG whole table 3 3 2" xfId="1799"/>
    <cellStyle name="Normal GHG whole table 3 3 2 2" xfId="1800"/>
    <cellStyle name="Normal GHG whole table 3 3 2 3" xfId="1801"/>
    <cellStyle name="Normal GHG whole table 3 3 2 4" xfId="1802"/>
    <cellStyle name="Normal GHG whole table 3 3 3" xfId="1803"/>
    <cellStyle name="Normal GHG whole table 3 3 4" xfId="1804"/>
    <cellStyle name="Normal GHG whole table 3 3 5" xfId="1805"/>
    <cellStyle name="Normal GHG whole table 3 4" xfId="1806"/>
    <cellStyle name="Normal GHG whole table 3 4 2" xfId="1807"/>
    <cellStyle name="Normal GHG whole table 3 4 2 2" xfId="1808"/>
    <cellStyle name="Normal GHG whole table 3 4 2 3" xfId="1809"/>
    <cellStyle name="Normal GHG whole table 3 4 2 4" xfId="1810"/>
    <cellStyle name="Normal GHG whole table 3 4 3" xfId="1811"/>
    <cellStyle name="Normal GHG whole table 3 4 4" xfId="1812"/>
    <cellStyle name="Normal GHG whole table 3 4 5" xfId="1813"/>
    <cellStyle name="Normal GHG whole table 3 5" xfId="1814"/>
    <cellStyle name="Normal GHG whole table 3 6" xfId="1815"/>
    <cellStyle name="Normal GHG whole table 3 7" xfId="1816"/>
    <cellStyle name="Normal GHG whole table 4" xfId="1817"/>
    <cellStyle name="Normal GHG-Shade" xfId="1818"/>
    <cellStyle name="Normal GHG-Shade 2" xfId="1819"/>
    <cellStyle name="Normal GHG-Shade 2 2" xfId="1820"/>
    <cellStyle name="Normal GHG-Shade 2 3" xfId="1821"/>
    <cellStyle name="Normal GHG-Shade 2 4" xfId="1822"/>
    <cellStyle name="Normal GHG-Shade 2 5" xfId="1823"/>
    <cellStyle name="Normal GHG-Shade 3" xfId="1824"/>
    <cellStyle name="Normal GHG-Shade 3 2" xfId="1825"/>
    <cellStyle name="Normal GHG-Shade 4" xfId="1826"/>
    <cellStyle name="Normal GHG-Shade 4 2" xfId="1827"/>
    <cellStyle name="Normál_Munka1" xfId="1828"/>
    <cellStyle name="Note 2" xfId="1829"/>
    <cellStyle name="Note 2 2" xfId="1830"/>
    <cellStyle name="Note 2 2 2" xfId="1831"/>
    <cellStyle name="Note 2 2 2 2" xfId="1832"/>
    <cellStyle name="Note 2 2 2 3" xfId="1833"/>
    <cellStyle name="Note 2 2 2 4" xfId="1834"/>
    <cellStyle name="Note 2 2 3" xfId="1835"/>
    <cellStyle name="Note 2 2 4" xfId="1836"/>
    <cellStyle name="Note 2 2 5" xfId="1837"/>
    <cellStyle name="Note 2 3" xfId="1838"/>
    <cellStyle name="Note 2 3 2" xfId="1839"/>
    <cellStyle name="Note 2 3 2 2" xfId="1840"/>
    <cellStyle name="Note 2 3 2 3" xfId="1841"/>
    <cellStyle name="Note 2 3 2 4" xfId="1842"/>
    <cellStyle name="Note 2 3 3" xfId="1843"/>
    <cellStyle name="Note 2 3 4" xfId="1844"/>
    <cellStyle name="Note 2 3 5" xfId="1845"/>
    <cellStyle name="Note 2 4" xfId="1846"/>
    <cellStyle name="Note 2 4 2" xfId="1847"/>
    <cellStyle name="Note 2 4 2 2" xfId="1848"/>
    <cellStyle name="Note 2 4 2 3" xfId="1849"/>
    <cellStyle name="Note 2 4 2 4" xfId="1850"/>
    <cellStyle name="Note 2 4 3" xfId="1851"/>
    <cellStyle name="Note 2 4 4" xfId="1852"/>
    <cellStyle name="Note 2 4 5" xfId="1853"/>
    <cellStyle name="Note 2 5" xfId="1854"/>
    <cellStyle name="Note 2 5 2" xfId="1855"/>
    <cellStyle name="Note 2 5 3" xfId="1856"/>
    <cellStyle name="Note 2 5 4" xfId="1857"/>
    <cellStyle name="Note 2 6" xfId="1858"/>
    <cellStyle name="Note 2 7" xfId="1859"/>
    <cellStyle name="Note 2 8" xfId="1860"/>
    <cellStyle name="Note 3" xfId="1861"/>
    <cellStyle name="Note 3 2" xfId="1862"/>
    <cellStyle name="Note 3 2 2" xfId="1863"/>
    <cellStyle name="Note 3 2 2 2" xfId="1864"/>
    <cellStyle name="Note 3 2 2 3" xfId="1865"/>
    <cellStyle name="Note 3 2 2 4" xfId="1866"/>
    <cellStyle name="Note 3 2 3" xfId="1867"/>
    <cellStyle name="Note 3 2 4" xfId="1868"/>
    <cellStyle name="Note 3 2 5" xfId="1869"/>
    <cellStyle name="Note 3 3" xfId="1870"/>
    <cellStyle name="Note 3 3 2" xfId="1871"/>
    <cellStyle name="Note 3 3 2 2" xfId="1872"/>
    <cellStyle name="Note 3 3 2 3" xfId="1873"/>
    <cellStyle name="Note 3 3 2 4" xfId="1874"/>
    <cellStyle name="Note 3 3 3" xfId="1875"/>
    <cellStyle name="Note 3 3 4" xfId="1876"/>
    <cellStyle name="Note 3 3 5" xfId="1877"/>
    <cellStyle name="Note 3 4" xfId="1878"/>
    <cellStyle name="Note 3 4 2" xfId="1879"/>
    <cellStyle name="Note 3 4 2 2" xfId="1880"/>
    <cellStyle name="Note 3 4 2 3" xfId="1881"/>
    <cellStyle name="Note 3 4 2 4" xfId="1882"/>
    <cellStyle name="Note 3 4 3" xfId="1883"/>
    <cellStyle name="Note 3 4 4" xfId="1884"/>
    <cellStyle name="Note 3 4 5" xfId="1885"/>
    <cellStyle name="Note 3 5" xfId="1886"/>
    <cellStyle name="Note 3 5 2" xfId="1887"/>
    <cellStyle name="Note 3 5 3" xfId="1888"/>
    <cellStyle name="Note 3 5 4" xfId="1889"/>
    <cellStyle name="Note 3 6" xfId="1890"/>
    <cellStyle name="Note 3 7" xfId="1891"/>
    <cellStyle name="Note 3 8" xfId="1892"/>
    <cellStyle name="Notiz" xfId="1893"/>
    <cellStyle name="Notiz 2" xfId="1894"/>
    <cellStyle name="Notiz 2 2" xfId="1895"/>
    <cellStyle name="Notiz 2 2 2" xfId="1896"/>
    <cellStyle name="Notiz 2 2 3" xfId="1897"/>
    <cellStyle name="Notiz 2 2 4" xfId="1898"/>
    <cellStyle name="Notiz 2 3" xfId="1899"/>
    <cellStyle name="Notiz 2 4" xfId="1900"/>
    <cellStyle name="Notiz 2 5" xfId="1901"/>
    <cellStyle name="Notiz 3" xfId="1902"/>
    <cellStyle name="Notiz 3 2" xfId="1903"/>
    <cellStyle name="Notiz 3 2 2" xfId="1904"/>
    <cellStyle name="Notiz 3 2 3" xfId="1905"/>
    <cellStyle name="Notiz 3 2 4" xfId="1906"/>
    <cellStyle name="Notiz 3 3" xfId="1907"/>
    <cellStyle name="Notiz 3 4" xfId="1908"/>
    <cellStyle name="Notiz 3 5" xfId="1909"/>
    <cellStyle name="Notiz 4" xfId="1910"/>
    <cellStyle name="Notiz 4 2" xfId="1911"/>
    <cellStyle name="Notiz 4 2 2" xfId="1912"/>
    <cellStyle name="Notiz 4 2 3" xfId="1913"/>
    <cellStyle name="Notiz 4 2 4" xfId="1914"/>
    <cellStyle name="Notiz 4 3" xfId="1915"/>
    <cellStyle name="Notiz 4 4" xfId="1916"/>
    <cellStyle name="Notiz 4 5" xfId="1917"/>
    <cellStyle name="Notiz 5" xfId="1918"/>
    <cellStyle name="Notiz 5 2" xfId="1919"/>
    <cellStyle name="Notiz 5 3" xfId="1920"/>
    <cellStyle name="Notiz 5 4" xfId="1921"/>
    <cellStyle name="Notiz 6" xfId="1922"/>
    <cellStyle name="Notiz 7" xfId="1923"/>
    <cellStyle name="Notiz 8" xfId="1924"/>
    <cellStyle name="Output 2" xfId="1925"/>
    <cellStyle name="Output 2 2" xfId="1926"/>
    <cellStyle name="Output 2 2 2" xfId="1927"/>
    <cellStyle name="Output 2 2 2 2" xfId="1928"/>
    <cellStyle name="Output 2 2 2 3" xfId="1929"/>
    <cellStyle name="Output 2 2 2 4" xfId="1930"/>
    <cellStyle name="Output 2 2 3" xfId="1931"/>
    <cellStyle name="Output 2 2 4" xfId="1932"/>
    <cellStyle name="Output 2 2 5" xfId="1933"/>
    <cellStyle name="Output 2 3" xfId="1934"/>
    <cellStyle name="Output 2 3 2" xfId="1935"/>
    <cellStyle name="Output 2 3 2 2" xfId="1936"/>
    <cellStyle name="Output 2 3 2 3" xfId="1937"/>
    <cellStyle name="Output 2 3 2 4" xfId="1938"/>
    <cellStyle name="Output 2 3 3" xfId="1939"/>
    <cellStyle name="Output 2 3 4" xfId="1940"/>
    <cellStyle name="Output 2 3 5" xfId="1941"/>
    <cellStyle name="Output 2 4" xfId="1942"/>
    <cellStyle name="Output 2 4 2" xfId="1943"/>
    <cellStyle name="Output 2 4 3" xfId="1944"/>
    <cellStyle name="Output 2 4 4" xfId="1945"/>
    <cellStyle name="Output 2 5" xfId="1946"/>
    <cellStyle name="Output 3" xfId="1947"/>
    <cellStyle name="Output 3 2" xfId="1948"/>
    <cellStyle name="Output 3 2 2" xfId="1949"/>
    <cellStyle name="Output 3 2 2 2" xfId="1950"/>
    <cellStyle name="Output 3 2 2 3" xfId="1951"/>
    <cellStyle name="Output 3 2 2 4" xfId="1952"/>
    <cellStyle name="Output 3 2 3" xfId="1953"/>
    <cellStyle name="Output 3 2 4" xfId="1954"/>
    <cellStyle name="Output 3 2 5" xfId="1955"/>
    <cellStyle name="Output 3 3" xfId="1956"/>
    <cellStyle name="Output 3 3 2" xfId="1957"/>
    <cellStyle name="Output 3 3 2 2" xfId="1958"/>
    <cellStyle name="Output 3 3 2 3" xfId="1959"/>
    <cellStyle name="Output 3 3 2 4" xfId="1960"/>
    <cellStyle name="Output 3 3 3" xfId="1961"/>
    <cellStyle name="Output 3 3 4" xfId="1962"/>
    <cellStyle name="Output 3 3 5" xfId="1963"/>
    <cellStyle name="Output 3 4" xfId="1964"/>
    <cellStyle name="Output 3 4 2" xfId="1965"/>
    <cellStyle name="Output 3 4 3" xfId="1966"/>
    <cellStyle name="Output 3 4 4" xfId="1967"/>
    <cellStyle name="Output 3 5" xfId="1968"/>
    <cellStyle name="Pattern" xfId="1969"/>
    <cellStyle name="Pattern 2" xfId="1970"/>
    <cellStyle name="Pattern 2 2" xfId="1971"/>
    <cellStyle name="Pattern 2 2 2" xfId="1972"/>
    <cellStyle name="Pattern 2 2 2 2" xfId="1973"/>
    <cellStyle name="Pattern 2 2 2 3" xfId="1974"/>
    <cellStyle name="Pattern 2 2 2 4" xfId="1975"/>
    <cellStyle name="Pattern 2 2 3" xfId="1976"/>
    <cellStyle name="Pattern 2 2 4" xfId="1977"/>
    <cellStyle name="Pattern 2 2 5" xfId="1978"/>
    <cellStyle name="Pattern 2 3" xfId="1979"/>
    <cellStyle name="Pattern 2 3 2" xfId="1980"/>
    <cellStyle name="Pattern 2 3 3" xfId="1981"/>
    <cellStyle name="Pattern 2 3 4" xfId="1982"/>
    <cellStyle name="Pattern 3" xfId="1983"/>
    <cellStyle name="Pattern 3 2" xfId="1984"/>
    <cellStyle name="Pattern 3 2 2" xfId="1985"/>
    <cellStyle name="Pattern 3 2 2 2" xfId="1986"/>
    <cellStyle name="Pattern 3 2 2 3" xfId="1987"/>
    <cellStyle name="Pattern 3 2 2 4" xfId="1988"/>
    <cellStyle name="Pattern 3 2 3" xfId="1989"/>
    <cellStyle name="Pattern 3 2 4" xfId="1990"/>
    <cellStyle name="Pattern 3 2 5" xfId="1991"/>
    <cellStyle name="Pattern 3 3" xfId="1992"/>
    <cellStyle name="Pattern 3 3 2" xfId="1993"/>
    <cellStyle name="Pattern 3 3 2 2" xfId="1994"/>
    <cellStyle name="Pattern 3 3 2 3" xfId="1995"/>
    <cellStyle name="Pattern 3 3 2 4" xfId="1996"/>
    <cellStyle name="Pattern 3 3 3" xfId="1997"/>
    <cellStyle name="Pattern 3 3 4" xfId="1998"/>
    <cellStyle name="Pattern 3 3 5" xfId="1999"/>
    <cellStyle name="Pattern 3 4" xfId="2000"/>
    <cellStyle name="Pattern 3 4 2" xfId="2001"/>
    <cellStyle name="Pattern 3 4 2 2" xfId="2002"/>
    <cellStyle name="Pattern 3 4 2 3" xfId="2003"/>
    <cellStyle name="Pattern 3 4 2 4" xfId="2004"/>
    <cellStyle name="Pattern 3 4 3" xfId="2005"/>
    <cellStyle name="Pattern 3 4 4" xfId="2006"/>
    <cellStyle name="Pattern 3 4 5" xfId="2007"/>
    <cellStyle name="Pattern 3 5" xfId="2008"/>
    <cellStyle name="Pattern 3 6" xfId="2009"/>
    <cellStyle name="Pattern 3 7" xfId="2010"/>
    <cellStyle name="Percent 2" xfId="2011"/>
    <cellStyle name="Percent 2 2" xfId="2012"/>
    <cellStyle name="RowLevel_1 2" xfId="2013"/>
    <cellStyle name="Schlecht" xfId="2014"/>
    <cellStyle name="Shade" xfId="2015"/>
    <cellStyle name="Shade 2" xfId="2016"/>
    <cellStyle name="Shade 2 2" xfId="2017"/>
    <cellStyle name="Shade 2 2 2" xfId="2018"/>
    <cellStyle name="Shade 2 2 2 2" xfId="2019"/>
    <cellStyle name="Shade 2 2 2 2 2" xfId="2020"/>
    <cellStyle name="Shade 2 2 2 2 3" xfId="2021"/>
    <cellStyle name="Shade 2 2 2 2 4" xfId="2022"/>
    <cellStyle name="Shade 2 2 2 3" xfId="2023"/>
    <cellStyle name="Shade 2 2 2 4" xfId="2024"/>
    <cellStyle name="Shade 2 2 2 5" xfId="2025"/>
    <cellStyle name="Shade 2 2 3" xfId="2026"/>
    <cellStyle name="Shade 2 2 3 2" xfId="2027"/>
    <cellStyle name="Shade 2 2 3 3" xfId="2028"/>
    <cellStyle name="Shade 2 2 3 4" xfId="2029"/>
    <cellStyle name="Shade 2 3" xfId="2030"/>
    <cellStyle name="Shade 2 3 2" xfId="2031"/>
    <cellStyle name="Shade 2 3 2 2" xfId="2032"/>
    <cellStyle name="Shade 2 3 2 2 2" xfId="2033"/>
    <cellStyle name="Shade 2 3 2 2 3" xfId="2034"/>
    <cellStyle name="Shade 2 3 2 2 4" xfId="2035"/>
    <cellStyle name="Shade 2 3 2 3" xfId="2036"/>
    <cellStyle name="Shade 2 3 2 4" xfId="2037"/>
    <cellStyle name="Shade 2 3 2 5" xfId="2038"/>
    <cellStyle name="Shade 2 3 3" xfId="2039"/>
    <cellStyle name="Shade 2 3 3 2" xfId="2040"/>
    <cellStyle name="Shade 2 3 3 2 2" xfId="2041"/>
    <cellStyle name="Shade 2 3 3 2 3" xfId="2042"/>
    <cellStyle name="Shade 2 3 3 2 4" xfId="2043"/>
    <cellStyle name="Shade 2 3 3 3" xfId="2044"/>
    <cellStyle name="Shade 2 3 3 4" xfId="2045"/>
    <cellStyle name="Shade 2 3 3 5" xfId="2046"/>
    <cellStyle name="Shade 2 3 4" xfId="2047"/>
    <cellStyle name="Shade 2 3 4 2" xfId="2048"/>
    <cellStyle name="Shade 2 3 4 2 2" xfId="2049"/>
    <cellStyle name="Shade 2 3 4 2 3" xfId="2050"/>
    <cellStyle name="Shade 2 3 4 2 4" xfId="2051"/>
    <cellStyle name="Shade 2 3 4 3" xfId="2052"/>
    <cellStyle name="Shade 2 3 4 4" xfId="2053"/>
    <cellStyle name="Shade 2 3 4 5" xfId="2054"/>
    <cellStyle name="Shade 2 3 5" xfId="2055"/>
    <cellStyle name="Shade 2 3 6" xfId="2056"/>
    <cellStyle name="Shade 2 3 7" xfId="2057"/>
    <cellStyle name="Shade 3" xfId="2058"/>
    <cellStyle name="Shade 3 2" xfId="2059"/>
    <cellStyle name="Shade 3 2 2" xfId="2060"/>
    <cellStyle name="Shade 3 2 2 2" xfId="2061"/>
    <cellStyle name="Shade 3 2 2 3" xfId="2062"/>
    <cellStyle name="Shade 3 2 2 4" xfId="2063"/>
    <cellStyle name="Shade 3 2 3" xfId="2064"/>
    <cellStyle name="Shade 3 2 4" xfId="2065"/>
    <cellStyle name="Shade 3 2 5" xfId="2066"/>
    <cellStyle name="Shade 3 3" xfId="2067"/>
    <cellStyle name="Shade 3 3 2" xfId="2068"/>
    <cellStyle name="Shade 3 3 3" xfId="2069"/>
    <cellStyle name="Shade 3 3 4" xfId="2070"/>
    <cellStyle name="Shade 4" xfId="2071"/>
    <cellStyle name="Shade 4 2" xfId="2072"/>
    <cellStyle name="Shade 4 2 2" xfId="2073"/>
    <cellStyle name="Shade 4 2 2 2" xfId="2074"/>
    <cellStyle name="Shade 4 2 2 3" xfId="2075"/>
    <cellStyle name="Shade 4 2 2 4" xfId="2076"/>
    <cellStyle name="Shade 4 2 3" xfId="2077"/>
    <cellStyle name="Shade 4 2 3 2" xfId="2078"/>
    <cellStyle name="Shade 4 2 3 3" xfId="2079"/>
    <cellStyle name="Shade 4 2 3 4" xfId="2080"/>
    <cellStyle name="Shade 4 3" xfId="2081"/>
    <cellStyle name="Shade 4 3 2" xfId="2082"/>
    <cellStyle name="Shade 4 3 2 2" xfId="2083"/>
    <cellStyle name="Shade 4 3 2 3" xfId="2084"/>
    <cellStyle name="Shade 4 3 2 4" xfId="2085"/>
    <cellStyle name="Shade 4 3 3" xfId="2086"/>
    <cellStyle name="Shade 4 3 4" xfId="2087"/>
    <cellStyle name="Shade 4 3 5" xfId="2088"/>
    <cellStyle name="Shade 4 4" xfId="2089"/>
    <cellStyle name="Shade 4 4 2" xfId="2090"/>
    <cellStyle name="Shade 4 4 2 2" xfId="2091"/>
    <cellStyle name="Shade 4 4 2 3" xfId="2092"/>
    <cellStyle name="Shade 4 4 2 4" xfId="2093"/>
    <cellStyle name="Shade 4 4 3" xfId="2094"/>
    <cellStyle name="Shade 4 4 4" xfId="2095"/>
    <cellStyle name="Shade 4 4 5" xfId="2096"/>
    <cellStyle name="Shade 4 5" xfId="2097"/>
    <cellStyle name="Shade 4 6" xfId="2098"/>
    <cellStyle name="Shade 4 7" xfId="2099"/>
    <cellStyle name="Shade 5" xfId="2100"/>
    <cellStyle name="Shade_B_border2" xfId="2101"/>
    <cellStyle name="Standard 2" xfId="2102"/>
    <cellStyle name="Standard 2 2" xfId="2103"/>
    <cellStyle name="Standard 2 2 2" xfId="2104"/>
    <cellStyle name="Standard 2 3" xfId="2105"/>
    <cellStyle name="Title 2" xfId="2106"/>
    <cellStyle name="Title 3" xfId="2107"/>
    <cellStyle name="Total 2" xfId="2108"/>
    <cellStyle name="Total 2 2" xfId="2109"/>
    <cellStyle name="Total 2 2 2" xfId="2110"/>
    <cellStyle name="Total 2 2 2 2" xfId="2111"/>
    <cellStyle name="Total 2 2 2 3" xfId="2112"/>
    <cellStyle name="Total 2 2 2 4" xfId="2113"/>
    <cellStyle name="Total 2 2 3" xfId="2114"/>
    <cellStyle name="Total 2 2 4" xfId="2115"/>
    <cellStyle name="Total 2 2 5" xfId="2116"/>
    <cellStyle name="Total 2 3" xfId="2117"/>
    <cellStyle name="Total 2 3 2" xfId="2118"/>
    <cellStyle name="Total 2 3 2 2" xfId="2119"/>
    <cellStyle name="Total 2 3 2 3" xfId="2120"/>
    <cellStyle name="Total 2 3 2 4" xfId="2121"/>
    <cellStyle name="Total 2 3 3" xfId="2122"/>
    <cellStyle name="Total 2 3 4" xfId="2123"/>
    <cellStyle name="Total 2 3 5" xfId="2124"/>
    <cellStyle name="Total 2 4" xfId="2125"/>
    <cellStyle name="Total 2 4 2" xfId="2126"/>
    <cellStyle name="Total 2 4 2 2" xfId="2127"/>
    <cellStyle name="Total 2 4 2 3" xfId="2128"/>
    <cellStyle name="Total 2 4 2 4" xfId="2129"/>
    <cellStyle name="Total 2 4 3" xfId="2130"/>
    <cellStyle name="Total 2 4 4" xfId="2131"/>
    <cellStyle name="Total 2 4 5" xfId="2132"/>
    <cellStyle name="Total 2 5" xfId="2133"/>
    <cellStyle name="Total 2 5 2" xfId="2134"/>
    <cellStyle name="Total 2 5 3" xfId="2135"/>
    <cellStyle name="Total 2 5 4" xfId="2136"/>
    <cellStyle name="Total 2 6" xfId="2137"/>
    <cellStyle name="Total 2 7" xfId="2138"/>
    <cellStyle name="Total 2 8" xfId="2139"/>
    <cellStyle name="Total 3" xfId="2140"/>
    <cellStyle name="Total 3 2" xfId="2141"/>
    <cellStyle name="Total 3 2 2" xfId="2142"/>
    <cellStyle name="Total 3 2 2 2" xfId="2143"/>
    <cellStyle name="Total 3 2 2 3" xfId="2144"/>
    <cellStyle name="Total 3 2 2 4" xfId="2145"/>
    <cellStyle name="Total 3 2 3" xfId="2146"/>
    <cellStyle name="Total 3 2 4" xfId="2147"/>
    <cellStyle name="Total 3 2 5" xfId="2148"/>
    <cellStyle name="Total 3 3" xfId="2149"/>
    <cellStyle name="Total 3 3 2" xfId="2150"/>
    <cellStyle name="Total 3 3 2 2" xfId="2151"/>
    <cellStyle name="Total 3 3 2 3" xfId="2152"/>
    <cellStyle name="Total 3 3 2 4" xfId="2153"/>
    <cellStyle name="Total 3 3 3" xfId="2154"/>
    <cellStyle name="Total 3 3 4" xfId="2155"/>
    <cellStyle name="Total 3 3 5" xfId="2156"/>
    <cellStyle name="Total 3 4" xfId="2157"/>
    <cellStyle name="Total 3 4 2" xfId="2158"/>
    <cellStyle name="Total 3 4 2 2" xfId="2159"/>
    <cellStyle name="Total 3 4 2 3" xfId="2160"/>
    <cellStyle name="Total 3 4 2 4" xfId="2161"/>
    <cellStyle name="Total 3 4 3" xfId="2162"/>
    <cellStyle name="Total 3 4 4" xfId="2163"/>
    <cellStyle name="Total 3 4 5" xfId="2164"/>
    <cellStyle name="Total 3 5" xfId="2165"/>
    <cellStyle name="Total 3 5 2" xfId="2166"/>
    <cellStyle name="Total 3 5 3" xfId="2167"/>
    <cellStyle name="Total 3 5 4" xfId="2168"/>
    <cellStyle name="Total 3 6" xfId="2169"/>
    <cellStyle name="Total 3 7" xfId="2170"/>
    <cellStyle name="Total 3 8" xfId="2171"/>
    <cellStyle name="Überschrift" xfId="2172"/>
    <cellStyle name="Überschrift 1" xfId="2173"/>
    <cellStyle name="Überschrift 2" xfId="2174"/>
    <cellStyle name="Überschrift 3" xfId="2175"/>
    <cellStyle name="Überschrift 4" xfId="2176"/>
    <cellStyle name="Verknüpfte Zelle" xfId="2177"/>
    <cellStyle name="Warnender Text" xfId="2178"/>
    <cellStyle name="Warnender Text 2" xfId="2179"/>
    <cellStyle name="Warnender Text 3" xfId="2180"/>
    <cellStyle name="Warning Text 2" xfId="2181"/>
    <cellStyle name="Warning Text 3" xfId="2182"/>
    <cellStyle name="Zelle überprüfen" xfId="2183"/>
    <cellStyle name="Гиперссылка" xfId="2184"/>
    <cellStyle name="Гиперссылка 2" xfId="2185"/>
    <cellStyle name="Гиперссылка 3" xfId="2186"/>
    <cellStyle name="Гиперссылка 4" xfId="2187"/>
    <cellStyle name="Обычный_2++" xfId="2188"/>
    <cellStyle name="Обычный_CRF2002 (1)" xfId="2189"/>
    <cellStyle name="Обычный_LULUCF module - v 1.0" xfId="2190"/>
  </cellStyles>
  <dxfs count="4">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mruColors>
      <color rgb="00740000"/>
      <color rgb="006E8000"/>
      <color rgb="00808000"/>
      <color rgb="00CCFF33"/>
      <color rgb="00FF9999"/>
      <color rgb="00009999"/>
      <color rgb="00C1FFC7"/>
      <color rgb="00741300"/>
      <color rgb="00AD6600"/>
      <color rgb="00AA1D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eetMetadata" Target="metadata.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onnections" Target="connections.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351790"/>
          <a:ext cx="5706110" cy="281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0" y="3693795"/>
          <a:ext cx="6158230" cy="2815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0" y="7035800"/>
          <a:ext cx="6348730" cy="286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xdr:cNvPicPr>
          <a:picLocks noChangeAspect="1"/>
        </xdr:cNvPicPr>
      </xdr:nvPicPr>
      <xdr:blipFill>
        <a:blip r:embed="rId4"/>
        <a:stretch>
          <a:fillRect/>
        </a:stretch>
      </xdr:blipFill>
      <xdr:spPr>
        <a:xfrm>
          <a:off x="0" y="10572750"/>
          <a:ext cx="7108825" cy="3952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s.org/sgp/crs/misc/R40562.pdf,%20p.3,%20paragraph%201"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workbookViewId="0">
      <selection activeCell="A1" sqref="A1"/>
    </sheetView>
  </sheetViews>
  <sheetFormatPr defaultColWidth="8.85840707964602" defaultRowHeight="13.85" outlineLevelCol="2"/>
  <cols>
    <col min="1" max="1" width="28.4247787610619" customWidth="1"/>
    <col min="2" max="2" width="24.4247787610619" customWidth="1"/>
  </cols>
  <sheetData>
    <row r="1" spans="1:2">
      <c r="A1" s="18" t="s">
        <v>0</v>
      </c>
    </row>
    <row r="3" spans="1:2">
      <c r="A3" t="s">
        <v>1</v>
      </c>
    </row>
    <row r="4" spans="1:2">
      <c r="A4" t="s">
        <v>2</v>
      </c>
    </row>
    <row r="5" spans="1:2">
      <c r="A5" t="s">
        <v>3</v>
      </c>
    </row>
    <row r="6" spans="1:2">
      <c r="A6" t="s">
        <v>4</v>
      </c>
    </row>
    <row r="8" spans="1:2">
      <c r="A8" t="s">
        <v>5</v>
      </c>
    </row>
    <row r="9" spans="1:2">
      <c r="A9" t="s">
        <v>6</v>
      </c>
    </row>
    <row r="10" spans="1:2">
      <c r="A10" s="55" t="s">
        <v>7</v>
      </c>
    </row>
    <row r="11" spans="1:2">
      <c r="A11" s="55"/>
    </row>
    <row r="12" spans="1:2">
      <c r="A12" t="s">
        <v>8</v>
      </c>
    </row>
    <row r="13" spans="1:2">
      <c r="A13" t="s">
        <v>9</v>
      </c>
    </row>
    <row r="14" spans="1:2">
      <c r="A14" t="s">
        <v>10</v>
      </c>
    </row>
    <row r="16" spans="1:2">
      <c r="A16" s="59" t="s">
        <v>11</v>
      </c>
      <c r="B16" s="339"/>
    </row>
    <row r="17" spans="1:3">
      <c r="A17" t="s">
        <v>12</v>
      </c>
      <c r="B17" s="30">
        <f>MAX(PolicyLevers!H:H)</f>
        <v>1655</v>
      </c>
    </row>
    <row r="18" spans="1:3">
      <c r="A18" t="s">
        <v>13</v>
      </c>
      <c r="B18" s="30" t="str" cm="1">
        <f t="array" ref="B18">IF(MIN(IF(COUNTIF(PolicyLevers!$H$2:$H$1271,PolicyLevers!$H$2:$H$1271)&gt;1,PolicyLevers!$H$2:$H$1271,""))=0,"No duplicate ID numbers",MIN(IF(COUNTIF(PolicyLevers!$H$2:$H$1271,PolicyLevers!$H$2:$H$1271)&gt;1,PolicyLevers!$H$2:$H$1271,"")))</f>
        <v>No duplicate ID numbers</v>
      </c>
    </row>
    <row r="19" ht="27.75" spans="1:3">
      <c r="A19" s="28" t="s">
        <v>14</v>
      </c>
      <c r="B19" s="30" t="str" cm="1">
        <f t="array" ref="B19">IF(MIN(IF((NOT(ISNUMBER(PolicyLevers!$H$2:$H$1271)))*(ISTEXT(PolicyLevers!$I$2:$I$1271)),ROW(PolicyLevers!$H$2:$H$1271)))=0,"No missing ID numbers",MIN(IF((NOT(ISNUMBER(PolicyLevers!$H$2:$H$1271)))*(ISTEXT(PolicyLevers!$I$2:$I$1271)),ROW(PolicyLevers!$H$2:$H$1271))))</f>
        <v>No missing ID numbers</v>
      </c>
    </row>
    <row r="21" spans="1:3">
      <c r="A21" s="59" t="s">
        <v>15</v>
      </c>
      <c r="B21" s="339"/>
    </row>
    <row r="22" ht="13.9" spans="1:3">
      <c r="A22" t="s">
        <v>16</v>
      </c>
    </row>
    <row r="23" ht="13.9" spans="1:3">
      <c r="A23" t="s">
        <v>17</v>
      </c>
    </row>
    <row r="24" spans="1:3">
      <c r="A24" t="s">
        <v>18</v>
      </c>
    </row>
    <row r="25" spans="1:3">
      <c r="A25" t="s">
        <v>19</v>
      </c>
    </row>
    <row r="27" spans="1:3">
      <c r="A27" s="59" t="s">
        <v>20</v>
      </c>
      <c r="B27" s="339"/>
      <c r="C27" s="339"/>
    </row>
    <row r="28" ht="13.9" spans="1:3">
      <c r="A28" t="s">
        <v>21</v>
      </c>
    </row>
    <row r="29" spans="1:3">
      <c r="A29" t="s">
        <v>22</v>
      </c>
    </row>
    <row r="30" spans="1:3">
      <c r="A30" t="s">
        <v>23</v>
      </c>
    </row>
    <row r="31" spans="1:3">
      <c r="A31" t="s">
        <v>24</v>
      </c>
    </row>
    <row r="32" spans="1:3">
      <c r="A32" t="s">
        <v>25</v>
      </c>
    </row>
    <row r="34" ht="13.9" spans="1:2">
      <c r="A34" t="s">
        <v>26</v>
      </c>
    </row>
    <row r="35" spans="1:2">
      <c r="A35" t="s">
        <v>27</v>
      </c>
    </row>
    <row r="36" spans="1:2">
      <c r="A36" t="s">
        <v>28</v>
      </c>
    </row>
    <row r="38" ht="13.9" spans="1:2">
      <c r="A38" t="s">
        <v>29</v>
      </c>
    </row>
    <row r="39" spans="1:2">
      <c r="A39" t="s">
        <v>30</v>
      </c>
    </row>
    <row r="40" spans="1:2">
      <c r="A40" t="s">
        <v>31</v>
      </c>
    </row>
    <row r="42" ht="13.9" spans="1:2">
      <c r="A42" t="s">
        <v>32</v>
      </c>
    </row>
    <row r="43" spans="1:2">
      <c r="A43" t="s">
        <v>33</v>
      </c>
    </row>
    <row r="44" spans="1:2">
      <c r="A44" t="s">
        <v>34</v>
      </c>
    </row>
    <row r="46" spans="1:2">
      <c r="A46" s="59" t="s">
        <v>35</v>
      </c>
      <c r="B46" s="339"/>
    </row>
    <row r="47" spans="1:2">
      <c r="A47" t="s">
        <v>36</v>
      </c>
    </row>
    <row r="48" spans="1:2">
      <c r="A48" t="s">
        <v>37</v>
      </c>
    </row>
    <row r="50" spans="1:1">
      <c r="A50" t="s">
        <v>38</v>
      </c>
    </row>
    <row r="51" ht="13.9" spans="1:1">
      <c r="A51" t="s">
        <v>39</v>
      </c>
    </row>
    <row r="52" spans="1:1">
      <c r="A52" t="s">
        <v>40</v>
      </c>
    </row>
    <row r="53" ht="13.9" spans="1:1">
      <c r="A53" t="s">
        <v>41</v>
      </c>
    </row>
  </sheetData>
  <conditionalFormatting sqref="B18">
    <cfRule type="containsText" dxfId="0" priority="3" stopIfTrue="1" operator="between" text="No duplicate ID numbers">
      <formula>NOT(ISERROR(SEARCH("No duplicate ID numbers",B18)))</formula>
    </cfRule>
    <cfRule type="cellIs" dxfId="1" priority="4" operator="greaterThan">
      <formula>0</formula>
    </cfRule>
  </conditionalFormatting>
  <conditionalFormatting sqref="B19">
    <cfRule type="containsText" dxfId="0" priority="1" stopIfTrue="1" operator="between" text="No missing ID numbers">
      <formula>NOT(ISERROR(SEARCH("No missing ID numbers",B19)))</formula>
    </cfRule>
    <cfRule type="cellIs" dxfId="1" priority="2" operator="greaterThan">
      <formula>0</formula>
    </cfRule>
  </conditionalFormatting>
  <hyperlinks>
    <hyperlink ref="A10" r:id="rId1" display="https://www.energypolicy.solutions"/>
  </hyperlinks>
  <pageMargins left="0.7" right="0.7" top="0.75" bottom="0.75" header="0.3" footer="0.3"/>
  <pageSetup paperSize="1"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N101"/>
  <sheetViews>
    <sheetView zoomScale="80" zoomScaleNormal="80" workbookViewId="0">
      <pane ySplit="3" topLeftCell="A17" activePane="bottomLeft" state="frozen"/>
      <selection/>
      <selection pane="bottomLeft" activeCell="B25" sqref="B25"/>
    </sheetView>
  </sheetViews>
  <sheetFormatPr defaultColWidth="8.85840707964602" defaultRowHeight="13.85"/>
  <cols>
    <col min="1" max="5" width="20.141592920354" customWidth="1"/>
    <col min="6" max="8" width="10.141592920354" customWidth="1"/>
    <col min="9" max="9" width="20.141592920354" customWidth="1"/>
    <col min="10" max="10" width="92.7079646017699" style="28" customWidth="1"/>
    <col min="11" max="12" width="20.141592920354" customWidth="1"/>
    <col min="13" max="13" width="129.424778761062" style="407" customWidth="1"/>
    <col min="14" max="14" width="67.4247787610619" customWidth="1"/>
  </cols>
  <sheetData>
    <row r="1" spans="1:14">
      <c r="A1" s="18" t="s">
        <v>42</v>
      </c>
      <c r="M1"/>
    </row>
    <row r="2" spans="1:14">
      <c r="A2" s="25" t="s">
        <v>43</v>
      </c>
      <c r="M2"/>
    </row>
    <row r="3" ht="41.65" spans="1:14">
      <c r="A3" s="408" t="s">
        <v>44</v>
      </c>
      <c r="B3" s="408" t="s">
        <v>45</v>
      </c>
      <c r="C3" s="408" t="s">
        <v>46</v>
      </c>
      <c r="D3" s="409" t="s">
        <v>47</v>
      </c>
      <c r="E3" s="408" t="s">
        <v>48</v>
      </c>
      <c r="F3" s="410" t="s">
        <v>49</v>
      </c>
      <c r="G3" s="410" t="s">
        <v>50</v>
      </c>
      <c r="H3" s="410" t="s">
        <v>51</v>
      </c>
      <c r="I3" s="408" t="s">
        <v>52</v>
      </c>
      <c r="J3" s="408" t="s">
        <v>53</v>
      </c>
      <c r="K3" s="408" t="s">
        <v>54</v>
      </c>
      <c r="L3" s="408" t="s">
        <v>55</v>
      </c>
      <c r="M3" s="411" t="s">
        <v>56</v>
      </c>
      <c r="N3" s="412" t="s">
        <v>57</v>
      </c>
    </row>
    <row r="4" ht="69.75" spans="1:14">
      <c r="A4" s="28" t="s">
        <v>58</v>
      </c>
      <c r="B4" s="28" t="s">
        <v>59</v>
      </c>
      <c r="C4" s="28" t="s">
        <v>60</v>
      </c>
      <c r="D4" s="28" t="s">
        <v>61</v>
      </c>
      <c r="E4" s="28" t="s">
        <v>62</v>
      </c>
      <c r="F4" s="413">
        <v>0</v>
      </c>
      <c r="G4" s="413">
        <v>1</v>
      </c>
      <c r="H4" s="413">
        <v>0.02</v>
      </c>
      <c r="I4" s="28" t="s">
        <v>63</v>
      </c>
      <c r="J4" s="414" t="s">
        <v>64</v>
      </c>
      <c r="K4" s="415" t="s">
        <v>65</v>
      </c>
      <c r="L4" s="28" t="s">
        <v>66</v>
      </c>
    </row>
    <row r="5" ht="58.15" spans="1:14">
      <c r="A5" s="28" t="s">
        <v>58</v>
      </c>
      <c r="B5" s="28" t="s">
        <v>67</v>
      </c>
      <c r="C5" s="28" t="s">
        <v>68</v>
      </c>
      <c r="D5" s="28" t="s">
        <v>68</v>
      </c>
      <c r="E5" s="28" t="s">
        <v>69</v>
      </c>
      <c r="F5" s="416">
        <v>0</v>
      </c>
      <c r="G5" s="416">
        <v>300</v>
      </c>
      <c r="H5" s="416">
        <v>5</v>
      </c>
      <c r="I5" s="28" t="s">
        <v>70</v>
      </c>
      <c r="J5" s="417" t="s">
        <v>71</v>
      </c>
      <c r="K5" s="28"/>
      <c r="L5" s="28" t="s">
        <v>72</v>
      </c>
      <c r="M5" s="418" t="s">
        <v>73</v>
      </c>
    </row>
    <row r="6" ht="81.4" spans="1:14">
      <c r="A6" s="28" t="s">
        <v>58</v>
      </c>
      <c r="B6" s="28" t="s">
        <v>74</v>
      </c>
      <c r="C6" s="28" t="s">
        <v>75</v>
      </c>
      <c r="D6" s="28" t="s">
        <v>76</v>
      </c>
      <c r="E6" s="28" t="s">
        <v>77</v>
      </c>
      <c r="F6" s="419">
        <v>0</v>
      </c>
      <c r="G6" s="419">
        <v>1</v>
      </c>
      <c r="H6" s="419">
        <v>0.02</v>
      </c>
      <c r="I6" s="399" t="s">
        <v>78</v>
      </c>
      <c r="J6" s="417" t="s">
        <v>79</v>
      </c>
      <c r="K6" s="415"/>
      <c r="L6" s="415" t="s">
        <v>80</v>
      </c>
      <c r="M6" s="420" t="s">
        <v>81</v>
      </c>
    </row>
    <row r="7" ht="325.15" spans="1:14">
      <c r="A7" s="28" t="s">
        <v>58</v>
      </c>
      <c r="B7" s="28" t="s">
        <v>82</v>
      </c>
      <c r="C7" s="28" t="s">
        <v>83</v>
      </c>
      <c r="D7" s="28" t="s">
        <v>84</v>
      </c>
      <c r="E7" s="28" t="s">
        <v>85</v>
      </c>
      <c r="F7" s="419">
        <v>0</v>
      </c>
      <c r="G7" s="419">
        <v>1</v>
      </c>
      <c r="H7" s="419">
        <v>0.01</v>
      </c>
      <c r="I7" s="399" t="s">
        <v>86</v>
      </c>
      <c r="J7" s="417" t="s">
        <v>87</v>
      </c>
      <c r="K7" s="415" t="s">
        <v>88</v>
      </c>
      <c r="L7" s="415" t="s">
        <v>89</v>
      </c>
      <c r="M7" s="418" t="s">
        <v>90</v>
      </c>
    </row>
    <row r="8" ht="41.65" spans="1:14">
      <c r="A8" s="28" t="s">
        <v>58</v>
      </c>
      <c r="B8" s="28" t="s">
        <v>91</v>
      </c>
      <c r="C8" s="28" t="s">
        <v>92</v>
      </c>
      <c r="D8" s="28" t="s">
        <v>84</v>
      </c>
      <c r="E8" s="28" t="s">
        <v>93</v>
      </c>
      <c r="F8" s="421">
        <v>0</v>
      </c>
      <c r="G8" s="421">
        <v>1</v>
      </c>
      <c r="H8" s="421">
        <v>1</v>
      </c>
      <c r="I8" s="399" t="s">
        <v>94</v>
      </c>
      <c r="J8" s="414" t="s">
        <v>95</v>
      </c>
      <c r="K8" s="415"/>
      <c r="L8" s="415"/>
      <c r="M8" s="418"/>
    </row>
    <row r="9" ht="69.75" spans="1:14">
      <c r="A9" s="28" t="s">
        <v>58</v>
      </c>
      <c r="B9" s="28" t="s">
        <v>96</v>
      </c>
      <c r="C9" s="28" t="s">
        <v>97</v>
      </c>
      <c r="D9" s="28" t="s">
        <v>98</v>
      </c>
      <c r="E9" s="28" t="s">
        <v>99</v>
      </c>
      <c r="F9" s="419">
        <v>0</v>
      </c>
      <c r="G9" s="419">
        <v>0.5</v>
      </c>
      <c r="H9" s="419">
        <v>0.01</v>
      </c>
      <c r="I9" s="415" t="s">
        <v>100</v>
      </c>
      <c r="J9" s="417" t="s">
        <v>101</v>
      </c>
      <c r="K9" s="415" t="s">
        <v>102</v>
      </c>
      <c r="L9" s="415" t="s">
        <v>103</v>
      </c>
      <c r="M9" s="420" t="s">
        <v>104</v>
      </c>
    </row>
    <row r="10" ht="81.4" spans="1:14">
      <c r="A10" s="28" t="s">
        <v>58</v>
      </c>
      <c r="B10" s="28" t="s">
        <v>105</v>
      </c>
      <c r="C10" s="28" t="s">
        <v>106</v>
      </c>
      <c r="D10" s="377" t="s">
        <v>105</v>
      </c>
      <c r="E10" s="28" t="s">
        <v>107</v>
      </c>
      <c r="F10" s="419">
        <v>0</v>
      </c>
      <c r="G10" s="419">
        <v>1</v>
      </c>
      <c r="H10" s="413">
        <v>0.02</v>
      </c>
      <c r="I10" s="399" t="s">
        <v>108</v>
      </c>
      <c r="J10" s="414" t="s">
        <v>109</v>
      </c>
      <c r="K10" s="399" t="s">
        <v>110</v>
      </c>
      <c r="L10" s="399" t="s">
        <v>111</v>
      </c>
      <c r="M10" s="422" t="s">
        <v>112</v>
      </c>
      <c r="N10" s="399" t="s">
        <v>113</v>
      </c>
    </row>
    <row r="11" ht="249.4" spans="1:14">
      <c r="A11" s="28" t="s">
        <v>58</v>
      </c>
      <c r="B11" s="28" t="s">
        <v>114</v>
      </c>
      <c r="C11" s="28" t="s">
        <v>115</v>
      </c>
      <c r="D11" s="377" t="s">
        <v>116</v>
      </c>
      <c r="E11" s="28" t="s">
        <v>117</v>
      </c>
      <c r="F11" s="419">
        <v>0</v>
      </c>
      <c r="G11" s="419">
        <f>ROUND(MaxBoundCalculations!B88,1)</f>
        <v>1</v>
      </c>
      <c r="H11" s="419">
        <v>0.01</v>
      </c>
      <c r="I11" s="399" t="s">
        <v>118</v>
      </c>
      <c r="J11" s="417" t="s">
        <v>119</v>
      </c>
      <c r="K11" s="399" t="s">
        <v>120</v>
      </c>
      <c r="L11" s="399" t="s">
        <v>121</v>
      </c>
      <c r="M11" s="422" t="s">
        <v>122</v>
      </c>
      <c r="N11" s="399" t="s">
        <v>123</v>
      </c>
    </row>
    <row r="12" ht="46.5" spans="1:14">
      <c r="A12" s="28" t="s">
        <v>58</v>
      </c>
      <c r="B12" s="28" t="s">
        <v>124</v>
      </c>
      <c r="C12" s="28" t="s">
        <v>125</v>
      </c>
      <c r="D12" s="28" t="s">
        <v>124</v>
      </c>
      <c r="E12" s="28" t="s">
        <v>126</v>
      </c>
      <c r="F12" s="413">
        <v>0</v>
      </c>
      <c r="G12" s="423">
        <v>1</v>
      </c>
      <c r="H12" s="413">
        <v>0.01</v>
      </c>
      <c r="I12" s="399" t="s">
        <v>127</v>
      </c>
      <c r="J12" s="414" t="s">
        <v>128</v>
      </c>
      <c r="K12" s="399" t="s">
        <v>129</v>
      </c>
      <c r="L12" s="399" t="s">
        <v>130</v>
      </c>
      <c r="M12" s="422" t="s">
        <v>131</v>
      </c>
    </row>
    <row r="13" ht="93" spans="1:14">
      <c r="A13" s="28" t="s">
        <v>58</v>
      </c>
      <c r="B13" s="28" t="s">
        <v>132</v>
      </c>
      <c r="C13" s="28" t="s">
        <v>133</v>
      </c>
      <c r="D13" s="28" t="s">
        <v>132</v>
      </c>
      <c r="E13" s="28" t="s">
        <v>134</v>
      </c>
      <c r="F13" s="413">
        <v>0</v>
      </c>
      <c r="G13" s="423">
        <f>-ROUND(MaxBoundCalculations!$B$206,2)</f>
        <v>0.26</v>
      </c>
      <c r="H13" s="413">
        <v>0.01</v>
      </c>
      <c r="I13" s="399" t="s">
        <v>135</v>
      </c>
      <c r="J13" s="417" t="s">
        <v>136</v>
      </c>
      <c r="K13" s="399" t="s">
        <v>137</v>
      </c>
      <c r="L13" s="399" t="s">
        <v>138</v>
      </c>
      <c r="M13" s="424" t="s">
        <v>139</v>
      </c>
    </row>
    <row r="14" ht="58.15" spans="1:14">
      <c r="A14" s="28" t="s">
        <v>140</v>
      </c>
      <c r="B14" s="28" t="s">
        <v>141</v>
      </c>
      <c r="C14" s="28" t="s">
        <v>142</v>
      </c>
      <c r="D14" s="28" t="s">
        <v>141</v>
      </c>
      <c r="E14" s="28" t="s">
        <v>143</v>
      </c>
      <c r="F14" s="419">
        <v>0</v>
      </c>
      <c r="G14" s="419">
        <v>1</v>
      </c>
      <c r="H14" s="419">
        <v>0.01</v>
      </c>
      <c r="I14" s="399" t="s">
        <v>144</v>
      </c>
      <c r="J14" s="417" t="s">
        <v>145</v>
      </c>
      <c r="K14" s="399" t="s">
        <v>146</v>
      </c>
      <c r="L14" s="399" t="s">
        <v>147</v>
      </c>
      <c r="M14" s="422" t="s">
        <v>148</v>
      </c>
    </row>
    <row r="15" ht="81.4" spans="1:14">
      <c r="A15" s="28" t="s">
        <v>140</v>
      </c>
      <c r="B15" s="28" t="s">
        <v>149</v>
      </c>
      <c r="C15" s="28" t="s">
        <v>150</v>
      </c>
      <c r="D15" s="28" t="s">
        <v>149</v>
      </c>
      <c r="E15" s="28" t="s">
        <v>151</v>
      </c>
      <c r="F15" s="419">
        <v>0</v>
      </c>
      <c r="G15" s="419">
        <v>1</v>
      </c>
      <c r="H15" s="419">
        <v>0.01</v>
      </c>
      <c r="I15" s="399" t="s">
        <v>152</v>
      </c>
      <c r="J15" s="414" t="s">
        <v>153</v>
      </c>
      <c r="K15" s="399" t="s">
        <v>154</v>
      </c>
      <c r="L15" s="399" t="s">
        <v>155</v>
      </c>
      <c r="M15" s="422" t="s">
        <v>156</v>
      </c>
      <c r="N15" s="399" t="s">
        <v>157</v>
      </c>
    </row>
    <row r="16" ht="46.5" spans="1:14">
      <c r="A16" s="28" t="s">
        <v>140</v>
      </c>
      <c r="B16" s="28" t="s">
        <v>158</v>
      </c>
      <c r="C16" s="28" t="s">
        <v>159</v>
      </c>
      <c r="D16" s="28" t="s">
        <v>158</v>
      </c>
      <c r="E16" s="28" t="s">
        <v>160</v>
      </c>
      <c r="F16" s="28">
        <v>0</v>
      </c>
      <c r="G16" s="28">
        <v>1</v>
      </c>
      <c r="H16" s="28">
        <v>1</v>
      </c>
      <c r="I16" s="399" t="s">
        <v>94</v>
      </c>
      <c r="J16" s="414" t="s">
        <v>161</v>
      </c>
      <c r="K16" s="399" t="s">
        <v>162</v>
      </c>
      <c r="L16" s="399" t="s">
        <v>163</v>
      </c>
    </row>
    <row r="17" ht="55.5" spans="1:14">
      <c r="A17" s="28" t="s">
        <v>140</v>
      </c>
      <c r="B17" s="28" t="s">
        <v>164</v>
      </c>
      <c r="C17" s="28" t="s">
        <v>165</v>
      </c>
      <c r="D17" s="377" t="s">
        <v>166</v>
      </c>
      <c r="E17" s="28" t="s">
        <v>167</v>
      </c>
      <c r="F17" s="28">
        <v>0</v>
      </c>
      <c r="G17" s="413">
        <f>ROUND(MaxBoundCalculations!B172,2)</f>
        <v>0.24</v>
      </c>
      <c r="H17" s="425">
        <v>0.005</v>
      </c>
      <c r="I17" s="399" t="s">
        <v>168</v>
      </c>
      <c r="J17" s="414" t="s">
        <v>169</v>
      </c>
      <c r="K17" s="399" t="s">
        <v>170</v>
      </c>
      <c r="L17" s="399" t="s">
        <v>171</v>
      </c>
      <c r="M17" s="422" t="s">
        <v>172</v>
      </c>
      <c r="N17" s="399" t="s">
        <v>173</v>
      </c>
    </row>
    <row r="18" ht="58.15" spans="1:14">
      <c r="A18" s="28" t="s">
        <v>140</v>
      </c>
      <c r="B18" s="28" t="s">
        <v>174</v>
      </c>
      <c r="C18" s="28" t="s">
        <v>175</v>
      </c>
      <c r="D18" s="377" t="s">
        <v>166</v>
      </c>
      <c r="E18" s="28" t="s">
        <v>176</v>
      </c>
      <c r="F18" s="28">
        <v>0</v>
      </c>
      <c r="G18" s="419">
        <v>0.5</v>
      </c>
      <c r="H18" s="413">
        <v>0.01</v>
      </c>
      <c r="I18" s="399" t="s">
        <v>177</v>
      </c>
      <c r="J18" s="414" t="s">
        <v>178</v>
      </c>
      <c r="K18" s="399" t="s">
        <v>179</v>
      </c>
      <c r="L18" s="399" t="s">
        <v>180</v>
      </c>
      <c r="M18" s="422" t="s">
        <v>181</v>
      </c>
      <c r="N18" s="401"/>
    </row>
    <row r="19" ht="46.5" spans="1:14">
      <c r="A19" s="28" t="s">
        <v>140</v>
      </c>
      <c r="B19" s="28" t="s">
        <v>182</v>
      </c>
      <c r="C19" s="28" t="s">
        <v>183</v>
      </c>
      <c r="D19" s="28" t="s">
        <v>182</v>
      </c>
      <c r="E19" s="28" t="s">
        <v>184</v>
      </c>
      <c r="F19" s="28">
        <v>0</v>
      </c>
      <c r="G19" s="28">
        <v>1</v>
      </c>
      <c r="H19" s="28">
        <v>1</v>
      </c>
      <c r="I19" s="399" t="s">
        <v>94</v>
      </c>
      <c r="J19" s="414" t="s">
        <v>185</v>
      </c>
      <c r="K19" s="399" t="s">
        <v>186</v>
      </c>
      <c r="L19" s="399" t="s">
        <v>187</v>
      </c>
      <c r="M19" s="422" t="s">
        <v>188</v>
      </c>
      <c r="N19" s="401"/>
    </row>
    <row r="20" ht="46.5" spans="1:14">
      <c r="A20" s="28" t="s">
        <v>140</v>
      </c>
      <c r="B20" s="28" t="s">
        <v>189</v>
      </c>
      <c r="C20" s="28" t="s">
        <v>190</v>
      </c>
      <c r="D20" s="28" t="s">
        <v>191</v>
      </c>
      <c r="E20" s="28" t="s">
        <v>192</v>
      </c>
      <c r="F20" s="419">
        <v>0</v>
      </c>
      <c r="G20" s="419">
        <v>0.5</v>
      </c>
      <c r="H20" s="419">
        <v>0.01</v>
      </c>
      <c r="I20" s="399" t="s">
        <v>193</v>
      </c>
      <c r="J20" s="414" t="s">
        <v>194</v>
      </c>
      <c r="K20" s="399" t="s">
        <v>195</v>
      </c>
      <c r="L20" s="399" t="s">
        <v>196</v>
      </c>
      <c r="M20" s="422" t="s">
        <v>197</v>
      </c>
    </row>
    <row r="21" ht="41.65" spans="1:14">
      <c r="A21" s="28" t="s">
        <v>140</v>
      </c>
      <c r="B21" s="28" t="s">
        <v>198</v>
      </c>
      <c r="C21" s="28" t="s">
        <v>199</v>
      </c>
      <c r="D21" s="28" t="s">
        <v>198</v>
      </c>
      <c r="E21" s="28" t="s">
        <v>200</v>
      </c>
      <c r="F21" s="28">
        <v>0</v>
      </c>
      <c r="G21" s="28">
        <v>1</v>
      </c>
      <c r="H21" s="28">
        <v>1</v>
      </c>
      <c r="I21" s="399" t="s">
        <v>94</v>
      </c>
      <c r="J21" s="414" t="s">
        <v>201</v>
      </c>
      <c r="K21" s="399" t="s">
        <v>202</v>
      </c>
      <c r="L21" s="399" t="s">
        <v>203</v>
      </c>
    </row>
    <row r="22" ht="27.75" spans="1:14">
      <c r="A22" s="28" t="s">
        <v>204</v>
      </c>
      <c r="B22" s="28" t="s">
        <v>205</v>
      </c>
      <c r="C22" s="28" t="s">
        <v>206</v>
      </c>
      <c r="D22" s="28" t="s">
        <v>205</v>
      </c>
      <c r="E22" s="28" t="s">
        <v>207</v>
      </c>
      <c r="F22" s="28">
        <v>0</v>
      </c>
      <c r="G22" s="28">
        <v>1</v>
      </c>
      <c r="H22" s="28">
        <v>1</v>
      </c>
      <c r="I22" s="399" t="s">
        <v>94</v>
      </c>
      <c r="J22" s="414" t="s">
        <v>208</v>
      </c>
      <c r="K22" s="399" t="s">
        <v>209</v>
      </c>
      <c r="L22" s="399" t="s">
        <v>210</v>
      </c>
    </row>
    <row r="23" ht="58.15" spans="1:14">
      <c r="A23" s="28" t="s">
        <v>204</v>
      </c>
      <c r="B23" s="28" t="s">
        <v>211</v>
      </c>
      <c r="C23" s="28" t="s">
        <v>212</v>
      </c>
      <c r="D23" s="399" t="s">
        <v>213</v>
      </c>
      <c r="E23" s="28" t="s">
        <v>214</v>
      </c>
      <c r="F23" s="419">
        <v>0</v>
      </c>
      <c r="G23" s="419">
        <v>1</v>
      </c>
      <c r="H23" s="419">
        <v>0.01</v>
      </c>
      <c r="I23" s="399" t="s">
        <v>215</v>
      </c>
      <c r="J23" s="414" t="s">
        <v>216</v>
      </c>
      <c r="K23" s="399" t="s">
        <v>217</v>
      </c>
      <c r="L23" s="399" t="s">
        <v>218</v>
      </c>
    </row>
    <row r="24" ht="104.65" spans="1:14">
      <c r="A24" s="28" t="s">
        <v>204</v>
      </c>
      <c r="B24" s="399" t="s">
        <v>219</v>
      </c>
      <c r="C24" s="28" t="s">
        <v>220</v>
      </c>
      <c r="D24" s="399" t="s">
        <v>219</v>
      </c>
      <c r="E24" s="28" t="s">
        <v>221</v>
      </c>
      <c r="F24" s="419">
        <v>0</v>
      </c>
      <c r="G24" s="413">
        <v>1</v>
      </c>
      <c r="H24" s="413">
        <v>0.01</v>
      </c>
      <c r="I24" s="399" t="s">
        <v>222</v>
      </c>
      <c r="J24" s="417" t="s">
        <v>223</v>
      </c>
      <c r="K24" s="399" t="s">
        <v>224</v>
      </c>
      <c r="L24" s="399" t="s">
        <v>225</v>
      </c>
      <c r="M24" s="422" t="s">
        <v>226</v>
      </c>
    </row>
    <row r="25" ht="69.75" spans="1:14">
      <c r="A25" s="28" t="s">
        <v>204</v>
      </c>
      <c r="B25" s="28" t="s">
        <v>227</v>
      </c>
      <c r="C25" s="28" t="s">
        <v>228</v>
      </c>
      <c r="D25" s="28" t="s">
        <v>229</v>
      </c>
      <c r="E25" s="28" t="s">
        <v>230</v>
      </c>
      <c r="F25" s="413">
        <v>-0.5</v>
      </c>
      <c r="G25" s="413">
        <v>1</v>
      </c>
      <c r="H25" s="413">
        <v>0.02</v>
      </c>
      <c r="I25" s="399" t="s">
        <v>231</v>
      </c>
      <c r="J25" s="417" t="s">
        <v>232</v>
      </c>
      <c r="K25" s="399" t="s">
        <v>233</v>
      </c>
      <c r="L25" s="399" t="s">
        <v>234</v>
      </c>
      <c r="M25" s="422" t="s">
        <v>235</v>
      </c>
    </row>
    <row r="26" ht="46.5" spans="1:14">
      <c r="A26" s="28" t="s">
        <v>204</v>
      </c>
      <c r="B26" s="28" t="s">
        <v>236</v>
      </c>
      <c r="C26" s="28" t="s">
        <v>237</v>
      </c>
      <c r="D26" s="28" t="s">
        <v>229</v>
      </c>
      <c r="E26" s="28" t="s">
        <v>238</v>
      </c>
      <c r="F26" s="413">
        <v>-0.5</v>
      </c>
      <c r="G26" s="413">
        <v>1</v>
      </c>
      <c r="H26" s="413">
        <v>0.02</v>
      </c>
      <c r="I26" s="399" t="s">
        <v>239</v>
      </c>
      <c r="J26" s="417" t="s">
        <v>240</v>
      </c>
      <c r="K26" s="399" t="s">
        <v>241</v>
      </c>
      <c r="L26" s="399" t="s">
        <v>234</v>
      </c>
      <c r="M26" s="422" t="s">
        <v>235</v>
      </c>
    </row>
    <row r="27" ht="46.5" spans="1:14">
      <c r="A27" s="28" t="s">
        <v>204</v>
      </c>
      <c r="B27" s="28" t="s">
        <v>242</v>
      </c>
      <c r="C27" s="28" t="s">
        <v>243</v>
      </c>
      <c r="D27" s="28" t="s">
        <v>242</v>
      </c>
      <c r="E27" s="28" t="s">
        <v>244</v>
      </c>
      <c r="F27" s="28">
        <v>0</v>
      </c>
      <c r="G27" s="28">
        <v>1</v>
      </c>
      <c r="H27" s="28">
        <v>1</v>
      </c>
      <c r="I27" s="399" t="s">
        <v>94</v>
      </c>
      <c r="J27" s="417" t="s">
        <v>245</v>
      </c>
    </row>
    <row r="28" ht="58.15" spans="1:14">
      <c r="A28" s="28" t="s">
        <v>204</v>
      </c>
      <c r="B28" s="28" t="s">
        <v>246</v>
      </c>
      <c r="C28" s="28" t="s">
        <v>247</v>
      </c>
      <c r="D28" s="28" t="s">
        <v>246</v>
      </c>
      <c r="E28" s="28" t="s">
        <v>248</v>
      </c>
      <c r="F28" s="419">
        <v>0</v>
      </c>
      <c r="G28" s="413">
        <v>1</v>
      </c>
      <c r="H28" s="413">
        <v>0.01</v>
      </c>
      <c r="I28" s="399" t="s">
        <v>249</v>
      </c>
      <c r="J28" s="417" t="s">
        <v>250</v>
      </c>
      <c r="K28" s="399" t="s">
        <v>251</v>
      </c>
      <c r="L28" s="399" t="s">
        <v>252</v>
      </c>
      <c r="M28" s="422" t="s">
        <v>197</v>
      </c>
    </row>
    <row r="29" ht="55.5" spans="1:14">
      <c r="A29" s="28" t="s">
        <v>204</v>
      </c>
      <c r="B29" s="28" t="s">
        <v>253</v>
      </c>
      <c r="C29" s="28" t="s">
        <v>254</v>
      </c>
      <c r="D29" s="28" t="s">
        <v>253</v>
      </c>
      <c r="E29" s="28" t="s">
        <v>255</v>
      </c>
      <c r="F29" s="89">
        <v>0</v>
      </c>
      <c r="G29" s="89">
        <v>25000</v>
      </c>
      <c r="H29" s="89">
        <v>500</v>
      </c>
      <c r="I29" s="399" t="s">
        <v>256</v>
      </c>
      <c r="J29" s="417" t="s">
        <v>257</v>
      </c>
      <c r="K29" s="399" t="s">
        <v>258</v>
      </c>
      <c r="L29" s="399" t="s">
        <v>259</v>
      </c>
      <c r="M29" s="422" t="s">
        <v>260</v>
      </c>
      <c r="N29" s="399" t="s">
        <v>261</v>
      </c>
    </row>
    <row r="30" ht="41.65" spans="1:14">
      <c r="A30" s="28" t="s">
        <v>204</v>
      </c>
      <c r="B30" s="28" t="s">
        <v>262</v>
      </c>
      <c r="C30" s="28" t="s">
        <v>263</v>
      </c>
      <c r="D30" s="28" t="s">
        <v>262</v>
      </c>
      <c r="E30" s="28" t="s">
        <v>264</v>
      </c>
      <c r="F30" s="419">
        <v>0</v>
      </c>
      <c r="G30" s="419">
        <v>1</v>
      </c>
      <c r="H30" s="419">
        <v>0.01</v>
      </c>
      <c r="I30" s="399" t="s">
        <v>249</v>
      </c>
      <c r="J30" s="417" t="s">
        <v>265</v>
      </c>
      <c r="K30" s="399" t="s">
        <v>266</v>
      </c>
      <c r="L30" s="399" t="s">
        <v>267</v>
      </c>
      <c r="M30" s="422" t="s">
        <v>268</v>
      </c>
      <c r="N30" s="399"/>
    </row>
    <row r="31" ht="58.15" spans="1:14">
      <c r="A31" s="28" t="s">
        <v>204</v>
      </c>
      <c r="B31" s="28" t="s">
        <v>269</v>
      </c>
      <c r="C31" s="28" t="s">
        <v>270</v>
      </c>
      <c r="D31" s="28" t="s">
        <v>269</v>
      </c>
      <c r="E31" s="28" t="s">
        <v>271</v>
      </c>
      <c r="F31" s="419">
        <v>0</v>
      </c>
      <c r="G31" s="419">
        <f>ROUND(MaxBoundCalculations!B181,2)</f>
        <v>1.13</v>
      </c>
      <c r="H31" s="419">
        <v>0.01</v>
      </c>
      <c r="I31" s="399" t="s">
        <v>272</v>
      </c>
      <c r="J31" s="417" t="s">
        <v>273</v>
      </c>
      <c r="K31" s="399" t="s">
        <v>274</v>
      </c>
      <c r="L31" s="399" t="s">
        <v>275</v>
      </c>
      <c r="M31" s="422" t="s">
        <v>276</v>
      </c>
      <c r="N31" s="399" t="s">
        <v>277</v>
      </c>
    </row>
    <row r="32" ht="46.5" spans="1:14">
      <c r="A32" s="28" t="s">
        <v>204</v>
      </c>
      <c r="B32" s="28" t="s">
        <v>278</v>
      </c>
      <c r="C32" s="28" t="s">
        <v>279</v>
      </c>
      <c r="D32" s="28" t="s">
        <v>278</v>
      </c>
      <c r="E32" s="342"/>
      <c r="F32" s="28">
        <v>0</v>
      </c>
      <c r="G32" s="28">
        <v>1</v>
      </c>
      <c r="H32" s="28">
        <v>1</v>
      </c>
      <c r="I32" s="399" t="s">
        <v>94</v>
      </c>
      <c r="J32" s="414" t="s">
        <v>280</v>
      </c>
    </row>
    <row r="33" ht="58.15" spans="1:14">
      <c r="A33" s="28" t="s">
        <v>204</v>
      </c>
      <c r="B33" s="28" t="s">
        <v>281</v>
      </c>
      <c r="C33" s="28" t="s">
        <v>282</v>
      </c>
      <c r="D33" s="28" t="s">
        <v>281</v>
      </c>
      <c r="E33" s="342"/>
      <c r="F33" s="28">
        <v>0</v>
      </c>
      <c r="G33" s="28">
        <v>1</v>
      </c>
      <c r="H33" s="28">
        <v>1</v>
      </c>
      <c r="I33" s="399" t="s">
        <v>94</v>
      </c>
      <c r="J33" s="417" t="s">
        <v>283</v>
      </c>
    </row>
    <row r="34" ht="46.5" spans="1:14">
      <c r="A34" s="28" t="s">
        <v>204</v>
      </c>
      <c r="B34" s="28" t="s">
        <v>284</v>
      </c>
      <c r="C34" s="28" t="s">
        <v>285</v>
      </c>
      <c r="D34" s="28" t="s">
        <v>284</v>
      </c>
      <c r="E34" s="28" t="s">
        <v>286</v>
      </c>
      <c r="F34" s="28">
        <v>0</v>
      </c>
      <c r="G34" s="28">
        <v>1</v>
      </c>
      <c r="H34" s="28">
        <v>1</v>
      </c>
      <c r="I34" s="399" t="s">
        <v>94</v>
      </c>
      <c r="J34" s="417" t="s">
        <v>287</v>
      </c>
    </row>
    <row r="35" ht="41.65" spans="1:14">
      <c r="A35" s="28" t="s">
        <v>204</v>
      </c>
      <c r="B35" s="28" t="s">
        <v>288</v>
      </c>
      <c r="C35" s="28" t="s">
        <v>289</v>
      </c>
      <c r="D35" s="28" t="s">
        <v>290</v>
      </c>
      <c r="E35" s="342"/>
      <c r="F35" s="426">
        <v>0</v>
      </c>
      <c r="G35" s="28">
        <v>20</v>
      </c>
      <c r="H35" s="28">
        <v>1</v>
      </c>
      <c r="I35" s="399" t="s">
        <v>291</v>
      </c>
      <c r="J35" s="414" t="s">
        <v>292</v>
      </c>
      <c r="K35" s="399" t="s">
        <v>293</v>
      </c>
      <c r="L35" s="399" t="s">
        <v>294</v>
      </c>
      <c r="M35" s="422" t="s">
        <v>295</v>
      </c>
      <c r="N35" s="399" t="s">
        <v>295</v>
      </c>
    </row>
    <row r="36" ht="162.75" spans="1:14">
      <c r="A36" s="28" t="s">
        <v>204</v>
      </c>
      <c r="B36" s="28" t="s">
        <v>296</v>
      </c>
      <c r="C36" s="28" t="s">
        <v>297</v>
      </c>
      <c r="D36" s="28" t="s">
        <v>296</v>
      </c>
      <c r="E36" s="28" t="s">
        <v>298</v>
      </c>
      <c r="F36" s="413">
        <v>0</v>
      </c>
      <c r="G36" s="413">
        <v>0.6</v>
      </c>
      <c r="H36" s="413">
        <v>0.01</v>
      </c>
      <c r="I36" s="399" t="s">
        <v>299</v>
      </c>
      <c r="J36" s="414" t="s">
        <v>300</v>
      </c>
      <c r="K36" s="399" t="s">
        <v>301</v>
      </c>
      <c r="L36" s="399" t="s">
        <v>302</v>
      </c>
      <c r="M36" s="422" t="s">
        <v>303</v>
      </c>
    </row>
    <row r="37" ht="46.5" spans="1:14">
      <c r="A37" s="28" t="s">
        <v>204</v>
      </c>
      <c r="B37" s="377" t="s">
        <v>304</v>
      </c>
      <c r="C37" s="28" t="s">
        <v>305</v>
      </c>
      <c r="D37" s="377" t="s">
        <v>304</v>
      </c>
      <c r="E37" s="28" t="s">
        <v>306</v>
      </c>
      <c r="F37" s="413">
        <v>0</v>
      </c>
      <c r="G37" s="413">
        <v>0.9</v>
      </c>
      <c r="H37" s="413">
        <v>0.01</v>
      </c>
      <c r="I37" s="399" t="s">
        <v>307</v>
      </c>
      <c r="J37" s="414" t="s">
        <v>308</v>
      </c>
      <c r="K37" s="399" t="s">
        <v>309</v>
      </c>
      <c r="L37" s="399" t="s">
        <v>310</v>
      </c>
    </row>
    <row r="38" ht="46.5" spans="1:14">
      <c r="A38" s="28" t="s">
        <v>204</v>
      </c>
      <c r="B38" s="28" t="s">
        <v>311</v>
      </c>
      <c r="C38" s="28" t="s">
        <v>312</v>
      </c>
      <c r="D38" s="28" t="s">
        <v>313</v>
      </c>
      <c r="E38" s="28" t="s">
        <v>314</v>
      </c>
      <c r="F38" s="413">
        <v>0</v>
      </c>
      <c r="G38" s="413">
        <v>0.4</v>
      </c>
      <c r="H38" s="413">
        <v>0.01</v>
      </c>
      <c r="I38" s="399" t="s">
        <v>315</v>
      </c>
      <c r="J38" s="417" t="s">
        <v>316</v>
      </c>
      <c r="K38" s="399" t="s">
        <v>317</v>
      </c>
      <c r="L38" s="399" t="s">
        <v>318</v>
      </c>
      <c r="M38" s="422" t="s">
        <v>319</v>
      </c>
    </row>
    <row r="39" ht="41.65" spans="1:14">
      <c r="A39" s="28" t="s">
        <v>204</v>
      </c>
      <c r="B39" s="28" t="s">
        <v>320</v>
      </c>
      <c r="C39" s="28" t="s">
        <v>321</v>
      </c>
      <c r="D39" s="28" t="s">
        <v>320</v>
      </c>
      <c r="E39" s="28" t="s">
        <v>322</v>
      </c>
      <c r="F39" s="413">
        <v>0</v>
      </c>
      <c r="G39" s="413">
        <v>0.95</v>
      </c>
      <c r="H39" s="413">
        <v>0.01</v>
      </c>
      <c r="I39" s="399" t="s">
        <v>323</v>
      </c>
      <c r="J39" s="414" t="s">
        <v>324</v>
      </c>
      <c r="K39" s="399" t="s">
        <v>325</v>
      </c>
      <c r="L39" s="399"/>
      <c r="M39" s="422" t="s">
        <v>326</v>
      </c>
    </row>
    <row r="40" ht="41.65" spans="1:14">
      <c r="A40" s="28" t="s">
        <v>204</v>
      </c>
      <c r="B40" s="28" t="s">
        <v>327</v>
      </c>
      <c r="C40" s="28" t="s">
        <v>328</v>
      </c>
      <c r="D40" s="28" t="s">
        <v>327</v>
      </c>
      <c r="E40" s="28" t="s">
        <v>329</v>
      </c>
      <c r="F40" s="28">
        <v>0</v>
      </c>
      <c r="G40" s="28">
        <v>60</v>
      </c>
      <c r="H40" s="28">
        <v>1</v>
      </c>
      <c r="I40" s="342" t="str">
        <f>UnitControlCenter!$B$48</f>
        <v>2020 RMB / MWh</v>
      </c>
      <c r="J40" s="414" t="s">
        <v>330</v>
      </c>
      <c r="K40" s="399" t="s">
        <v>325</v>
      </c>
      <c r="L40" s="399" t="s">
        <v>331</v>
      </c>
      <c r="M40" s="422" t="s">
        <v>332</v>
      </c>
    </row>
    <row r="41" ht="104.65" spans="1:14">
      <c r="A41" s="28" t="s">
        <v>333</v>
      </c>
      <c r="B41" s="28" t="s">
        <v>334</v>
      </c>
      <c r="C41" s="28" t="s">
        <v>335</v>
      </c>
      <c r="D41" s="28" t="s">
        <v>334</v>
      </c>
      <c r="E41" s="28" t="s">
        <v>336</v>
      </c>
      <c r="F41" s="413">
        <v>0</v>
      </c>
      <c r="G41" s="413">
        <v>0.5</v>
      </c>
      <c r="H41" s="413">
        <v>0.01</v>
      </c>
      <c r="I41" s="399" t="s">
        <v>337</v>
      </c>
      <c r="J41" s="414" t="s">
        <v>338</v>
      </c>
    </row>
    <row r="42" ht="58.15" spans="1:14">
      <c r="A42" s="28" t="s">
        <v>333</v>
      </c>
      <c r="B42" s="28" t="s">
        <v>211</v>
      </c>
      <c r="C42" s="28" t="s">
        <v>339</v>
      </c>
      <c r="D42" s="28" t="s">
        <v>340</v>
      </c>
      <c r="E42" s="28" t="s">
        <v>341</v>
      </c>
      <c r="F42" s="419">
        <v>0</v>
      </c>
      <c r="G42" s="413">
        <v>1</v>
      </c>
      <c r="H42" s="413">
        <v>0.01</v>
      </c>
      <c r="I42" s="399" t="s">
        <v>215</v>
      </c>
      <c r="J42" s="414" t="s">
        <v>216</v>
      </c>
      <c r="K42" s="399" t="s">
        <v>217</v>
      </c>
      <c r="L42" s="399" t="s">
        <v>218</v>
      </c>
    </row>
    <row r="43" ht="34.9" spans="1:14">
      <c r="A43" s="28" t="s">
        <v>333</v>
      </c>
      <c r="B43" s="28" t="s">
        <v>342</v>
      </c>
      <c r="C43" s="28" t="s">
        <v>343</v>
      </c>
      <c r="D43" s="28" t="s">
        <v>342</v>
      </c>
      <c r="E43" s="28" t="s">
        <v>344</v>
      </c>
      <c r="F43" s="419">
        <v>0</v>
      </c>
      <c r="G43" s="413">
        <v>1</v>
      </c>
      <c r="H43" s="413">
        <v>0.01</v>
      </c>
      <c r="I43" s="399" t="s">
        <v>249</v>
      </c>
      <c r="J43" s="417" t="s">
        <v>345</v>
      </c>
      <c r="K43" s="399" t="s">
        <v>346</v>
      </c>
      <c r="L43" s="399" t="s">
        <v>347</v>
      </c>
      <c r="M43" s="422" t="s">
        <v>348</v>
      </c>
    </row>
    <row r="44" ht="55.5" spans="1:14">
      <c r="A44" s="28" t="s">
        <v>333</v>
      </c>
      <c r="B44" s="28" t="s">
        <v>349</v>
      </c>
      <c r="C44" s="28" t="s">
        <v>350</v>
      </c>
      <c r="D44" s="28" t="s">
        <v>349</v>
      </c>
      <c r="E44" s="28" t="s">
        <v>351</v>
      </c>
      <c r="F44" s="419">
        <v>0</v>
      </c>
      <c r="G44" s="413">
        <v>1</v>
      </c>
      <c r="H44" s="413">
        <v>0.01</v>
      </c>
      <c r="I44" s="399" t="s">
        <v>249</v>
      </c>
      <c r="J44" s="417" t="s">
        <v>352</v>
      </c>
      <c r="K44" s="399" t="s">
        <v>353</v>
      </c>
      <c r="L44" s="399" t="s">
        <v>354</v>
      </c>
      <c r="M44" s="422" t="s">
        <v>197</v>
      </c>
    </row>
    <row r="45" ht="58.15" spans="1:14">
      <c r="A45" s="28" t="s">
        <v>333</v>
      </c>
      <c r="B45" s="28" t="s">
        <v>355</v>
      </c>
      <c r="C45" s="28" t="s">
        <v>356</v>
      </c>
      <c r="D45" s="28" t="s">
        <v>355</v>
      </c>
      <c r="E45" s="28" t="s">
        <v>357</v>
      </c>
      <c r="F45" s="419">
        <v>0</v>
      </c>
      <c r="G45" s="413">
        <v>1</v>
      </c>
      <c r="H45" s="413">
        <v>0.01</v>
      </c>
      <c r="I45" s="399" t="s">
        <v>249</v>
      </c>
      <c r="J45" s="417" t="s">
        <v>358</v>
      </c>
      <c r="K45" s="399" t="s">
        <v>359</v>
      </c>
      <c r="L45" s="399" t="s">
        <v>360</v>
      </c>
      <c r="M45" s="422" t="s">
        <v>197</v>
      </c>
    </row>
    <row r="46" ht="69.75" spans="1:14">
      <c r="A46" s="28" t="s">
        <v>333</v>
      </c>
      <c r="B46" s="28" t="s">
        <v>361</v>
      </c>
      <c r="C46" s="28" t="s">
        <v>362</v>
      </c>
      <c r="D46" s="28" t="s">
        <v>361</v>
      </c>
      <c r="E46" s="28" t="s">
        <v>363</v>
      </c>
      <c r="F46" s="413">
        <v>0</v>
      </c>
      <c r="G46" s="413">
        <v>0.25</v>
      </c>
      <c r="H46" s="413">
        <v>0.01</v>
      </c>
      <c r="I46" s="399" t="s">
        <v>152</v>
      </c>
      <c r="J46" s="417" t="s">
        <v>364</v>
      </c>
      <c r="K46" s="399" t="s">
        <v>365</v>
      </c>
      <c r="L46" s="399" t="s">
        <v>366</v>
      </c>
      <c r="M46" s="422" t="s">
        <v>367</v>
      </c>
      <c r="N46" s="399" t="s">
        <v>367</v>
      </c>
    </row>
    <row r="47" ht="41.65" spans="1:14">
      <c r="A47" s="28" t="s">
        <v>333</v>
      </c>
      <c r="B47" s="28" t="s">
        <v>368</v>
      </c>
      <c r="C47" s="28" t="s">
        <v>369</v>
      </c>
      <c r="D47" s="28" t="s">
        <v>368</v>
      </c>
      <c r="E47" s="28" t="s">
        <v>370</v>
      </c>
      <c r="F47" s="419">
        <v>0</v>
      </c>
      <c r="G47" s="413">
        <v>1</v>
      </c>
      <c r="H47" s="413">
        <v>0.01</v>
      </c>
      <c r="I47" s="399" t="s">
        <v>249</v>
      </c>
      <c r="J47" s="417" t="s">
        <v>371</v>
      </c>
      <c r="K47" s="399" t="s">
        <v>372</v>
      </c>
      <c r="L47" s="399" t="s">
        <v>373</v>
      </c>
      <c r="M47" s="422" t="s">
        <v>197</v>
      </c>
    </row>
    <row r="48" ht="139.5" spans="1:14">
      <c r="A48" s="28" t="s">
        <v>333</v>
      </c>
      <c r="B48" s="28" t="s">
        <v>374</v>
      </c>
      <c r="C48" s="28" t="s">
        <v>375</v>
      </c>
      <c r="D48" s="28" t="s">
        <v>376</v>
      </c>
      <c r="E48" s="28" t="s">
        <v>377</v>
      </c>
      <c r="F48" s="419">
        <v>0</v>
      </c>
      <c r="G48" s="419">
        <v>1</v>
      </c>
      <c r="H48" s="413">
        <v>0.01</v>
      </c>
      <c r="I48" s="399" t="s">
        <v>378</v>
      </c>
      <c r="J48" s="417" t="s">
        <v>379</v>
      </c>
      <c r="K48" s="399" t="s">
        <v>380</v>
      </c>
      <c r="L48" s="399" t="s">
        <v>381</v>
      </c>
      <c r="M48" s="422"/>
    </row>
    <row r="49" ht="139.5" spans="1:14">
      <c r="A49" s="28" t="s">
        <v>333</v>
      </c>
      <c r="B49" s="28" t="s">
        <v>382</v>
      </c>
      <c r="C49" s="28" t="s">
        <v>383</v>
      </c>
      <c r="D49" s="28" t="s">
        <v>376</v>
      </c>
      <c r="E49" s="28" t="s">
        <v>384</v>
      </c>
      <c r="F49" s="419">
        <v>0</v>
      </c>
      <c r="G49" s="419">
        <v>1</v>
      </c>
      <c r="H49" s="413">
        <v>0.01</v>
      </c>
      <c r="I49" s="399" t="s">
        <v>378</v>
      </c>
      <c r="J49" s="417" t="s">
        <v>385</v>
      </c>
      <c r="K49" s="399" t="s">
        <v>380</v>
      </c>
      <c r="L49" s="399" t="s">
        <v>381</v>
      </c>
      <c r="M49" s="422"/>
    </row>
    <row r="50" ht="41.65" spans="1:14">
      <c r="A50" s="28" t="s">
        <v>333</v>
      </c>
      <c r="B50" s="28" t="s">
        <v>386</v>
      </c>
      <c r="C50" s="28" t="s">
        <v>387</v>
      </c>
      <c r="D50" s="28" t="s">
        <v>388</v>
      </c>
      <c r="E50" s="28" t="s">
        <v>389</v>
      </c>
      <c r="F50" s="419">
        <v>0</v>
      </c>
      <c r="G50" s="413">
        <v>1</v>
      </c>
      <c r="H50" s="413">
        <v>0.01</v>
      </c>
      <c r="I50" s="399" t="s">
        <v>249</v>
      </c>
      <c r="J50" s="414" t="s">
        <v>390</v>
      </c>
      <c r="K50" s="399" t="s">
        <v>391</v>
      </c>
      <c r="L50" s="399" t="s">
        <v>392</v>
      </c>
      <c r="M50" s="422" t="s">
        <v>197</v>
      </c>
    </row>
    <row r="51" ht="46.5" spans="1:14">
      <c r="A51" s="28" t="s">
        <v>333</v>
      </c>
      <c r="B51" s="28" t="s">
        <v>393</v>
      </c>
      <c r="C51" s="28" t="s">
        <v>394</v>
      </c>
      <c r="D51" s="28" t="s">
        <v>388</v>
      </c>
      <c r="E51" s="28" t="s">
        <v>395</v>
      </c>
      <c r="F51" s="419">
        <v>0</v>
      </c>
      <c r="G51" s="413">
        <v>1</v>
      </c>
      <c r="H51" s="413">
        <v>0.01</v>
      </c>
      <c r="I51" s="399" t="s">
        <v>249</v>
      </c>
      <c r="J51" s="414" t="s">
        <v>396</v>
      </c>
      <c r="K51" s="399" t="s">
        <v>391</v>
      </c>
      <c r="L51" s="399" t="s">
        <v>392</v>
      </c>
      <c r="M51" s="422"/>
    </row>
    <row r="52" ht="46.5" spans="1:14">
      <c r="A52" s="28" t="s">
        <v>333</v>
      </c>
      <c r="B52" s="28" t="s">
        <v>397</v>
      </c>
      <c r="C52" s="28" t="s">
        <v>398</v>
      </c>
      <c r="D52" s="28" t="s">
        <v>388</v>
      </c>
      <c r="E52" s="28" t="s">
        <v>399</v>
      </c>
      <c r="F52" s="419">
        <v>0</v>
      </c>
      <c r="G52" s="413">
        <v>1</v>
      </c>
      <c r="H52" s="413">
        <v>0.01</v>
      </c>
      <c r="I52" s="399" t="s">
        <v>249</v>
      </c>
      <c r="J52" s="414" t="s">
        <v>400</v>
      </c>
      <c r="K52" s="399" t="s">
        <v>391</v>
      </c>
      <c r="L52" s="399" t="s">
        <v>392</v>
      </c>
      <c r="M52" s="422"/>
    </row>
    <row r="53" ht="46.5" spans="1:14">
      <c r="A53" s="28" t="s">
        <v>333</v>
      </c>
      <c r="B53" s="28" t="s">
        <v>401</v>
      </c>
      <c r="C53" s="28" t="s">
        <v>402</v>
      </c>
      <c r="D53" s="28" t="s">
        <v>388</v>
      </c>
      <c r="E53" s="28" t="s">
        <v>403</v>
      </c>
      <c r="F53" s="419">
        <v>0</v>
      </c>
      <c r="G53" s="413">
        <v>1</v>
      </c>
      <c r="H53" s="413">
        <v>0.01</v>
      </c>
      <c r="I53" s="399" t="s">
        <v>249</v>
      </c>
      <c r="J53" s="414" t="s">
        <v>400</v>
      </c>
      <c r="K53" s="399" t="s">
        <v>391</v>
      </c>
      <c r="L53" s="399" t="s">
        <v>392</v>
      </c>
      <c r="M53" s="422"/>
    </row>
    <row r="54" ht="151.15" spans="1:14">
      <c r="A54" s="28" t="s">
        <v>333</v>
      </c>
      <c r="B54" s="28" t="s">
        <v>404</v>
      </c>
      <c r="C54" s="28" t="s">
        <v>405</v>
      </c>
      <c r="D54" s="28" t="s">
        <v>404</v>
      </c>
      <c r="E54" s="28" t="s">
        <v>406</v>
      </c>
      <c r="F54" s="419">
        <v>0</v>
      </c>
      <c r="G54" s="413">
        <v>1</v>
      </c>
      <c r="H54" s="413">
        <v>0.01</v>
      </c>
      <c r="I54" s="399" t="s">
        <v>407</v>
      </c>
      <c r="J54" s="414" t="s">
        <v>408</v>
      </c>
      <c r="K54" s="399"/>
      <c r="L54" s="399" t="s">
        <v>409</v>
      </c>
      <c r="M54" s="422" t="s">
        <v>410</v>
      </c>
    </row>
    <row r="55" ht="93" spans="1:14">
      <c r="A55" s="28" t="s">
        <v>333</v>
      </c>
      <c r="B55" s="28" t="s">
        <v>411</v>
      </c>
      <c r="C55" s="28" t="s">
        <v>412</v>
      </c>
      <c r="D55" s="377" t="s">
        <v>413</v>
      </c>
      <c r="E55" s="28" t="s">
        <v>414</v>
      </c>
      <c r="F55" s="419">
        <v>0</v>
      </c>
      <c r="G55" s="413">
        <v>1</v>
      </c>
      <c r="H55" s="413">
        <v>0.01</v>
      </c>
      <c r="I55" s="399" t="s">
        <v>249</v>
      </c>
      <c r="J55" s="417" t="s">
        <v>415</v>
      </c>
      <c r="K55" s="399" t="s">
        <v>416</v>
      </c>
      <c r="L55" s="399" t="s">
        <v>417</v>
      </c>
      <c r="M55" s="422"/>
    </row>
    <row r="56" ht="55.5" spans="1:14">
      <c r="A56" s="28" t="s">
        <v>333</v>
      </c>
      <c r="B56" s="28" t="s">
        <v>418</v>
      </c>
      <c r="C56" s="28" t="s">
        <v>419</v>
      </c>
      <c r="D56" s="377" t="s">
        <v>413</v>
      </c>
      <c r="E56" s="28" t="s">
        <v>420</v>
      </c>
      <c r="F56" s="419">
        <v>0</v>
      </c>
      <c r="G56" s="413">
        <v>1</v>
      </c>
      <c r="H56" s="413">
        <v>0.01</v>
      </c>
      <c r="I56" s="399" t="s">
        <v>249</v>
      </c>
      <c r="J56" s="414" t="s">
        <v>421</v>
      </c>
      <c r="K56" s="399" t="s">
        <v>422</v>
      </c>
      <c r="L56" s="399" t="s">
        <v>423</v>
      </c>
      <c r="M56" s="422"/>
    </row>
    <row r="57" ht="27.75" spans="1:14">
      <c r="A57" s="28" t="s">
        <v>333</v>
      </c>
      <c r="B57" s="28" t="s">
        <v>424</v>
      </c>
      <c r="C57" s="28" t="s">
        <v>425</v>
      </c>
      <c r="D57" s="28" t="s">
        <v>424</v>
      </c>
      <c r="E57" s="28" t="s">
        <v>426</v>
      </c>
      <c r="F57" s="419">
        <v>0</v>
      </c>
      <c r="G57" s="413">
        <v>1</v>
      </c>
      <c r="H57" s="413">
        <v>0.01</v>
      </c>
      <c r="I57" s="399" t="s">
        <v>249</v>
      </c>
      <c r="J57" s="414" t="s">
        <v>427</v>
      </c>
      <c r="K57" s="399"/>
      <c r="L57" s="399"/>
      <c r="M57" s="422"/>
    </row>
    <row r="58" ht="58.15" spans="1:14">
      <c r="A58" s="28" t="s">
        <v>333</v>
      </c>
      <c r="B58" s="28" t="s">
        <v>428</v>
      </c>
      <c r="C58" s="28" t="s">
        <v>429</v>
      </c>
      <c r="D58" s="28" t="s">
        <v>429</v>
      </c>
      <c r="E58" s="28" t="s">
        <v>430</v>
      </c>
      <c r="F58" s="419">
        <v>0</v>
      </c>
      <c r="G58" s="413">
        <v>1</v>
      </c>
      <c r="H58" s="413">
        <v>0.01</v>
      </c>
      <c r="I58" s="399" t="s">
        <v>431</v>
      </c>
      <c r="J58" s="417" t="s">
        <v>432</v>
      </c>
      <c r="K58" s="399"/>
      <c r="L58" s="399" t="s">
        <v>433</v>
      </c>
      <c r="M58" s="422" t="s">
        <v>197</v>
      </c>
    </row>
    <row r="59" ht="58.15" spans="1:14">
      <c r="A59" s="28" t="s">
        <v>434</v>
      </c>
      <c r="B59" s="28" t="s">
        <v>435</v>
      </c>
      <c r="C59" s="28" t="s">
        <v>436</v>
      </c>
      <c r="D59" s="28" t="s">
        <v>435</v>
      </c>
      <c r="E59" s="28" t="s">
        <v>437</v>
      </c>
      <c r="F59" s="419">
        <v>0</v>
      </c>
      <c r="G59" s="413">
        <v>1</v>
      </c>
      <c r="H59" s="413">
        <v>0.01</v>
      </c>
      <c r="I59" s="399" t="s">
        <v>249</v>
      </c>
      <c r="J59" s="417" t="s">
        <v>438</v>
      </c>
      <c r="K59" s="399" t="s">
        <v>439</v>
      </c>
      <c r="L59" s="399" t="s">
        <v>440</v>
      </c>
      <c r="M59" s="422" t="s">
        <v>197</v>
      </c>
      <c r="N59" s="399" t="s">
        <v>441</v>
      </c>
    </row>
    <row r="60" ht="27.75" spans="1:14">
      <c r="A60" s="28" t="s">
        <v>434</v>
      </c>
      <c r="B60" s="28" t="s">
        <v>442</v>
      </c>
      <c r="C60" s="28" t="s">
        <v>443</v>
      </c>
      <c r="D60" s="28" t="s">
        <v>442</v>
      </c>
      <c r="E60" s="28" t="s">
        <v>444</v>
      </c>
      <c r="F60" s="419">
        <v>0</v>
      </c>
      <c r="G60" s="413">
        <v>1</v>
      </c>
      <c r="H60" s="413">
        <v>0.01</v>
      </c>
      <c r="I60" s="399" t="s">
        <v>249</v>
      </c>
      <c r="J60" s="417" t="s">
        <v>445</v>
      </c>
      <c r="K60" s="399" t="s">
        <v>446</v>
      </c>
      <c r="L60" s="399" t="s">
        <v>447</v>
      </c>
      <c r="M60" s="422"/>
      <c r="N60" s="399"/>
    </row>
    <row r="61" ht="27.75" spans="1:14">
      <c r="A61" s="28" t="s">
        <v>434</v>
      </c>
      <c r="B61" s="427" t="s">
        <v>448</v>
      </c>
      <c r="C61" s="28" t="s">
        <v>449</v>
      </c>
      <c r="D61" s="427" t="s">
        <v>448</v>
      </c>
      <c r="E61" s="28" t="s">
        <v>450</v>
      </c>
      <c r="F61" s="419">
        <v>0</v>
      </c>
      <c r="G61" s="413">
        <v>1</v>
      </c>
      <c r="H61" s="413">
        <v>0.01</v>
      </c>
      <c r="I61" s="399" t="s">
        <v>249</v>
      </c>
      <c r="J61" s="417" t="s">
        <v>451</v>
      </c>
      <c r="K61" s="399"/>
      <c r="L61" s="399" t="s">
        <v>452</v>
      </c>
      <c r="M61" s="422" t="s">
        <v>453</v>
      </c>
      <c r="N61" s="399"/>
    </row>
    <row r="62" ht="34.9" spans="1:14">
      <c r="A62" s="28" t="s">
        <v>434</v>
      </c>
      <c r="B62" s="28" t="s">
        <v>454</v>
      </c>
      <c r="C62" s="28" t="s">
        <v>455</v>
      </c>
      <c r="D62" s="28" t="s">
        <v>454</v>
      </c>
      <c r="E62" s="28" t="s">
        <v>456</v>
      </c>
      <c r="F62" s="419">
        <v>0</v>
      </c>
      <c r="G62" s="413">
        <v>1</v>
      </c>
      <c r="H62" s="413">
        <v>0.01</v>
      </c>
      <c r="I62" s="399" t="s">
        <v>249</v>
      </c>
      <c r="J62" s="414" t="s">
        <v>457</v>
      </c>
      <c r="K62" s="399" t="s">
        <v>458</v>
      </c>
      <c r="L62" s="399" t="s">
        <v>459</v>
      </c>
      <c r="M62" s="422" t="s">
        <v>197</v>
      </c>
      <c r="N62" s="399"/>
    </row>
    <row r="63" ht="58.15" spans="1:14">
      <c r="A63" s="28" t="s">
        <v>434</v>
      </c>
      <c r="B63" s="28" t="s">
        <v>460</v>
      </c>
      <c r="C63" s="28" t="s">
        <v>461</v>
      </c>
      <c r="D63" s="28" t="s">
        <v>460</v>
      </c>
      <c r="E63" s="28" t="s">
        <v>462</v>
      </c>
      <c r="F63" s="419">
        <v>0</v>
      </c>
      <c r="G63" s="413">
        <v>1</v>
      </c>
      <c r="H63" s="413">
        <v>0.01</v>
      </c>
      <c r="I63" s="399" t="s">
        <v>249</v>
      </c>
      <c r="J63" s="414" t="s">
        <v>463</v>
      </c>
      <c r="K63" s="399" t="s">
        <v>464</v>
      </c>
      <c r="L63" s="399" t="s">
        <v>465</v>
      </c>
      <c r="M63" s="422" t="s">
        <v>197</v>
      </c>
      <c r="N63" s="399"/>
    </row>
    <row r="64" ht="41.65" spans="1:14">
      <c r="A64" s="28" t="s">
        <v>434</v>
      </c>
      <c r="B64" s="28" t="s">
        <v>466</v>
      </c>
      <c r="C64" s="28" t="s">
        <v>467</v>
      </c>
      <c r="D64" s="28" t="s">
        <v>466</v>
      </c>
      <c r="E64" s="28" t="s">
        <v>468</v>
      </c>
      <c r="F64" s="419">
        <v>0</v>
      </c>
      <c r="G64" s="413">
        <v>1</v>
      </c>
      <c r="H64" s="413">
        <v>0.01</v>
      </c>
      <c r="I64" s="399" t="s">
        <v>249</v>
      </c>
      <c r="J64" s="414" t="s">
        <v>469</v>
      </c>
      <c r="K64" s="399"/>
      <c r="L64" s="399"/>
      <c r="M64" s="422"/>
      <c r="N64" s="399"/>
    </row>
    <row r="65" ht="41.65" spans="1:14">
      <c r="A65" s="28" t="s">
        <v>434</v>
      </c>
      <c r="B65" s="28" t="s">
        <v>470</v>
      </c>
      <c r="C65" s="28" t="s">
        <v>471</v>
      </c>
      <c r="D65" s="28" t="s">
        <v>470</v>
      </c>
      <c r="E65" s="28" t="s">
        <v>472</v>
      </c>
      <c r="F65" s="419">
        <v>0</v>
      </c>
      <c r="G65" s="413">
        <v>1</v>
      </c>
      <c r="H65" s="413">
        <v>0.01</v>
      </c>
      <c r="I65" s="399" t="s">
        <v>249</v>
      </c>
      <c r="J65" s="414" t="s">
        <v>473</v>
      </c>
      <c r="K65" s="399" t="s">
        <v>474</v>
      </c>
      <c r="L65" s="399" t="s">
        <v>475</v>
      </c>
      <c r="M65" s="422" t="s">
        <v>197</v>
      </c>
      <c r="N65" s="399"/>
    </row>
    <row r="66" ht="162.75" spans="1:14">
      <c r="A66" s="28" t="s">
        <v>434</v>
      </c>
      <c r="B66" s="28" t="s">
        <v>476</v>
      </c>
      <c r="C66" s="28" t="s">
        <v>477</v>
      </c>
      <c r="D66" s="28" t="s">
        <v>476</v>
      </c>
      <c r="E66" s="28" t="s">
        <v>478</v>
      </c>
      <c r="F66" s="419">
        <v>0</v>
      </c>
      <c r="G66" s="413">
        <v>1</v>
      </c>
      <c r="H66" s="413">
        <v>0.01</v>
      </c>
      <c r="I66" s="399" t="s">
        <v>249</v>
      </c>
      <c r="J66" s="417" t="s">
        <v>479</v>
      </c>
      <c r="K66" s="399" t="s">
        <v>480</v>
      </c>
      <c r="L66" s="399" t="s">
        <v>481</v>
      </c>
      <c r="M66" s="422" t="s">
        <v>197</v>
      </c>
      <c r="N66" s="399"/>
    </row>
    <row r="67" ht="27.75" spans="1:14">
      <c r="A67" s="28" t="s">
        <v>434</v>
      </c>
      <c r="B67" s="28" t="s">
        <v>482</v>
      </c>
      <c r="C67" s="28" t="s">
        <v>483</v>
      </c>
      <c r="D67" s="28" t="s">
        <v>482</v>
      </c>
      <c r="E67" s="28" t="s">
        <v>484</v>
      </c>
      <c r="F67" s="419">
        <v>0</v>
      </c>
      <c r="G67" s="413">
        <v>1</v>
      </c>
      <c r="H67" s="413">
        <v>0.01</v>
      </c>
      <c r="I67" s="399" t="s">
        <v>249</v>
      </c>
      <c r="J67" s="417" t="s">
        <v>485</v>
      </c>
      <c r="K67" s="399"/>
      <c r="L67" s="399" t="s">
        <v>486</v>
      </c>
      <c r="M67" s="422" t="s">
        <v>487</v>
      </c>
      <c r="N67" s="399"/>
    </row>
    <row r="68" ht="81.4" spans="1:14">
      <c r="A68" s="28" t="s">
        <v>434</v>
      </c>
      <c r="B68" s="28" t="s">
        <v>488</v>
      </c>
      <c r="C68" s="28" t="s">
        <v>489</v>
      </c>
      <c r="D68" s="28" t="s">
        <v>488</v>
      </c>
      <c r="E68" s="28" t="s">
        <v>490</v>
      </c>
      <c r="F68" s="419">
        <v>0</v>
      </c>
      <c r="G68" s="413">
        <v>1</v>
      </c>
      <c r="H68" s="413">
        <v>0.01</v>
      </c>
      <c r="I68" s="399" t="s">
        <v>491</v>
      </c>
      <c r="J68" s="414" t="s">
        <v>492</v>
      </c>
      <c r="K68" s="399"/>
      <c r="L68" s="399" t="s">
        <v>493</v>
      </c>
      <c r="M68" s="418" t="s">
        <v>494</v>
      </c>
      <c r="N68" s="399"/>
    </row>
    <row r="69" ht="41.65" spans="1:14">
      <c r="A69" s="28" t="s">
        <v>495</v>
      </c>
      <c r="B69" s="28" t="s">
        <v>496</v>
      </c>
      <c r="C69" s="28" t="s">
        <v>497</v>
      </c>
      <c r="D69" s="28" t="s">
        <v>498</v>
      </c>
      <c r="E69" s="28" t="s">
        <v>499</v>
      </c>
      <c r="F69" s="413">
        <v>0</v>
      </c>
      <c r="G69" s="413">
        <v>1</v>
      </c>
      <c r="H69" s="413">
        <v>0.01</v>
      </c>
      <c r="I69" s="399" t="s">
        <v>500</v>
      </c>
      <c r="J69" s="414" t="s">
        <v>501</v>
      </c>
      <c r="K69" s="399" t="s">
        <v>502</v>
      </c>
      <c r="L69" s="399" t="s">
        <v>503</v>
      </c>
      <c r="M69" s="422" t="s">
        <v>197</v>
      </c>
      <c r="N69" s="399"/>
    </row>
    <row r="70" ht="58.15" spans="1:14">
      <c r="A70" s="28" t="s">
        <v>495</v>
      </c>
      <c r="B70" s="28" t="s">
        <v>504</v>
      </c>
      <c r="C70" s="28" t="s">
        <v>505</v>
      </c>
      <c r="D70" s="28" t="s">
        <v>506</v>
      </c>
      <c r="E70" s="28" t="s">
        <v>507</v>
      </c>
      <c r="F70" s="413">
        <v>0</v>
      </c>
      <c r="G70" s="413">
        <v>1</v>
      </c>
      <c r="H70" s="413">
        <v>0.01</v>
      </c>
      <c r="I70" s="399" t="s">
        <v>508</v>
      </c>
      <c r="J70" s="414" t="s">
        <v>509</v>
      </c>
      <c r="K70" s="399" t="s">
        <v>510</v>
      </c>
      <c r="L70" s="399" t="s">
        <v>511</v>
      </c>
      <c r="M70" s="422" t="s">
        <v>197</v>
      </c>
      <c r="N70" s="399"/>
    </row>
    <row r="71" ht="46.5" spans="1:14">
      <c r="A71" s="28" t="s">
        <v>495</v>
      </c>
      <c r="B71" s="28" t="s">
        <v>512</v>
      </c>
      <c r="C71" s="28" t="s">
        <v>513</v>
      </c>
      <c r="D71" s="28" t="s">
        <v>514</v>
      </c>
      <c r="E71" s="28" t="s">
        <v>515</v>
      </c>
      <c r="F71" s="413">
        <v>0</v>
      </c>
      <c r="G71" s="413">
        <v>1</v>
      </c>
      <c r="H71" s="413">
        <v>0.01</v>
      </c>
      <c r="I71" s="399" t="s">
        <v>516</v>
      </c>
      <c r="J71" s="417" t="s">
        <v>517</v>
      </c>
      <c r="K71" s="399"/>
      <c r="L71" s="399" t="s">
        <v>518</v>
      </c>
      <c r="M71" s="422"/>
      <c r="N71" s="399"/>
    </row>
    <row r="72" ht="81.4" spans="1:14">
      <c r="A72" s="28" t="s">
        <v>519</v>
      </c>
      <c r="B72" s="28" t="s">
        <v>520</v>
      </c>
      <c r="C72" s="28" t="s">
        <v>521</v>
      </c>
      <c r="D72" s="28" t="s">
        <v>520</v>
      </c>
      <c r="E72" s="28" t="s">
        <v>522</v>
      </c>
      <c r="F72" s="28">
        <v>0</v>
      </c>
      <c r="G72" s="28">
        <v>300</v>
      </c>
      <c r="H72" s="28">
        <v>5</v>
      </c>
      <c r="I72" s="342" t="str">
        <f>UnitControlCenter!$B$47</f>
        <v>2020 RMB / metric ton CO2e</v>
      </c>
      <c r="J72" s="414" t="s">
        <v>523</v>
      </c>
      <c r="K72" s="399" t="s">
        <v>524</v>
      </c>
      <c r="L72" s="399" t="s">
        <v>525</v>
      </c>
      <c r="M72" s="422" t="s">
        <v>526</v>
      </c>
      <c r="N72" s="399" t="s">
        <v>527</v>
      </c>
    </row>
    <row r="73" ht="27.75" spans="1:14">
      <c r="A73" s="28" t="s">
        <v>519</v>
      </c>
      <c r="B73" s="28" t="s">
        <v>528</v>
      </c>
      <c r="C73" s="28" t="s">
        <v>529</v>
      </c>
      <c r="D73" s="28" t="s">
        <v>528</v>
      </c>
      <c r="E73" s="28" t="s">
        <v>530</v>
      </c>
      <c r="F73" s="413">
        <v>0</v>
      </c>
      <c r="G73" s="413">
        <v>1</v>
      </c>
      <c r="H73" s="413">
        <v>0.01</v>
      </c>
      <c r="I73" s="399" t="s">
        <v>531</v>
      </c>
      <c r="J73" s="414" t="s">
        <v>532</v>
      </c>
      <c r="K73" s="399" t="s">
        <v>533</v>
      </c>
      <c r="L73" s="399" t="s">
        <v>534</v>
      </c>
      <c r="M73" s="422" t="s">
        <v>197</v>
      </c>
    </row>
    <row r="74" ht="41.65" spans="1:14">
      <c r="A74" s="28" t="s">
        <v>519</v>
      </c>
      <c r="B74" s="28" t="s">
        <v>535</v>
      </c>
      <c r="C74" s="28" t="s">
        <v>536</v>
      </c>
      <c r="D74" s="342"/>
      <c r="E74" s="28" t="s">
        <v>537</v>
      </c>
      <c r="F74" s="28">
        <v>0</v>
      </c>
      <c r="G74" s="28">
        <v>1</v>
      </c>
      <c r="H74" s="28">
        <v>1</v>
      </c>
      <c r="I74" s="399" t="s">
        <v>94</v>
      </c>
      <c r="J74" s="417" t="s">
        <v>538</v>
      </c>
      <c r="K74" s="399" t="s">
        <v>524</v>
      </c>
      <c r="L74" s="399" t="s">
        <v>525</v>
      </c>
    </row>
    <row r="75" ht="55.5" spans="1:14">
      <c r="A75" s="28" t="s">
        <v>519</v>
      </c>
      <c r="B75" s="28" t="s">
        <v>539</v>
      </c>
      <c r="C75" s="28" t="s">
        <v>540</v>
      </c>
      <c r="D75" s="342"/>
      <c r="E75" s="28" t="s">
        <v>541</v>
      </c>
      <c r="F75" s="28">
        <v>0</v>
      </c>
      <c r="G75" s="28">
        <v>1</v>
      </c>
      <c r="H75" s="28">
        <v>1</v>
      </c>
      <c r="I75" s="399" t="s">
        <v>94</v>
      </c>
      <c r="J75" s="414" t="s">
        <v>542</v>
      </c>
      <c r="K75" s="399" t="s">
        <v>524</v>
      </c>
      <c r="L75" s="399" t="s">
        <v>525</v>
      </c>
    </row>
    <row r="76" ht="41.65" spans="1:14">
      <c r="A76" s="28" t="s">
        <v>519</v>
      </c>
      <c r="B76" s="28" t="s">
        <v>543</v>
      </c>
      <c r="C76" s="28" t="s">
        <v>544</v>
      </c>
      <c r="D76" s="342"/>
      <c r="E76" s="342"/>
      <c r="F76" s="28">
        <v>0</v>
      </c>
      <c r="G76" s="28">
        <v>1</v>
      </c>
      <c r="H76" s="28">
        <v>1</v>
      </c>
      <c r="I76" s="399" t="s">
        <v>94</v>
      </c>
      <c r="J76" s="414" t="s">
        <v>545</v>
      </c>
      <c r="K76" s="399" t="s">
        <v>524</v>
      </c>
      <c r="L76" s="399" t="s">
        <v>525</v>
      </c>
    </row>
    <row r="77" ht="41.65" spans="1:14">
      <c r="A77" s="28" t="s">
        <v>519</v>
      </c>
      <c r="B77" s="28" t="s">
        <v>546</v>
      </c>
      <c r="C77" s="28" t="s">
        <v>547</v>
      </c>
      <c r="D77" s="28" t="s">
        <v>546</v>
      </c>
      <c r="E77" s="28" t="s">
        <v>548</v>
      </c>
      <c r="F77" s="28">
        <v>0</v>
      </c>
      <c r="G77" s="28">
        <v>1</v>
      </c>
      <c r="H77" s="28">
        <v>1</v>
      </c>
      <c r="I77" s="399" t="s">
        <v>94</v>
      </c>
      <c r="J77" s="417" t="s">
        <v>549</v>
      </c>
    </row>
    <row r="78" ht="34.9" spans="1:14">
      <c r="A78" s="28" t="s">
        <v>519</v>
      </c>
      <c r="B78" s="28" t="s">
        <v>550</v>
      </c>
      <c r="C78" s="28" t="s">
        <v>550</v>
      </c>
      <c r="D78" s="28" t="s">
        <v>550</v>
      </c>
      <c r="E78" s="28" t="s">
        <v>551</v>
      </c>
      <c r="F78" s="413">
        <v>0</v>
      </c>
      <c r="G78" s="413">
        <v>1</v>
      </c>
      <c r="H78" s="413">
        <v>0.01</v>
      </c>
      <c r="I78" s="399" t="s">
        <v>552</v>
      </c>
      <c r="J78" s="414" t="s">
        <v>553</v>
      </c>
      <c r="K78" s="399" t="s">
        <v>554</v>
      </c>
    </row>
    <row r="79" ht="46.5" spans="1:14">
      <c r="A79" s="28" t="s">
        <v>519</v>
      </c>
      <c r="B79" s="28" t="s">
        <v>555</v>
      </c>
      <c r="C79" s="28" t="s">
        <v>556</v>
      </c>
      <c r="D79" s="28" t="s">
        <v>555</v>
      </c>
      <c r="E79" s="28" t="s">
        <v>557</v>
      </c>
      <c r="F79" s="419">
        <v>-0.5</v>
      </c>
      <c r="G79" s="419">
        <v>0.5</v>
      </c>
      <c r="H79" s="413">
        <v>0.01</v>
      </c>
      <c r="I79" s="399" t="s">
        <v>558</v>
      </c>
      <c r="J79" s="414" t="s">
        <v>559</v>
      </c>
      <c r="K79" s="399" t="s">
        <v>560</v>
      </c>
      <c r="L79" s="399" t="s">
        <v>561</v>
      </c>
      <c r="M79" s="422" t="s">
        <v>562</v>
      </c>
    </row>
    <row r="80" ht="81.4" spans="1:14">
      <c r="A80" s="28" t="s">
        <v>563</v>
      </c>
      <c r="B80" s="342" t="s">
        <v>564</v>
      </c>
      <c r="C80" s="28" t="s">
        <v>565</v>
      </c>
      <c r="D80" s="28" t="s">
        <v>566</v>
      </c>
      <c r="E80" s="28" t="s">
        <v>567</v>
      </c>
      <c r="F80" s="413">
        <v>0</v>
      </c>
      <c r="G80" s="413">
        <v>0.4</v>
      </c>
      <c r="H80" s="419">
        <v>0.01</v>
      </c>
      <c r="I80" s="399" t="s">
        <v>568</v>
      </c>
      <c r="J80" s="414" t="s">
        <v>569</v>
      </c>
      <c r="K80" s="399" t="s">
        <v>570</v>
      </c>
      <c r="L80" s="399" t="s">
        <v>571</v>
      </c>
      <c r="M80" s="422"/>
    </row>
    <row r="81" ht="81.4" spans="1:13">
      <c r="A81" s="384" t="str">
        <f>A$80</f>
        <v>Research and Development</v>
      </c>
      <c r="B81" s="384" t="str">
        <f t="shared" ref="B81:B84" si="0">B$80</f>
        <v>Capital Cost Reduction</v>
      </c>
      <c r="C81" s="28" t="s">
        <v>572</v>
      </c>
      <c r="D81" s="384" t="str">
        <f t="shared" ref="D81:L84" si="1">D$80</f>
        <v>R&amp;D Capital Cost Reductions</v>
      </c>
      <c r="E81" s="28" t="s">
        <v>573</v>
      </c>
      <c r="F81" s="428">
        <f t="shared" si="1"/>
        <v>0</v>
      </c>
      <c r="G81" s="428">
        <f t="shared" si="1"/>
        <v>0.4</v>
      </c>
      <c r="H81" s="428">
        <f t="shared" si="1"/>
        <v>0.01</v>
      </c>
      <c r="I81" s="384" t="str">
        <f t="shared" si="1"/>
        <v>% reduction in cost</v>
      </c>
      <c r="J81" s="414" t="s">
        <v>569</v>
      </c>
      <c r="K81" s="384" t="str">
        <f t="shared" si="1"/>
        <v>architectural-design.html#rnd</v>
      </c>
      <c r="L81" s="384" t="str">
        <f t="shared" si="1"/>
        <v>research-and-development.html</v>
      </c>
      <c r="M81" s="422"/>
    </row>
    <row r="82" ht="81.4" spans="1:13">
      <c r="A82" s="384" t="str">
        <f t="shared" ref="A82:A84" si="2">A$80</f>
        <v>Research and Development</v>
      </c>
      <c r="B82" s="384" t="str">
        <f t="shared" si="0"/>
        <v>Capital Cost Reduction</v>
      </c>
      <c r="C82" s="28" t="s">
        <v>574</v>
      </c>
      <c r="D82" s="384" t="str">
        <f t="shared" si="1"/>
        <v>R&amp;D Capital Cost Reductions</v>
      </c>
      <c r="E82" s="28" t="s">
        <v>575</v>
      </c>
      <c r="F82" s="428">
        <f t="shared" si="1"/>
        <v>0</v>
      </c>
      <c r="G82" s="428">
        <f t="shared" si="1"/>
        <v>0.4</v>
      </c>
      <c r="H82" s="428">
        <f t="shared" si="1"/>
        <v>0.01</v>
      </c>
      <c r="I82" s="384" t="str">
        <f t="shared" si="1"/>
        <v>% reduction in cost</v>
      </c>
      <c r="J82" s="414" t="s">
        <v>569</v>
      </c>
      <c r="K82" s="384" t="str">
        <f t="shared" si="1"/>
        <v>architectural-design.html#rnd</v>
      </c>
      <c r="L82" s="384" t="str">
        <f t="shared" si="1"/>
        <v>research-and-development.html</v>
      </c>
      <c r="M82" s="422"/>
    </row>
    <row r="83" ht="81.4" spans="1:13">
      <c r="A83" s="384" t="str">
        <f t="shared" si="2"/>
        <v>Research and Development</v>
      </c>
      <c r="B83" s="384" t="str">
        <f t="shared" si="0"/>
        <v>Capital Cost Reduction</v>
      </c>
      <c r="C83" s="28" t="s">
        <v>576</v>
      </c>
      <c r="D83" s="384" t="str">
        <f t="shared" si="1"/>
        <v>R&amp;D Capital Cost Reductions</v>
      </c>
      <c r="E83" s="28" t="s">
        <v>577</v>
      </c>
      <c r="F83" s="428">
        <f t="shared" si="1"/>
        <v>0</v>
      </c>
      <c r="G83" s="428">
        <f t="shared" si="1"/>
        <v>0.4</v>
      </c>
      <c r="H83" s="428">
        <f t="shared" si="1"/>
        <v>0.01</v>
      </c>
      <c r="I83" s="384" t="str">
        <f t="shared" si="1"/>
        <v>% reduction in cost</v>
      </c>
      <c r="J83" s="414" t="s">
        <v>569</v>
      </c>
      <c r="K83" s="384" t="str">
        <f t="shared" si="1"/>
        <v>architectural-design.html#rnd</v>
      </c>
      <c r="L83" s="384" t="str">
        <f t="shared" si="1"/>
        <v>research-and-development.html</v>
      </c>
      <c r="M83" s="422"/>
    </row>
    <row r="84" ht="81.4" spans="1:13">
      <c r="A84" s="384" t="str">
        <f t="shared" si="2"/>
        <v>Research and Development</v>
      </c>
      <c r="B84" s="384" t="str">
        <f t="shared" si="0"/>
        <v>Capital Cost Reduction</v>
      </c>
      <c r="C84" s="28" t="s">
        <v>578</v>
      </c>
      <c r="D84" s="384" t="str">
        <f t="shared" si="1"/>
        <v>R&amp;D Capital Cost Reductions</v>
      </c>
      <c r="E84" s="28" t="s">
        <v>579</v>
      </c>
      <c r="F84" s="428">
        <f t="shared" si="1"/>
        <v>0</v>
      </c>
      <c r="G84" s="428">
        <f t="shared" si="1"/>
        <v>0.4</v>
      </c>
      <c r="H84" s="428">
        <f t="shared" si="1"/>
        <v>0.01</v>
      </c>
      <c r="I84" s="384" t="str">
        <f t="shared" si="1"/>
        <v>% reduction in cost</v>
      </c>
      <c r="J84" s="414" t="s">
        <v>569</v>
      </c>
      <c r="K84" s="384" t="str">
        <f t="shared" si="1"/>
        <v>architectural-design.html#rnd</v>
      </c>
      <c r="L84" s="384" t="str">
        <f t="shared" si="1"/>
        <v>research-and-development.html</v>
      </c>
      <c r="M84" s="422"/>
    </row>
    <row r="85" ht="104.65" spans="1:13">
      <c r="A85" s="28" t="s">
        <v>563</v>
      </c>
      <c r="B85" s="28" t="s">
        <v>580</v>
      </c>
      <c r="C85" s="28" t="s">
        <v>581</v>
      </c>
      <c r="D85" s="28" t="s">
        <v>580</v>
      </c>
      <c r="E85" s="419" t="s">
        <v>582</v>
      </c>
      <c r="F85" s="413">
        <v>0</v>
      </c>
      <c r="G85" s="413">
        <v>1</v>
      </c>
      <c r="H85" s="419">
        <v>0.01</v>
      </c>
      <c r="I85" s="399" t="s">
        <v>249</v>
      </c>
      <c r="J85" s="414" t="s">
        <v>583</v>
      </c>
      <c r="K85" s="399" t="s">
        <v>584</v>
      </c>
      <c r="L85" s="399" t="s">
        <v>585</v>
      </c>
      <c r="M85" s="422" t="s">
        <v>586</v>
      </c>
    </row>
    <row r="86" ht="81.4" spans="1:13">
      <c r="A86" s="28" t="s">
        <v>563</v>
      </c>
      <c r="B86" s="342" t="s">
        <v>587</v>
      </c>
      <c r="C86" s="28" t="s">
        <v>588</v>
      </c>
      <c r="D86" s="28" t="s">
        <v>589</v>
      </c>
      <c r="E86" s="28" t="s">
        <v>590</v>
      </c>
      <c r="F86" s="413">
        <v>0</v>
      </c>
      <c r="G86" s="413">
        <v>0.4</v>
      </c>
      <c r="H86" s="419">
        <v>0.01</v>
      </c>
      <c r="I86" s="399" t="s">
        <v>591</v>
      </c>
      <c r="J86" s="414" t="s">
        <v>592</v>
      </c>
      <c r="K86" s="399" t="s">
        <v>570</v>
      </c>
      <c r="L86" s="399" t="s">
        <v>571</v>
      </c>
    </row>
    <row r="87" ht="81.4" spans="1:13">
      <c r="A87" s="384" t="str">
        <f>A$86</f>
        <v>Research and Development</v>
      </c>
      <c r="B87" s="384" t="str">
        <f>B$86</f>
        <v>Fuel Use Reduction</v>
      </c>
      <c r="C87" s="28" t="s">
        <v>593</v>
      </c>
      <c r="D87" s="384" t="str">
        <f t="shared" ref="D87:L90" si="3">D$86</f>
        <v>R&amp;D Fuel Use Reductions</v>
      </c>
      <c r="E87" s="28" t="s">
        <v>594</v>
      </c>
      <c r="F87" s="429">
        <f t="shared" si="3"/>
        <v>0</v>
      </c>
      <c r="G87" s="429">
        <f t="shared" si="3"/>
        <v>0.4</v>
      </c>
      <c r="H87" s="429">
        <f t="shared" si="3"/>
        <v>0.01</v>
      </c>
      <c r="I87" s="384" t="str">
        <f t="shared" si="3"/>
        <v>% reduction in fuel use</v>
      </c>
      <c r="J87" s="414" t="s">
        <v>592</v>
      </c>
      <c r="K87" s="384" t="str">
        <f t="shared" si="3"/>
        <v>architectural-design.html#rnd</v>
      </c>
      <c r="L87" s="384" t="str">
        <f t="shared" si="3"/>
        <v>research-and-development.html</v>
      </c>
    </row>
    <row r="88" ht="81.4" spans="1:13">
      <c r="A88" s="384" t="str">
        <f t="shared" ref="A88:B90" si="4">A$86</f>
        <v>Research and Development</v>
      </c>
      <c r="B88" s="384" t="str">
        <f t="shared" si="4"/>
        <v>Fuel Use Reduction</v>
      </c>
      <c r="C88" s="28" t="s">
        <v>595</v>
      </c>
      <c r="D88" s="384" t="str">
        <f t="shared" si="3"/>
        <v>R&amp;D Fuel Use Reductions</v>
      </c>
      <c r="E88" s="28" t="s">
        <v>596</v>
      </c>
      <c r="F88" s="429">
        <f t="shared" si="3"/>
        <v>0</v>
      </c>
      <c r="G88" s="429">
        <f t="shared" si="3"/>
        <v>0.4</v>
      </c>
      <c r="H88" s="429">
        <f t="shared" si="3"/>
        <v>0.01</v>
      </c>
      <c r="I88" s="384" t="str">
        <f t="shared" si="3"/>
        <v>% reduction in fuel use</v>
      </c>
      <c r="J88" s="414" t="s">
        <v>592</v>
      </c>
      <c r="K88" s="384" t="str">
        <f t="shared" si="3"/>
        <v>architectural-design.html#rnd</v>
      </c>
      <c r="L88" s="384" t="str">
        <f t="shared" si="3"/>
        <v>research-and-development.html</v>
      </c>
    </row>
    <row r="89" ht="81.4" spans="1:13">
      <c r="A89" s="384" t="str">
        <f t="shared" si="4"/>
        <v>Research and Development</v>
      </c>
      <c r="B89" s="384" t="str">
        <f t="shared" si="4"/>
        <v>Fuel Use Reduction</v>
      </c>
      <c r="C89" s="28" t="s">
        <v>597</v>
      </c>
      <c r="D89" s="384" t="str">
        <f t="shared" si="3"/>
        <v>R&amp;D Fuel Use Reductions</v>
      </c>
      <c r="E89" s="28" t="s">
        <v>598</v>
      </c>
      <c r="F89" s="429">
        <f t="shared" si="3"/>
        <v>0</v>
      </c>
      <c r="G89" s="429">
        <f t="shared" si="3"/>
        <v>0.4</v>
      </c>
      <c r="H89" s="429">
        <f t="shared" si="3"/>
        <v>0.01</v>
      </c>
      <c r="I89" s="384" t="str">
        <f t="shared" si="3"/>
        <v>% reduction in fuel use</v>
      </c>
      <c r="J89" s="414" t="s">
        <v>592</v>
      </c>
      <c r="K89" s="384" t="str">
        <f t="shared" si="3"/>
        <v>architectural-design.html#rnd</v>
      </c>
      <c r="L89" s="384" t="str">
        <f t="shared" si="3"/>
        <v>research-and-development.html</v>
      </c>
    </row>
    <row r="90" ht="81.4" spans="1:13">
      <c r="A90" s="384" t="str">
        <f t="shared" si="4"/>
        <v>Research and Development</v>
      </c>
      <c r="B90" s="384" t="str">
        <f t="shared" si="4"/>
        <v>Fuel Use Reduction</v>
      </c>
      <c r="C90" s="28" t="s">
        <v>599</v>
      </c>
      <c r="D90" s="384" t="str">
        <f t="shared" si="3"/>
        <v>R&amp;D Fuel Use Reductions</v>
      </c>
      <c r="E90" s="28" t="s">
        <v>600</v>
      </c>
      <c r="F90" s="429">
        <f t="shared" si="3"/>
        <v>0</v>
      </c>
      <c r="G90" s="429">
        <f t="shared" si="3"/>
        <v>0.4</v>
      </c>
      <c r="H90" s="429">
        <f t="shared" si="3"/>
        <v>0.01</v>
      </c>
      <c r="I90" s="384" t="str">
        <f t="shared" si="3"/>
        <v>% reduction in fuel use</v>
      </c>
      <c r="J90" s="414" t="s">
        <v>592</v>
      </c>
      <c r="K90" s="384" t="str">
        <f t="shared" si="3"/>
        <v>architectural-design.html#rnd</v>
      </c>
      <c r="L90" s="384" t="str">
        <f t="shared" si="3"/>
        <v>research-and-development.html</v>
      </c>
    </row>
    <row r="91" ht="55.5" spans="1:13">
      <c r="A91" s="28" t="s">
        <v>601</v>
      </c>
      <c r="B91" s="28" t="s">
        <v>602</v>
      </c>
      <c r="C91" s="28" t="s">
        <v>603</v>
      </c>
      <c r="D91" s="342"/>
      <c r="E91" s="28" t="s">
        <v>604</v>
      </c>
      <c r="F91" s="28">
        <v>0</v>
      </c>
      <c r="G91" s="28">
        <v>1</v>
      </c>
      <c r="H91" s="28">
        <v>1</v>
      </c>
      <c r="I91" s="399" t="s">
        <v>94</v>
      </c>
      <c r="J91" s="414" t="s">
        <v>605</v>
      </c>
      <c r="K91" s="28"/>
      <c r="L91" s="28"/>
      <c r="M91" s="430"/>
    </row>
    <row r="92" ht="151.15" spans="1:13">
      <c r="A92" s="28" t="s">
        <v>606</v>
      </c>
      <c r="B92" s="28" t="s">
        <v>607</v>
      </c>
      <c r="C92" s="28" t="s">
        <v>608</v>
      </c>
      <c r="D92" s="342"/>
      <c r="E92" s="28" t="s">
        <v>609</v>
      </c>
      <c r="F92" s="28">
        <v>0</v>
      </c>
      <c r="G92" s="28">
        <v>10</v>
      </c>
      <c r="H92" s="28">
        <v>1</v>
      </c>
      <c r="I92" s="28" t="s">
        <v>610</v>
      </c>
      <c r="J92" s="414" t="s">
        <v>611</v>
      </c>
      <c r="K92" s="28" t="s">
        <v>612</v>
      </c>
    </row>
    <row r="93" ht="151.15" spans="1:13">
      <c r="A93" s="28" t="s">
        <v>606</v>
      </c>
      <c r="B93" s="28" t="s">
        <v>613</v>
      </c>
      <c r="C93" s="28" t="s">
        <v>614</v>
      </c>
      <c r="D93" s="342"/>
      <c r="E93" s="28" t="s">
        <v>615</v>
      </c>
      <c r="F93" s="28">
        <v>0</v>
      </c>
      <c r="G93" s="28">
        <v>10</v>
      </c>
      <c r="H93" s="28">
        <v>1</v>
      </c>
      <c r="I93" s="28" t="s">
        <v>610</v>
      </c>
      <c r="J93" s="414" t="s">
        <v>611</v>
      </c>
      <c r="K93" s="384" t="str">
        <f t="shared" ref="K93:K100" si="5">K$92</f>
        <v>io-model.html</v>
      </c>
    </row>
    <row r="94" ht="151.15" spans="1:13">
      <c r="A94" s="28" t="s">
        <v>606</v>
      </c>
      <c r="B94" s="28" t="s">
        <v>98</v>
      </c>
      <c r="C94" s="28" t="s">
        <v>616</v>
      </c>
      <c r="D94" s="342"/>
      <c r="E94" s="28" t="s">
        <v>617</v>
      </c>
      <c r="F94" s="28">
        <v>0</v>
      </c>
      <c r="G94" s="28">
        <v>10</v>
      </c>
      <c r="H94" s="28">
        <v>1</v>
      </c>
      <c r="I94" s="28" t="s">
        <v>610</v>
      </c>
      <c r="J94" s="414" t="s">
        <v>611</v>
      </c>
      <c r="K94" s="384" t="str">
        <f t="shared" si="5"/>
        <v>io-model.html</v>
      </c>
    </row>
    <row r="95" ht="151.15" spans="1:13">
      <c r="A95" s="28" t="s">
        <v>606</v>
      </c>
      <c r="B95" s="28" t="s">
        <v>618</v>
      </c>
      <c r="C95" s="28" t="s">
        <v>619</v>
      </c>
      <c r="D95" s="342"/>
      <c r="E95" s="28" t="s">
        <v>620</v>
      </c>
      <c r="F95" s="28">
        <v>0</v>
      </c>
      <c r="G95" s="28">
        <v>10</v>
      </c>
      <c r="H95" s="28">
        <v>1</v>
      </c>
      <c r="I95" s="28" t="s">
        <v>610</v>
      </c>
      <c r="J95" s="414" t="s">
        <v>611</v>
      </c>
      <c r="K95" s="384" t="str">
        <f t="shared" si="5"/>
        <v>io-model.html</v>
      </c>
    </row>
    <row r="96" ht="151.15" spans="1:13">
      <c r="A96" s="28" t="s">
        <v>606</v>
      </c>
      <c r="B96" s="28" t="s">
        <v>621</v>
      </c>
      <c r="C96" s="28" t="s">
        <v>622</v>
      </c>
      <c r="D96" s="342"/>
      <c r="E96" s="28" t="s">
        <v>623</v>
      </c>
      <c r="F96" s="28">
        <v>0</v>
      </c>
      <c r="G96" s="28">
        <v>10</v>
      </c>
      <c r="H96" s="28">
        <v>1</v>
      </c>
      <c r="I96" s="28" t="s">
        <v>610</v>
      </c>
      <c r="J96" s="414" t="s">
        <v>611</v>
      </c>
      <c r="K96" s="384" t="str">
        <f t="shared" si="5"/>
        <v>io-model.html</v>
      </c>
    </row>
    <row r="97" ht="58.15" spans="1:11">
      <c r="A97" s="28" t="s">
        <v>606</v>
      </c>
      <c r="B97" s="28" t="s">
        <v>174</v>
      </c>
      <c r="C97" s="28" t="s">
        <v>624</v>
      </c>
      <c r="D97" s="342"/>
      <c r="E97" s="28" t="s">
        <v>625</v>
      </c>
      <c r="F97" s="28">
        <v>0</v>
      </c>
      <c r="G97" s="28">
        <v>10</v>
      </c>
      <c r="H97" s="28">
        <v>1</v>
      </c>
      <c r="I97" s="28" t="s">
        <v>610</v>
      </c>
      <c r="J97" s="414" t="s">
        <v>178</v>
      </c>
      <c r="K97" s="384" t="str">
        <f t="shared" si="5"/>
        <v>io-model.html</v>
      </c>
    </row>
    <row r="98" ht="151.15" spans="1:11">
      <c r="A98" s="28" t="s">
        <v>606</v>
      </c>
      <c r="B98" s="28" t="s">
        <v>626</v>
      </c>
      <c r="C98" s="28" t="s">
        <v>627</v>
      </c>
      <c r="D98" s="342"/>
      <c r="E98" s="28" t="s">
        <v>628</v>
      </c>
      <c r="F98" s="28">
        <v>0</v>
      </c>
      <c r="G98" s="28">
        <v>10</v>
      </c>
      <c r="H98" s="28">
        <v>1</v>
      </c>
      <c r="I98" s="28" t="s">
        <v>610</v>
      </c>
      <c r="J98" s="414" t="s">
        <v>611</v>
      </c>
      <c r="K98" s="384" t="str">
        <f t="shared" si="5"/>
        <v>io-model.html</v>
      </c>
    </row>
    <row r="99" ht="151.15" spans="1:11">
      <c r="A99" s="28" t="s">
        <v>606</v>
      </c>
      <c r="B99" s="28" t="s">
        <v>629</v>
      </c>
      <c r="C99" s="28" t="s">
        <v>630</v>
      </c>
      <c r="D99" s="342"/>
      <c r="E99" s="28" t="s">
        <v>631</v>
      </c>
      <c r="F99" s="28">
        <v>0</v>
      </c>
      <c r="G99" s="28">
        <v>10</v>
      </c>
      <c r="H99" s="28">
        <v>1</v>
      </c>
      <c r="I99" s="28" t="s">
        <v>610</v>
      </c>
      <c r="J99" s="414" t="s">
        <v>611</v>
      </c>
      <c r="K99" s="384" t="str">
        <f t="shared" si="5"/>
        <v>io-model.html</v>
      </c>
    </row>
    <row r="100" ht="151.15" spans="1:11">
      <c r="A100" s="28" t="s">
        <v>606</v>
      </c>
      <c r="B100" s="28" t="s">
        <v>632</v>
      </c>
      <c r="C100" s="28" t="s">
        <v>633</v>
      </c>
      <c r="D100" s="342"/>
      <c r="E100" s="28" t="s">
        <v>634</v>
      </c>
      <c r="F100" s="28">
        <v>0</v>
      </c>
      <c r="G100" s="28">
        <v>10</v>
      </c>
      <c r="H100" s="28">
        <v>1</v>
      </c>
      <c r="I100" s="28" t="s">
        <v>610</v>
      </c>
      <c r="J100" s="414" t="s">
        <v>611</v>
      </c>
      <c r="K100" s="384" t="str">
        <f t="shared" si="5"/>
        <v>io-model.html</v>
      </c>
    </row>
    <row r="101" ht="116.25" spans="1:11">
      <c r="A101" s="28" t="s">
        <v>601</v>
      </c>
      <c r="B101" s="28" t="s">
        <v>635</v>
      </c>
      <c r="C101" s="28" t="s">
        <v>636</v>
      </c>
      <c r="D101" s="342"/>
      <c r="E101" s="342"/>
      <c r="F101" s="28">
        <v>0</v>
      </c>
      <c r="G101" s="28">
        <v>1</v>
      </c>
      <c r="H101" s="28">
        <v>1</v>
      </c>
      <c r="I101" s="399" t="s">
        <v>94</v>
      </c>
      <c r="J101" s="414" t="s">
        <v>637</v>
      </c>
    </row>
  </sheetData>
  <hyperlinks>
    <hyperlink ref="N59" r:id="rId1" display="Ross W. Gorte, 2009, &quot;U.S. Tree Planting for Carbon Sequestration,&quot; Congressional Research Service, https://www.fas.org/sgp/crs/misc/R40562.pdf, p.3, paragraph 1"/>
  </hyperlink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71"/>
  <sheetViews>
    <sheetView tabSelected="1" workbookViewId="0">
      <pane ySplit="1" topLeftCell="A166" activePane="bottomLeft" state="frozen"/>
      <selection/>
      <selection pane="bottomLeft" activeCell="E180" sqref="E180"/>
    </sheetView>
  </sheetViews>
  <sheetFormatPr defaultColWidth="9.14159292035398" defaultRowHeight="13.15" customHeight="1"/>
  <cols>
    <col min="1" max="1" width="16.4247787610619" style="28" customWidth="1"/>
    <col min="2" max="2" width="41.4247787610619" style="385" customWidth="1"/>
    <col min="3" max="3" width="48.4247787610619" customWidth="1"/>
    <col min="4" max="7" width="16.141592920354" style="28" customWidth="1"/>
    <col min="8" max="8" width="19.4247787610619" style="377" customWidth="1"/>
    <col min="9" max="9" width="21.4247787610619" style="385" customWidth="1"/>
    <col min="10" max="10" width="43" style="386" customWidth="1"/>
    <col min="11" max="11" width="42.283185840708" style="28" customWidth="1"/>
    <col min="12" max="12" width="19" style="28" customWidth="1"/>
    <col min="13" max="14" width="19.141592920354" style="28" customWidth="1"/>
    <col min="15" max="15" width="28.4247787610619" style="28" customWidth="1"/>
    <col min="16" max="16" width="38.4247787610619" style="28" customWidth="1"/>
    <col min="17" max="17" width="53.4247787610619" style="28" customWidth="1"/>
    <col min="18" max="18" width="45.4247787610619" style="28" customWidth="1"/>
    <col min="19" max="16384" width="9.14159292035398" style="28"/>
  </cols>
  <sheetData>
    <row r="1" customHeight="1" spans="1:18">
      <c r="A1" s="387" t="s">
        <v>44</v>
      </c>
      <c r="B1" s="388" t="s">
        <v>45</v>
      </c>
      <c r="C1" s="389" t="s">
        <v>46</v>
      </c>
      <c r="D1" s="390" t="s">
        <v>638</v>
      </c>
      <c r="E1" s="390" t="s">
        <v>639</v>
      </c>
      <c r="F1" s="390" t="s">
        <v>640</v>
      </c>
      <c r="G1" s="390" t="s">
        <v>641</v>
      </c>
      <c r="H1" s="391" t="s">
        <v>642</v>
      </c>
      <c r="I1" s="392" t="s">
        <v>643</v>
      </c>
      <c r="J1" s="393" t="s">
        <v>47</v>
      </c>
      <c r="K1" s="387" t="s">
        <v>48</v>
      </c>
      <c r="L1" s="387" t="s">
        <v>49</v>
      </c>
      <c r="M1" s="387" t="s">
        <v>50</v>
      </c>
      <c r="N1" s="387" t="s">
        <v>51</v>
      </c>
      <c r="O1" s="387" t="s">
        <v>52</v>
      </c>
      <c r="P1" s="387" t="s">
        <v>53</v>
      </c>
      <c r="Q1" s="387" t="s">
        <v>54</v>
      </c>
      <c r="R1" s="387" t="s">
        <v>55</v>
      </c>
    </row>
    <row r="2" customHeight="1" spans="1:18">
      <c r="A2" s="394" t="str">
        <f>IF(ISBLANK(INDEX('Policy Characteristics'!A:A,MATCH($C2,'Policy Characteristics'!$C:$C,0))),"",INDEX('Policy Characteristics'!A:A,MATCH($C2,'Policy Characteristics'!$C:$C,0)))</f>
        <v>Transportation</v>
      </c>
      <c r="B2" s="395" t="str">
        <f>IF(ISBLANK(INDEX('Policy Characteristics'!B:B,MATCH($C2,'Policy Characteristics'!$C:$C,0))),"",INDEX('Policy Characteristics'!B:B,MATCH($C2,'Policy Characteristics'!$C:$C,0)))</f>
        <v>Conventional Pollutant Standards</v>
      </c>
      <c r="C2" t="s">
        <v>60</v>
      </c>
      <c r="D2" s="28" t="s">
        <v>644</v>
      </c>
      <c r="E2" s="28" t="s">
        <v>645</v>
      </c>
      <c r="F2" s="28" t="s">
        <v>646</v>
      </c>
      <c r="G2" s="28" t="s">
        <v>647</v>
      </c>
      <c r="H2" s="377">
        <v>300</v>
      </c>
      <c r="I2" s="396" t="s">
        <v>648</v>
      </c>
      <c r="J2" s="397" t="str">
        <f>IF(ISBLANK(INDEX('Policy Characteristics'!D:D,MATCH($C2,'Policy Characteristics'!$C:$C,0))),"",INDEX('Policy Characteristics'!D:D,MATCH($C2,'Policy Characteristics'!$C:$C,0)))</f>
        <v>Conventional Pollutant Standard</v>
      </c>
      <c r="K2" s="394" t="str">
        <f>IF(ISBLANK(INDEX('Policy Characteristics'!E:E,MATCH($C2,'Policy Characteristics'!$C:$C,0))),"",INDEX('Policy Characteristics'!E:E,MATCH($C2,'Policy Characteristics'!$C:$C,0)))</f>
        <v>trans reduce regulated pollutants</v>
      </c>
      <c r="L2" s="398">
        <f>IF(ISBLANK(INDEX('Policy Characteristics'!F:F,MATCH($C2,'Policy Characteristics'!$C:$C,0))),"",INDEX('Policy Characteristics'!F:F,MATCH($C2,'Policy Characteristics'!$C:$C,0)))</f>
        <v>0</v>
      </c>
      <c r="M2" s="398">
        <f>IF(ISBLANK(INDEX('Policy Characteristics'!G:G,MATCH($C2,'Policy Characteristics'!$C:$C,0))),"",INDEX('Policy Characteristics'!G:G,MATCH($C2,'Policy Characteristics'!$C:$C,0)))</f>
        <v>1</v>
      </c>
      <c r="N2" s="398">
        <f>IF(ISBLANK(INDEX('Policy Characteristics'!H:H,MATCH($C2,'Policy Characteristics'!$C:$C,0))),"",INDEX('Policy Characteristics'!H:H,MATCH($C2,'Policy Characteristics'!$C:$C,0)))</f>
        <v>0.02</v>
      </c>
      <c r="O2" s="394" t="str">
        <f>IF(ISBLANK(INDEX('Policy Characteristics'!I:I,MATCH($C2,'Policy Characteristics'!$C:$C,0))),"",INDEX('Policy Characteristics'!I:I,MATCH($C2,'Policy Characteristics'!$C:$C,0)))</f>
        <v>% reduction in emissions</v>
      </c>
      <c r="P2" s="394"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 s="394" t="str">
        <f>IF(ISBLANK(INDEX('Policy Characteristics'!K:K,MATCH($C2,'Policy Characteristics'!$C:$C,0))),"",INDEX('Policy Characteristics'!K:K,MATCH($C2,'Policy Characteristics'!$C:$C,0)))</f>
        <v>transportation-sector-main.html#conv-pol-stds</v>
      </c>
      <c r="R2" s="394" t="str">
        <f>IF(ISBLANK(INDEX('Policy Characteristics'!L:L,MATCH($C2,'Policy Characteristics'!$C:$C,0))),"",INDEX('Policy Characteristics'!L:L,MATCH($C2,'Policy Characteristics'!$C:$C,0)))</f>
        <v>conventional-pollutant-standards.html</v>
      </c>
    </row>
    <row r="3" customHeight="1" spans="1:18">
      <c r="A3" s="394" t="str">
        <f>IF(ISBLANK(INDEX('Policy Characteristics'!A:A,MATCH($C3,'Policy Characteristics'!$C:$C,0))),"",INDEX('Policy Characteristics'!A:A,MATCH($C3,'Policy Characteristics'!$C:$C,0)))</f>
        <v>Transportation</v>
      </c>
      <c r="B3" s="395" t="str">
        <f>IF(ISBLANK(INDEX('Policy Characteristics'!B:B,MATCH($C3,'Policy Characteristics'!$C:$C,0))),"",INDEX('Policy Characteristics'!B:B,MATCH($C3,'Policy Characteristics'!$C:$C,0)))</f>
        <v>Conventional Pollutant Standards</v>
      </c>
      <c r="C3" s="394" t="str">
        <f t="shared" ref="C3:C22" si="0">C$2</f>
        <v>Percentage Reduction of Separately Regulated Pollutants</v>
      </c>
      <c r="D3" s="28" t="s">
        <v>644</v>
      </c>
      <c r="E3" s="28" t="s">
        <v>649</v>
      </c>
      <c r="F3" s="28" t="s">
        <v>646</v>
      </c>
      <c r="G3" s="28" t="s">
        <v>649</v>
      </c>
      <c r="H3" s="377">
        <v>301</v>
      </c>
      <c r="I3" s="396" t="s">
        <v>648</v>
      </c>
      <c r="J3" s="397" t="str">
        <f>IF(ISBLANK(INDEX('Policy Characteristics'!D:D,MATCH($C3,'Policy Characteristics'!$C:$C,0))),"",INDEX('Policy Characteristics'!D:D,MATCH($C3,'Policy Characteristics'!$C:$C,0)))</f>
        <v>Conventional Pollutant Standard</v>
      </c>
      <c r="K3" s="394" t="str">
        <f>IF(ISBLANK(INDEX('Policy Characteristics'!E:E,MATCH($C3,'Policy Characteristics'!$C:$C,0))),"",INDEX('Policy Characteristics'!E:E,MATCH($C3,'Policy Characteristics'!$C:$C,0)))</f>
        <v>trans reduce regulated pollutants</v>
      </c>
      <c r="L3" s="398">
        <f>IF(ISBLANK(INDEX('Policy Characteristics'!F:F,MATCH($C3,'Policy Characteristics'!$C:$C,0))),"",INDEX('Policy Characteristics'!F:F,MATCH($C3,'Policy Characteristics'!$C:$C,0)))</f>
        <v>0</v>
      </c>
      <c r="M3" s="398">
        <f>IF(ISBLANK(INDEX('Policy Characteristics'!G:G,MATCH($C3,'Policy Characteristics'!$C:$C,0))),"",INDEX('Policy Characteristics'!G:G,MATCH($C3,'Policy Characteristics'!$C:$C,0)))</f>
        <v>1</v>
      </c>
      <c r="N3" s="398">
        <f>IF(ISBLANK(INDEX('Policy Characteristics'!H:H,MATCH($C3,'Policy Characteristics'!$C:$C,0))),"",INDEX('Policy Characteristics'!H:H,MATCH($C3,'Policy Characteristics'!$C:$C,0)))</f>
        <v>0.02</v>
      </c>
      <c r="O3" s="394" t="str">
        <f>IF(ISBLANK(INDEX('Policy Characteristics'!I:I,MATCH($C3,'Policy Characteristics'!$C:$C,0))),"",INDEX('Policy Characteristics'!I:I,MATCH($C3,'Policy Characteristics'!$C:$C,0)))</f>
        <v>% reduction in emissions</v>
      </c>
      <c r="P3" s="394"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 s="394" t="str">
        <f>IF(ISBLANK(INDEX('Policy Characteristics'!K:K,MATCH($C3,'Policy Characteristics'!$C:$C,0))),"",INDEX('Policy Characteristics'!K:K,MATCH($C3,'Policy Characteristics'!$C:$C,0)))</f>
        <v>transportation-sector-main.html#conv-pol-stds</v>
      </c>
      <c r="R3" s="394" t="str">
        <f>IF(ISBLANK(INDEX('Policy Characteristics'!L:L,MATCH($C3,'Policy Characteristics'!$C:$C,0))),"",INDEX('Policy Characteristics'!L:L,MATCH($C3,'Policy Characteristics'!$C:$C,0)))</f>
        <v>conventional-pollutant-standards.html</v>
      </c>
    </row>
    <row r="4" customHeight="1" spans="1:18">
      <c r="A4" s="394" t="str">
        <f>IF(ISBLANK(INDEX('Policy Characteristics'!A:A,MATCH($C4,'Policy Characteristics'!$C:$C,0))),"",INDEX('Policy Characteristics'!A:A,MATCH($C4,'Policy Characteristics'!$C:$C,0)))</f>
        <v>Transportation</v>
      </c>
      <c r="B4" s="395" t="str">
        <f>IF(ISBLANK(INDEX('Policy Characteristics'!B:B,MATCH($C4,'Policy Characteristics'!$C:$C,0))),"",INDEX('Policy Characteristics'!B:B,MATCH($C4,'Policy Characteristics'!$C:$C,0)))</f>
        <v>Conventional Pollutant Standards</v>
      </c>
      <c r="C4" s="394" t="str">
        <f t="shared" si="0"/>
        <v>Percentage Reduction of Separately Regulated Pollutants</v>
      </c>
      <c r="D4" s="28" t="s">
        <v>644</v>
      </c>
      <c r="E4" s="28" t="s">
        <v>650</v>
      </c>
      <c r="F4" s="28" t="s">
        <v>646</v>
      </c>
      <c r="G4" s="28" t="s">
        <v>650</v>
      </c>
      <c r="H4" s="377">
        <v>302</v>
      </c>
      <c r="I4" s="396" t="s">
        <v>648</v>
      </c>
      <c r="J4" s="397" t="str">
        <f>IF(ISBLANK(INDEX('Policy Characteristics'!D:D,MATCH($C4,'Policy Characteristics'!$C:$C,0))),"",INDEX('Policy Characteristics'!D:D,MATCH($C4,'Policy Characteristics'!$C:$C,0)))</f>
        <v>Conventional Pollutant Standard</v>
      </c>
      <c r="K4" s="394" t="str">
        <f>IF(ISBLANK(INDEX('Policy Characteristics'!E:E,MATCH($C4,'Policy Characteristics'!$C:$C,0))),"",INDEX('Policy Characteristics'!E:E,MATCH($C4,'Policy Characteristics'!$C:$C,0)))</f>
        <v>trans reduce regulated pollutants</v>
      </c>
      <c r="L4" s="398">
        <f>IF(ISBLANK(INDEX('Policy Characteristics'!F:F,MATCH($C4,'Policy Characteristics'!$C:$C,0))),"",INDEX('Policy Characteristics'!F:F,MATCH($C4,'Policy Characteristics'!$C:$C,0)))</f>
        <v>0</v>
      </c>
      <c r="M4" s="398">
        <f>IF(ISBLANK(INDEX('Policy Characteristics'!G:G,MATCH($C4,'Policy Characteristics'!$C:$C,0))),"",INDEX('Policy Characteristics'!G:G,MATCH($C4,'Policy Characteristics'!$C:$C,0)))</f>
        <v>1</v>
      </c>
      <c r="N4" s="398">
        <f>IF(ISBLANK(INDEX('Policy Characteristics'!H:H,MATCH($C4,'Policy Characteristics'!$C:$C,0))),"",INDEX('Policy Characteristics'!H:H,MATCH($C4,'Policy Characteristics'!$C:$C,0)))</f>
        <v>0.02</v>
      </c>
      <c r="O4" s="394" t="str">
        <f>IF(ISBLANK(INDEX('Policy Characteristics'!I:I,MATCH($C4,'Policy Characteristics'!$C:$C,0))),"",INDEX('Policy Characteristics'!I:I,MATCH($C4,'Policy Characteristics'!$C:$C,0)))</f>
        <v>% reduction in emissions</v>
      </c>
      <c r="P4" s="394"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 s="394" t="str">
        <f>IF(ISBLANK(INDEX('Policy Characteristics'!K:K,MATCH($C4,'Policy Characteristics'!$C:$C,0))),"",INDEX('Policy Characteristics'!K:K,MATCH($C4,'Policy Characteristics'!$C:$C,0)))</f>
        <v>transportation-sector-main.html#conv-pol-stds</v>
      </c>
      <c r="R4" s="394" t="str">
        <f>IF(ISBLANK(INDEX('Policy Characteristics'!L:L,MATCH($C4,'Policy Characteristics'!$C:$C,0))),"",INDEX('Policy Characteristics'!L:L,MATCH($C4,'Policy Characteristics'!$C:$C,0)))</f>
        <v>conventional-pollutant-standards.html</v>
      </c>
    </row>
    <row r="5" customHeight="1" spans="1:18">
      <c r="A5" s="394" t="str">
        <f>IF(ISBLANK(INDEX('Policy Characteristics'!A:A,MATCH($C5,'Policy Characteristics'!$C:$C,0))),"",INDEX('Policy Characteristics'!A:A,MATCH($C5,'Policy Characteristics'!$C:$C,0)))</f>
        <v>Transportation</v>
      </c>
      <c r="B5" s="395" t="str">
        <f>IF(ISBLANK(INDEX('Policy Characteristics'!B:B,MATCH($C5,'Policy Characteristics'!$C:$C,0))),"",INDEX('Policy Characteristics'!B:B,MATCH($C5,'Policy Characteristics'!$C:$C,0)))</f>
        <v>Conventional Pollutant Standards</v>
      </c>
      <c r="C5" s="394" t="str">
        <f t="shared" si="0"/>
        <v>Percentage Reduction of Separately Regulated Pollutants</v>
      </c>
      <c r="D5" s="28" t="s">
        <v>644</v>
      </c>
      <c r="E5" s="28" t="s">
        <v>651</v>
      </c>
      <c r="F5" s="28" t="s">
        <v>646</v>
      </c>
      <c r="G5" s="28" t="s">
        <v>651</v>
      </c>
      <c r="H5" s="377">
        <v>303</v>
      </c>
      <c r="I5" s="396" t="s">
        <v>648</v>
      </c>
      <c r="J5" s="397" t="str">
        <f>IF(ISBLANK(INDEX('Policy Characteristics'!D:D,MATCH($C5,'Policy Characteristics'!$C:$C,0))),"",INDEX('Policy Characteristics'!D:D,MATCH($C5,'Policy Characteristics'!$C:$C,0)))</f>
        <v>Conventional Pollutant Standard</v>
      </c>
      <c r="K5" s="394" t="str">
        <f>IF(ISBLANK(INDEX('Policy Characteristics'!E:E,MATCH($C5,'Policy Characteristics'!$C:$C,0))),"",INDEX('Policy Characteristics'!E:E,MATCH($C5,'Policy Characteristics'!$C:$C,0)))</f>
        <v>trans reduce regulated pollutants</v>
      </c>
      <c r="L5" s="398">
        <f>IF(ISBLANK(INDEX('Policy Characteristics'!F:F,MATCH($C5,'Policy Characteristics'!$C:$C,0))),"",INDEX('Policy Characteristics'!F:F,MATCH($C5,'Policy Characteristics'!$C:$C,0)))</f>
        <v>0</v>
      </c>
      <c r="M5" s="398">
        <f>IF(ISBLANK(INDEX('Policy Characteristics'!G:G,MATCH($C5,'Policy Characteristics'!$C:$C,0))),"",INDEX('Policy Characteristics'!G:G,MATCH($C5,'Policy Characteristics'!$C:$C,0)))</f>
        <v>1</v>
      </c>
      <c r="N5" s="398">
        <f>IF(ISBLANK(INDEX('Policy Characteristics'!H:H,MATCH($C5,'Policy Characteristics'!$C:$C,0))),"",INDEX('Policy Characteristics'!H:H,MATCH($C5,'Policy Characteristics'!$C:$C,0)))</f>
        <v>0.02</v>
      </c>
      <c r="O5" s="394" t="str">
        <f>IF(ISBLANK(INDEX('Policy Characteristics'!I:I,MATCH($C5,'Policy Characteristics'!$C:$C,0))),"",INDEX('Policy Characteristics'!I:I,MATCH($C5,'Policy Characteristics'!$C:$C,0)))</f>
        <v>% reduction in emissions</v>
      </c>
      <c r="P5" s="394"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 s="394" t="str">
        <f>IF(ISBLANK(INDEX('Policy Characteristics'!K:K,MATCH($C5,'Policy Characteristics'!$C:$C,0))),"",INDEX('Policy Characteristics'!K:K,MATCH($C5,'Policy Characteristics'!$C:$C,0)))</f>
        <v>transportation-sector-main.html#conv-pol-stds</v>
      </c>
      <c r="R5" s="394" t="str">
        <f>IF(ISBLANK(INDEX('Policy Characteristics'!L:L,MATCH($C5,'Policy Characteristics'!$C:$C,0))),"",INDEX('Policy Characteristics'!L:L,MATCH($C5,'Policy Characteristics'!$C:$C,0)))</f>
        <v>conventional-pollutant-standards.html</v>
      </c>
    </row>
    <row r="6" customHeight="1" spans="1:18">
      <c r="A6" s="394" t="str">
        <f>IF(ISBLANK(INDEX('Policy Characteristics'!A:A,MATCH($C6,'Policy Characteristics'!$C:$C,0))),"",INDEX('Policy Characteristics'!A:A,MATCH($C6,'Policy Characteristics'!$C:$C,0)))</f>
        <v>Transportation</v>
      </c>
      <c r="B6" s="395" t="str">
        <f>IF(ISBLANK(INDEX('Policy Characteristics'!B:B,MATCH($C6,'Policy Characteristics'!$C:$C,0))),"",INDEX('Policy Characteristics'!B:B,MATCH($C6,'Policy Characteristics'!$C:$C,0)))</f>
        <v>Conventional Pollutant Standards</v>
      </c>
      <c r="C6" s="394" t="str">
        <f t="shared" si="0"/>
        <v>Percentage Reduction of Separately Regulated Pollutants</v>
      </c>
      <c r="D6" s="28" t="s">
        <v>644</v>
      </c>
      <c r="E6" s="28" t="s">
        <v>652</v>
      </c>
      <c r="F6" s="28" t="s">
        <v>646</v>
      </c>
      <c r="G6" s="28" t="s">
        <v>653</v>
      </c>
      <c r="H6" s="377">
        <v>304</v>
      </c>
      <c r="I6" s="396" t="s">
        <v>648</v>
      </c>
      <c r="J6" s="397" t="str">
        <f>IF(ISBLANK(INDEX('Policy Characteristics'!D:D,MATCH($C6,'Policy Characteristics'!$C:$C,0))),"",INDEX('Policy Characteristics'!D:D,MATCH($C6,'Policy Characteristics'!$C:$C,0)))</f>
        <v>Conventional Pollutant Standard</v>
      </c>
      <c r="K6" s="394" t="str">
        <f>IF(ISBLANK(INDEX('Policy Characteristics'!E:E,MATCH($C6,'Policy Characteristics'!$C:$C,0))),"",INDEX('Policy Characteristics'!E:E,MATCH($C6,'Policy Characteristics'!$C:$C,0)))</f>
        <v>trans reduce regulated pollutants</v>
      </c>
      <c r="L6" s="398">
        <f>IF(ISBLANK(INDEX('Policy Characteristics'!F:F,MATCH($C6,'Policy Characteristics'!$C:$C,0))),"",INDEX('Policy Characteristics'!F:F,MATCH($C6,'Policy Characteristics'!$C:$C,0)))</f>
        <v>0</v>
      </c>
      <c r="M6" s="398">
        <f>IF(ISBLANK(INDEX('Policy Characteristics'!G:G,MATCH($C6,'Policy Characteristics'!$C:$C,0))),"",INDEX('Policy Characteristics'!G:G,MATCH($C6,'Policy Characteristics'!$C:$C,0)))</f>
        <v>1</v>
      </c>
      <c r="N6" s="398">
        <f>IF(ISBLANK(INDEX('Policy Characteristics'!H:H,MATCH($C6,'Policy Characteristics'!$C:$C,0))),"",INDEX('Policy Characteristics'!H:H,MATCH($C6,'Policy Characteristics'!$C:$C,0)))</f>
        <v>0.02</v>
      </c>
      <c r="O6" s="394" t="str">
        <f>IF(ISBLANK(INDEX('Policy Characteristics'!I:I,MATCH($C6,'Policy Characteristics'!$C:$C,0))),"",INDEX('Policy Characteristics'!I:I,MATCH($C6,'Policy Characteristics'!$C:$C,0)))</f>
        <v>% reduction in emissions</v>
      </c>
      <c r="P6" s="394"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6" s="394" t="str">
        <f>IF(ISBLANK(INDEX('Policy Characteristics'!K:K,MATCH($C6,'Policy Characteristics'!$C:$C,0))),"",INDEX('Policy Characteristics'!K:K,MATCH($C6,'Policy Characteristics'!$C:$C,0)))</f>
        <v>transportation-sector-main.html#conv-pol-stds</v>
      </c>
      <c r="R6" s="394" t="str">
        <f>IF(ISBLANK(INDEX('Policy Characteristics'!L:L,MATCH($C6,'Policy Characteristics'!$C:$C,0))),"",INDEX('Policy Characteristics'!L:L,MATCH($C6,'Policy Characteristics'!$C:$C,0)))</f>
        <v>conventional-pollutant-standards.html</v>
      </c>
    </row>
    <row r="7" customHeight="1" spans="1:18">
      <c r="A7" s="394" t="str">
        <f>IF(ISBLANK(INDEX('Policy Characteristics'!A:A,MATCH($C7,'Policy Characteristics'!$C:$C,0))),"",INDEX('Policy Characteristics'!A:A,MATCH($C7,'Policy Characteristics'!$C:$C,0)))</f>
        <v>Transportation</v>
      </c>
      <c r="B7" s="395" t="str">
        <f>IF(ISBLANK(INDEX('Policy Characteristics'!B:B,MATCH($C7,'Policy Characteristics'!$C:$C,0))),"",INDEX('Policy Characteristics'!B:B,MATCH($C7,'Policy Characteristics'!$C:$C,0)))</f>
        <v>Conventional Pollutant Standards</v>
      </c>
      <c r="C7" s="394" t="str">
        <f t="shared" si="0"/>
        <v>Percentage Reduction of Separately Regulated Pollutants</v>
      </c>
      <c r="D7" s="28" t="s">
        <v>644</v>
      </c>
      <c r="E7" s="28" t="s">
        <v>654</v>
      </c>
      <c r="F7" s="28" t="s">
        <v>646</v>
      </c>
      <c r="G7" s="28" t="s">
        <v>654</v>
      </c>
      <c r="H7" s="377">
        <v>305</v>
      </c>
      <c r="I7" s="396" t="s">
        <v>648</v>
      </c>
      <c r="J7" s="397" t="str">
        <f>IF(ISBLANK(INDEX('Policy Characteristics'!D:D,MATCH($C7,'Policy Characteristics'!$C:$C,0))),"",INDEX('Policy Characteristics'!D:D,MATCH($C7,'Policy Characteristics'!$C:$C,0)))</f>
        <v>Conventional Pollutant Standard</v>
      </c>
      <c r="K7" s="394" t="str">
        <f>IF(ISBLANK(INDEX('Policy Characteristics'!E:E,MATCH($C7,'Policy Characteristics'!$C:$C,0))),"",INDEX('Policy Characteristics'!E:E,MATCH($C7,'Policy Characteristics'!$C:$C,0)))</f>
        <v>trans reduce regulated pollutants</v>
      </c>
      <c r="L7" s="398">
        <f>IF(ISBLANK(INDEX('Policy Characteristics'!F:F,MATCH($C7,'Policy Characteristics'!$C:$C,0))),"",INDEX('Policy Characteristics'!F:F,MATCH($C7,'Policy Characteristics'!$C:$C,0)))</f>
        <v>0</v>
      </c>
      <c r="M7" s="398">
        <f>IF(ISBLANK(INDEX('Policy Characteristics'!G:G,MATCH($C7,'Policy Characteristics'!$C:$C,0))),"",INDEX('Policy Characteristics'!G:G,MATCH($C7,'Policy Characteristics'!$C:$C,0)))</f>
        <v>1</v>
      </c>
      <c r="N7" s="398">
        <f>IF(ISBLANK(INDEX('Policy Characteristics'!H:H,MATCH($C7,'Policy Characteristics'!$C:$C,0))),"",INDEX('Policy Characteristics'!H:H,MATCH($C7,'Policy Characteristics'!$C:$C,0)))</f>
        <v>0.02</v>
      </c>
      <c r="O7" s="394" t="str">
        <f>IF(ISBLANK(INDEX('Policy Characteristics'!I:I,MATCH($C7,'Policy Characteristics'!$C:$C,0))),"",INDEX('Policy Characteristics'!I:I,MATCH($C7,'Policy Characteristics'!$C:$C,0)))</f>
        <v>% reduction in emissions</v>
      </c>
      <c r="P7" s="394"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7" s="394" t="str">
        <f>IF(ISBLANK(INDEX('Policy Characteristics'!K:K,MATCH($C7,'Policy Characteristics'!$C:$C,0))),"",INDEX('Policy Characteristics'!K:K,MATCH($C7,'Policy Characteristics'!$C:$C,0)))</f>
        <v>transportation-sector-main.html#conv-pol-stds</v>
      </c>
      <c r="R7" s="394" t="str">
        <f>IF(ISBLANK(INDEX('Policy Characteristics'!L:L,MATCH($C7,'Policy Characteristics'!$C:$C,0))),"",INDEX('Policy Characteristics'!L:L,MATCH($C7,'Policy Characteristics'!$C:$C,0)))</f>
        <v>conventional-pollutant-standards.html</v>
      </c>
    </row>
    <row r="8" customHeight="1" spans="1:18">
      <c r="A8" s="394" t="str">
        <f>IF(ISBLANK(INDEX('Policy Characteristics'!A:A,MATCH($C8,'Policy Characteristics'!$C:$C,0))),"",INDEX('Policy Characteristics'!A:A,MATCH($C8,'Policy Characteristics'!$C:$C,0)))</f>
        <v>Transportation</v>
      </c>
      <c r="B8" s="395" t="str">
        <f>IF(ISBLANK(INDEX('Policy Characteristics'!B:B,MATCH($C8,'Policy Characteristics'!$C:$C,0))),"",INDEX('Policy Characteristics'!B:B,MATCH($C8,'Policy Characteristics'!$C:$C,0)))</f>
        <v>Conventional Pollutant Standards</v>
      </c>
      <c r="C8" s="394" t="str">
        <f t="shared" si="0"/>
        <v>Percentage Reduction of Separately Regulated Pollutants</v>
      </c>
      <c r="D8" s="28" t="s">
        <v>644</v>
      </c>
      <c r="E8" s="28" t="s">
        <v>655</v>
      </c>
      <c r="F8" s="28" t="s">
        <v>646</v>
      </c>
      <c r="G8" s="28" t="s">
        <v>655</v>
      </c>
      <c r="H8" s="377">
        <v>306</v>
      </c>
      <c r="I8" s="396" t="s">
        <v>648</v>
      </c>
      <c r="J8" s="397" t="str">
        <f>IF(ISBLANK(INDEX('Policy Characteristics'!D:D,MATCH($C8,'Policy Characteristics'!$C:$C,0))),"",INDEX('Policy Characteristics'!D:D,MATCH($C8,'Policy Characteristics'!$C:$C,0)))</f>
        <v>Conventional Pollutant Standard</v>
      </c>
      <c r="K8" s="394" t="str">
        <f>IF(ISBLANK(INDEX('Policy Characteristics'!E:E,MATCH($C8,'Policy Characteristics'!$C:$C,0))),"",INDEX('Policy Characteristics'!E:E,MATCH($C8,'Policy Characteristics'!$C:$C,0)))</f>
        <v>trans reduce regulated pollutants</v>
      </c>
      <c r="L8" s="398">
        <f>IF(ISBLANK(INDEX('Policy Characteristics'!F:F,MATCH($C8,'Policy Characteristics'!$C:$C,0))),"",INDEX('Policy Characteristics'!F:F,MATCH($C8,'Policy Characteristics'!$C:$C,0)))</f>
        <v>0</v>
      </c>
      <c r="M8" s="398">
        <f>IF(ISBLANK(INDEX('Policy Characteristics'!G:G,MATCH($C8,'Policy Characteristics'!$C:$C,0))),"",INDEX('Policy Characteristics'!G:G,MATCH($C8,'Policy Characteristics'!$C:$C,0)))</f>
        <v>1</v>
      </c>
      <c r="N8" s="398">
        <f>IF(ISBLANK(INDEX('Policy Characteristics'!H:H,MATCH($C8,'Policy Characteristics'!$C:$C,0))),"",INDEX('Policy Characteristics'!H:H,MATCH($C8,'Policy Characteristics'!$C:$C,0)))</f>
        <v>0.02</v>
      </c>
      <c r="O8" s="394" t="str">
        <f>IF(ISBLANK(INDEX('Policy Characteristics'!I:I,MATCH($C8,'Policy Characteristics'!$C:$C,0))),"",INDEX('Policy Characteristics'!I:I,MATCH($C8,'Policy Characteristics'!$C:$C,0)))</f>
        <v>% reduction in emissions</v>
      </c>
      <c r="P8" s="394"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8" s="394" t="str">
        <f>IF(ISBLANK(INDEX('Policy Characteristics'!K:K,MATCH($C8,'Policy Characteristics'!$C:$C,0))),"",INDEX('Policy Characteristics'!K:K,MATCH($C8,'Policy Characteristics'!$C:$C,0)))</f>
        <v>transportation-sector-main.html#conv-pol-stds</v>
      </c>
      <c r="R8" s="394" t="str">
        <f>IF(ISBLANK(INDEX('Policy Characteristics'!L:L,MATCH($C8,'Policy Characteristics'!$C:$C,0))),"",INDEX('Policy Characteristics'!L:L,MATCH($C8,'Policy Characteristics'!$C:$C,0)))</f>
        <v>conventional-pollutant-standards.html</v>
      </c>
    </row>
    <row r="9" customHeight="1" spans="1:18">
      <c r="A9" s="394" t="str">
        <f>IF(ISBLANK(INDEX('Policy Characteristics'!A:A,MATCH($C9,'Policy Characteristics'!$C:$C,0))),"",INDEX('Policy Characteristics'!A:A,MATCH($C9,'Policy Characteristics'!$C:$C,0)))</f>
        <v>Transportation</v>
      </c>
      <c r="B9" s="395" t="str">
        <f>IF(ISBLANK(INDEX('Policy Characteristics'!B:B,MATCH($C9,'Policy Characteristics'!$C:$C,0))),"",INDEX('Policy Characteristics'!B:B,MATCH($C9,'Policy Characteristics'!$C:$C,0)))</f>
        <v>Conventional Pollutant Standards</v>
      </c>
      <c r="C9" s="394" t="str">
        <f t="shared" si="0"/>
        <v>Percentage Reduction of Separately Regulated Pollutants</v>
      </c>
      <c r="D9" s="28" t="s">
        <v>644</v>
      </c>
      <c r="E9" s="28" t="s">
        <v>656</v>
      </c>
      <c r="F9" s="28" t="s">
        <v>646</v>
      </c>
      <c r="G9" s="28" t="s">
        <v>656</v>
      </c>
      <c r="H9" s="377">
        <v>307</v>
      </c>
      <c r="I9" s="396" t="s">
        <v>648</v>
      </c>
      <c r="J9" s="397" t="str">
        <f>IF(ISBLANK(INDEX('Policy Characteristics'!D:D,MATCH($C9,'Policy Characteristics'!$C:$C,0))),"",INDEX('Policy Characteristics'!D:D,MATCH($C9,'Policy Characteristics'!$C:$C,0)))</f>
        <v>Conventional Pollutant Standard</v>
      </c>
      <c r="K9" s="394" t="str">
        <f>IF(ISBLANK(INDEX('Policy Characteristics'!E:E,MATCH($C9,'Policy Characteristics'!$C:$C,0))),"",INDEX('Policy Characteristics'!E:E,MATCH($C9,'Policy Characteristics'!$C:$C,0)))</f>
        <v>trans reduce regulated pollutants</v>
      </c>
      <c r="L9" s="398">
        <f>IF(ISBLANK(INDEX('Policy Characteristics'!F:F,MATCH($C9,'Policy Characteristics'!$C:$C,0))),"",INDEX('Policy Characteristics'!F:F,MATCH($C9,'Policy Characteristics'!$C:$C,0)))</f>
        <v>0</v>
      </c>
      <c r="M9" s="398">
        <f>IF(ISBLANK(INDEX('Policy Characteristics'!G:G,MATCH($C9,'Policy Characteristics'!$C:$C,0))),"",INDEX('Policy Characteristics'!G:G,MATCH($C9,'Policy Characteristics'!$C:$C,0)))</f>
        <v>1</v>
      </c>
      <c r="N9" s="398">
        <f>IF(ISBLANK(INDEX('Policy Characteristics'!H:H,MATCH($C9,'Policy Characteristics'!$C:$C,0))),"",INDEX('Policy Characteristics'!H:H,MATCH($C9,'Policy Characteristics'!$C:$C,0)))</f>
        <v>0.02</v>
      </c>
      <c r="O9" s="394" t="str">
        <f>IF(ISBLANK(INDEX('Policy Characteristics'!I:I,MATCH($C9,'Policy Characteristics'!$C:$C,0))),"",INDEX('Policy Characteristics'!I:I,MATCH($C9,'Policy Characteristics'!$C:$C,0)))</f>
        <v>% reduction in emissions</v>
      </c>
      <c r="P9" s="394"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9" s="394" t="str">
        <f>IF(ISBLANK(INDEX('Policy Characteristics'!K:K,MATCH($C9,'Policy Characteristics'!$C:$C,0))),"",INDEX('Policy Characteristics'!K:K,MATCH($C9,'Policy Characteristics'!$C:$C,0)))</f>
        <v>transportation-sector-main.html#conv-pol-stds</v>
      </c>
      <c r="R9" s="394" t="str">
        <f>IF(ISBLANK(INDEX('Policy Characteristics'!L:L,MATCH($C9,'Policy Characteristics'!$C:$C,0))),"",INDEX('Policy Characteristics'!L:L,MATCH($C9,'Policy Characteristics'!$C:$C,0)))</f>
        <v>conventional-pollutant-standards.html</v>
      </c>
    </row>
    <row r="10" customHeight="1" spans="1:18">
      <c r="A10" s="394" t="str">
        <f>IF(ISBLANK(INDEX('Policy Characteristics'!A:A,MATCH($C10,'Policy Characteristics'!$C:$C,0))),"",INDEX('Policy Characteristics'!A:A,MATCH($C10,'Policy Characteristics'!$C:$C,0)))</f>
        <v>Transportation</v>
      </c>
      <c r="B10" s="395" t="str">
        <f>IF(ISBLANK(INDEX('Policy Characteristics'!B:B,MATCH($C10,'Policy Characteristics'!$C:$C,0))),"",INDEX('Policy Characteristics'!B:B,MATCH($C10,'Policy Characteristics'!$C:$C,0)))</f>
        <v>Conventional Pollutant Standards</v>
      </c>
      <c r="C10" s="394" t="str">
        <f t="shared" si="0"/>
        <v>Percentage Reduction of Separately Regulated Pollutants</v>
      </c>
      <c r="D10" s="28" t="s">
        <v>644</v>
      </c>
      <c r="E10" s="28" t="s">
        <v>657</v>
      </c>
      <c r="F10" s="28" t="s">
        <v>646</v>
      </c>
      <c r="G10" s="28" t="s">
        <v>657</v>
      </c>
      <c r="H10" s="377">
        <v>308</v>
      </c>
      <c r="I10" s="396" t="s">
        <v>658</v>
      </c>
      <c r="J10" s="397" t="str">
        <f>IF(ISBLANK(INDEX('Policy Characteristics'!D:D,MATCH($C10,'Policy Characteristics'!$C:$C,0))),"",INDEX('Policy Characteristics'!D:D,MATCH($C10,'Policy Characteristics'!$C:$C,0)))</f>
        <v>Conventional Pollutant Standard</v>
      </c>
      <c r="K10" s="394" t="str">
        <f>IF(ISBLANK(INDEX('Policy Characteristics'!E:E,MATCH($C10,'Policy Characteristics'!$C:$C,0))),"",INDEX('Policy Characteristics'!E:E,MATCH($C10,'Policy Characteristics'!$C:$C,0)))</f>
        <v>trans reduce regulated pollutants</v>
      </c>
      <c r="L10" s="398">
        <f>IF(ISBLANK(INDEX('Policy Characteristics'!F:F,MATCH($C10,'Policy Characteristics'!$C:$C,0))),"",INDEX('Policy Characteristics'!F:F,MATCH($C10,'Policy Characteristics'!$C:$C,0)))</f>
        <v>0</v>
      </c>
      <c r="M10" s="398">
        <f>IF(ISBLANK(INDEX('Policy Characteristics'!G:G,MATCH($C10,'Policy Characteristics'!$C:$C,0))),"",INDEX('Policy Characteristics'!G:G,MATCH($C10,'Policy Characteristics'!$C:$C,0)))</f>
        <v>1</v>
      </c>
      <c r="N10" s="398">
        <f>IF(ISBLANK(INDEX('Policy Characteristics'!H:H,MATCH($C10,'Policy Characteristics'!$C:$C,0))),"",INDEX('Policy Characteristics'!H:H,MATCH($C10,'Policy Characteristics'!$C:$C,0)))</f>
        <v>0.02</v>
      </c>
      <c r="O10" s="394" t="str">
        <f>IF(ISBLANK(INDEX('Policy Characteristics'!I:I,MATCH($C10,'Policy Characteristics'!$C:$C,0))),"",INDEX('Policy Characteristics'!I:I,MATCH($C10,'Policy Characteristics'!$C:$C,0)))</f>
        <v>% reduction in emissions</v>
      </c>
      <c r="P10" s="394"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0" s="394" t="str">
        <f>IF(ISBLANK(INDEX('Policy Characteristics'!K:K,MATCH($C10,'Policy Characteristics'!$C:$C,0))),"",INDEX('Policy Characteristics'!K:K,MATCH($C10,'Policy Characteristics'!$C:$C,0)))</f>
        <v>transportation-sector-main.html#conv-pol-stds</v>
      </c>
      <c r="R10" s="394" t="str">
        <f>IF(ISBLANK(INDEX('Policy Characteristics'!L:L,MATCH($C10,'Policy Characteristics'!$C:$C,0))),"",INDEX('Policy Characteristics'!L:L,MATCH($C10,'Policy Characteristics'!$C:$C,0)))</f>
        <v>conventional-pollutant-standards.html</v>
      </c>
    </row>
    <row r="11" customHeight="1" spans="1:18">
      <c r="A11" s="394" t="str">
        <f>IF(ISBLANK(INDEX('Policy Characteristics'!A:A,MATCH($C11,'Policy Characteristics'!$C:$C,0))),"",INDEX('Policy Characteristics'!A:A,MATCH($C11,'Policy Characteristics'!$C:$C,0)))</f>
        <v>Transportation</v>
      </c>
      <c r="B11" s="395" t="str">
        <f>IF(ISBLANK(INDEX('Policy Characteristics'!B:B,MATCH($C11,'Policy Characteristics'!$C:$C,0))),"",INDEX('Policy Characteristics'!B:B,MATCH($C11,'Policy Characteristics'!$C:$C,0)))</f>
        <v>Conventional Pollutant Standards</v>
      </c>
      <c r="C11" s="394" t="str">
        <f t="shared" si="0"/>
        <v>Percentage Reduction of Separately Regulated Pollutants</v>
      </c>
      <c r="D11" s="28" t="s">
        <v>644</v>
      </c>
      <c r="E11" s="28" t="s">
        <v>659</v>
      </c>
      <c r="F11" s="28" t="s">
        <v>646</v>
      </c>
      <c r="G11" s="28" t="s">
        <v>659</v>
      </c>
      <c r="H11" s="377">
        <v>309</v>
      </c>
      <c r="I11" s="396" t="s">
        <v>658</v>
      </c>
      <c r="J11" s="397" t="str">
        <f>IF(ISBLANK(INDEX('Policy Characteristics'!D:D,MATCH($C11,'Policy Characteristics'!$C:$C,0))),"",INDEX('Policy Characteristics'!D:D,MATCH($C11,'Policy Characteristics'!$C:$C,0)))</f>
        <v>Conventional Pollutant Standard</v>
      </c>
      <c r="K11" s="394" t="str">
        <f>IF(ISBLANK(INDEX('Policy Characteristics'!E:E,MATCH($C11,'Policy Characteristics'!$C:$C,0))),"",INDEX('Policy Characteristics'!E:E,MATCH($C11,'Policy Characteristics'!$C:$C,0)))</f>
        <v>trans reduce regulated pollutants</v>
      </c>
      <c r="L11" s="398">
        <f>IF(ISBLANK(INDEX('Policy Characteristics'!F:F,MATCH($C11,'Policy Characteristics'!$C:$C,0))),"",INDEX('Policy Characteristics'!F:F,MATCH($C11,'Policy Characteristics'!$C:$C,0)))</f>
        <v>0</v>
      </c>
      <c r="M11" s="398">
        <f>IF(ISBLANK(INDEX('Policy Characteristics'!G:G,MATCH($C11,'Policy Characteristics'!$C:$C,0))),"",INDEX('Policy Characteristics'!G:G,MATCH($C11,'Policy Characteristics'!$C:$C,0)))</f>
        <v>1</v>
      </c>
      <c r="N11" s="398">
        <f>IF(ISBLANK(INDEX('Policy Characteristics'!H:H,MATCH($C11,'Policy Characteristics'!$C:$C,0))),"",INDEX('Policy Characteristics'!H:H,MATCH($C11,'Policy Characteristics'!$C:$C,0)))</f>
        <v>0.02</v>
      </c>
      <c r="O11" s="394" t="str">
        <f>IF(ISBLANK(INDEX('Policy Characteristics'!I:I,MATCH($C11,'Policy Characteristics'!$C:$C,0))),"",INDEX('Policy Characteristics'!I:I,MATCH($C11,'Policy Characteristics'!$C:$C,0)))</f>
        <v>% reduction in emissions</v>
      </c>
      <c r="P11" s="394"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1" s="394" t="str">
        <f>IF(ISBLANK(INDEX('Policy Characteristics'!K:K,MATCH($C11,'Policy Characteristics'!$C:$C,0))),"",INDEX('Policy Characteristics'!K:K,MATCH($C11,'Policy Characteristics'!$C:$C,0)))</f>
        <v>transportation-sector-main.html#conv-pol-stds</v>
      </c>
      <c r="R11" s="394" t="str">
        <f>IF(ISBLANK(INDEX('Policy Characteristics'!L:L,MATCH($C11,'Policy Characteristics'!$C:$C,0))),"",INDEX('Policy Characteristics'!L:L,MATCH($C11,'Policy Characteristics'!$C:$C,0)))</f>
        <v>conventional-pollutant-standards.html</v>
      </c>
    </row>
    <row r="12" customHeight="1" spans="1:18">
      <c r="A12" s="394" t="str">
        <f>IF(ISBLANK(INDEX('Policy Characteristics'!A:A,MATCH($C12,'Policy Characteristics'!$C:$C,0))),"",INDEX('Policy Characteristics'!A:A,MATCH($C12,'Policy Characteristics'!$C:$C,0)))</f>
        <v>Transportation</v>
      </c>
      <c r="B12" s="395" t="str">
        <f>IF(ISBLANK(INDEX('Policy Characteristics'!B:B,MATCH($C12,'Policy Characteristics'!$C:$C,0))),"",INDEX('Policy Characteristics'!B:B,MATCH($C12,'Policy Characteristics'!$C:$C,0)))</f>
        <v>Conventional Pollutant Standards</v>
      </c>
      <c r="C12" s="394" t="str">
        <f t="shared" si="0"/>
        <v>Percentage Reduction of Separately Regulated Pollutants</v>
      </c>
      <c r="D12" s="28" t="s">
        <v>660</v>
      </c>
      <c r="E12" s="28" t="s">
        <v>645</v>
      </c>
      <c r="F12" s="28" t="s">
        <v>661</v>
      </c>
      <c r="G12" s="28" t="s">
        <v>647</v>
      </c>
      <c r="H12" s="377">
        <v>310</v>
      </c>
      <c r="I12" s="396" t="s">
        <v>648</v>
      </c>
      <c r="J12" s="397" t="str">
        <f>IF(ISBLANK(INDEX('Policy Characteristics'!D:D,MATCH($C12,'Policy Characteristics'!$C:$C,0))),"",INDEX('Policy Characteristics'!D:D,MATCH($C12,'Policy Characteristics'!$C:$C,0)))</f>
        <v>Conventional Pollutant Standard</v>
      </c>
      <c r="K12" s="394" t="str">
        <f>IF(ISBLANK(INDEX('Policy Characteristics'!E:E,MATCH($C12,'Policy Characteristics'!$C:$C,0))),"",INDEX('Policy Characteristics'!E:E,MATCH($C12,'Policy Characteristics'!$C:$C,0)))</f>
        <v>trans reduce regulated pollutants</v>
      </c>
      <c r="L12" s="398">
        <f>IF(ISBLANK(INDEX('Policy Characteristics'!F:F,MATCH($C12,'Policy Characteristics'!$C:$C,0))),"",INDEX('Policy Characteristics'!F:F,MATCH($C12,'Policy Characteristics'!$C:$C,0)))</f>
        <v>0</v>
      </c>
      <c r="M12" s="398">
        <f>IF(ISBLANK(INDEX('Policy Characteristics'!G:G,MATCH($C12,'Policy Characteristics'!$C:$C,0))),"",INDEX('Policy Characteristics'!G:G,MATCH($C12,'Policy Characteristics'!$C:$C,0)))</f>
        <v>1</v>
      </c>
      <c r="N12" s="398">
        <f>IF(ISBLANK(INDEX('Policy Characteristics'!H:H,MATCH($C12,'Policy Characteristics'!$C:$C,0))),"",INDEX('Policy Characteristics'!H:H,MATCH($C12,'Policy Characteristics'!$C:$C,0)))</f>
        <v>0.02</v>
      </c>
      <c r="O12" s="394" t="str">
        <f>IF(ISBLANK(INDEX('Policy Characteristics'!I:I,MATCH($C12,'Policy Characteristics'!$C:$C,0))),"",INDEX('Policy Characteristics'!I:I,MATCH($C12,'Policy Characteristics'!$C:$C,0)))</f>
        <v>% reduction in emissions</v>
      </c>
      <c r="P12" s="394"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2" s="394" t="str">
        <f>IF(ISBLANK(INDEX('Policy Characteristics'!K:K,MATCH($C12,'Policy Characteristics'!$C:$C,0))),"",INDEX('Policy Characteristics'!K:K,MATCH($C12,'Policy Characteristics'!$C:$C,0)))</f>
        <v>transportation-sector-main.html#conv-pol-stds</v>
      </c>
      <c r="R12" s="394" t="str">
        <f>IF(ISBLANK(INDEX('Policy Characteristics'!L:L,MATCH($C12,'Policy Characteristics'!$C:$C,0))),"",INDEX('Policy Characteristics'!L:L,MATCH($C12,'Policy Characteristics'!$C:$C,0)))</f>
        <v>conventional-pollutant-standards.html</v>
      </c>
    </row>
    <row r="13" customHeight="1" spans="1:18">
      <c r="A13" s="394" t="str">
        <f>IF(ISBLANK(INDEX('Policy Characteristics'!A:A,MATCH($C13,'Policy Characteristics'!$C:$C,0))),"",INDEX('Policy Characteristics'!A:A,MATCH($C13,'Policy Characteristics'!$C:$C,0)))</f>
        <v>Transportation</v>
      </c>
      <c r="B13" s="395" t="str">
        <f>IF(ISBLANK(INDEX('Policy Characteristics'!B:B,MATCH($C13,'Policy Characteristics'!$C:$C,0))),"",INDEX('Policy Characteristics'!B:B,MATCH($C13,'Policy Characteristics'!$C:$C,0)))</f>
        <v>Conventional Pollutant Standards</v>
      </c>
      <c r="C13" s="394" t="str">
        <f t="shared" si="0"/>
        <v>Percentage Reduction of Separately Regulated Pollutants</v>
      </c>
      <c r="D13" s="28" t="s">
        <v>660</v>
      </c>
      <c r="E13" s="28" t="s">
        <v>649</v>
      </c>
      <c r="F13" s="28" t="s">
        <v>661</v>
      </c>
      <c r="G13" s="28" t="s">
        <v>649</v>
      </c>
      <c r="H13" s="377">
        <v>311</v>
      </c>
      <c r="I13" s="396" t="s">
        <v>648</v>
      </c>
      <c r="J13" s="397" t="str">
        <f>IF(ISBLANK(INDEX('Policy Characteristics'!D:D,MATCH($C13,'Policy Characteristics'!$C:$C,0))),"",INDEX('Policy Characteristics'!D:D,MATCH($C13,'Policy Characteristics'!$C:$C,0)))</f>
        <v>Conventional Pollutant Standard</v>
      </c>
      <c r="K13" s="394" t="str">
        <f>IF(ISBLANK(INDEX('Policy Characteristics'!E:E,MATCH($C13,'Policy Characteristics'!$C:$C,0))),"",INDEX('Policy Characteristics'!E:E,MATCH($C13,'Policy Characteristics'!$C:$C,0)))</f>
        <v>trans reduce regulated pollutants</v>
      </c>
      <c r="L13" s="398">
        <f>IF(ISBLANK(INDEX('Policy Characteristics'!F:F,MATCH($C13,'Policy Characteristics'!$C:$C,0))),"",INDEX('Policy Characteristics'!F:F,MATCH($C13,'Policy Characteristics'!$C:$C,0)))</f>
        <v>0</v>
      </c>
      <c r="M13" s="398">
        <f>IF(ISBLANK(INDEX('Policy Characteristics'!G:G,MATCH($C13,'Policy Characteristics'!$C:$C,0))),"",INDEX('Policy Characteristics'!G:G,MATCH($C13,'Policy Characteristics'!$C:$C,0)))</f>
        <v>1</v>
      </c>
      <c r="N13" s="398">
        <f>IF(ISBLANK(INDEX('Policy Characteristics'!H:H,MATCH($C13,'Policy Characteristics'!$C:$C,0))),"",INDEX('Policy Characteristics'!H:H,MATCH($C13,'Policy Characteristics'!$C:$C,0)))</f>
        <v>0.02</v>
      </c>
      <c r="O13" s="394" t="str">
        <f>IF(ISBLANK(INDEX('Policy Characteristics'!I:I,MATCH($C13,'Policy Characteristics'!$C:$C,0))),"",INDEX('Policy Characteristics'!I:I,MATCH($C13,'Policy Characteristics'!$C:$C,0)))</f>
        <v>% reduction in emissions</v>
      </c>
      <c r="P13" s="394"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3" s="394" t="str">
        <f>IF(ISBLANK(INDEX('Policy Characteristics'!K:K,MATCH($C13,'Policy Characteristics'!$C:$C,0))),"",INDEX('Policy Characteristics'!K:K,MATCH($C13,'Policy Characteristics'!$C:$C,0)))</f>
        <v>transportation-sector-main.html#conv-pol-stds</v>
      </c>
      <c r="R13" s="394" t="str">
        <f>IF(ISBLANK(INDEX('Policy Characteristics'!L:L,MATCH($C13,'Policy Characteristics'!$C:$C,0))),"",INDEX('Policy Characteristics'!L:L,MATCH($C13,'Policy Characteristics'!$C:$C,0)))</f>
        <v>conventional-pollutant-standards.html</v>
      </c>
    </row>
    <row r="14" customHeight="1" spans="1:18">
      <c r="A14" s="394" t="str">
        <f>IF(ISBLANK(INDEX('Policy Characteristics'!A:A,MATCH($C14,'Policy Characteristics'!$C:$C,0))),"",INDEX('Policy Characteristics'!A:A,MATCH($C14,'Policy Characteristics'!$C:$C,0)))</f>
        <v>Transportation</v>
      </c>
      <c r="B14" s="395" t="str">
        <f>IF(ISBLANK(INDEX('Policy Characteristics'!B:B,MATCH($C14,'Policy Characteristics'!$C:$C,0))),"",INDEX('Policy Characteristics'!B:B,MATCH($C14,'Policy Characteristics'!$C:$C,0)))</f>
        <v>Conventional Pollutant Standards</v>
      </c>
      <c r="C14" s="394" t="str">
        <f t="shared" si="0"/>
        <v>Percentage Reduction of Separately Regulated Pollutants</v>
      </c>
      <c r="D14" s="28" t="s">
        <v>660</v>
      </c>
      <c r="E14" s="28" t="s">
        <v>650</v>
      </c>
      <c r="F14" s="28" t="s">
        <v>661</v>
      </c>
      <c r="G14" s="28" t="s">
        <v>650</v>
      </c>
      <c r="H14" s="377">
        <v>312</v>
      </c>
      <c r="I14" s="396" t="s">
        <v>648</v>
      </c>
      <c r="J14" s="397" t="str">
        <f>IF(ISBLANK(INDEX('Policy Characteristics'!D:D,MATCH($C14,'Policy Characteristics'!$C:$C,0))),"",INDEX('Policy Characteristics'!D:D,MATCH($C14,'Policy Characteristics'!$C:$C,0)))</f>
        <v>Conventional Pollutant Standard</v>
      </c>
      <c r="K14" s="394" t="str">
        <f>IF(ISBLANK(INDEX('Policy Characteristics'!E:E,MATCH($C14,'Policy Characteristics'!$C:$C,0))),"",INDEX('Policy Characteristics'!E:E,MATCH($C14,'Policy Characteristics'!$C:$C,0)))</f>
        <v>trans reduce regulated pollutants</v>
      </c>
      <c r="L14" s="398">
        <f>IF(ISBLANK(INDEX('Policy Characteristics'!F:F,MATCH($C14,'Policy Characteristics'!$C:$C,0))),"",INDEX('Policy Characteristics'!F:F,MATCH($C14,'Policy Characteristics'!$C:$C,0)))</f>
        <v>0</v>
      </c>
      <c r="M14" s="398">
        <f>IF(ISBLANK(INDEX('Policy Characteristics'!G:G,MATCH($C14,'Policy Characteristics'!$C:$C,0))),"",INDEX('Policy Characteristics'!G:G,MATCH($C14,'Policy Characteristics'!$C:$C,0)))</f>
        <v>1</v>
      </c>
      <c r="N14" s="398">
        <f>IF(ISBLANK(INDEX('Policy Characteristics'!H:H,MATCH($C14,'Policy Characteristics'!$C:$C,0))),"",INDEX('Policy Characteristics'!H:H,MATCH($C14,'Policy Characteristics'!$C:$C,0)))</f>
        <v>0.02</v>
      </c>
      <c r="O14" s="394" t="str">
        <f>IF(ISBLANK(INDEX('Policy Characteristics'!I:I,MATCH($C14,'Policy Characteristics'!$C:$C,0))),"",INDEX('Policy Characteristics'!I:I,MATCH($C14,'Policy Characteristics'!$C:$C,0)))</f>
        <v>% reduction in emissions</v>
      </c>
      <c r="P14" s="394"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4" s="394" t="str">
        <f>IF(ISBLANK(INDEX('Policy Characteristics'!K:K,MATCH($C14,'Policy Characteristics'!$C:$C,0))),"",INDEX('Policy Characteristics'!K:K,MATCH($C14,'Policy Characteristics'!$C:$C,0)))</f>
        <v>transportation-sector-main.html#conv-pol-stds</v>
      </c>
      <c r="R14" s="394" t="str">
        <f>IF(ISBLANK(INDEX('Policy Characteristics'!L:L,MATCH($C14,'Policy Characteristics'!$C:$C,0))),"",INDEX('Policy Characteristics'!L:L,MATCH($C14,'Policy Characteristics'!$C:$C,0)))</f>
        <v>conventional-pollutant-standards.html</v>
      </c>
    </row>
    <row r="15" customHeight="1" spans="1:18">
      <c r="A15" s="394" t="str">
        <f>IF(ISBLANK(INDEX('Policy Characteristics'!A:A,MATCH($C15,'Policy Characteristics'!$C:$C,0))),"",INDEX('Policy Characteristics'!A:A,MATCH($C15,'Policy Characteristics'!$C:$C,0)))</f>
        <v>Transportation</v>
      </c>
      <c r="B15" s="395" t="str">
        <f>IF(ISBLANK(INDEX('Policy Characteristics'!B:B,MATCH($C15,'Policy Characteristics'!$C:$C,0))),"",INDEX('Policy Characteristics'!B:B,MATCH($C15,'Policy Characteristics'!$C:$C,0)))</f>
        <v>Conventional Pollutant Standards</v>
      </c>
      <c r="C15" s="394" t="str">
        <f t="shared" si="0"/>
        <v>Percentage Reduction of Separately Regulated Pollutants</v>
      </c>
      <c r="D15" s="28" t="s">
        <v>660</v>
      </c>
      <c r="E15" s="28" t="s">
        <v>651</v>
      </c>
      <c r="F15" s="28" t="s">
        <v>661</v>
      </c>
      <c r="G15" s="28" t="s">
        <v>651</v>
      </c>
      <c r="H15" s="377">
        <v>313</v>
      </c>
      <c r="I15" s="396" t="s">
        <v>648</v>
      </c>
      <c r="J15" s="397" t="str">
        <f>IF(ISBLANK(INDEX('Policy Characteristics'!D:D,MATCH($C15,'Policy Characteristics'!$C:$C,0))),"",INDEX('Policy Characteristics'!D:D,MATCH($C15,'Policy Characteristics'!$C:$C,0)))</f>
        <v>Conventional Pollutant Standard</v>
      </c>
      <c r="K15" s="394" t="str">
        <f>IF(ISBLANK(INDEX('Policy Characteristics'!E:E,MATCH($C15,'Policy Characteristics'!$C:$C,0))),"",INDEX('Policy Characteristics'!E:E,MATCH($C15,'Policy Characteristics'!$C:$C,0)))</f>
        <v>trans reduce regulated pollutants</v>
      </c>
      <c r="L15" s="398">
        <f>IF(ISBLANK(INDEX('Policy Characteristics'!F:F,MATCH($C15,'Policy Characteristics'!$C:$C,0))),"",INDEX('Policy Characteristics'!F:F,MATCH($C15,'Policy Characteristics'!$C:$C,0)))</f>
        <v>0</v>
      </c>
      <c r="M15" s="398">
        <f>IF(ISBLANK(INDEX('Policy Characteristics'!G:G,MATCH($C15,'Policy Characteristics'!$C:$C,0))),"",INDEX('Policy Characteristics'!G:G,MATCH($C15,'Policy Characteristics'!$C:$C,0)))</f>
        <v>1</v>
      </c>
      <c r="N15" s="398">
        <f>IF(ISBLANK(INDEX('Policy Characteristics'!H:H,MATCH($C15,'Policy Characteristics'!$C:$C,0))),"",INDEX('Policy Characteristics'!H:H,MATCH($C15,'Policy Characteristics'!$C:$C,0)))</f>
        <v>0.02</v>
      </c>
      <c r="O15" s="394" t="str">
        <f>IF(ISBLANK(INDEX('Policy Characteristics'!I:I,MATCH($C15,'Policy Characteristics'!$C:$C,0))),"",INDEX('Policy Characteristics'!I:I,MATCH($C15,'Policy Characteristics'!$C:$C,0)))</f>
        <v>% reduction in emissions</v>
      </c>
      <c r="P15" s="394"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5" s="394" t="str">
        <f>IF(ISBLANK(INDEX('Policy Characteristics'!K:K,MATCH($C15,'Policy Characteristics'!$C:$C,0))),"",INDEX('Policy Characteristics'!K:K,MATCH($C15,'Policy Characteristics'!$C:$C,0)))</f>
        <v>transportation-sector-main.html#conv-pol-stds</v>
      </c>
      <c r="R15" s="394" t="str">
        <f>IF(ISBLANK(INDEX('Policy Characteristics'!L:L,MATCH($C15,'Policy Characteristics'!$C:$C,0))),"",INDEX('Policy Characteristics'!L:L,MATCH($C15,'Policy Characteristics'!$C:$C,0)))</f>
        <v>conventional-pollutant-standards.html</v>
      </c>
    </row>
    <row r="16" customHeight="1" spans="1:18">
      <c r="A16" s="394" t="str">
        <f>IF(ISBLANK(INDEX('Policy Characteristics'!A:A,MATCH($C16,'Policy Characteristics'!$C:$C,0))),"",INDEX('Policy Characteristics'!A:A,MATCH($C16,'Policy Characteristics'!$C:$C,0)))</f>
        <v>Transportation</v>
      </c>
      <c r="B16" s="395" t="str">
        <f>IF(ISBLANK(INDEX('Policy Characteristics'!B:B,MATCH($C16,'Policy Characteristics'!$C:$C,0))),"",INDEX('Policy Characteristics'!B:B,MATCH($C16,'Policy Characteristics'!$C:$C,0)))</f>
        <v>Conventional Pollutant Standards</v>
      </c>
      <c r="C16" s="394" t="str">
        <f t="shared" si="0"/>
        <v>Percentage Reduction of Separately Regulated Pollutants</v>
      </c>
      <c r="D16" s="28" t="s">
        <v>660</v>
      </c>
      <c r="E16" s="28" t="s">
        <v>652</v>
      </c>
      <c r="F16" s="28" t="s">
        <v>661</v>
      </c>
      <c r="G16" s="28" t="s">
        <v>653</v>
      </c>
      <c r="H16" s="377">
        <v>314</v>
      </c>
      <c r="I16" s="396" t="s">
        <v>648</v>
      </c>
      <c r="J16" s="397" t="str">
        <f>IF(ISBLANK(INDEX('Policy Characteristics'!D:D,MATCH($C16,'Policy Characteristics'!$C:$C,0))),"",INDEX('Policy Characteristics'!D:D,MATCH($C16,'Policy Characteristics'!$C:$C,0)))</f>
        <v>Conventional Pollutant Standard</v>
      </c>
      <c r="K16" s="394" t="str">
        <f>IF(ISBLANK(INDEX('Policy Characteristics'!E:E,MATCH($C16,'Policy Characteristics'!$C:$C,0))),"",INDEX('Policy Characteristics'!E:E,MATCH($C16,'Policy Characteristics'!$C:$C,0)))</f>
        <v>trans reduce regulated pollutants</v>
      </c>
      <c r="L16" s="398">
        <f>IF(ISBLANK(INDEX('Policy Characteristics'!F:F,MATCH($C16,'Policy Characteristics'!$C:$C,0))),"",INDEX('Policy Characteristics'!F:F,MATCH($C16,'Policy Characteristics'!$C:$C,0)))</f>
        <v>0</v>
      </c>
      <c r="M16" s="398">
        <f>IF(ISBLANK(INDEX('Policy Characteristics'!G:G,MATCH($C16,'Policy Characteristics'!$C:$C,0))),"",INDEX('Policy Characteristics'!G:G,MATCH($C16,'Policy Characteristics'!$C:$C,0)))</f>
        <v>1</v>
      </c>
      <c r="N16" s="398">
        <f>IF(ISBLANK(INDEX('Policy Characteristics'!H:H,MATCH($C16,'Policy Characteristics'!$C:$C,0))),"",INDEX('Policy Characteristics'!H:H,MATCH($C16,'Policy Characteristics'!$C:$C,0)))</f>
        <v>0.02</v>
      </c>
      <c r="O16" s="394" t="str">
        <f>IF(ISBLANK(INDEX('Policy Characteristics'!I:I,MATCH($C16,'Policy Characteristics'!$C:$C,0))),"",INDEX('Policy Characteristics'!I:I,MATCH($C16,'Policy Characteristics'!$C:$C,0)))</f>
        <v>% reduction in emissions</v>
      </c>
      <c r="P16" s="394"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6" s="394" t="str">
        <f>IF(ISBLANK(INDEX('Policy Characteristics'!K:K,MATCH($C16,'Policy Characteristics'!$C:$C,0))),"",INDEX('Policy Characteristics'!K:K,MATCH($C16,'Policy Characteristics'!$C:$C,0)))</f>
        <v>transportation-sector-main.html#conv-pol-stds</v>
      </c>
      <c r="R16" s="394" t="str">
        <f>IF(ISBLANK(INDEX('Policy Characteristics'!L:L,MATCH($C16,'Policy Characteristics'!$C:$C,0))),"",INDEX('Policy Characteristics'!L:L,MATCH($C16,'Policy Characteristics'!$C:$C,0)))</f>
        <v>conventional-pollutant-standards.html</v>
      </c>
    </row>
    <row r="17" customHeight="1" spans="1:18">
      <c r="A17" s="394" t="str">
        <f>IF(ISBLANK(INDEX('Policy Characteristics'!A:A,MATCH($C17,'Policy Characteristics'!$C:$C,0))),"",INDEX('Policy Characteristics'!A:A,MATCH($C17,'Policy Characteristics'!$C:$C,0)))</f>
        <v>Transportation</v>
      </c>
      <c r="B17" s="395" t="str">
        <f>IF(ISBLANK(INDEX('Policy Characteristics'!B:B,MATCH($C17,'Policy Characteristics'!$C:$C,0))),"",INDEX('Policy Characteristics'!B:B,MATCH($C17,'Policy Characteristics'!$C:$C,0)))</f>
        <v>Conventional Pollutant Standards</v>
      </c>
      <c r="C17" s="394" t="str">
        <f t="shared" si="0"/>
        <v>Percentage Reduction of Separately Regulated Pollutants</v>
      </c>
      <c r="D17" s="28" t="s">
        <v>660</v>
      </c>
      <c r="E17" s="28" t="s">
        <v>654</v>
      </c>
      <c r="F17" s="28" t="s">
        <v>661</v>
      </c>
      <c r="G17" s="28" t="s">
        <v>654</v>
      </c>
      <c r="H17" s="377">
        <v>315</v>
      </c>
      <c r="I17" s="396" t="s">
        <v>648</v>
      </c>
      <c r="J17" s="397" t="str">
        <f>IF(ISBLANK(INDEX('Policy Characteristics'!D:D,MATCH($C17,'Policy Characteristics'!$C:$C,0))),"",INDEX('Policy Characteristics'!D:D,MATCH($C17,'Policy Characteristics'!$C:$C,0)))</f>
        <v>Conventional Pollutant Standard</v>
      </c>
      <c r="K17" s="394" t="str">
        <f>IF(ISBLANK(INDEX('Policy Characteristics'!E:E,MATCH($C17,'Policy Characteristics'!$C:$C,0))),"",INDEX('Policy Characteristics'!E:E,MATCH($C17,'Policy Characteristics'!$C:$C,0)))</f>
        <v>trans reduce regulated pollutants</v>
      </c>
      <c r="L17" s="398">
        <f>IF(ISBLANK(INDEX('Policy Characteristics'!F:F,MATCH($C17,'Policy Characteristics'!$C:$C,0))),"",INDEX('Policy Characteristics'!F:F,MATCH($C17,'Policy Characteristics'!$C:$C,0)))</f>
        <v>0</v>
      </c>
      <c r="M17" s="398">
        <f>IF(ISBLANK(INDEX('Policy Characteristics'!G:G,MATCH($C17,'Policy Characteristics'!$C:$C,0))),"",INDEX('Policy Characteristics'!G:G,MATCH($C17,'Policy Characteristics'!$C:$C,0)))</f>
        <v>1</v>
      </c>
      <c r="N17" s="398">
        <f>IF(ISBLANK(INDEX('Policy Characteristics'!H:H,MATCH($C17,'Policy Characteristics'!$C:$C,0))),"",INDEX('Policy Characteristics'!H:H,MATCH($C17,'Policy Characteristics'!$C:$C,0)))</f>
        <v>0.02</v>
      </c>
      <c r="O17" s="394" t="str">
        <f>IF(ISBLANK(INDEX('Policy Characteristics'!I:I,MATCH($C17,'Policy Characteristics'!$C:$C,0))),"",INDEX('Policy Characteristics'!I:I,MATCH($C17,'Policy Characteristics'!$C:$C,0)))</f>
        <v>% reduction in emissions</v>
      </c>
      <c r="P17" s="394"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7" s="394" t="str">
        <f>IF(ISBLANK(INDEX('Policy Characteristics'!K:K,MATCH($C17,'Policy Characteristics'!$C:$C,0))),"",INDEX('Policy Characteristics'!K:K,MATCH($C17,'Policy Characteristics'!$C:$C,0)))</f>
        <v>transportation-sector-main.html#conv-pol-stds</v>
      </c>
      <c r="R17" s="394" t="str">
        <f>IF(ISBLANK(INDEX('Policy Characteristics'!L:L,MATCH($C17,'Policy Characteristics'!$C:$C,0))),"",INDEX('Policy Characteristics'!L:L,MATCH($C17,'Policy Characteristics'!$C:$C,0)))</f>
        <v>conventional-pollutant-standards.html</v>
      </c>
    </row>
    <row r="18" customHeight="1" spans="1:18">
      <c r="A18" s="394" t="str">
        <f>IF(ISBLANK(INDEX('Policy Characteristics'!A:A,MATCH($C18,'Policy Characteristics'!$C:$C,0))),"",INDEX('Policy Characteristics'!A:A,MATCH($C18,'Policy Characteristics'!$C:$C,0)))</f>
        <v>Transportation</v>
      </c>
      <c r="B18" s="395" t="str">
        <f>IF(ISBLANK(INDEX('Policy Characteristics'!B:B,MATCH($C18,'Policy Characteristics'!$C:$C,0))),"",INDEX('Policy Characteristics'!B:B,MATCH($C18,'Policy Characteristics'!$C:$C,0)))</f>
        <v>Conventional Pollutant Standards</v>
      </c>
      <c r="C18" s="394" t="str">
        <f t="shared" si="0"/>
        <v>Percentage Reduction of Separately Regulated Pollutants</v>
      </c>
      <c r="D18" s="28" t="s">
        <v>660</v>
      </c>
      <c r="E18" s="28" t="s">
        <v>655</v>
      </c>
      <c r="F18" s="28" t="s">
        <v>661</v>
      </c>
      <c r="G18" s="28" t="s">
        <v>655</v>
      </c>
      <c r="H18" s="377">
        <v>316</v>
      </c>
      <c r="I18" s="396" t="s">
        <v>648</v>
      </c>
      <c r="J18" s="397" t="str">
        <f>IF(ISBLANK(INDEX('Policy Characteristics'!D:D,MATCH($C18,'Policy Characteristics'!$C:$C,0))),"",INDEX('Policy Characteristics'!D:D,MATCH($C18,'Policy Characteristics'!$C:$C,0)))</f>
        <v>Conventional Pollutant Standard</v>
      </c>
      <c r="K18" s="394" t="str">
        <f>IF(ISBLANK(INDEX('Policy Characteristics'!E:E,MATCH($C18,'Policy Characteristics'!$C:$C,0))),"",INDEX('Policy Characteristics'!E:E,MATCH($C18,'Policy Characteristics'!$C:$C,0)))</f>
        <v>trans reduce regulated pollutants</v>
      </c>
      <c r="L18" s="398">
        <f>IF(ISBLANK(INDEX('Policy Characteristics'!F:F,MATCH($C18,'Policy Characteristics'!$C:$C,0))),"",INDEX('Policy Characteristics'!F:F,MATCH($C18,'Policy Characteristics'!$C:$C,0)))</f>
        <v>0</v>
      </c>
      <c r="M18" s="398">
        <f>IF(ISBLANK(INDEX('Policy Characteristics'!G:G,MATCH($C18,'Policy Characteristics'!$C:$C,0))),"",INDEX('Policy Characteristics'!G:G,MATCH($C18,'Policy Characteristics'!$C:$C,0)))</f>
        <v>1</v>
      </c>
      <c r="N18" s="398">
        <f>IF(ISBLANK(INDEX('Policy Characteristics'!H:H,MATCH($C18,'Policy Characteristics'!$C:$C,0))),"",INDEX('Policy Characteristics'!H:H,MATCH($C18,'Policy Characteristics'!$C:$C,0)))</f>
        <v>0.02</v>
      </c>
      <c r="O18" s="394" t="str">
        <f>IF(ISBLANK(INDEX('Policy Characteristics'!I:I,MATCH($C18,'Policy Characteristics'!$C:$C,0))),"",INDEX('Policy Characteristics'!I:I,MATCH($C18,'Policy Characteristics'!$C:$C,0)))</f>
        <v>% reduction in emissions</v>
      </c>
      <c r="P18" s="394"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8" s="394" t="str">
        <f>IF(ISBLANK(INDEX('Policy Characteristics'!K:K,MATCH($C18,'Policy Characteristics'!$C:$C,0))),"",INDEX('Policy Characteristics'!K:K,MATCH($C18,'Policy Characteristics'!$C:$C,0)))</f>
        <v>transportation-sector-main.html#conv-pol-stds</v>
      </c>
      <c r="R18" s="394" t="str">
        <f>IF(ISBLANK(INDEX('Policy Characteristics'!L:L,MATCH($C18,'Policy Characteristics'!$C:$C,0))),"",INDEX('Policy Characteristics'!L:L,MATCH($C18,'Policy Characteristics'!$C:$C,0)))</f>
        <v>conventional-pollutant-standards.html</v>
      </c>
    </row>
    <row r="19" customHeight="1" spans="1:18">
      <c r="A19" s="394" t="str">
        <f>IF(ISBLANK(INDEX('Policy Characteristics'!A:A,MATCH($C19,'Policy Characteristics'!$C:$C,0))),"",INDEX('Policy Characteristics'!A:A,MATCH($C19,'Policy Characteristics'!$C:$C,0)))</f>
        <v>Transportation</v>
      </c>
      <c r="B19" s="395" t="str">
        <f>IF(ISBLANK(INDEX('Policy Characteristics'!B:B,MATCH($C19,'Policy Characteristics'!$C:$C,0))),"",INDEX('Policy Characteristics'!B:B,MATCH($C19,'Policy Characteristics'!$C:$C,0)))</f>
        <v>Conventional Pollutant Standards</v>
      </c>
      <c r="C19" s="394" t="str">
        <f t="shared" si="0"/>
        <v>Percentage Reduction of Separately Regulated Pollutants</v>
      </c>
      <c r="D19" s="28" t="s">
        <v>660</v>
      </c>
      <c r="E19" s="28" t="s">
        <v>656</v>
      </c>
      <c r="F19" s="28" t="s">
        <v>661</v>
      </c>
      <c r="G19" s="28" t="s">
        <v>656</v>
      </c>
      <c r="H19" s="377">
        <v>317</v>
      </c>
      <c r="I19" s="396" t="s">
        <v>648</v>
      </c>
      <c r="J19" s="397" t="str">
        <f>IF(ISBLANK(INDEX('Policy Characteristics'!D:D,MATCH($C19,'Policy Characteristics'!$C:$C,0))),"",INDEX('Policy Characteristics'!D:D,MATCH($C19,'Policy Characteristics'!$C:$C,0)))</f>
        <v>Conventional Pollutant Standard</v>
      </c>
      <c r="K19" s="394" t="str">
        <f>IF(ISBLANK(INDEX('Policy Characteristics'!E:E,MATCH($C19,'Policy Characteristics'!$C:$C,0))),"",INDEX('Policy Characteristics'!E:E,MATCH($C19,'Policy Characteristics'!$C:$C,0)))</f>
        <v>trans reduce regulated pollutants</v>
      </c>
      <c r="L19" s="398">
        <f>IF(ISBLANK(INDEX('Policy Characteristics'!F:F,MATCH($C19,'Policy Characteristics'!$C:$C,0))),"",INDEX('Policy Characteristics'!F:F,MATCH($C19,'Policy Characteristics'!$C:$C,0)))</f>
        <v>0</v>
      </c>
      <c r="M19" s="398">
        <f>IF(ISBLANK(INDEX('Policy Characteristics'!G:G,MATCH($C19,'Policy Characteristics'!$C:$C,0))),"",INDEX('Policy Characteristics'!G:G,MATCH($C19,'Policy Characteristics'!$C:$C,0)))</f>
        <v>1</v>
      </c>
      <c r="N19" s="398">
        <f>IF(ISBLANK(INDEX('Policy Characteristics'!H:H,MATCH($C19,'Policy Characteristics'!$C:$C,0))),"",INDEX('Policy Characteristics'!H:H,MATCH($C19,'Policy Characteristics'!$C:$C,0)))</f>
        <v>0.02</v>
      </c>
      <c r="O19" s="394" t="str">
        <f>IF(ISBLANK(INDEX('Policy Characteristics'!I:I,MATCH($C19,'Policy Characteristics'!$C:$C,0))),"",INDEX('Policy Characteristics'!I:I,MATCH($C19,'Policy Characteristics'!$C:$C,0)))</f>
        <v>% reduction in emissions</v>
      </c>
      <c r="P19" s="394"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9" s="394" t="str">
        <f>IF(ISBLANK(INDEX('Policy Characteristics'!K:K,MATCH($C19,'Policy Characteristics'!$C:$C,0))),"",INDEX('Policy Characteristics'!K:K,MATCH($C19,'Policy Characteristics'!$C:$C,0)))</f>
        <v>transportation-sector-main.html#conv-pol-stds</v>
      </c>
      <c r="R19" s="394" t="str">
        <f>IF(ISBLANK(INDEX('Policy Characteristics'!L:L,MATCH($C19,'Policy Characteristics'!$C:$C,0))),"",INDEX('Policy Characteristics'!L:L,MATCH($C19,'Policy Characteristics'!$C:$C,0)))</f>
        <v>conventional-pollutant-standards.html</v>
      </c>
    </row>
    <row r="20" customHeight="1" spans="1:18">
      <c r="A20" s="394" t="str">
        <f>IF(ISBLANK(INDEX('Policy Characteristics'!A:A,MATCH($C20,'Policy Characteristics'!$C:$C,0))),"",INDEX('Policy Characteristics'!A:A,MATCH($C20,'Policy Characteristics'!$C:$C,0)))</f>
        <v>Transportation</v>
      </c>
      <c r="B20" s="395" t="str">
        <f>IF(ISBLANK(INDEX('Policy Characteristics'!B:B,MATCH($C20,'Policy Characteristics'!$C:$C,0))),"",INDEX('Policy Characteristics'!B:B,MATCH($C20,'Policy Characteristics'!$C:$C,0)))</f>
        <v>Conventional Pollutant Standards</v>
      </c>
      <c r="C20" s="394" t="str">
        <f t="shared" si="0"/>
        <v>Percentage Reduction of Separately Regulated Pollutants</v>
      </c>
      <c r="D20" s="28" t="s">
        <v>660</v>
      </c>
      <c r="E20" s="28" t="s">
        <v>657</v>
      </c>
      <c r="F20" s="28" t="s">
        <v>661</v>
      </c>
      <c r="G20" s="28" t="s">
        <v>657</v>
      </c>
      <c r="H20" s="377">
        <v>318</v>
      </c>
      <c r="I20" s="396" t="s">
        <v>658</v>
      </c>
      <c r="J20" s="397" t="str">
        <f>IF(ISBLANK(INDEX('Policy Characteristics'!D:D,MATCH($C20,'Policy Characteristics'!$C:$C,0))),"",INDEX('Policy Characteristics'!D:D,MATCH($C20,'Policy Characteristics'!$C:$C,0)))</f>
        <v>Conventional Pollutant Standard</v>
      </c>
      <c r="K20" s="394" t="str">
        <f>IF(ISBLANK(INDEX('Policy Characteristics'!E:E,MATCH($C20,'Policy Characteristics'!$C:$C,0))),"",INDEX('Policy Characteristics'!E:E,MATCH($C20,'Policy Characteristics'!$C:$C,0)))</f>
        <v>trans reduce regulated pollutants</v>
      </c>
      <c r="L20" s="398">
        <f>IF(ISBLANK(INDEX('Policy Characteristics'!F:F,MATCH($C20,'Policy Characteristics'!$C:$C,0))),"",INDEX('Policy Characteristics'!F:F,MATCH($C20,'Policy Characteristics'!$C:$C,0)))</f>
        <v>0</v>
      </c>
      <c r="M20" s="398">
        <f>IF(ISBLANK(INDEX('Policy Characteristics'!G:G,MATCH($C20,'Policy Characteristics'!$C:$C,0))),"",INDEX('Policy Characteristics'!G:G,MATCH($C20,'Policy Characteristics'!$C:$C,0)))</f>
        <v>1</v>
      </c>
      <c r="N20" s="398">
        <f>IF(ISBLANK(INDEX('Policy Characteristics'!H:H,MATCH($C20,'Policy Characteristics'!$C:$C,0))),"",INDEX('Policy Characteristics'!H:H,MATCH($C20,'Policy Characteristics'!$C:$C,0)))</f>
        <v>0.02</v>
      </c>
      <c r="O20" s="394" t="str">
        <f>IF(ISBLANK(INDEX('Policy Characteristics'!I:I,MATCH($C20,'Policy Characteristics'!$C:$C,0))),"",INDEX('Policy Characteristics'!I:I,MATCH($C20,'Policy Characteristics'!$C:$C,0)))</f>
        <v>% reduction in emissions</v>
      </c>
      <c r="P20" s="394"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0" s="394" t="str">
        <f>IF(ISBLANK(INDEX('Policy Characteristics'!K:K,MATCH($C20,'Policy Characteristics'!$C:$C,0))),"",INDEX('Policy Characteristics'!K:K,MATCH($C20,'Policy Characteristics'!$C:$C,0)))</f>
        <v>transportation-sector-main.html#conv-pol-stds</v>
      </c>
      <c r="R20" s="394" t="str">
        <f>IF(ISBLANK(INDEX('Policy Characteristics'!L:L,MATCH($C20,'Policy Characteristics'!$C:$C,0))),"",INDEX('Policy Characteristics'!L:L,MATCH($C20,'Policy Characteristics'!$C:$C,0)))</f>
        <v>conventional-pollutant-standards.html</v>
      </c>
    </row>
    <row r="21" customHeight="1" spans="1:18">
      <c r="A21" s="394" t="str">
        <f>IF(ISBLANK(INDEX('Policy Characteristics'!A:A,MATCH($C21,'Policy Characteristics'!$C:$C,0))),"",INDEX('Policy Characteristics'!A:A,MATCH($C21,'Policy Characteristics'!$C:$C,0)))</f>
        <v>Transportation</v>
      </c>
      <c r="B21" s="395" t="str">
        <f>IF(ISBLANK(INDEX('Policy Characteristics'!B:B,MATCH($C21,'Policy Characteristics'!$C:$C,0))),"",INDEX('Policy Characteristics'!B:B,MATCH($C21,'Policy Characteristics'!$C:$C,0)))</f>
        <v>Conventional Pollutant Standards</v>
      </c>
      <c r="C21" s="394" t="str">
        <f t="shared" si="0"/>
        <v>Percentage Reduction of Separately Regulated Pollutants</v>
      </c>
      <c r="D21" s="28" t="s">
        <v>660</v>
      </c>
      <c r="E21" s="28" t="s">
        <v>659</v>
      </c>
      <c r="F21" s="28" t="s">
        <v>661</v>
      </c>
      <c r="G21" s="28" t="s">
        <v>659</v>
      </c>
      <c r="H21" s="377">
        <v>319</v>
      </c>
      <c r="I21" s="396" t="s">
        <v>658</v>
      </c>
      <c r="J21" s="397" t="str">
        <f>IF(ISBLANK(INDEX('Policy Characteristics'!D:D,MATCH($C21,'Policy Characteristics'!$C:$C,0))),"",INDEX('Policy Characteristics'!D:D,MATCH($C21,'Policy Characteristics'!$C:$C,0)))</f>
        <v>Conventional Pollutant Standard</v>
      </c>
      <c r="K21" s="394" t="str">
        <f>IF(ISBLANK(INDEX('Policy Characteristics'!E:E,MATCH($C21,'Policy Characteristics'!$C:$C,0))),"",INDEX('Policy Characteristics'!E:E,MATCH($C21,'Policy Characteristics'!$C:$C,0)))</f>
        <v>trans reduce regulated pollutants</v>
      </c>
      <c r="L21" s="398">
        <f>IF(ISBLANK(INDEX('Policy Characteristics'!F:F,MATCH($C21,'Policy Characteristics'!$C:$C,0))),"",INDEX('Policy Characteristics'!F:F,MATCH($C21,'Policy Characteristics'!$C:$C,0)))</f>
        <v>0</v>
      </c>
      <c r="M21" s="398">
        <f>IF(ISBLANK(INDEX('Policy Characteristics'!G:G,MATCH($C21,'Policy Characteristics'!$C:$C,0))),"",INDEX('Policy Characteristics'!G:G,MATCH($C21,'Policy Characteristics'!$C:$C,0)))</f>
        <v>1</v>
      </c>
      <c r="N21" s="398">
        <f>IF(ISBLANK(INDEX('Policy Characteristics'!H:H,MATCH($C21,'Policy Characteristics'!$C:$C,0))),"",INDEX('Policy Characteristics'!H:H,MATCH($C21,'Policy Characteristics'!$C:$C,0)))</f>
        <v>0.02</v>
      </c>
      <c r="O21" s="394" t="str">
        <f>IF(ISBLANK(INDEX('Policy Characteristics'!I:I,MATCH($C21,'Policy Characteristics'!$C:$C,0))),"",INDEX('Policy Characteristics'!I:I,MATCH($C21,'Policy Characteristics'!$C:$C,0)))</f>
        <v>% reduction in emissions</v>
      </c>
      <c r="P21" s="394"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1" s="394" t="str">
        <f>IF(ISBLANK(INDEX('Policy Characteristics'!K:K,MATCH($C21,'Policy Characteristics'!$C:$C,0))),"",INDEX('Policy Characteristics'!K:K,MATCH($C21,'Policy Characteristics'!$C:$C,0)))</f>
        <v>transportation-sector-main.html#conv-pol-stds</v>
      </c>
      <c r="R21" s="394" t="str">
        <f>IF(ISBLANK(INDEX('Policy Characteristics'!L:L,MATCH($C21,'Policy Characteristics'!$C:$C,0))),"",INDEX('Policy Characteristics'!L:L,MATCH($C21,'Policy Characteristics'!$C:$C,0)))</f>
        <v>conventional-pollutant-standards.html</v>
      </c>
    </row>
    <row r="22" customHeight="1" spans="1:18">
      <c r="A22" s="394" t="str">
        <f>IF(ISBLANK(INDEX('Policy Characteristics'!A:A,MATCH($C22,'Policy Characteristics'!$C:$C,0))),"",INDEX('Policy Characteristics'!A:A,MATCH($C22,'Policy Characteristics'!$C:$C,0)))</f>
        <v>Transportation</v>
      </c>
      <c r="B22" s="395" t="str">
        <f>IF(ISBLANK(INDEX('Policy Characteristics'!B:B,MATCH($C22,'Policy Characteristics'!$C:$C,0))),"",INDEX('Policy Characteristics'!B:B,MATCH($C22,'Policy Characteristics'!$C:$C,0)))</f>
        <v>Conventional Pollutant Standards</v>
      </c>
      <c r="C22" s="394" t="str">
        <f t="shared" si="0"/>
        <v>Percentage Reduction of Separately Regulated Pollutants</v>
      </c>
      <c r="D22" s="28" t="s">
        <v>662</v>
      </c>
      <c r="E22" s="28" t="s">
        <v>645</v>
      </c>
      <c r="F22" s="28" t="s">
        <v>663</v>
      </c>
      <c r="G22" s="28" t="s">
        <v>647</v>
      </c>
      <c r="H22" s="377">
        <v>320</v>
      </c>
      <c r="I22" s="396" t="s">
        <v>648</v>
      </c>
      <c r="J22" s="397" t="str">
        <f>IF(ISBLANK(INDEX('Policy Characteristics'!D:D,MATCH($C22,'Policy Characteristics'!$C:$C,0))),"",INDEX('Policy Characteristics'!D:D,MATCH($C22,'Policy Characteristics'!$C:$C,0)))</f>
        <v>Conventional Pollutant Standard</v>
      </c>
      <c r="K22" s="394" t="str">
        <f>IF(ISBLANK(INDEX('Policy Characteristics'!E:E,MATCH($C22,'Policy Characteristics'!$C:$C,0))),"",INDEX('Policy Characteristics'!E:E,MATCH($C22,'Policy Characteristics'!$C:$C,0)))</f>
        <v>trans reduce regulated pollutants</v>
      </c>
      <c r="L22" s="398">
        <f>IF(ISBLANK(INDEX('Policy Characteristics'!F:F,MATCH($C22,'Policy Characteristics'!$C:$C,0))),"",INDEX('Policy Characteristics'!F:F,MATCH($C22,'Policy Characteristics'!$C:$C,0)))</f>
        <v>0</v>
      </c>
      <c r="M22" s="398">
        <f>IF(ISBLANK(INDEX('Policy Characteristics'!G:G,MATCH($C22,'Policy Characteristics'!$C:$C,0))),"",INDEX('Policy Characteristics'!G:G,MATCH($C22,'Policy Characteristics'!$C:$C,0)))</f>
        <v>1</v>
      </c>
      <c r="N22" s="398">
        <f>IF(ISBLANK(INDEX('Policy Characteristics'!H:H,MATCH($C22,'Policy Characteristics'!$C:$C,0))),"",INDEX('Policy Characteristics'!H:H,MATCH($C22,'Policy Characteristics'!$C:$C,0)))</f>
        <v>0.02</v>
      </c>
      <c r="O22" s="394" t="str">
        <f>IF(ISBLANK(INDEX('Policy Characteristics'!I:I,MATCH($C22,'Policy Characteristics'!$C:$C,0))),"",INDEX('Policy Characteristics'!I:I,MATCH($C22,'Policy Characteristics'!$C:$C,0)))</f>
        <v>% reduction in emissions</v>
      </c>
      <c r="P22" s="394"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2" s="394" t="str">
        <f>IF(ISBLANK(INDEX('Policy Characteristics'!K:K,MATCH($C22,'Policy Characteristics'!$C:$C,0))),"",INDEX('Policy Characteristics'!K:K,MATCH($C22,'Policy Characteristics'!$C:$C,0)))</f>
        <v>transportation-sector-main.html#conv-pol-stds</v>
      </c>
      <c r="R22" s="394" t="str">
        <f>IF(ISBLANK(INDEX('Policy Characteristics'!L:L,MATCH($C22,'Policy Characteristics'!$C:$C,0))),"",INDEX('Policy Characteristics'!L:L,MATCH($C22,'Policy Characteristics'!$C:$C,0)))</f>
        <v>conventional-pollutant-standards.html</v>
      </c>
    </row>
    <row r="23" customHeight="1" spans="1:18">
      <c r="A23" s="394" t="str">
        <f>IF(ISBLANK(INDEX('Policy Characteristics'!A:A,MATCH($C23,'Policy Characteristics'!$C:$C,0))),"",INDEX('Policy Characteristics'!A:A,MATCH($C23,'Policy Characteristics'!$C:$C,0)))</f>
        <v>Transportation</v>
      </c>
      <c r="B23" s="395" t="str">
        <f>IF(ISBLANK(INDEX('Policy Characteristics'!B:B,MATCH($C23,'Policy Characteristics'!$C:$C,0))),"",INDEX('Policy Characteristics'!B:B,MATCH($C23,'Policy Characteristics'!$C:$C,0)))</f>
        <v>Conventional Pollutant Standards</v>
      </c>
      <c r="C23" s="394" t="str">
        <f t="shared" ref="C23:C32" si="1">C$2</f>
        <v>Percentage Reduction of Separately Regulated Pollutants</v>
      </c>
      <c r="D23" s="28" t="s">
        <v>662</v>
      </c>
      <c r="E23" s="28" t="s">
        <v>649</v>
      </c>
      <c r="F23" s="28" t="s">
        <v>663</v>
      </c>
      <c r="G23" s="28" t="s">
        <v>649</v>
      </c>
      <c r="H23" s="377">
        <v>321</v>
      </c>
      <c r="I23" s="396" t="s">
        <v>658</v>
      </c>
      <c r="J23" s="397" t="str">
        <f>IF(ISBLANK(INDEX('Policy Characteristics'!D:D,MATCH($C23,'Policy Characteristics'!$C:$C,0))),"",INDEX('Policy Characteristics'!D:D,MATCH($C23,'Policy Characteristics'!$C:$C,0)))</f>
        <v>Conventional Pollutant Standard</v>
      </c>
      <c r="K23" s="394" t="str">
        <f>IF(ISBLANK(INDEX('Policy Characteristics'!E:E,MATCH($C23,'Policy Characteristics'!$C:$C,0))),"",INDEX('Policy Characteristics'!E:E,MATCH($C23,'Policy Characteristics'!$C:$C,0)))</f>
        <v>trans reduce regulated pollutants</v>
      </c>
      <c r="L23" s="398">
        <f>IF(ISBLANK(INDEX('Policy Characteristics'!F:F,MATCH($C23,'Policy Characteristics'!$C:$C,0))),"",INDEX('Policy Characteristics'!F:F,MATCH($C23,'Policy Characteristics'!$C:$C,0)))</f>
        <v>0</v>
      </c>
      <c r="M23" s="398">
        <f>IF(ISBLANK(INDEX('Policy Characteristics'!G:G,MATCH($C23,'Policy Characteristics'!$C:$C,0))),"",INDEX('Policy Characteristics'!G:G,MATCH($C23,'Policy Characteristics'!$C:$C,0)))</f>
        <v>1</v>
      </c>
      <c r="N23" s="398">
        <f>IF(ISBLANK(INDEX('Policy Characteristics'!H:H,MATCH($C23,'Policy Characteristics'!$C:$C,0))),"",INDEX('Policy Characteristics'!H:H,MATCH($C23,'Policy Characteristics'!$C:$C,0)))</f>
        <v>0.02</v>
      </c>
      <c r="O23" s="394" t="str">
        <f>IF(ISBLANK(INDEX('Policy Characteristics'!I:I,MATCH($C23,'Policy Characteristics'!$C:$C,0))),"",INDEX('Policy Characteristics'!I:I,MATCH($C23,'Policy Characteristics'!$C:$C,0)))</f>
        <v>% reduction in emissions</v>
      </c>
      <c r="P23" s="394"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3" s="394" t="str">
        <f>IF(ISBLANK(INDEX('Policy Characteristics'!K:K,MATCH($C23,'Policy Characteristics'!$C:$C,0))),"",INDEX('Policy Characteristics'!K:K,MATCH($C23,'Policy Characteristics'!$C:$C,0)))</f>
        <v>transportation-sector-main.html#conv-pol-stds</v>
      </c>
      <c r="R23" s="394" t="str">
        <f>IF(ISBLANK(INDEX('Policy Characteristics'!L:L,MATCH($C23,'Policy Characteristics'!$C:$C,0))),"",INDEX('Policy Characteristics'!L:L,MATCH($C23,'Policy Characteristics'!$C:$C,0)))</f>
        <v>conventional-pollutant-standards.html</v>
      </c>
    </row>
    <row r="24" customHeight="1" spans="1:18">
      <c r="A24" s="394" t="str">
        <f>IF(ISBLANK(INDEX('Policy Characteristics'!A:A,MATCH($C24,'Policy Characteristics'!$C:$C,0))),"",INDEX('Policy Characteristics'!A:A,MATCH($C24,'Policy Characteristics'!$C:$C,0)))</f>
        <v>Transportation</v>
      </c>
      <c r="B24" s="395" t="str">
        <f>IF(ISBLANK(INDEX('Policy Characteristics'!B:B,MATCH($C24,'Policy Characteristics'!$C:$C,0))),"",INDEX('Policy Characteristics'!B:B,MATCH($C24,'Policy Characteristics'!$C:$C,0)))</f>
        <v>Conventional Pollutant Standards</v>
      </c>
      <c r="C24" s="394" t="str">
        <f t="shared" si="1"/>
        <v>Percentage Reduction of Separately Regulated Pollutants</v>
      </c>
      <c r="D24" s="28" t="s">
        <v>662</v>
      </c>
      <c r="E24" s="28" t="s">
        <v>650</v>
      </c>
      <c r="F24" s="28" t="s">
        <v>663</v>
      </c>
      <c r="G24" s="28" t="s">
        <v>650</v>
      </c>
      <c r="H24" s="377">
        <v>322</v>
      </c>
      <c r="I24" s="396" t="s">
        <v>648</v>
      </c>
      <c r="J24" s="397" t="str">
        <f>IF(ISBLANK(INDEX('Policy Characteristics'!D:D,MATCH($C24,'Policy Characteristics'!$C:$C,0))),"",INDEX('Policy Characteristics'!D:D,MATCH($C24,'Policy Characteristics'!$C:$C,0)))</f>
        <v>Conventional Pollutant Standard</v>
      </c>
      <c r="K24" s="394" t="str">
        <f>IF(ISBLANK(INDEX('Policy Characteristics'!E:E,MATCH($C24,'Policy Characteristics'!$C:$C,0))),"",INDEX('Policy Characteristics'!E:E,MATCH($C24,'Policy Characteristics'!$C:$C,0)))</f>
        <v>trans reduce regulated pollutants</v>
      </c>
      <c r="L24" s="398">
        <f>IF(ISBLANK(INDEX('Policy Characteristics'!F:F,MATCH($C24,'Policy Characteristics'!$C:$C,0))),"",INDEX('Policy Characteristics'!F:F,MATCH($C24,'Policy Characteristics'!$C:$C,0)))</f>
        <v>0</v>
      </c>
      <c r="M24" s="398">
        <f>IF(ISBLANK(INDEX('Policy Characteristics'!G:G,MATCH($C24,'Policy Characteristics'!$C:$C,0))),"",INDEX('Policy Characteristics'!G:G,MATCH($C24,'Policy Characteristics'!$C:$C,0)))</f>
        <v>1</v>
      </c>
      <c r="N24" s="398">
        <f>IF(ISBLANK(INDEX('Policy Characteristics'!H:H,MATCH($C24,'Policy Characteristics'!$C:$C,0))),"",INDEX('Policy Characteristics'!H:H,MATCH($C24,'Policy Characteristics'!$C:$C,0)))</f>
        <v>0.02</v>
      </c>
      <c r="O24" s="394" t="str">
        <f>IF(ISBLANK(INDEX('Policy Characteristics'!I:I,MATCH($C24,'Policy Characteristics'!$C:$C,0))),"",INDEX('Policy Characteristics'!I:I,MATCH($C24,'Policy Characteristics'!$C:$C,0)))</f>
        <v>% reduction in emissions</v>
      </c>
      <c r="P24" s="394"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4" s="394" t="str">
        <f>IF(ISBLANK(INDEX('Policy Characteristics'!K:K,MATCH($C24,'Policy Characteristics'!$C:$C,0))),"",INDEX('Policy Characteristics'!K:K,MATCH($C24,'Policy Characteristics'!$C:$C,0)))</f>
        <v>transportation-sector-main.html#conv-pol-stds</v>
      </c>
      <c r="R24" s="394" t="str">
        <f>IF(ISBLANK(INDEX('Policy Characteristics'!L:L,MATCH($C24,'Policy Characteristics'!$C:$C,0))),"",INDEX('Policy Characteristics'!L:L,MATCH($C24,'Policy Characteristics'!$C:$C,0)))</f>
        <v>conventional-pollutant-standards.html</v>
      </c>
    </row>
    <row r="25" customHeight="1" spans="1:18">
      <c r="A25" s="394" t="str">
        <f>IF(ISBLANK(INDEX('Policy Characteristics'!A:A,MATCH($C25,'Policy Characteristics'!$C:$C,0))),"",INDEX('Policy Characteristics'!A:A,MATCH($C25,'Policy Characteristics'!$C:$C,0)))</f>
        <v>Transportation</v>
      </c>
      <c r="B25" s="395" t="str">
        <f>IF(ISBLANK(INDEX('Policy Characteristics'!B:B,MATCH($C25,'Policy Characteristics'!$C:$C,0))),"",INDEX('Policy Characteristics'!B:B,MATCH($C25,'Policy Characteristics'!$C:$C,0)))</f>
        <v>Conventional Pollutant Standards</v>
      </c>
      <c r="C25" s="394" t="str">
        <f t="shared" si="1"/>
        <v>Percentage Reduction of Separately Regulated Pollutants</v>
      </c>
      <c r="D25" s="28" t="s">
        <v>662</v>
      </c>
      <c r="E25" s="28" t="s">
        <v>651</v>
      </c>
      <c r="F25" s="28" t="s">
        <v>663</v>
      </c>
      <c r="G25" s="28" t="s">
        <v>651</v>
      </c>
      <c r="H25" s="377">
        <v>323</v>
      </c>
      <c r="I25" s="396" t="s">
        <v>658</v>
      </c>
      <c r="J25" s="397" t="str">
        <f>IF(ISBLANK(INDEX('Policy Characteristics'!D:D,MATCH($C25,'Policy Characteristics'!$C:$C,0))),"",INDEX('Policy Characteristics'!D:D,MATCH($C25,'Policy Characteristics'!$C:$C,0)))</f>
        <v>Conventional Pollutant Standard</v>
      </c>
      <c r="K25" s="394" t="str">
        <f>IF(ISBLANK(INDEX('Policy Characteristics'!E:E,MATCH($C25,'Policy Characteristics'!$C:$C,0))),"",INDEX('Policy Characteristics'!E:E,MATCH($C25,'Policy Characteristics'!$C:$C,0)))</f>
        <v>trans reduce regulated pollutants</v>
      </c>
      <c r="L25" s="398">
        <f>IF(ISBLANK(INDEX('Policy Characteristics'!F:F,MATCH($C25,'Policy Characteristics'!$C:$C,0))),"",INDEX('Policy Characteristics'!F:F,MATCH($C25,'Policy Characteristics'!$C:$C,0)))</f>
        <v>0</v>
      </c>
      <c r="M25" s="398">
        <f>IF(ISBLANK(INDEX('Policy Characteristics'!G:G,MATCH($C25,'Policy Characteristics'!$C:$C,0))),"",INDEX('Policy Characteristics'!G:G,MATCH($C25,'Policy Characteristics'!$C:$C,0)))</f>
        <v>1</v>
      </c>
      <c r="N25" s="398">
        <f>IF(ISBLANK(INDEX('Policy Characteristics'!H:H,MATCH($C25,'Policy Characteristics'!$C:$C,0))),"",INDEX('Policy Characteristics'!H:H,MATCH($C25,'Policy Characteristics'!$C:$C,0)))</f>
        <v>0.02</v>
      </c>
      <c r="O25" s="394" t="str">
        <f>IF(ISBLANK(INDEX('Policy Characteristics'!I:I,MATCH($C25,'Policy Characteristics'!$C:$C,0))),"",INDEX('Policy Characteristics'!I:I,MATCH($C25,'Policy Characteristics'!$C:$C,0)))</f>
        <v>% reduction in emissions</v>
      </c>
      <c r="P25" s="394"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5" s="394" t="str">
        <f>IF(ISBLANK(INDEX('Policy Characteristics'!K:K,MATCH($C25,'Policy Characteristics'!$C:$C,0))),"",INDEX('Policy Characteristics'!K:K,MATCH($C25,'Policy Characteristics'!$C:$C,0)))</f>
        <v>transportation-sector-main.html#conv-pol-stds</v>
      </c>
      <c r="R25" s="394" t="str">
        <f>IF(ISBLANK(INDEX('Policy Characteristics'!L:L,MATCH($C25,'Policy Characteristics'!$C:$C,0))),"",INDEX('Policy Characteristics'!L:L,MATCH($C25,'Policy Characteristics'!$C:$C,0)))</f>
        <v>conventional-pollutant-standards.html</v>
      </c>
    </row>
    <row r="26" customHeight="1" spans="1:18">
      <c r="A26" s="394" t="str">
        <f>IF(ISBLANK(INDEX('Policy Characteristics'!A:A,MATCH($C26,'Policy Characteristics'!$C:$C,0))),"",INDEX('Policy Characteristics'!A:A,MATCH($C26,'Policy Characteristics'!$C:$C,0)))</f>
        <v>Transportation</v>
      </c>
      <c r="B26" s="395" t="str">
        <f>IF(ISBLANK(INDEX('Policy Characteristics'!B:B,MATCH($C26,'Policy Characteristics'!$C:$C,0))),"",INDEX('Policy Characteristics'!B:B,MATCH($C26,'Policy Characteristics'!$C:$C,0)))</f>
        <v>Conventional Pollutant Standards</v>
      </c>
      <c r="C26" s="394" t="str">
        <f t="shared" si="1"/>
        <v>Percentage Reduction of Separately Regulated Pollutants</v>
      </c>
      <c r="D26" s="28" t="s">
        <v>662</v>
      </c>
      <c r="E26" s="28" t="s">
        <v>652</v>
      </c>
      <c r="F26" s="28" t="s">
        <v>663</v>
      </c>
      <c r="G26" s="28" t="s">
        <v>653</v>
      </c>
      <c r="H26" s="377">
        <v>324</v>
      </c>
      <c r="I26" s="396" t="s">
        <v>658</v>
      </c>
      <c r="J26" s="397" t="str">
        <f>IF(ISBLANK(INDEX('Policy Characteristics'!D:D,MATCH($C26,'Policy Characteristics'!$C:$C,0))),"",INDEX('Policy Characteristics'!D:D,MATCH($C26,'Policy Characteristics'!$C:$C,0)))</f>
        <v>Conventional Pollutant Standard</v>
      </c>
      <c r="K26" s="394" t="str">
        <f>IF(ISBLANK(INDEX('Policy Characteristics'!E:E,MATCH($C26,'Policy Characteristics'!$C:$C,0))),"",INDEX('Policy Characteristics'!E:E,MATCH($C26,'Policy Characteristics'!$C:$C,0)))</f>
        <v>trans reduce regulated pollutants</v>
      </c>
      <c r="L26" s="398">
        <f>IF(ISBLANK(INDEX('Policy Characteristics'!F:F,MATCH($C26,'Policy Characteristics'!$C:$C,0))),"",INDEX('Policy Characteristics'!F:F,MATCH($C26,'Policy Characteristics'!$C:$C,0)))</f>
        <v>0</v>
      </c>
      <c r="M26" s="398">
        <f>IF(ISBLANK(INDEX('Policy Characteristics'!G:G,MATCH($C26,'Policy Characteristics'!$C:$C,0))),"",INDEX('Policy Characteristics'!G:G,MATCH($C26,'Policy Characteristics'!$C:$C,0)))</f>
        <v>1</v>
      </c>
      <c r="N26" s="398">
        <f>IF(ISBLANK(INDEX('Policy Characteristics'!H:H,MATCH($C26,'Policy Characteristics'!$C:$C,0))),"",INDEX('Policy Characteristics'!H:H,MATCH($C26,'Policy Characteristics'!$C:$C,0)))</f>
        <v>0.02</v>
      </c>
      <c r="O26" s="394" t="str">
        <f>IF(ISBLANK(INDEX('Policy Characteristics'!I:I,MATCH($C26,'Policy Characteristics'!$C:$C,0))),"",INDEX('Policy Characteristics'!I:I,MATCH($C26,'Policy Characteristics'!$C:$C,0)))</f>
        <v>% reduction in emissions</v>
      </c>
      <c r="P26" s="394"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6" s="394" t="str">
        <f>IF(ISBLANK(INDEX('Policy Characteristics'!K:K,MATCH($C26,'Policy Characteristics'!$C:$C,0))),"",INDEX('Policy Characteristics'!K:K,MATCH($C26,'Policy Characteristics'!$C:$C,0)))</f>
        <v>transportation-sector-main.html#conv-pol-stds</v>
      </c>
      <c r="R26" s="394" t="str">
        <f>IF(ISBLANK(INDEX('Policy Characteristics'!L:L,MATCH($C26,'Policy Characteristics'!$C:$C,0))),"",INDEX('Policy Characteristics'!L:L,MATCH($C26,'Policy Characteristics'!$C:$C,0)))</f>
        <v>conventional-pollutant-standards.html</v>
      </c>
    </row>
    <row r="27" customHeight="1" spans="1:18">
      <c r="A27" s="394" t="str">
        <f>IF(ISBLANK(INDEX('Policy Characteristics'!A:A,MATCH($C27,'Policy Characteristics'!$C:$C,0))),"",INDEX('Policy Characteristics'!A:A,MATCH($C27,'Policy Characteristics'!$C:$C,0)))</f>
        <v>Transportation</v>
      </c>
      <c r="B27" s="395" t="str">
        <f>IF(ISBLANK(INDEX('Policy Characteristics'!B:B,MATCH($C27,'Policy Characteristics'!$C:$C,0))),"",INDEX('Policy Characteristics'!B:B,MATCH($C27,'Policy Characteristics'!$C:$C,0)))</f>
        <v>Conventional Pollutant Standards</v>
      </c>
      <c r="C27" s="394" t="str">
        <f t="shared" si="1"/>
        <v>Percentage Reduction of Separately Regulated Pollutants</v>
      </c>
      <c r="D27" s="28" t="s">
        <v>662</v>
      </c>
      <c r="E27" s="28" t="s">
        <v>654</v>
      </c>
      <c r="F27" s="28" t="s">
        <v>663</v>
      </c>
      <c r="G27" s="28" t="s">
        <v>654</v>
      </c>
      <c r="H27" s="377">
        <v>325</v>
      </c>
      <c r="I27" s="396" t="s">
        <v>658</v>
      </c>
      <c r="J27" s="397" t="str">
        <f>IF(ISBLANK(INDEX('Policy Characteristics'!D:D,MATCH($C27,'Policy Characteristics'!$C:$C,0))),"",INDEX('Policy Characteristics'!D:D,MATCH($C27,'Policy Characteristics'!$C:$C,0)))</f>
        <v>Conventional Pollutant Standard</v>
      </c>
      <c r="K27" s="394" t="str">
        <f>IF(ISBLANK(INDEX('Policy Characteristics'!E:E,MATCH($C27,'Policy Characteristics'!$C:$C,0))),"",INDEX('Policy Characteristics'!E:E,MATCH($C27,'Policy Characteristics'!$C:$C,0)))</f>
        <v>trans reduce regulated pollutants</v>
      </c>
      <c r="L27" s="398">
        <f>IF(ISBLANK(INDEX('Policy Characteristics'!F:F,MATCH($C27,'Policy Characteristics'!$C:$C,0))),"",INDEX('Policy Characteristics'!F:F,MATCH($C27,'Policy Characteristics'!$C:$C,0)))</f>
        <v>0</v>
      </c>
      <c r="M27" s="398">
        <f>IF(ISBLANK(INDEX('Policy Characteristics'!G:G,MATCH($C27,'Policy Characteristics'!$C:$C,0))),"",INDEX('Policy Characteristics'!G:G,MATCH($C27,'Policy Characteristics'!$C:$C,0)))</f>
        <v>1</v>
      </c>
      <c r="N27" s="398">
        <f>IF(ISBLANK(INDEX('Policy Characteristics'!H:H,MATCH($C27,'Policy Characteristics'!$C:$C,0))),"",INDEX('Policy Characteristics'!H:H,MATCH($C27,'Policy Characteristics'!$C:$C,0)))</f>
        <v>0.02</v>
      </c>
      <c r="O27" s="394" t="str">
        <f>IF(ISBLANK(INDEX('Policy Characteristics'!I:I,MATCH($C27,'Policy Characteristics'!$C:$C,0))),"",INDEX('Policy Characteristics'!I:I,MATCH($C27,'Policy Characteristics'!$C:$C,0)))</f>
        <v>% reduction in emissions</v>
      </c>
      <c r="P27" s="394"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7" s="394" t="str">
        <f>IF(ISBLANK(INDEX('Policy Characteristics'!K:K,MATCH($C27,'Policy Characteristics'!$C:$C,0))),"",INDEX('Policy Characteristics'!K:K,MATCH($C27,'Policy Characteristics'!$C:$C,0)))</f>
        <v>transportation-sector-main.html#conv-pol-stds</v>
      </c>
      <c r="R27" s="394" t="str">
        <f>IF(ISBLANK(INDEX('Policy Characteristics'!L:L,MATCH($C27,'Policy Characteristics'!$C:$C,0))),"",INDEX('Policy Characteristics'!L:L,MATCH($C27,'Policy Characteristics'!$C:$C,0)))</f>
        <v>conventional-pollutant-standards.html</v>
      </c>
    </row>
    <row r="28" customHeight="1" spans="1:18">
      <c r="A28" s="394" t="str">
        <f>IF(ISBLANK(INDEX('Policy Characteristics'!A:A,MATCH($C28,'Policy Characteristics'!$C:$C,0))),"",INDEX('Policy Characteristics'!A:A,MATCH($C28,'Policy Characteristics'!$C:$C,0)))</f>
        <v>Transportation</v>
      </c>
      <c r="B28" s="395" t="str">
        <f>IF(ISBLANK(INDEX('Policy Characteristics'!B:B,MATCH($C28,'Policy Characteristics'!$C:$C,0))),"",INDEX('Policy Characteristics'!B:B,MATCH($C28,'Policy Characteristics'!$C:$C,0)))</f>
        <v>Conventional Pollutant Standards</v>
      </c>
      <c r="C28" s="394" t="str">
        <f t="shared" si="1"/>
        <v>Percentage Reduction of Separately Regulated Pollutants</v>
      </c>
      <c r="D28" s="28" t="s">
        <v>662</v>
      </c>
      <c r="E28" s="28" t="s">
        <v>655</v>
      </c>
      <c r="F28" s="28" t="s">
        <v>663</v>
      </c>
      <c r="G28" s="28" t="s">
        <v>655</v>
      </c>
      <c r="H28" s="377">
        <v>326</v>
      </c>
      <c r="I28" s="396" t="s">
        <v>658</v>
      </c>
      <c r="J28" s="397" t="str">
        <f>IF(ISBLANK(INDEX('Policy Characteristics'!D:D,MATCH($C28,'Policy Characteristics'!$C:$C,0))),"",INDEX('Policy Characteristics'!D:D,MATCH($C28,'Policy Characteristics'!$C:$C,0)))</f>
        <v>Conventional Pollutant Standard</v>
      </c>
      <c r="K28" s="394" t="str">
        <f>IF(ISBLANK(INDEX('Policy Characteristics'!E:E,MATCH($C28,'Policy Characteristics'!$C:$C,0))),"",INDEX('Policy Characteristics'!E:E,MATCH($C28,'Policy Characteristics'!$C:$C,0)))</f>
        <v>trans reduce regulated pollutants</v>
      </c>
      <c r="L28" s="398">
        <f>IF(ISBLANK(INDEX('Policy Characteristics'!F:F,MATCH($C28,'Policy Characteristics'!$C:$C,0))),"",INDEX('Policy Characteristics'!F:F,MATCH($C28,'Policy Characteristics'!$C:$C,0)))</f>
        <v>0</v>
      </c>
      <c r="M28" s="398">
        <f>IF(ISBLANK(INDEX('Policy Characteristics'!G:G,MATCH($C28,'Policy Characteristics'!$C:$C,0))),"",INDEX('Policy Characteristics'!G:G,MATCH($C28,'Policy Characteristics'!$C:$C,0)))</f>
        <v>1</v>
      </c>
      <c r="N28" s="398">
        <f>IF(ISBLANK(INDEX('Policy Characteristics'!H:H,MATCH($C28,'Policy Characteristics'!$C:$C,0))),"",INDEX('Policy Characteristics'!H:H,MATCH($C28,'Policy Characteristics'!$C:$C,0)))</f>
        <v>0.02</v>
      </c>
      <c r="O28" s="394" t="str">
        <f>IF(ISBLANK(INDEX('Policy Characteristics'!I:I,MATCH($C28,'Policy Characteristics'!$C:$C,0))),"",INDEX('Policy Characteristics'!I:I,MATCH($C28,'Policy Characteristics'!$C:$C,0)))</f>
        <v>% reduction in emissions</v>
      </c>
      <c r="P28" s="394"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8" s="394" t="str">
        <f>IF(ISBLANK(INDEX('Policy Characteristics'!K:K,MATCH($C28,'Policy Characteristics'!$C:$C,0))),"",INDEX('Policy Characteristics'!K:K,MATCH($C28,'Policy Characteristics'!$C:$C,0)))</f>
        <v>transportation-sector-main.html#conv-pol-stds</v>
      </c>
      <c r="R28" s="394" t="str">
        <f>IF(ISBLANK(INDEX('Policy Characteristics'!L:L,MATCH($C28,'Policy Characteristics'!$C:$C,0))),"",INDEX('Policy Characteristics'!L:L,MATCH($C28,'Policy Characteristics'!$C:$C,0)))</f>
        <v>conventional-pollutant-standards.html</v>
      </c>
    </row>
    <row r="29" customHeight="1" spans="1:18">
      <c r="A29" s="394" t="str">
        <f>IF(ISBLANK(INDEX('Policy Characteristics'!A:A,MATCH($C29,'Policy Characteristics'!$C:$C,0))),"",INDEX('Policy Characteristics'!A:A,MATCH($C29,'Policy Characteristics'!$C:$C,0)))</f>
        <v>Transportation</v>
      </c>
      <c r="B29" s="395" t="str">
        <f>IF(ISBLANK(INDEX('Policy Characteristics'!B:B,MATCH($C29,'Policy Characteristics'!$C:$C,0))),"",INDEX('Policy Characteristics'!B:B,MATCH($C29,'Policy Characteristics'!$C:$C,0)))</f>
        <v>Conventional Pollutant Standards</v>
      </c>
      <c r="C29" s="394" t="str">
        <f t="shared" si="1"/>
        <v>Percentage Reduction of Separately Regulated Pollutants</v>
      </c>
      <c r="D29" s="28" t="s">
        <v>662</v>
      </c>
      <c r="E29" s="28" t="s">
        <v>656</v>
      </c>
      <c r="F29" s="28" t="s">
        <v>663</v>
      </c>
      <c r="G29" s="28" t="s">
        <v>656</v>
      </c>
      <c r="H29" s="377">
        <v>327</v>
      </c>
      <c r="I29" s="396" t="s">
        <v>658</v>
      </c>
      <c r="J29" s="397" t="str">
        <f>IF(ISBLANK(INDEX('Policy Characteristics'!D:D,MATCH($C29,'Policy Characteristics'!$C:$C,0))),"",INDEX('Policy Characteristics'!D:D,MATCH($C29,'Policy Characteristics'!$C:$C,0)))</f>
        <v>Conventional Pollutant Standard</v>
      </c>
      <c r="K29" s="394" t="str">
        <f>IF(ISBLANK(INDEX('Policy Characteristics'!E:E,MATCH($C29,'Policy Characteristics'!$C:$C,0))),"",INDEX('Policy Characteristics'!E:E,MATCH($C29,'Policy Characteristics'!$C:$C,0)))</f>
        <v>trans reduce regulated pollutants</v>
      </c>
      <c r="L29" s="398">
        <f>IF(ISBLANK(INDEX('Policy Characteristics'!F:F,MATCH($C29,'Policy Characteristics'!$C:$C,0))),"",INDEX('Policy Characteristics'!F:F,MATCH($C29,'Policy Characteristics'!$C:$C,0)))</f>
        <v>0</v>
      </c>
      <c r="M29" s="398">
        <f>IF(ISBLANK(INDEX('Policy Characteristics'!G:G,MATCH($C29,'Policy Characteristics'!$C:$C,0))),"",INDEX('Policy Characteristics'!G:G,MATCH($C29,'Policy Characteristics'!$C:$C,0)))</f>
        <v>1</v>
      </c>
      <c r="N29" s="398">
        <f>IF(ISBLANK(INDEX('Policy Characteristics'!H:H,MATCH($C29,'Policy Characteristics'!$C:$C,0))),"",INDEX('Policy Characteristics'!H:H,MATCH($C29,'Policy Characteristics'!$C:$C,0)))</f>
        <v>0.02</v>
      </c>
      <c r="O29" s="394" t="str">
        <f>IF(ISBLANK(INDEX('Policy Characteristics'!I:I,MATCH($C29,'Policy Characteristics'!$C:$C,0))),"",INDEX('Policy Characteristics'!I:I,MATCH($C29,'Policy Characteristics'!$C:$C,0)))</f>
        <v>% reduction in emissions</v>
      </c>
      <c r="P29" s="394"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9" s="394" t="str">
        <f>IF(ISBLANK(INDEX('Policy Characteristics'!K:K,MATCH($C29,'Policy Characteristics'!$C:$C,0))),"",INDEX('Policy Characteristics'!K:K,MATCH($C29,'Policy Characteristics'!$C:$C,0)))</f>
        <v>transportation-sector-main.html#conv-pol-stds</v>
      </c>
      <c r="R29" s="394" t="str">
        <f>IF(ISBLANK(INDEX('Policy Characteristics'!L:L,MATCH($C29,'Policy Characteristics'!$C:$C,0))),"",INDEX('Policy Characteristics'!L:L,MATCH($C29,'Policy Characteristics'!$C:$C,0)))</f>
        <v>conventional-pollutant-standards.html</v>
      </c>
    </row>
    <row r="30" customHeight="1" spans="1:18">
      <c r="A30" s="394" t="str">
        <f>IF(ISBLANK(INDEX('Policy Characteristics'!A:A,MATCH($C30,'Policy Characteristics'!$C:$C,0))),"",INDEX('Policy Characteristics'!A:A,MATCH($C30,'Policy Characteristics'!$C:$C,0)))</f>
        <v>Transportation</v>
      </c>
      <c r="B30" s="395" t="str">
        <f>IF(ISBLANK(INDEX('Policy Characteristics'!B:B,MATCH($C30,'Policy Characteristics'!$C:$C,0))),"",INDEX('Policy Characteristics'!B:B,MATCH($C30,'Policy Characteristics'!$C:$C,0)))</f>
        <v>Conventional Pollutant Standards</v>
      </c>
      <c r="C30" s="394" t="str">
        <f t="shared" si="1"/>
        <v>Percentage Reduction of Separately Regulated Pollutants</v>
      </c>
      <c r="D30" s="28" t="s">
        <v>662</v>
      </c>
      <c r="E30" s="28" t="s">
        <v>657</v>
      </c>
      <c r="F30" s="28" t="s">
        <v>663</v>
      </c>
      <c r="G30" s="28" t="s">
        <v>657</v>
      </c>
      <c r="H30" s="377">
        <v>328</v>
      </c>
      <c r="I30" s="396" t="s">
        <v>658</v>
      </c>
      <c r="J30" s="397" t="str">
        <f>IF(ISBLANK(INDEX('Policy Characteristics'!D:D,MATCH($C30,'Policy Characteristics'!$C:$C,0))),"",INDEX('Policy Characteristics'!D:D,MATCH($C30,'Policy Characteristics'!$C:$C,0)))</f>
        <v>Conventional Pollutant Standard</v>
      </c>
      <c r="K30" s="394" t="str">
        <f>IF(ISBLANK(INDEX('Policy Characteristics'!E:E,MATCH($C30,'Policy Characteristics'!$C:$C,0))),"",INDEX('Policy Characteristics'!E:E,MATCH($C30,'Policy Characteristics'!$C:$C,0)))</f>
        <v>trans reduce regulated pollutants</v>
      </c>
      <c r="L30" s="398">
        <f>IF(ISBLANK(INDEX('Policy Characteristics'!F:F,MATCH($C30,'Policy Characteristics'!$C:$C,0))),"",INDEX('Policy Characteristics'!F:F,MATCH($C30,'Policy Characteristics'!$C:$C,0)))</f>
        <v>0</v>
      </c>
      <c r="M30" s="398">
        <f>IF(ISBLANK(INDEX('Policy Characteristics'!G:G,MATCH($C30,'Policy Characteristics'!$C:$C,0))),"",INDEX('Policy Characteristics'!G:G,MATCH($C30,'Policy Characteristics'!$C:$C,0)))</f>
        <v>1</v>
      </c>
      <c r="N30" s="398">
        <f>IF(ISBLANK(INDEX('Policy Characteristics'!H:H,MATCH($C30,'Policy Characteristics'!$C:$C,0))),"",INDEX('Policy Characteristics'!H:H,MATCH($C30,'Policy Characteristics'!$C:$C,0)))</f>
        <v>0.02</v>
      </c>
      <c r="O30" s="394" t="str">
        <f>IF(ISBLANK(INDEX('Policy Characteristics'!I:I,MATCH($C30,'Policy Characteristics'!$C:$C,0))),"",INDEX('Policy Characteristics'!I:I,MATCH($C30,'Policy Characteristics'!$C:$C,0)))</f>
        <v>% reduction in emissions</v>
      </c>
      <c r="P30" s="394"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0" s="394" t="str">
        <f>IF(ISBLANK(INDEX('Policy Characteristics'!K:K,MATCH($C30,'Policy Characteristics'!$C:$C,0))),"",INDEX('Policy Characteristics'!K:K,MATCH($C30,'Policy Characteristics'!$C:$C,0)))</f>
        <v>transportation-sector-main.html#conv-pol-stds</v>
      </c>
      <c r="R30" s="394" t="str">
        <f>IF(ISBLANK(INDEX('Policy Characteristics'!L:L,MATCH($C30,'Policy Characteristics'!$C:$C,0))),"",INDEX('Policy Characteristics'!L:L,MATCH($C30,'Policy Characteristics'!$C:$C,0)))</f>
        <v>conventional-pollutant-standards.html</v>
      </c>
    </row>
    <row r="31" customHeight="1" spans="1:18">
      <c r="A31" s="394" t="str">
        <f>IF(ISBLANK(INDEX('Policy Characteristics'!A:A,MATCH($C31,'Policy Characteristics'!$C:$C,0))),"",INDEX('Policy Characteristics'!A:A,MATCH($C31,'Policy Characteristics'!$C:$C,0)))</f>
        <v>Transportation</v>
      </c>
      <c r="B31" s="395" t="str">
        <f>IF(ISBLANK(INDEX('Policy Characteristics'!B:B,MATCH($C31,'Policy Characteristics'!$C:$C,0))),"",INDEX('Policy Characteristics'!B:B,MATCH($C31,'Policy Characteristics'!$C:$C,0)))</f>
        <v>Conventional Pollutant Standards</v>
      </c>
      <c r="C31" s="394" t="str">
        <f t="shared" si="1"/>
        <v>Percentage Reduction of Separately Regulated Pollutants</v>
      </c>
      <c r="D31" s="28" t="s">
        <v>662</v>
      </c>
      <c r="E31" s="28" t="s">
        <v>659</v>
      </c>
      <c r="F31" s="28" t="s">
        <v>663</v>
      </c>
      <c r="G31" s="28" t="s">
        <v>659</v>
      </c>
      <c r="H31" s="377">
        <v>329</v>
      </c>
      <c r="I31" s="396" t="s">
        <v>658</v>
      </c>
      <c r="J31" s="397" t="str">
        <f>IF(ISBLANK(INDEX('Policy Characteristics'!D:D,MATCH($C31,'Policy Characteristics'!$C:$C,0))),"",INDEX('Policy Characteristics'!D:D,MATCH($C31,'Policy Characteristics'!$C:$C,0)))</f>
        <v>Conventional Pollutant Standard</v>
      </c>
      <c r="K31" s="394" t="str">
        <f>IF(ISBLANK(INDEX('Policy Characteristics'!E:E,MATCH($C31,'Policy Characteristics'!$C:$C,0))),"",INDEX('Policy Characteristics'!E:E,MATCH($C31,'Policy Characteristics'!$C:$C,0)))</f>
        <v>trans reduce regulated pollutants</v>
      </c>
      <c r="L31" s="398">
        <f>IF(ISBLANK(INDEX('Policy Characteristics'!F:F,MATCH($C31,'Policy Characteristics'!$C:$C,0))),"",INDEX('Policy Characteristics'!F:F,MATCH($C31,'Policy Characteristics'!$C:$C,0)))</f>
        <v>0</v>
      </c>
      <c r="M31" s="398">
        <f>IF(ISBLANK(INDEX('Policy Characteristics'!G:G,MATCH($C31,'Policy Characteristics'!$C:$C,0))),"",INDEX('Policy Characteristics'!G:G,MATCH($C31,'Policy Characteristics'!$C:$C,0)))</f>
        <v>1</v>
      </c>
      <c r="N31" s="398">
        <f>IF(ISBLANK(INDEX('Policy Characteristics'!H:H,MATCH($C31,'Policy Characteristics'!$C:$C,0))),"",INDEX('Policy Characteristics'!H:H,MATCH($C31,'Policy Characteristics'!$C:$C,0)))</f>
        <v>0.02</v>
      </c>
      <c r="O31" s="394" t="str">
        <f>IF(ISBLANK(INDEX('Policy Characteristics'!I:I,MATCH($C31,'Policy Characteristics'!$C:$C,0))),"",INDEX('Policy Characteristics'!I:I,MATCH($C31,'Policy Characteristics'!$C:$C,0)))</f>
        <v>% reduction in emissions</v>
      </c>
      <c r="P31" s="394"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1" s="394" t="str">
        <f>IF(ISBLANK(INDEX('Policy Characteristics'!K:K,MATCH($C31,'Policy Characteristics'!$C:$C,0))),"",INDEX('Policy Characteristics'!K:K,MATCH($C31,'Policy Characteristics'!$C:$C,0)))</f>
        <v>transportation-sector-main.html#conv-pol-stds</v>
      </c>
      <c r="R31" s="394" t="str">
        <f>IF(ISBLANK(INDEX('Policy Characteristics'!L:L,MATCH($C31,'Policy Characteristics'!$C:$C,0))),"",INDEX('Policy Characteristics'!L:L,MATCH($C31,'Policy Characteristics'!$C:$C,0)))</f>
        <v>conventional-pollutant-standards.html</v>
      </c>
    </row>
    <row r="32" customHeight="1" spans="1:18">
      <c r="A32" s="394" t="str">
        <f>IF(ISBLANK(INDEX('Policy Characteristics'!A:A,MATCH($C32,'Policy Characteristics'!$C:$C,0))),"",INDEX('Policy Characteristics'!A:A,MATCH($C32,'Policy Characteristics'!$C:$C,0)))</f>
        <v>Transportation</v>
      </c>
      <c r="B32" s="395" t="str">
        <f>IF(ISBLANK(INDEX('Policy Characteristics'!B:B,MATCH($C32,'Policy Characteristics'!$C:$C,0))),"",INDEX('Policy Characteristics'!B:B,MATCH($C32,'Policy Characteristics'!$C:$C,0)))</f>
        <v>Conventional Pollutant Standards</v>
      </c>
      <c r="C32" s="394" t="str">
        <f t="shared" si="1"/>
        <v>Percentage Reduction of Separately Regulated Pollutants</v>
      </c>
      <c r="D32" s="28" t="s">
        <v>664</v>
      </c>
      <c r="E32" s="28" t="s">
        <v>645</v>
      </c>
      <c r="F32" s="28" t="s">
        <v>665</v>
      </c>
      <c r="G32" s="28" t="s">
        <v>647</v>
      </c>
      <c r="H32" s="377">
        <v>330</v>
      </c>
      <c r="I32" s="396" t="s">
        <v>648</v>
      </c>
      <c r="J32" s="397" t="str">
        <f>IF(ISBLANK(INDEX('Policy Characteristics'!D:D,MATCH($C32,'Policy Characteristics'!$C:$C,0))),"",INDEX('Policy Characteristics'!D:D,MATCH($C32,'Policy Characteristics'!$C:$C,0)))</f>
        <v>Conventional Pollutant Standard</v>
      </c>
      <c r="K32" s="394" t="str">
        <f>IF(ISBLANK(INDEX('Policy Characteristics'!E:E,MATCH($C32,'Policy Characteristics'!$C:$C,0))),"",INDEX('Policy Characteristics'!E:E,MATCH($C32,'Policy Characteristics'!$C:$C,0)))</f>
        <v>trans reduce regulated pollutants</v>
      </c>
      <c r="L32" s="398">
        <f>IF(ISBLANK(INDEX('Policy Characteristics'!F:F,MATCH($C32,'Policy Characteristics'!$C:$C,0))),"",INDEX('Policy Characteristics'!F:F,MATCH($C32,'Policy Characteristics'!$C:$C,0)))</f>
        <v>0</v>
      </c>
      <c r="M32" s="398">
        <f>IF(ISBLANK(INDEX('Policy Characteristics'!G:G,MATCH($C32,'Policy Characteristics'!$C:$C,0))),"",INDEX('Policy Characteristics'!G:G,MATCH($C32,'Policy Characteristics'!$C:$C,0)))</f>
        <v>1</v>
      </c>
      <c r="N32" s="398">
        <f>IF(ISBLANK(INDEX('Policy Characteristics'!H:H,MATCH($C32,'Policy Characteristics'!$C:$C,0))),"",INDEX('Policy Characteristics'!H:H,MATCH($C32,'Policy Characteristics'!$C:$C,0)))</f>
        <v>0.02</v>
      </c>
      <c r="O32" s="394" t="str">
        <f>IF(ISBLANK(INDEX('Policy Characteristics'!I:I,MATCH($C32,'Policy Characteristics'!$C:$C,0))),"",INDEX('Policy Characteristics'!I:I,MATCH($C32,'Policy Characteristics'!$C:$C,0)))</f>
        <v>% reduction in emissions</v>
      </c>
      <c r="P32" s="394"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2" s="394" t="str">
        <f>IF(ISBLANK(INDEX('Policy Characteristics'!K:K,MATCH($C32,'Policy Characteristics'!$C:$C,0))),"",INDEX('Policy Characteristics'!K:K,MATCH($C32,'Policy Characteristics'!$C:$C,0)))</f>
        <v>transportation-sector-main.html#conv-pol-stds</v>
      </c>
      <c r="R32" s="394" t="str">
        <f>IF(ISBLANK(INDEX('Policy Characteristics'!L:L,MATCH($C32,'Policy Characteristics'!$C:$C,0))),"",INDEX('Policy Characteristics'!L:L,MATCH($C32,'Policy Characteristics'!$C:$C,0)))</f>
        <v>conventional-pollutant-standards.html</v>
      </c>
    </row>
    <row r="33" customHeight="1" spans="1:18">
      <c r="A33" s="394" t="str">
        <f>IF(ISBLANK(INDEX('Policy Characteristics'!A:A,MATCH($C33,'Policy Characteristics'!$C:$C,0))),"",INDEX('Policy Characteristics'!A:A,MATCH($C33,'Policy Characteristics'!$C:$C,0)))</f>
        <v>Transportation</v>
      </c>
      <c r="B33" s="395" t="str">
        <f>IF(ISBLANK(INDEX('Policy Characteristics'!B:B,MATCH($C33,'Policy Characteristics'!$C:$C,0))),"",INDEX('Policy Characteristics'!B:B,MATCH($C33,'Policy Characteristics'!$C:$C,0)))</f>
        <v>Conventional Pollutant Standards</v>
      </c>
      <c r="C33" s="394" t="str">
        <f t="shared" ref="C33:C61" si="2">C$2</f>
        <v>Percentage Reduction of Separately Regulated Pollutants</v>
      </c>
      <c r="D33" s="28" t="s">
        <v>664</v>
      </c>
      <c r="E33" s="28" t="s">
        <v>649</v>
      </c>
      <c r="F33" s="28" t="s">
        <v>665</v>
      </c>
      <c r="G33" s="28" t="s">
        <v>649</v>
      </c>
      <c r="H33" s="377">
        <v>331</v>
      </c>
      <c r="I33" s="396" t="s">
        <v>648</v>
      </c>
      <c r="J33" s="397" t="str">
        <f>IF(ISBLANK(INDEX('Policy Characteristics'!D:D,MATCH($C33,'Policy Characteristics'!$C:$C,0))),"",INDEX('Policy Characteristics'!D:D,MATCH($C33,'Policy Characteristics'!$C:$C,0)))</f>
        <v>Conventional Pollutant Standard</v>
      </c>
      <c r="K33" s="394" t="str">
        <f>IF(ISBLANK(INDEX('Policy Characteristics'!E:E,MATCH($C33,'Policy Characteristics'!$C:$C,0))),"",INDEX('Policy Characteristics'!E:E,MATCH($C33,'Policy Characteristics'!$C:$C,0)))</f>
        <v>trans reduce regulated pollutants</v>
      </c>
      <c r="L33" s="398">
        <f>IF(ISBLANK(INDEX('Policy Characteristics'!F:F,MATCH($C33,'Policy Characteristics'!$C:$C,0))),"",INDEX('Policy Characteristics'!F:F,MATCH($C33,'Policy Characteristics'!$C:$C,0)))</f>
        <v>0</v>
      </c>
      <c r="M33" s="398">
        <f>IF(ISBLANK(INDEX('Policy Characteristics'!G:G,MATCH($C33,'Policy Characteristics'!$C:$C,0))),"",INDEX('Policy Characteristics'!G:G,MATCH($C33,'Policy Characteristics'!$C:$C,0)))</f>
        <v>1</v>
      </c>
      <c r="N33" s="398">
        <f>IF(ISBLANK(INDEX('Policy Characteristics'!H:H,MATCH($C33,'Policy Characteristics'!$C:$C,0))),"",INDEX('Policy Characteristics'!H:H,MATCH($C33,'Policy Characteristics'!$C:$C,0)))</f>
        <v>0.02</v>
      </c>
      <c r="O33" s="394" t="str">
        <f>IF(ISBLANK(INDEX('Policy Characteristics'!I:I,MATCH($C33,'Policy Characteristics'!$C:$C,0))),"",INDEX('Policy Characteristics'!I:I,MATCH($C33,'Policy Characteristics'!$C:$C,0)))</f>
        <v>% reduction in emissions</v>
      </c>
      <c r="P33" s="394"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3" s="394" t="str">
        <f>IF(ISBLANK(INDEX('Policy Characteristics'!K:K,MATCH($C33,'Policy Characteristics'!$C:$C,0))),"",INDEX('Policy Characteristics'!K:K,MATCH($C33,'Policy Characteristics'!$C:$C,0)))</f>
        <v>transportation-sector-main.html#conv-pol-stds</v>
      </c>
      <c r="R33" s="394" t="str">
        <f>IF(ISBLANK(INDEX('Policy Characteristics'!L:L,MATCH($C33,'Policy Characteristics'!$C:$C,0))),"",INDEX('Policy Characteristics'!L:L,MATCH($C33,'Policy Characteristics'!$C:$C,0)))</f>
        <v>conventional-pollutant-standards.html</v>
      </c>
    </row>
    <row r="34" customHeight="1" spans="1:18">
      <c r="A34" s="394" t="str">
        <f>IF(ISBLANK(INDEX('Policy Characteristics'!A:A,MATCH($C34,'Policy Characteristics'!$C:$C,0))),"",INDEX('Policy Characteristics'!A:A,MATCH($C34,'Policy Characteristics'!$C:$C,0)))</f>
        <v>Transportation</v>
      </c>
      <c r="B34" s="395" t="str">
        <f>IF(ISBLANK(INDEX('Policy Characteristics'!B:B,MATCH($C34,'Policy Characteristics'!$C:$C,0))),"",INDEX('Policy Characteristics'!B:B,MATCH($C34,'Policy Characteristics'!$C:$C,0)))</f>
        <v>Conventional Pollutant Standards</v>
      </c>
      <c r="C34" s="394" t="str">
        <f t="shared" si="2"/>
        <v>Percentage Reduction of Separately Regulated Pollutants</v>
      </c>
      <c r="D34" s="28" t="s">
        <v>664</v>
      </c>
      <c r="E34" s="28" t="s">
        <v>650</v>
      </c>
      <c r="F34" s="28" t="s">
        <v>665</v>
      </c>
      <c r="G34" s="28" t="s">
        <v>650</v>
      </c>
      <c r="H34" s="377">
        <v>332</v>
      </c>
      <c r="I34" s="396" t="s">
        <v>648</v>
      </c>
      <c r="J34" s="397" t="str">
        <f>IF(ISBLANK(INDEX('Policy Characteristics'!D:D,MATCH($C34,'Policy Characteristics'!$C:$C,0))),"",INDEX('Policy Characteristics'!D:D,MATCH($C34,'Policy Characteristics'!$C:$C,0)))</f>
        <v>Conventional Pollutant Standard</v>
      </c>
      <c r="K34" s="394" t="str">
        <f>IF(ISBLANK(INDEX('Policy Characteristics'!E:E,MATCH($C34,'Policy Characteristics'!$C:$C,0))),"",INDEX('Policy Characteristics'!E:E,MATCH($C34,'Policy Characteristics'!$C:$C,0)))</f>
        <v>trans reduce regulated pollutants</v>
      </c>
      <c r="L34" s="398">
        <f>IF(ISBLANK(INDEX('Policy Characteristics'!F:F,MATCH($C34,'Policy Characteristics'!$C:$C,0))),"",INDEX('Policy Characteristics'!F:F,MATCH($C34,'Policy Characteristics'!$C:$C,0)))</f>
        <v>0</v>
      </c>
      <c r="M34" s="398">
        <f>IF(ISBLANK(INDEX('Policy Characteristics'!G:G,MATCH($C34,'Policy Characteristics'!$C:$C,0))),"",INDEX('Policy Characteristics'!G:G,MATCH($C34,'Policy Characteristics'!$C:$C,0)))</f>
        <v>1</v>
      </c>
      <c r="N34" s="398">
        <f>IF(ISBLANK(INDEX('Policy Characteristics'!H:H,MATCH($C34,'Policy Characteristics'!$C:$C,0))),"",INDEX('Policy Characteristics'!H:H,MATCH($C34,'Policy Characteristics'!$C:$C,0)))</f>
        <v>0.02</v>
      </c>
      <c r="O34" s="394" t="str">
        <f>IF(ISBLANK(INDEX('Policy Characteristics'!I:I,MATCH($C34,'Policy Characteristics'!$C:$C,0))),"",INDEX('Policy Characteristics'!I:I,MATCH($C34,'Policy Characteristics'!$C:$C,0)))</f>
        <v>% reduction in emissions</v>
      </c>
      <c r="P34" s="394"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4" s="394" t="str">
        <f>IF(ISBLANK(INDEX('Policy Characteristics'!K:K,MATCH($C34,'Policy Characteristics'!$C:$C,0))),"",INDEX('Policy Characteristics'!K:K,MATCH($C34,'Policy Characteristics'!$C:$C,0)))</f>
        <v>transportation-sector-main.html#conv-pol-stds</v>
      </c>
      <c r="R34" s="394" t="str">
        <f>IF(ISBLANK(INDEX('Policy Characteristics'!L:L,MATCH($C34,'Policy Characteristics'!$C:$C,0))),"",INDEX('Policy Characteristics'!L:L,MATCH($C34,'Policy Characteristics'!$C:$C,0)))</f>
        <v>conventional-pollutant-standards.html</v>
      </c>
    </row>
    <row r="35" customHeight="1" spans="1:18">
      <c r="A35" s="394" t="str">
        <f>IF(ISBLANK(INDEX('Policy Characteristics'!A:A,MATCH($C35,'Policy Characteristics'!$C:$C,0))),"",INDEX('Policy Characteristics'!A:A,MATCH($C35,'Policy Characteristics'!$C:$C,0)))</f>
        <v>Transportation</v>
      </c>
      <c r="B35" s="395" t="str">
        <f>IF(ISBLANK(INDEX('Policy Characteristics'!B:B,MATCH($C35,'Policy Characteristics'!$C:$C,0))),"",INDEX('Policy Characteristics'!B:B,MATCH($C35,'Policy Characteristics'!$C:$C,0)))</f>
        <v>Conventional Pollutant Standards</v>
      </c>
      <c r="C35" s="394" t="str">
        <f t="shared" si="2"/>
        <v>Percentage Reduction of Separately Regulated Pollutants</v>
      </c>
      <c r="D35" s="28" t="s">
        <v>664</v>
      </c>
      <c r="E35" s="28" t="s">
        <v>651</v>
      </c>
      <c r="F35" s="28" t="s">
        <v>665</v>
      </c>
      <c r="G35" s="28" t="s">
        <v>651</v>
      </c>
      <c r="H35" s="377">
        <v>333</v>
      </c>
      <c r="I35" s="396" t="s">
        <v>648</v>
      </c>
      <c r="J35" s="397" t="str">
        <f>IF(ISBLANK(INDEX('Policy Characteristics'!D:D,MATCH($C35,'Policy Characteristics'!$C:$C,0))),"",INDEX('Policy Characteristics'!D:D,MATCH($C35,'Policy Characteristics'!$C:$C,0)))</f>
        <v>Conventional Pollutant Standard</v>
      </c>
      <c r="K35" s="394" t="str">
        <f>IF(ISBLANK(INDEX('Policy Characteristics'!E:E,MATCH($C35,'Policy Characteristics'!$C:$C,0))),"",INDEX('Policy Characteristics'!E:E,MATCH($C35,'Policy Characteristics'!$C:$C,0)))</f>
        <v>trans reduce regulated pollutants</v>
      </c>
      <c r="L35" s="398">
        <f>IF(ISBLANK(INDEX('Policy Characteristics'!F:F,MATCH($C35,'Policy Characteristics'!$C:$C,0))),"",INDEX('Policy Characteristics'!F:F,MATCH($C35,'Policy Characteristics'!$C:$C,0)))</f>
        <v>0</v>
      </c>
      <c r="M35" s="398">
        <f>IF(ISBLANK(INDEX('Policy Characteristics'!G:G,MATCH($C35,'Policy Characteristics'!$C:$C,0))),"",INDEX('Policy Characteristics'!G:G,MATCH($C35,'Policy Characteristics'!$C:$C,0)))</f>
        <v>1</v>
      </c>
      <c r="N35" s="398">
        <f>IF(ISBLANK(INDEX('Policy Characteristics'!H:H,MATCH($C35,'Policy Characteristics'!$C:$C,0))),"",INDEX('Policy Characteristics'!H:H,MATCH($C35,'Policy Characteristics'!$C:$C,0)))</f>
        <v>0.02</v>
      </c>
      <c r="O35" s="394" t="str">
        <f>IF(ISBLANK(INDEX('Policy Characteristics'!I:I,MATCH($C35,'Policy Characteristics'!$C:$C,0))),"",INDEX('Policy Characteristics'!I:I,MATCH($C35,'Policy Characteristics'!$C:$C,0)))</f>
        <v>% reduction in emissions</v>
      </c>
      <c r="P35" s="394"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5" s="394" t="str">
        <f>IF(ISBLANK(INDEX('Policy Characteristics'!K:K,MATCH($C35,'Policy Characteristics'!$C:$C,0))),"",INDEX('Policy Characteristics'!K:K,MATCH($C35,'Policy Characteristics'!$C:$C,0)))</f>
        <v>transportation-sector-main.html#conv-pol-stds</v>
      </c>
      <c r="R35" s="394" t="str">
        <f>IF(ISBLANK(INDEX('Policy Characteristics'!L:L,MATCH($C35,'Policy Characteristics'!$C:$C,0))),"",INDEX('Policy Characteristics'!L:L,MATCH($C35,'Policy Characteristics'!$C:$C,0)))</f>
        <v>conventional-pollutant-standards.html</v>
      </c>
    </row>
    <row r="36" customHeight="1" spans="1:18">
      <c r="A36" s="394" t="str">
        <f>IF(ISBLANK(INDEX('Policy Characteristics'!A:A,MATCH($C36,'Policy Characteristics'!$C:$C,0))),"",INDEX('Policy Characteristics'!A:A,MATCH($C36,'Policy Characteristics'!$C:$C,0)))</f>
        <v>Transportation</v>
      </c>
      <c r="B36" s="395" t="str">
        <f>IF(ISBLANK(INDEX('Policy Characteristics'!B:B,MATCH($C36,'Policy Characteristics'!$C:$C,0))),"",INDEX('Policy Characteristics'!B:B,MATCH($C36,'Policy Characteristics'!$C:$C,0)))</f>
        <v>Conventional Pollutant Standards</v>
      </c>
      <c r="C36" s="394" t="str">
        <f t="shared" si="2"/>
        <v>Percentage Reduction of Separately Regulated Pollutants</v>
      </c>
      <c r="D36" s="28" t="s">
        <v>664</v>
      </c>
      <c r="E36" s="28" t="s">
        <v>652</v>
      </c>
      <c r="F36" s="28" t="s">
        <v>665</v>
      </c>
      <c r="G36" s="28" t="s">
        <v>653</v>
      </c>
      <c r="H36" s="377">
        <v>334</v>
      </c>
      <c r="I36" s="396" t="s">
        <v>648</v>
      </c>
      <c r="J36" s="397" t="str">
        <f>IF(ISBLANK(INDEX('Policy Characteristics'!D:D,MATCH($C36,'Policy Characteristics'!$C:$C,0))),"",INDEX('Policy Characteristics'!D:D,MATCH($C36,'Policy Characteristics'!$C:$C,0)))</f>
        <v>Conventional Pollutant Standard</v>
      </c>
      <c r="K36" s="394" t="str">
        <f>IF(ISBLANK(INDEX('Policy Characteristics'!E:E,MATCH($C36,'Policy Characteristics'!$C:$C,0))),"",INDEX('Policy Characteristics'!E:E,MATCH($C36,'Policy Characteristics'!$C:$C,0)))</f>
        <v>trans reduce regulated pollutants</v>
      </c>
      <c r="L36" s="398">
        <f>IF(ISBLANK(INDEX('Policy Characteristics'!F:F,MATCH($C36,'Policy Characteristics'!$C:$C,0))),"",INDEX('Policy Characteristics'!F:F,MATCH($C36,'Policy Characteristics'!$C:$C,0)))</f>
        <v>0</v>
      </c>
      <c r="M36" s="398">
        <f>IF(ISBLANK(INDEX('Policy Characteristics'!G:G,MATCH($C36,'Policy Characteristics'!$C:$C,0))),"",INDEX('Policy Characteristics'!G:G,MATCH($C36,'Policy Characteristics'!$C:$C,0)))</f>
        <v>1</v>
      </c>
      <c r="N36" s="398">
        <f>IF(ISBLANK(INDEX('Policy Characteristics'!H:H,MATCH($C36,'Policy Characteristics'!$C:$C,0))),"",INDEX('Policy Characteristics'!H:H,MATCH($C36,'Policy Characteristics'!$C:$C,0)))</f>
        <v>0.02</v>
      </c>
      <c r="O36" s="394" t="str">
        <f>IF(ISBLANK(INDEX('Policy Characteristics'!I:I,MATCH($C36,'Policy Characteristics'!$C:$C,0))),"",INDEX('Policy Characteristics'!I:I,MATCH($C36,'Policy Characteristics'!$C:$C,0)))</f>
        <v>% reduction in emissions</v>
      </c>
      <c r="P36" s="394"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6" s="394" t="str">
        <f>IF(ISBLANK(INDEX('Policy Characteristics'!K:K,MATCH($C36,'Policy Characteristics'!$C:$C,0))),"",INDEX('Policy Characteristics'!K:K,MATCH($C36,'Policy Characteristics'!$C:$C,0)))</f>
        <v>transportation-sector-main.html#conv-pol-stds</v>
      </c>
      <c r="R36" s="394" t="str">
        <f>IF(ISBLANK(INDEX('Policy Characteristics'!L:L,MATCH($C36,'Policy Characteristics'!$C:$C,0))),"",INDEX('Policy Characteristics'!L:L,MATCH($C36,'Policy Characteristics'!$C:$C,0)))</f>
        <v>conventional-pollutant-standards.html</v>
      </c>
    </row>
    <row r="37" customHeight="1" spans="1:18">
      <c r="A37" s="394" t="str">
        <f>IF(ISBLANK(INDEX('Policy Characteristics'!A:A,MATCH($C37,'Policy Characteristics'!$C:$C,0))),"",INDEX('Policy Characteristics'!A:A,MATCH($C37,'Policy Characteristics'!$C:$C,0)))</f>
        <v>Transportation</v>
      </c>
      <c r="B37" s="395" t="str">
        <f>IF(ISBLANK(INDEX('Policy Characteristics'!B:B,MATCH($C37,'Policy Characteristics'!$C:$C,0))),"",INDEX('Policy Characteristics'!B:B,MATCH($C37,'Policy Characteristics'!$C:$C,0)))</f>
        <v>Conventional Pollutant Standards</v>
      </c>
      <c r="C37" s="394" t="str">
        <f t="shared" si="2"/>
        <v>Percentage Reduction of Separately Regulated Pollutants</v>
      </c>
      <c r="D37" s="28" t="s">
        <v>664</v>
      </c>
      <c r="E37" s="28" t="s">
        <v>654</v>
      </c>
      <c r="F37" s="28" t="s">
        <v>665</v>
      </c>
      <c r="G37" s="28" t="s">
        <v>654</v>
      </c>
      <c r="H37" s="377">
        <v>335</v>
      </c>
      <c r="I37" s="396" t="s">
        <v>658</v>
      </c>
      <c r="J37" s="397" t="str">
        <f>IF(ISBLANK(INDEX('Policy Characteristics'!D:D,MATCH($C37,'Policy Characteristics'!$C:$C,0))),"",INDEX('Policy Characteristics'!D:D,MATCH($C37,'Policy Characteristics'!$C:$C,0)))</f>
        <v>Conventional Pollutant Standard</v>
      </c>
      <c r="K37" s="394" t="str">
        <f>IF(ISBLANK(INDEX('Policy Characteristics'!E:E,MATCH($C37,'Policy Characteristics'!$C:$C,0))),"",INDEX('Policy Characteristics'!E:E,MATCH($C37,'Policy Characteristics'!$C:$C,0)))</f>
        <v>trans reduce regulated pollutants</v>
      </c>
      <c r="L37" s="398">
        <f>IF(ISBLANK(INDEX('Policy Characteristics'!F:F,MATCH($C37,'Policy Characteristics'!$C:$C,0))),"",INDEX('Policy Characteristics'!F:F,MATCH($C37,'Policy Characteristics'!$C:$C,0)))</f>
        <v>0</v>
      </c>
      <c r="M37" s="398">
        <f>IF(ISBLANK(INDEX('Policy Characteristics'!G:G,MATCH($C37,'Policy Characteristics'!$C:$C,0))),"",INDEX('Policy Characteristics'!G:G,MATCH($C37,'Policy Characteristics'!$C:$C,0)))</f>
        <v>1</v>
      </c>
      <c r="N37" s="398">
        <f>IF(ISBLANK(INDEX('Policy Characteristics'!H:H,MATCH($C37,'Policy Characteristics'!$C:$C,0))),"",INDEX('Policy Characteristics'!H:H,MATCH($C37,'Policy Characteristics'!$C:$C,0)))</f>
        <v>0.02</v>
      </c>
      <c r="O37" s="394" t="str">
        <f>IF(ISBLANK(INDEX('Policy Characteristics'!I:I,MATCH($C37,'Policy Characteristics'!$C:$C,0))),"",INDEX('Policy Characteristics'!I:I,MATCH($C37,'Policy Characteristics'!$C:$C,0)))</f>
        <v>% reduction in emissions</v>
      </c>
      <c r="P37" s="394"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7" s="394" t="str">
        <f>IF(ISBLANK(INDEX('Policy Characteristics'!K:K,MATCH($C37,'Policy Characteristics'!$C:$C,0))),"",INDEX('Policy Characteristics'!K:K,MATCH($C37,'Policy Characteristics'!$C:$C,0)))</f>
        <v>transportation-sector-main.html#conv-pol-stds</v>
      </c>
      <c r="R37" s="394" t="str">
        <f>IF(ISBLANK(INDEX('Policy Characteristics'!L:L,MATCH($C37,'Policy Characteristics'!$C:$C,0))),"",INDEX('Policy Characteristics'!L:L,MATCH($C37,'Policy Characteristics'!$C:$C,0)))</f>
        <v>conventional-pollutant-standards.html</v>
      </c>
    </row>
    <row r="38" customHeight="1" spans="1:18">
      <c r="A38" s="394" t="str">
        <f>IF(ISBLANK(INDEX('Policy Characteristics'!A:A,MATCH($C38,'Policy Characteristics'!$C:$C,0))),"",INDEX('Policy Characteristics'!A:A,MATCH($C38,'Policy Characteristics'!$C:$C,0)))</f>
        <v>Transportation</v>
      </c>
      <c r="B38" s="395" t="str">
        <f>IF(ISBLANK(INDEX('Policy Characteristics'!B:B,MATCH($C38,'Policy Characteristics'!$C:$C,0))),"",INDEX('Policy Characteristics'!B:B,MATCH($C38,'Policy Characteristics'!$C:$C,0)))</f>
        <v>Conventional Pollutant Standards</v>
      </c>
      <c r="C38" s="394" t="str">
        <f t="shared" si="2"/>
        <v>Percentage Reduction of Separately Regulated Pollutants</v>
      </c>
      <c r="D38" s="28" t="s">
        <v>664</v>
      </c>
      <c r="E38" s="28" t="s">
        <v>655</v>
      </c>
      <c r="F38" s="28" t="s">
        <v>665</v>
      </c>
      <c r="G38" s="28" t="s">
        <v>655</v>
      </c>
      <c r="H38" s="377">
        <v>336</v>
      </c>
      <c r="I38" s="396" t="s">
        <v>648</v>
      </c>
      <c r="J38" s="397" t="str">
        <f>IF(ISBLANK(INDEX('Policy Characteristics'!D:D,MATCH($C38,'Policy Characteristics'!$C:$C,0))),"",INDEX('Policy Characteristics'!D:D,MATCH($C38,'Policy Characteristics'!$C:$C,0)))</f>
        <v>Conventional Pollutant Standard</v>
      </c>
      <c r="K38" s="394" t="str">
        <f>IF(ISBLANK(INDEX('Policy Characteristics'!E:E,MATCH($C38,'Policy Characteristics'!$C:$C,0))),"",INDEX('Policy Characteristics'!E:E,MATCH($C38,'Policy Characteristics'!$C:$C,0)))</f>
        <v>trans reduce regulated pollutants</v>
      </c>
      <c r="L38" s="398">
        <f>IF(ISBLANK(INDEX('Policy Characteristics'!F:F,MATCH($C38,'Policy Characteristics'!$C:$C,0))),"",INDEX('Policy Characteristics'!F:F,MATCH($C38,'Policy Characteristics'!$C:$C,0)))</f>
        <v>0</v>
      </c>
      <c r="M38" s="398">
        <f>IF(ISBLANK(INDEX('Policy Characteristics'!G:G,MATCH($C38,'Policy Characteristics'!$C:$C,0))),"",INDEX('Policy Characteristics'!G:G,MATCH($C38,'Policy Characteristics'!$C:$C,0)))</f>
        <v>1</v>
      </c>
      <c r="N38" s="398">
        <f>IF(ISBLANK(INDEX('Policy Characteristics'!H:H,MATCH($C38,'Policy Characteristics'!$C:$C,0))),"",INDEX('Policy Characteristics'!H:H,MATCH($C38,'Policy Characteristics'!$C:$C,0)))</f>
        <v>0.02</v>
      </c>
      <c r="O38" s="394" t="str">
        <f>IF(ISBLANK(INDEX('Policy Characteristics'!I:I,MATCH($C38,'Policy Characteristics'!$C:$C,0))),"",INDEX('Policy Characteristics'!I:I,MATCH($C38,'Policy Characteristics'!$C:$C,0)))</f>
        <v>% reduction in emissions</v>
      </c>
      <c r="P38" s="394"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8" s="394" t="str">
        <f>IF(ISBLANK(INDEX('Policy Characteristics'!K:K,MATCH($C38,'Policy Characteristics'!$C:$C,0))),"",INDEX('Policy Characteristics'!K:K,MATCH($C38,'Policy Characteristics'!$C:$C,0)))</f>
        <v>transportation-sector-main.html#conv-pol-stds</v>
      </c>
      <c r="R38" s="394" t="str">
        <f>IF(ISBLANK(INDEX('Policy Characteristics'!L:L,MATCH($C38,'Policy Characteristics'!$C:$C,0))),"",INDEX('Policy Characteristics'!L:L,MATCH($C38,'Policy Characteristics'!$C:$C,0)))</f>
        <v>conventional-pollutant-standards.html</v>
      </c>
    </row>
    <row r="39" customHeight="1" spans="1:18">
      <c r="A39" s="394" t="str">
        <f>IF(ISBLANK(INDEX('Policy Characteristics'!A:A,MATCH($C39,'Policy Characteristics'!$C:$C,0))),"",INDEX('Policy Characteristics'!A:A,MATCH($C39,'Policy Characteristics'!$C:$C,0)))</f>
        <v>Transportation</v>
      </c>
      <c r="B39" s="395" t="str">
        <f>IF(ISBLANK(INDEX('Policy Characteristics'!B:B,MATCH($C39,'Policy Characteristics'!$C:$C,0))),"",INDEX('Policy Characteristics'!B:B,MATCH($C39,'Policy Characteristics'!$C:$C,0)))</f>
        <v>Conventional Pollutant Standards</v>
      </c>
      <c r="C39" s="394" t="str">
        <f t="shared" si="2"/>
        <v>Percentage Reduction of Separately Regulated Pollutants</v>
      </c>
      <c r="D39" s="28" t="s">
        <v>664</v>
      </c>
      <c r="E39" s="28" t="s">
        <v>656</v>
      </c>
      <c r="F39" s="28" t="s">
        <v>665</v>
      </c>
      <c r="G39" s="28" t="s">
        <v>656</v>
      </c>
      <c r="H39" s="377">
        <v>337</v>
      </c>
      <c r="I39" s="396" t="s">
        <v>648</v>
      </c>
      <c r="J39" s="397" t="str">
        <f>IF(ISBLANK(INDEX('Policy Characteristics'!D:D,MATCH($C39,'Policy Characteristics'!$C:$C,0))),"",INDEX('Policy Characteristics'!D:D,MATCH($C39,'Policy Characteristics'!$C:$C,0)))</f>
        <v>Conventional Pollutant Standard</v>
      </c>
      <c r="K39" s="394" t="str">
        <f>IF(ISBLANK(INDEX('Policy Characteristics'!E:E,MATCH($C39,'Policy Characteristics'!$C:$C,0))),"",INDEX('Policy Characteristics'!E:E,MATCH($C39,'Policy Characteristics'!$C:$C,0)))</f>
        <v>trans reduce regulated pollutants</v>
      </c>
      <c r="L39" s="398">
        <f>IF(ISBLANK(INDEX('Policy Characteristics'!F:F,MATCH($C39,'Policy Characteristics'!$C:$C,0))),"",INDEX('Policy Characteristics'!F:F,MATCH($C39,'Policy Characteristics'!$C:$C,0)))</f>
        <v>0</v>
      </c>
      <c r="M39" s="398">
        <f>IF(ISBLANK(INDEX('Policy Characteristics'!G:G,MATCH($C39,'Policy Characteristics'!$C:$C,0))),"",INDEX('Policy Characteristics'!G:G,MATCH($C39,'Policy Characteristics'!$C:$C,0)))</f>
        <v>1</v>
      </c>
      <c r="N39" s="398">
        <f>IF(ISBLANK(INDEX('Policy Characteristics'!H:H,MATCH($C39,'Policy Characteristics'!$C:$C,0))),"",INDEX('Policy Characteristics'!H:H,MATCH($C39,'Policy Characteristics'!$C:$C,0)))</f>
        <v>0.02</v>
      </c>
      <c r="O39" s="394" t="str">
        <f>IF(ISBLANK(INDEX('Policy Characteristics'!I:I,MATCH($C39,'Policy Characteristics'!$C:$C,0))),"",INDEX('Policy Characteristics'!I:I,MATCH($C39,'Policy Characteristics'!$C:$C,0)))</f>
        <v>% reduction in emissions</v>
      </c>
      <c r="P39" s="394"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9" s="394" t="str">
        <f>IF(ISBLANK(INDEX('Policy Characteristics'!K:K,MATCH($C39,'Policy Characteristics'!$C:$C,0))),"",INDEX('Policy Characteristics'!K:K,MATCH($C39,'Policy Characteristics'!$C:$C,0)))</f>
        <v>transportation-sector-main.html#conv-pol-stds</v>
      </c>
      <c r="R39" s="394" t="str">
        <f>IF(ISBLANK(INDEX('Policy Characteristics'!L:L,MATCH($C39,'Policy Characteristics'!$C:$C,0))),"",INDEX('Policy Characteristics'!L:L,MATCH($C39,'Policy Characteristics'!$C:$C,0)))</f>
        <v>conventional-pollutant-standards.html</v>
      </c>
    </row>
    <row r="40" customHeight="1" spans="1:18">
      <c r="A40" s="394" t="str">
        <f>IF(ISBLANK(INDEX('Policy Characteristics'!A:A,MATCH($C40,'Policy Characteristics'!$C:$C,0))),"",INDEX('Policy Characteristics'!A:A,MATCH($C40,'Policy Characteristics'!$C:$C,0)))</f>
        <v>Transportation</v>
      </c>
      <c r="B40" s="395" t="str">
        <f>IF(ISBLANK(INDEX('Policy Characteristics'!B:B,MATCH($C40,'Policy Characteristics'!$C:$C,0))),"",INDEX('Policy Characteristics'!B:B,MATCH($C40,'Policy Characteristics'!$C:$C,0)))</f>
        <v>Conventional Pollutant Standards</v>
      </c>
      <c r="C40" s="394" t="str">
        <f t="shared" si="2"/>
        <v>Percentage Reduction of Separately Regulated Pollutants</v>
      </c>
      <c r="D40" s="28" t="s">
        <v>664</v>
      </c>
      <c r="E40" s="28" t="s">
        <v>657</v>
      </c>
      <c r="F40" s="28" t="s">
        <v>665</v>
      </c>
      <c r="G40" s="28" t="s">
        <v>657</v>
      </c>
      <c r="H40" s="377">
        <v>338</v>
      </c>
      <c r="I40" s="396" t="s">
        <v>658</v>
      </c>
      <c r="J40" s="397" t="str">
        <f>IF(ISBLANK(INDEX('Policy Characteristics'!D:D,MATCH($C40,'Policy Characteristics'!$C:$C,0))),"",INDEX('Policy Characteristics'!D:D,MATCH($C40,'Policy Characteristics'!$C:$C,0)))</f>
        <v>Conventional Pollutant Standard</v>
      </c>
      <c r="K40" s="394" t="str">
        <f>IF(ISBLANK(INDEX('Policy Characteristics'!E:E,MATCH($C40,'Policy Characteristics'!$C:$C,0))),"",INDEX('Policy Characteristics'!E:E,MATCH($C40,'Policy Characteristics'!$C:$C,0)))</f>
        <v>trans reduce regulated pollutants</v>
      </c>
      <c r="L40" s="398">
        <f>IF(ISBLANK(INDEX('Policy Characteristics'!F:F,MATCH($C40,'Policy Characteristics'!$C:$C,0))),"",INDEX('Policy Characteristics'!F:F,MATCH($C40,'Policy Characteristics'!$C:$C,0)))</f>
        <v>0</v>
      </c>
      <c r="M40" s="398">
        <f>IF(ISBLANK(INDEX('Policy Characteristics'!G:G,MATCH($C40,'Policy Characteristics'!$C:$C,0))),"",INDEX('Policy Characteristics'!G:G,MATCH($C40,'Policy Characteristics'!$C:$C,0)))</f>
        <v>1</v>
      </c>
      <c r="N40" s="398">
        <f>IF(ISBLANK(INDEX('Policy Characteristics'!H:H,MATCH($C40,'Policy Characteristics'!$C:$C,0))),"",INDEX('Policy Characteristics'!H:H,MATCH($C40,'Policy Characteristics'!$C:$C,0)))</f>
        <v>0.02</v>
      </c>
      <c r="O40" s="394" t="str">
        <f>IF(ISBLANK(INDEX('Policy Characteristics'!I:I,MATCH($C40,'Policy Characteristics'!$C:$C,0))),"",INDEX('Policy Characteristics'!I:I,MATCH($C40,'Policy Characteristics'!$C:$C,0)))</f>
        <v>% reduction in emissions</v>
      </c>
      <c r="P40" s="394"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0" s="394" t="str">
        <f>IF(ISBLANK(INDEX('Policy Characteristics'!K:K,MATCH($C40,'Policy Characteristics'!$C:$C,0))),"",INDEX('Policy Characteristics'!K:K,MATCH($C40,'Policy Characteristics'!$C:$C,0)))</f>
        <v>transportation-sector-main.html#conv-pol-stds</v>
      </c>
      <c r="R40" s="394" t="str">
        <f>IF(ISBLANK(INDEX('Policy Characteristics'!L:L,MATCH($C40,'Policy Characteristics'!$C:$C,0))),"",INDEX('Policy Characteristics'!L:L,MATCH($C40,'Policy Characteristics'!$C:$C,0)))</f>
        <v>conventional-pollutant-standards.html</v>
      </c>
    </row>
    <row r="41" customHeight="1" spans="1:18">
      <c r="A41" s="394" t="str">
        <f>IF(ISBLANK(INDEX('Policy Characteristics'!A:A,MATCH($C41,'Policy Characteristics'!$C:$C,0))),"",INDEX('Policy Characteristics'!A:A,MATCH($C41,'Policy Characteristics'!$C:$C,0)))</f>
        <v>Transportation</v>
      </c>
      <c r="B41" s="395" t="str">
        <f>IF(ISBLANK(INDEX('Policy Characteristics'!B:B,MATCH($C41,'Policy Characteristics'!$C:$C,0))),"",INDEX('Policy Characteristics'!B:B,MATCH($C41,'Policy Characteristics'!$C:$C,0)))</f>
        <v>Conventional Pollutant Standards</v>
      </c>
      <c r="C41" s="394" t="str">
        <f t="shared" si="2"/>
        <v>Percentage Reduction of Separately Regulated Pollutants</v>
      </c>
      <c r="D41" s="28" t="s">
        <v>664</v>
      </c>
      <c r="E41" s="28" t="s">
        <v>659</v>
      </c>
      <c r="F41" s="28" t="s">
        <v>665</v>
      </c>
      <c r="G41" s="28" t="s">
        <v>659</v>
      </c>
      <c r="H41" s="377">
        <v>339</v>
      </c>
      <c r="I41" s="396" t="s">
        <v>658</v>
      </c>
      <c r="J41" s="397" t="str">
        <f>IF(ISBLANK(INDEX('Policy Characteristics'!D:D,MATCH($C41,'Policy Characteristics'!$C:$C,0))),"",INDEX('Policy Characteristics'!D:D,MATCH($C41,'Policy Characteristics'!$C:$C,0)))</f>
        <v>Conventional Pollutant Standard</v>
      </c>
      <c r="K41" s="394" t="str">
        <f>IF(ISBLANK(INDEX('Policy Characteristics'!E:E,MATCH($C41,'Policy Characteristics'!$C:$C,0))),"",INDEX('Policy Characteristics'!E:E,MATCH($C41,'Policy Characteristics'!$C:$C,0)))</f>
        <v>trans reduce regulated pollutants</v>
      </c>
      <c r="L41" s="398">
        <f>IF(ISBLANK(INDEX('Policy Characteristics'!F:F,MATCH($C41,'Policy Characteristics'!$C:$C,0))),"",INDEX('Policy Characteristics'!F:F,MATCH($C41,'Policy Characteristics'!$C:$C,0)))</f>
        <v>0</v>
      </c>
      <c r="M41" s="398">
        <f>IF(ISBLANK(INDEX('Policy Characteristics'!G:G,MATCH($C41,'Policy Characteristics'!$C:$C,0))),"",INDEX('Policy Characteristics'!G:G,MATCH($C41,'Policy Characteristics'!$C:$C,0)))</f>
        <v>1</v>
      </c>
      <c r="N41" s="398">
        <f>IF(ISBLANK(INDEX('Policy Characteristics'!H:H,MATCH($C41,'Policy Characteristics'!$C:$C,0))),"",INDEX('Policy Characteristics'!H:H,MATCH($C41,'Policy Characteristics'!$C:$C,0)))</f>
        <v>0.02</v>
      </c>
      <c r="O41" s="394" t="str">
        <f>IF(ISBLANK(INDEX('Policy Characteristics'!I:I,MATCH($C41,'Policy Characteristics'!$C:$C,0))),"",INDEX('Policy Characteristics'!I:I,MATCH($C41,'Policy Characteristics'!$C:$C,0)))</f>
        <v>% reduction in emissions</v>
      </c>
      <c r="P41" s="394"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1" s="394" t="str">
        <f>IF(ISBLANK(INDEX('Policy Characteristics'!K:K,MATCH($C41,'Policy Characteristics'!$C:$C,0))),"",INDEX('Policy Characteristics'!K:K,MATCH($C41,'Policy Characteristics'!$C:$C,0)))</f>
        <v>transportation-sector-main.html#conv-pol-stds</v>
      </c>
      <c r="R41" s="394" t="str">
        <f>IF(ISBLANK(INDEX('Policy Characteristics'!L:L,MATCH($C41,'Policy Characteristics'!$C:$C,0))),"",INDEX('Policy Characteristics'!L:L,MATCH($C41,'Policy Characteristics'!$C:$C,0)))</f>
        <v>conventional-pollutant-standards.html</v>
      </c>
    </row>
    <row r="42" customHeight="1" spans="1:18">
      <c r="A42" s="394" t="str">
        <f>IF(ISBLANK(INDEX('Policy Characteristics'!A:A,MATCH($C42,'Policy Characteristics'!$C:$C,0))),"",INDEX('Policy Characteristics'!A:A,MATCH($C42,'Policy Characteristics'!$C:$C,0)))</f>
        <v>Transportation</v>
      </c>
      <c r="B42" s="395" t="str">
        <f>IF(ISBLANK(INDEX('Policy Characteristics'!B:B,MATCH($C42,'Policy Characteristics'!$C:$C,0))),"",INDEX('Policy Characteristics'!B:B,MATCH($C42,'Policy Characteristics'!$C:$C,0)))</f>
        <v>Conventional Pollutant Standards</v>
      </c>
      <c r="C42" s="394" t="str">
        <f t="shared" si="2"/>
        <v>Percentage Reduction of Separately Regulated Pollutants</v>
      </c>
      <c r="D42" s="28" t="s">
        <v>666</v>
      </c>
      <c r="E42" s="28" t="s">
        <v>645</v>
      </c>
      <c r="F42" s="28" t="s">
        <v>667</v>
      </c>
      <c r="G42" s="28" t="s">
        <v>647</v>
      </c>
      <c r="H42" s="377">
        <v>340</v>
      </c>
      <c r="I42" s="396" t="s">
        <v>648</v>
      </c>
      <c r="J42" s="397" t="str">
        <f>IF(ISBLANK(INDEX('Policy Characteristics'!D:D,MATCH($C42,'Policy Characteristics'!$C:$C,0))),"",INDEX('Policy Characteristics'!D:D,MATCH($C42,'Policy Characteristics'!$C:$C,0)))</f>
        <v>Conventional Pollutant Standard</v>
      </c>
      <c r="K42" s="394" t="str">
        <f>IF(ISBLANK(INDEX('Policy Characteristics'!E:E,MATCH($C42,'Policy Characteristics'!$C:$C,0))),"",INDEX('Policy Characteristics'!E:E,MATCH($C42,'Policy Characteristics'!$C:$C,0)))</f>
        <v>trans reduce regulated pollutants</v>
      </c>
      <c r="L42" s="398">
        <f>IF(ISBLANK(INDEX('Policy Characteristics'!F:F,MATCH($C42,'Policy Characteristics'!$C:$C,0))),"",INDEX('Policy Characteristics'!F:F,MATCH($C42,'Policy Characteristics'!$C:$C,0)))</f>
        <v>0</v>
      </c>
      <c r="M42" s="398">
        <f>IF(ISBLANK(INDEX('Policy Characteristics'!G:G,MATCH($C42,'Policy Characteristics'!$C:$C,0))),"",INDEX('Policy Characteristics'!G:G,MATCH($C42,'Policy Characteristics'!$C:$C,0)))</f>
        <v>1</v>
      </c>
      <c r="N42" s="398">
        <f>IF(ISBLANK(INDEX('Policy Characteristics'!H:H,MATCH($C42,'Policy Characteristics'!$C:$C,0))),"",INDEX('Policy Characteristics'!H:H,MATCH($C42,'Policy Characteristics'!$C:$C,0)))</f>
        <v>0.02</v>
      </c>
      <c r="O42" s="394" t="str">
        <f>IF(ISBLANK(INDEX('Policy Characteristics'!I:I,MATCH($C42,'Policy Characteristics'!$C:$C,0))),"",INDEX('Policy Characteristics'!I:I,MATCH($C42,'Policy Characteristics'!$C:$C,0)))</f>
        <v>% reduction in emissions</v>
      </c>
      <c r="P42" s="394"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2" s="394" t="str">
        <f>IF(ISBLANK(INDEX('Policy Characteristics'!K:K,MATCH($C42,'Policy Characteristics'!$C:$C,0))),"",INDEX('Policy Characteristics'!K:K,MATCH($C42,'Policy Characteristics'!$C:$C,0)))</f>
        <v>transportation-sector-main.html#conv-pol-stds</v>
      </c>
      <c r="R42" s="394" t="str">
        <f>IF(ISBLANK(INDEX('Policy Characteristics'!L:L,MATCH($C42,'Policy Characteristics'!$C:$C,0))),"",INDEX('Policy Characteristics'!L:L,MATCH($C42,'Policy Characteristics'!$C:$C,0)))</f>
        <v>conventional-pollutant-standards.html</v>
      </c>
    </row>
    <row r="43" customHeight="1" spans="1:18">
      <c r="A43" s="394" t="str">
        <f>IF(ISBLANK(INDEX('Policy Characteristics'!A:A,MATCH($C43,'Policy Characteristics'!$C:$C,0))),"",INDEX('Policy Characteristics'!A:A,MATCH($C43,'Policy Characteristics'!$C:$C,0)))</f>
        <v>Transportation</v>
      </c>
      <c r="B43" s="395" t="str">
        <f>IF(ISBLANK(INDEX('Policy Characteristics'!B:B,MATCH($C43,'Policy Characteristics'!$C:$C,0))),"",INDEX('Policy Characteristics'!B:B,MATCH($C43,'Policy Characteristics'!$C:$C,0)))</f>
        <v>Conventional Pollutant Standards</v>
      </c>
      <c r="C43" s="394" t="str">
        <f t="shared" si="2"/>
        <v>Percentage Reduction of Separately Regulated Pollutants</v>
      </c>
      <c r="D43" s="28" t="s">
        <v>666</v>
      </c>
      <c r="E43" s="28" t="s">
        <v>649</v>
      </c>
      <c r="F43" s="28" t="s">
        <v>667</v>
      </c>
      <c r="G43" s="28" t="s">
        <v>649</v>
      </c>
      <c r="H43" s="377">
        <v>341</v>
      </c>
      <c r="I43" s="396" t="s">
        <v>648</v>
      </c>
      <c r="J43" s="397" t="str">
        <f>IF(ISBLANK(INDEX('Policy Characteristics'!D:D,MATCH($C43,'Policy Characteristics'!$C:$C,0))),"",INDEX('Policy Characteristics'!D:D,MATCH($C43,'Policy Characteristics'!$C:$C,0)))</f>
        <v>Conventional Pollutant Standard</v>
      </c>
      <c r="K43" s="394" t="str">
        <f>IF(ISBLANK(INDEX('Policy Characteristics'!E:E,MATCH($C43,'Policy Characteristics'!$C:$C,0))),"",INDEX('Policy Characteristics'!E:E,MATCH($C43,'Policy Characteristics'!$C:$C,0)))</f>
        <v>trans reduce regulated pollutants</v>
      </c>
      <c r="L43" s="398">
        <f>IF(ISBLANK(INDEX('Policy Characteristics'!F:F,MATCH($C43,'Policy Characteristics'!$C:$C,0))),"",INDEX('Policy Characteristics'!F:F,MATCH($C43,'Policy Characteristics'!$C:$C,0)))</f>
        <v>0</v>
      </c>
      <c r="M43" s="398">
        <f>IF(ISBLANK(INDEX('Policy Characteristics'!G:G,MATCH($C43,'Policy Characteristics'!$C:$C,0))),"",INDEX('Policy Characteristics'!G:G,MATCH($C43,'Policy Characteristics'!$C:$C,0)))</f>
        <v>1</v>
      </c>
      <c r="N43" s="398">
        <f>IF(ISBLANK(INDEX('Policy Characteristics'!H:H,MATCH($C43,'Policy Characteristics'!$C:$C,0))),"",INDEX('Policy Characteristics'!H:H,MATCH($C43,'Policy Characteristics'!$C:$C,0)))</f>
        <v>0.02</v>
      </c>
      <c r="O43" s="394" t="str">
        <f>IF(ISBLANK(INDEX('Policy Characteristics'!I:I,MATCH($C43,'Policy Characteristics'!$C:$C,0))),"",INDEX('Policy Characteristics'!I:I,MATCH($C43,'Policy Characteristics'!$C:$C,0)))</f>
        <v>% reduction in emissions</v>
      </c>
      <c r="P43" s="394"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3" s="394" t="str">
        <f>IF(ISBLANK(INDEX('Policy Characteristics'!K:K,MATCH($C43,'Policy Characteristics'!$C:$C,0))),"",INDEX('Policy Characteristics'!K:K,MATCH($C43,'Policy Characteristics'!$C:$C,0)))</f>
        <v>transportation-sector-main.html#conv-pol-stds</v>
      </c>
      <c r="R43" s="394" t="str">
        <f>IF(ISBLANK(INDEX('Policy Characteristics'!L:L,MATCH($C43,'Policy Characteristics'!$C:$C,0))),"",INDEX('Policy Characteristics'!L:L,MATCH($C43,'Policy Characteristics'!$C:$C,0)))</f>
        <v>conventional-pollutant-standards.html</v>
      </c>
    </row>
    <row r="44" customHeight="1" spans="1:18">
      <c r="A44" s="394" t="str">
        <f>IF(ISBLANK(INDEX('Policy Characteristics'!A:A,MATCH($C44,'Policy Characteristics'!$C:$C,0))),"",INDEX('Policy Characteristics'!A:A,MATCH($C44,'Policy Characteristics'!$C:$C,0)))</f>
        <v>Transportation</v>
      </c>
      <c r="B44" s="395" t="str">
        <f>IF(ISBLANK(INDEX('Policy Characteristics'!B:B,MATCH($C44,'Policy Characteristics'!$C:$C,0))),"",INDEX('Policy Characteristics'!B:B,MATCH($C44,'Policy Characteristics'!$C:$C,0)))</f>
        <v>Conventional Pollutant Standards</v>
      </c>
      <c r="C44" s="394" t="str">
        <f t="shared" si="2"/>
        <v>Percentage Reduction of Separately Regulated Pollutants</v>
      </c>
      <c r="D44" s="28" t="s">
        <v>666</v>
      </c>
      <c r="E44" s="28" t="s">
        <v>650</v>
      </c>
      <c r="F44" s="28" t="s">
        <v>667</v>
      </c>
      <c r="G44" s="28" t="s">
        <v>650</v>
      </c>
      <c r="H44" s="377">
        <v>342</v>
      </c>
      <c r="I44" s="396" t="s">
        <v>648</v>
      </c>
      <c r="J44" s="397" t="str">
        <f>IF(ISBLANK(INDEX('Policy Characteristics'!D:D,MATCH($C44,'Policy Characteristics'!$C:$C,0))),"",INDEX('Policy Characteristics'!D:D,MATCH($C44,'Policy Characteristics'!$C:$C,0)))</f>
        <v>Conventional Pollutant Standard</v>
      </c>
      <c r="K44" s="394" t="str">
        <f>IF(ISBLANK(INDEX('Policy Characteristics'!E:E,MATCH($C44,'Policy Characteristics'!$C:$C,0))),"",INDEX('Policy Characteristics'!E:E,MATCH($C44,'Policy Characteristics'!$C:$C,0)))</f>
        <v>trans reduce regulated pollutants</v>
      </c>
      <c r="L44" s="398">
        <f>IF(ISBLANK(INDEX('Policy Characteristics'!F:F,MATCH($C44,'Policy Characteristics'!$C:$C,0))),"",INDEX('Policy Characteristics'!F:F,MATCH($C44,'Policy Characteristics'!$C:$C,0)))</f>
        <v>0</v>
      </c>
      <c r="M44" s="398">
        <f>IF(ISBLANK(INDEX('Policy Characteristics'!G:G,MATCH($C44,'Policy Characteristics'!$C:$C,0))),"",INDEX('Policy Characteristics'!G:G,MATCH($C44,'Policy Characteristics'!$C:$C,0)))</f>
        <v>1</v>
      </c>
      <c r="N44" s="398">
        <f>IF(ISBLANK(INDEX('Policy Characteristics'!H:H,MATCH($C44,'Policy Characteristics'!$C:$C,0))),"",INDEX('Policy Characteristics'!H:H,MATCH($C44,'Policy Characteristics'!$C:$C,0)))</f>
        <v>0.02</v>
      </c>
      <c r="O44" s="394" t="str">
        <f>IF(ISBLANK(INDEX('Policy Characteristics'!I:I,MATCH($C44,'Policy Characteristics'!$C:$C,0))),"",INDEX('Policy Characteristics'!I:I,MATCH($C44,'Policy Characteristics'!$C:$C,0)))</f>
        <v>% reduction in emissions</v>
      </c>
      <c r="P44" s="394"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4" s="394" t="str">
        <f>IF(ISBLANK(INDEX('Policy Characteristics'!K:K,MATCH($C44,'Policy Characteristics'!$C:$C,0))),"",INDEX('Policy Characteristics'!K:K,MATCH($C44,'Policy Characteristics'!$C:$C,0)))</f>
        <v>transportation-sector-main.html#conv-pol-stds</v>
      </c>
      <c r="R44" s="394" t="str">
        <f>IF(ISBLANK(INDEX('Policy Characteristics'!L:L,MATCH($C44,'Policy Characteristics'!$C:$C,0))),"",INDEX('Policy Characteristics'!L:L,MATCH($C44,'Policy Characteristics'!$C:$C,0)))</f>
        <v>conventional-pollutant-standards.html</v>
      </c>
    </row>
    <row r="45" customHeight="1" spans="1:18">
      <c r="A45" s="394" t="str">
        <f>IF(ISBLANK(INDEX('Policy Characteristics'!A:A,MATCH($C45,'Policy Characteristics'!$C:$C,0))),"",INDEX('Policy Characteristics'!A:A,MATCH($C45,'Policy Characteristics'!$C:$C,0)))</f>
        <v>Transportation</v>
      </c>
      <c r="B45" s="395" t="str">
        <f>IF(ISBLANK(INDEX('Policy Characteristics'!B:B,MATCH($C45,'Policy Characteristics'!$C:$C,0))),"",INDEX('Policy Characteristics'!B:B,MATCH($C45,'Policy Characteristics'!$C:$C,0)))</f>
        <v>Conventional Pollutant Standards</v>
      </c>
      <c r="C45" s="394" t="str">
        <f t="shared" si="2"/>
        <v>Percentage Reduction of Separately Regulated Pollutants</v>
      </c>
      <c r="D45" s="28" t="s">
        <v>666</v>
      </c>
      <c r="E45" s="28" t="s">
        <v>651</v>
      </c>
      <c r="F45" s="28" t="s">
        <v>667</v>
      </c>
      <c r="G45" s="28" t="s">
        <v>651</v>
      </c>
      <c r="H45" s="377">
        <v>343</v>
      </c>
      <c r="I45" s="396" t="s">
        <v>648</v>
      </c>
      <c r="J45" s="397" t="str">
        <f>IF(ISBLANK(INDEX('Policy Characteristics'!D:D,MATCH($C45,'Policy Characteristics'!$C:$C,0))),"",INDEX('Policy Characteristics'!D:D,MATCH($C45,'Policy Characteristics'!$C:$C,0)))</f>
        <v>Conventional Pollutant Standard</v>
      </c>
      <c r="K45" s="394" t="str">
        <f>IF(ISBLANK(INDEX('Policy Characteristics'!E:E,MATCH($C45,'Policy Characteristics'!$C:$C,0))),"",INDEX('Policy Characteristics'!E:E,MATCH($C45,'Policy Characteristics'!$C:$C,0)))</f>
        <v>trans reduce regulated pollutants</v>
      </c>
      <c r="L45" s="398">
        <f>IF(ISBLANK(INDEX('Policy Characteristics'!F:F,MATCH($C45,'Policy Characteristics'!$C:$C,0))),"",INDEX('Policy Characteristics'!F:F,MATCH($C45,'Policy Characteristics'!$C:$C,0)))</f>
        <v>0</v>
      </c>
      <c r="M45" s="398">
        <f>IF(ISBLANK(INDEX('Policy Characteristics'!G:G,MATCH($C45,'Policy Characteristics'!$C:$C,0))),"",INDEX('Policy Characteristics'!G:G,MATCH($C45,'Policy Characteristics'!$C:$C,0)))</f>
        <v>1</v>
      </c>
      <c r="N45" s="398">
        <f>IF(ISBLANK(INDEX('Policy Characteristics'!H:H,MATCH($C45,'Policy Characteristics'!$C:$C,0))),"",INDEX('Policy Characteristics'!H:H,MATCH($C45,'Policy Characteristics'!$C:$C,0)))</f>
        <v>0.02</v>
      </c>
      <c r="O45" s="394" t="str">
        <f>IF(ISBLANK(INDEX('Policy Characteristics'!I:I,MATCH($C45,'Policy Characteristics'!$C:$C,0))),"",INDEX('Policy Characteristics'!I:I,MATCH($C45,'Policy Characteristics'!$C:$C,0)))</f>
        <v>% reduction in emissions</v>
      </c>
      <c r="P45" s="394"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5" s="394" t="str">
        <f>IF(ISBLANK(INDEX('Policy Characteristics'!K:K,MATCH($C45,'Policy Characteristics'!$C:$C,0))),"",INDEX('Policy Characteristics'!K:K,MATCH($C45,'Policy Characteristics'!$C:$C,0)))</f>
        <v>transportation-sector-main.html#conv-pol-stds</v>
      </c>
      <c r="R45" s="394" t="str">
        <f>IF(ISBLANK(INDEX('Policy Characteristics'!L:L,MATCH($C45,'Policy Characteristics'!$C:$C,0))),"",INDEX('Policy Characteristics'!L:L,MATCH($C45,'Policy Characteristics'!$C:$C,0)))</f>
        <v>conventional-pollutant-standards.html</v>
      </c>
    </row>
    <row r="46" customHeight="1" spans="1:18">
      <c r="A46" s="394" t="str">
        <f>IF(ISBLANK(INDEX('Policy Characteristics'!A:A,MATCH($C46,'Policy Characteristics'!$C:$C,0))),"",INDEX('Policy Characteristics'!A:A,MATCH($C46,'Policy Characteristics'!$C:$C,0)))</f>
        <v>Transportation</v>
      </c>
      <c r="B46" s="395" t="str">
        <f>IF(ISBLANK(INDEX('Policy Characteristics'!B:B,MATCH($C46,'Policy Characteristics'!$C:$C,0))),"",INDEX('Policy Characteristics'!B:B,MATCH($C46,'Policy Characteristics'!$C:$C,0)))</f>
        <v>Conventional Pollutant Standards</v>
      </c>
      <c r="C46" s="394" t="str">
        <f t="shared" si="2"/>
        <v>Percentage Reduction of Separately Regulated Pollutants</v>
      </c>
      <c r="D46" s="28" t="s">
        <v>666</v>
      </c>
      <c r="E46" s="28" t="s">
        <v>652</v>
      </c>
      <c r="F46" s="28" t="s">
        <v>667</v>
      </c>
      <c r="G46" s="28" t="s">
        <v>653</v>
      </c>
      <c r="H46" s="377">
        <v>344</v>
      </c>
      <c r="I46" s="396" t="s">
        <v>648</v>
      </c>
      <c r="J46" s="397" t="str">
        <f>IF(ISBLANK(INDEX('Policy Characteristics'!D:D,MATCH($C46,'Policy Characteristics'!$C:$C,0))),"",INDEX('Policy Characteristics'!D:D,MATCH($C46,'Policy Characteristics'!$C:$C,0)))</f>
        <v>Conventional Pollutant Standard</v>
      </c>
      <c r="K46" s="394" t="str">
        <f>IF(ISBLANK(INDEX('Policy Characteristics'!E:E,MATCH($C46,'Policy Characteristics'!$C:$C,0))),"",INDEX('Policy Characteristics'!E:E,MATCH($C46,'Policy Characteristics'!$C:$C,0)))</f>
        <v>trans reduce regulated pollutants</v>
      </c>
      <c r="L46" s="398">
        <f>IF(ISBLANK(INDEX('Policy Characteristics'!F:F,MATCH($C46,'Policy Characteristics'!$C:$C,0))),"",INDEX('Policy Characteristics'!F:F,MATCH($C46,'Policy Characteristics'!$C:$C,0)))</f>
        <v>0</v>
      </c>
      <c r="M46" s="398">
        <f>IF(ISBLANK(INDEX('Policy Characteristics'!G:G,MATCH($C46,'Policy Characteristics'!$C:$C,0))),"",INDEX('Policy Characteristics'!G:G,MATCH($C46,'Policy Characteristics'!$C:$C,0)))</f>
        <v>1</v>
      </c>
      <c r="N46" s="398">
        <f>IF(ISBLANK(INDEX('Policy Characteristics'!H:H,MATCH($C46,'Policy Characteristics'!$C:$C,0))),"",INDEX('Policy Characteristics'!H:H,MATCH($C46,'Policy Characteristics'!$C:$C,0)))</f>
        <v>0.02</v>
      </c>
      <c r="O46" s="394" t="str">
        <f>IF(ISBLANK(INDEX('Policy Characteristics'!I:I,MATCH($C46,'Policy Characteristics'!$C:$C,0))),"",INDEX('Policy Characteristics'!I:I,MATCH($C46,'Policy Characteristics'!$C:$C,0)))</f>
        <v>% reduction in emissions</v>
      </c>
      <c r="P46" s="394"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6" s="394" t="str">
        <f>IF(ISBLANK(INDEX('Policy Characteristics'!K:K,MATCH($C46,'Policy Characteristics'!$C:$C,0))),"",INDEX('Policy Characteristics'!K:K,MATCH($C46,'Policy Characteristics'!$C:$C,0)))</f>
        <v>transportation-sector-main.html#conv-pol-stds</v>
      </c>
      <c r="R46" s="394" t="str">
        <f>IF(ISBLANK(INDEX('Policy Characteristics'!L:L,MATCH($C46,'Policy Characteristics'!$C:$C,0))),"",INDEX('Policy Characteristics'!L:L,MATCH($C46,'Policy Characteristics'!$C:$C,0)))</f>
        <v>conventional-pollutant-standards.html</v>
      </c>
    </row>
    <row r="47" customHeight="1" spans="1:18">
      <c r="A47" s="394" t="str">
        <f>IF(ISBLANK(INDEX('Policy Characteristics'!A:A,MATCH($C47,'Policy Characteristics'!$C:$C,0))),"",INDEX('Policy Characteristics'!A:A,MATCH($C47,'Policy Characteristics'!$C:$C,0)))</f>
        <v>Transportation</v>
      </c>
      <c r="B47" s="395" t="str">
        <f>IF(ISBLANK(INDEX('Policy Characteristics'!B:B,MATCH($C47,'Policy Characteristics'!$C:$C,0))),"",INDEX('Policy Characteristics'!B:B,MATCH($C47,'Policy Characteristics'!$C:$C,0)))</f>
        <v>Conventional Pollutant Standards</v>
      </c>
      <c r="C47" s="394" t="str">
        <f t="shared" si="2"/>
        <v>Percentage Reduction of Separately Regulated Pollutants</v>
      </c>
      <c r="D47" s="28" t="s">
        <v>666</v>
      </c>
      <c r="E47" s="28" t="s">
        <v>654</v>
      </c>
      <c r="F47" s="28" t="s">
        <v>667</v>
      </c>
      <c r="G47" s="28" t="s">
        <v>654</v>
      </c>
      <c r="H47" s="377">
        <v>345</v>
      </c>
      <c r="I47" s="396" t="s">
        <v>658</v>
      </c>
      <c r="J47" s="397" t="str">
        <f>IF(ISBLANK(INDEX('Policy Characteristics'!D:D,MATCH($C47,'Policy Characteristics'!$C:$C,0))),"",INDEX('Policy Characteristics'!D:D,MATCH($C47,'Policy Characteristics'!$C:$C,0)))</f>
        <v>Conventional Pollutant Standard</v>
      </c>
      <c r="K47" s="394" t="str">
        <f>IF(ISBLANK(INDEX('Policy Characteristics'!E:E,MATCH($C47,'Policy Characteristics'!$C:$C,0))),"",INDEX('Policy Characteristics'!E:E,MATCH($C47,'Policy Characteristics'!$C:$C,0)))</f>
        <v>trans reduce regulated pollutants</v>
      </c>
      <c r="L47" s="398">
        <f>IF(ISBLANK(INDEX('Policy Characteristics'!F:F,MATCH($C47,'Policy Characteristics'!$C:$C,0))),"",INDEX('Policy Characteristics'!F:F,MATCH($C47,'Policy Characteristics'!$C:$C,0)))</f>
        <v>0</v>
      </c>
      <c r="M47" s="398">
        <f>IF(ISBLANK(INDEX('Policy Characteristics'!G:G,MATCH($C47,'Policy Characteristics'!$C:$C,0))),"",INDEX('Policy Characteristics'!G:G,MATCH($C47,'Policy Characteristics'!$C:$C,0)))</f>
        <v>1</v>
      </c>
      <c r="N47" s="398">
        <f>IF(ISBLANK(INDEX('Policy Characteristics'!H:H,MATCH($C47,'Policy Characteristics'!$C:$C,0))),"",INDEX('Policy Characteristics'!H:H,MATCH($C47,'Policy Characteristics'!$C:$C,0)))</f>
        <v>0.02</v>
      </c>
      <c r="O47" s="394" t="str">
        <f>IF(ISBLANK(INDEX('Policy Characteristics'!I:I,MATCH($C47,'Policy Characteristics'!$C:$C,0))),"",INDEX('Policy Characteristics'!I:I,MATCH($C47,'Policy Characteristics'!$C:$C,0)))</f>
        <v>% reduction in emissions</v>
      </c>
      <c r="P47" s="394"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7" s="394" t="str">
        <f>IF(ISBLANK(INDEX('Policy Characteristics'!K:K,MATCH($C47,'Policy Characteristics'!$C:$C,0))),"",INDEX('Policy Characteristics'!K:K,MATCH($C47,'Policy Characteristics'!$C:$C,0)))</f>
        <v>transportation-sector-main.html#conv-pol-stds</v>
      </c>
      <c r="R47" s="394" t="str">
        <f>IF(ISBLANK(INDEX('Policy Characteristics'!L:L,MATCH($C47,'Policy Characteristics'!$C:$C,0))),"",INDEX('Policy Characteristics'!L:L,MATCH($C47,'Policy Characteristics'!$C:$C,0)))</f>
        <v>conventional-pollutant-standards.html</v>
      </c>
    </row>
    <row r="48" customHeight="1" spans="1:18">
      <c r="A48" s="394" t="str">
        <f>IF(ISBLANK(INDEX('Policy Characteristics'!A:A,MATCH($C48,'Policy Characteristics'!$C:$C,0))),"",INDEX('Policy Characteristics'!A:A,MATCH($C48,'Policy Characteristics'!$C:$C,0)))</f>
        <v>Transportation</v>
      </c>
      <c r="B48" s="395" t="str">
        <f>IF(ISBLANK(INDEX('Policy Characteristics'!B:B,MATCH($C48,'Policy Characteristics'!$C:$C,0))),"",INDEX('Policy Characteristics'!B:B,MATCH($C48,'Policy Characteristics'!$C:$C,0)))</f>
        <v>Conventional Pollutant Standards</v>
      </c>
      <c r="C48" s="394" t="str">
        <f t="shared" si="2"/>
        <v>Percentage Reduction of Separately Regulated Pollutants</v>
      </c>
      <c r="D48" s="28" t="s">
        <v>666</v>
      </c>
      <c r="E48" s="28" t="s">
        <v>655</v>
      </c>
      <c r="F48" s="28" t="s">
        <v>667</v>
      </c>
      <c r="G48" s="28" t="s">
        <v>655</v>
      </c>
      <c r="H48" s="377">
        <v>346</v>
      </c>
      <c r="I48" s="396" t="s">
        <v>648</v>
      </c>
      <c r="J48" s="397" t="str">
        <f>IF(ISBLANK(INDEX('Policy Characteristics'!D:D,MATCH($C48,'Policy Characteristics'!$C:$C,0))),"",INDEX('Policy Characteristics'!D:D,MATCH($C48,'Policy Characteristics'!$C:$C,0)))</f>
        <v>Conventional Pollutant Standard</v>
      </c>
      <c r="K48" s="394" t="str">
        <f>IF(ISBLANK(INDEX('Policy Characteristics'!E:E,MATCH($C48,'Policy Characteristics'!$C:$C,0))),"",INDEX('Policy Characteristics'!E:E,MATCH($C48,'Policy Characteristics'!$C:$C,0)))</f>
        <v>trans reduce regulated pollutants</v>
      </c>
      <c r="L48" s="398">
        <f>IF(ISBLANK(INDEX('Policy Characteristics'!F:F,MATCH($C48,'Policy Characteristics'!$C:$C,0))),"",INDEX('Policy Characteristics'!F:F,MATCH($C48,'Policy Characteristics'!$C:$C,0)))</f>
        <v>0</v>
      </c>
      <c r="M48" s="398">
        <f>IF(ISBLANK(INDEX('Policy Characteristics'!G:G,MATCH($C48,'Policy Characteristics'!$C:$C,0))),"",INDEX('Policy Characteristics'!G:G,MATCH($C48,'Policy Characteristics'!$C:$C,0)))</f>
        <v>1</v>
      </c>
      <c r="N48" s="398">
        <f>IF(ISBLANK(INDEX('Policy Characteristics'!H:H,MATCH($C48,'Policy Characteristics'!$C:$C,0))),"",INDEX('Policy Characteristics'!H:H,MATCH($C48,'Policy Characteristics'!$C:$C,0)))</f>
        <v>0.02</v>
      </c>
      <c r="O48" s="394" t="str">
        <f>IF(ISBLANK(INDEX('Policy Characteristics'!I:I,MATCH($C48,'Policy Characteristics'!$C:$C,0))),"",INDEX('Policy Characteristics'!I:I,MATCH($C48,'Policy Characteristics'!$C:$C,0)))</f>
        <v>% reduction in emissions</v>
      </c>
      <c r="P48" s="394"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8" s="394" t="str">
        <f>IF(ISBLANK(INDEX('Policy Characteristics'!K:K,MATCH($C48,'Policy Characteristics'!$C:$C,0))),"",INDEX('Policy Characteristics'!K:K,MATCH($C48,'Policy Characteristics'!$C:$C,0)))</f>
        <v>transportation-sector-main.html#conv-pol-stds</v>
      </c>
      <c r="R48" s="394" t="str">
        <f>IF(ISBLANK(INDEX('Policy Characteristics'!L:L,MATCH($C48,'Policy Characteristics'!$C:$C,0))),"",INDEX('Policy Characteristics'!L:L,MATCH($C48,'Policy Characteristics'!$C:$C,0)))</f>
        <v>conventional-pollutant-standards.html</v>
      </c>
    </row>
    <row r="49" customHeight="1" spans="1:18">
      <c r="A49" s="394" t="str">
        <f>IF(ISBLANK(INDEX('Policy Characteristics'!A:A,MATCH($C49,'Policy Characteristics'!$C:$C,0))),"",INDEX('Policy Characteristics'!A:A,MATCH($C49,'Policy Characteristics'!$C:$C,0)))</f>
        <v>Transportation</v>
      </c>
      <c r="B49" s="395" t="str">
        <f>IF(ISBLANK(INDEX('Policy Characteristics'!B:B,MATCH($C49,'Policy Characteristics'!$C:$C,0))),"",INDEX('Policy Characteristics'!B:B,MATCH($C49,'Policy Characteristics'!$C:$C,0)))</f>
        <v>Conventional Pollutant Standards</v>
      </c>
      <c r="C49" s="394" t="str">
        <f t="shared" si="2"/>
        <v>Percentage Reduction of Separately Regulated Pollutants</v>
      </c>
      <c r="D49" s="28" t="s">
        <v>666</v>
      </c>
      <c r="E49" s="28" t="s">
        <v>656</v>
      </c>
      <c r="F49" s="28" t="s">
        <v>667</v>
      </c>
      <c r="G49" s="28" t="s">
        <v>656</v>
      </c>
      <c r="H49" s="377">
        <v>347</v>
      </c>
      <c r="I49" s="396" t="s">
        <v>648</v>
      </c>
      <c r="J49" s="397" t="str">
        <f>IF(ISBLANK(INDEX('Policy Characteristics'!D:D,MATCH($C49,'Policy Characteristics'!$C:$C,0))),"",INDEX('Policy Characteristics'!D:D,MATCH($C49,'Policy Characteristics'!$C:$C,0)))</f>
        <v>Conventional Pollutant Standard</v>
      </c>
      <c r="K49" s="394" t="str">
        <f>IF(ISBLANK(INDEX('Policy Characteristics'!E:E,MATCH($C49,'Policy Characteristics'!$C:$C,0))),"",INDEX('Policy Characteristics'!E:E,MATCH($C49,'Policy Characteristics'!$C:$C,0)))</f>
        <v>trans reduce regulated pollutants</v>
      </c>
      <c r="L49" s="398">
        <f>IF(ISBLANK(INDEX('Policy Characteristics'!F:F,MATCH($C49,'Policy Characteristics'!$C:$C,0))),"",INDEX('Policy Characteristics'!F:F,MATCH($C49,'Policy Characteristics'!$C:$C,0)))</f>
        <v>0</v>
      </c>
      <c r="M49" s="398">
        <f>IF(ISBLANK(INDEX('Policy Characteristics'!G:G,MATCH($C49,'Policy Characteristics'!$C:$C,0))),"",INDEX('Policy Characteristics'!G:G,MATCH($C49,'Policy Characteristics'!$C:$C,0)))</f>
        <v>1</v>
      </c>
      <c r="N49" s="398">
        <f>IF(ISBLANK(INDEX('Policy Characteristics'!H:H,MATCH($C49,'Policy Characteristics'!$C:$C,0))),"",INDEX('Policy Characteristics'!H:H,MATCH($C49,'Policy Characteristics'!$C:$C,0)))</f>
        <v>0.02</v>
      </c>
      <c r="O49" s="394" t="str">
        <f>IF(ISBLANK(INDEX('Policy Characteristics'!I:I,MATCH($C49,'Policy Characteristics'!$C:$C,0))),"",INDEX('Policy Characteristics'!I:I,MATCH($C49,'Policy Characteristics'!$C:$C,0)))</f>
        <v>% reduction in emissions</v>
      </c>
      <c r="P49" s="394"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9" s="394" t="str">
        <f>IF(ISBLANK(INDEX('Policy Characteristics'!K:K,MATCH($C49,'Policy Characteristics'!$C:$C,0))),"",INDEX('Policy Characteristics'!K:K,MATCH($C49,'Policy Characteristics'!$C:$C,0)))</f>
        <v>transportation-sector-main.html#conv-pol-stds</v>
      </c>
      <c r="R49" s="394" t="str">
        <f>IF(ISBLANK(INDEX('Policy Characteristics'!L:L,MATCH($C49,'Policy Characteristics'!$C:$C,0))),"",INDEX('Policy Characteristics'!L:L,MATCH($C49,'Policy Characteristics'!$C:$C,0)))</f>
        <v>conventional-pollutant-standards.html</v>
      </c>
    </row>
    <row r="50" customHeight="1" spans="1:18">
      <c r="A50" s="394" t="str">
        <f>IF(ISBLANK(INDEX('Policy Characteristics'!A:A,MATCH($C50,'Policy Characteristics'!$C:$C,0))),"",INDEX('Policy Characteristics'!A:A,MATCH($C50,'Policy Characteristics'!$C:$C,0)))</f>
        <v>Transportation</v>
      </c>
      <c r="B50" s="395" t="str">
        <f>IF(ISBLANK(INDEX('Policy Characteristics'!B:B,MATCH($C50,'Policy Characteristics'!$C:$C,0))),"",INDEX('Policy Characteristics'!B:B,MATCH($C50,'Policy Characteristics'!$C:$C,0)))</f>
        <v>Conventional Pollutant Standards</v>
      </c>
      <c r="C50" s="394" t="str">
        <f t="shared" si="2"/>
        <v>Percentage Reduction of Separately Regulated Pollutants</v>
      </c>
      <c r="D50" s="28" t="s">
        <v>666</v>
      </c>
      <c r="E50" s="28" t="s">
        <v>657</v>
      </c>
      <c r="F50" s="28" t="s">
        <v>667</v>
      </c>
      <c r="G50" s="28" t="s">
        <v>657</v>
      </c>
      <c r="H50" s="377">
        <v>348</v>
      </c>
      <c r="I50" s="396" t="s">
        <v>658</v>
      </c>
      <c r="J50" s="397" t="str">
        <f>IF(ISBLANK(INDEX('Policy Characteristics'!D:D,MATCH($C50,'Policy Characteristics'!$C:$C,0))),"",INDEX('Policy Characteristics'!D:D,MATCH($C50,'Policy Characteristics'!$C:$C,0)))</f>
        <v>Conventional Pollutant Standard</v>
      </c>
      <c r="K50" s="394" t="str">
        <f>IF(ISBLANK(INDEX('Policy Characteristics'!E:E,MATCH($C50,'Policy Characteristics'!$C:$C,0))),"",INDEX('Policy Characteristics'!E:E,MATCH($C50,'Policy Characteristics'!$C:$C,0)))</f>
        <v>trans reduce regulated pollutants</v>
      </c>
      <c r="L50" s="398">
        <f>IF(ISBLANK(INDEX('Policy Characteristics'!F:F,MATCH($C50,'Policy Characteristics'!$C:$C,0))),"",INDEX('Policy Characteristics'!F:F,MATCH($C50,'Policy Characteristics'!$C:$C,0)))</f>
        <v>0</v>
      </c>
      <c r="M50" s="398">
        <f>IF(ISBLANK(INDEX('Policy Characteristics'!G:G,MATCH($C50,'Policy Characteristics'!$C:$C,0))),"",INDEX('Policy Characteristics'!G:G,MATCH($C50,'Policy Characteristics'!$C:$C,0)))</f>
        <v>1</v>
      </c>
      <c r="N50" s="398">
        <f>IF(ISBLANK(INDEX('Policy Characteristics'!H:H,MATCH($C50,'Policy Characteristics'!$C:$C,0))),"",INDEX('Policy Characteristics'!H:H,MATCH($C50,'Policy Characteristics'!$C:$C,0)))</f>
        <v>0.02</v>
      </c>
      <c r="O50" s="394" t="str">
        <f>IF(ISBLANK(INDEX('Policy Characteristics'!I:I,MATCH($C50,'Policy Characteristics'!$C:$C,0))),"",INDEX('Policy Characteristics'!I:I,MATCH($C50,'Policy Characteristics'!$C:$C,0)))</f>
        <v>% reduction in emissions</v>
      </c>
      <c r="P50" s="394"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0" s="394" t="str">
        <f>IF(ISBLANK(INDEX('Policy Characteristics'!K:K,MATCH($C50,'Policy Characteristics'!$C:$C,0))),"",INDEX('Policy Characteristics'!K:K,MATCH($C50,'Policy Characteristics'!$C:$C,0)))</f>
        <v>transportation-sector-main.html#conv-pol-stds</v>
      </c>
      <c r="R50" s="394" t="str">
        <f>IF(ISBLANK(INDEX('Policy Characteristics'!L:L,MATCH($C50,'Policy Characteristics'!$C:$C,0))),"",INDEX('Policy Characteristics'!L:L,MATCH($C50,'Policy Characteristics'!$C:$C,0)))</f>
        <v>conventional-pollutant-standards.html</v>
      </c>
    </row>
    <row r="51" customHeight="1" spans="1:18">
      <c r="A51" s="394" t="str">
        <f>IF(ISBLANK(INDEX('Policy Characteristics'!A:A,MATCH($C51,'Policy Characteristics'!$C:$C,0))),"",INDEX('Policy Characteristics'!A:A,MATCH($C51,'Policy Characteristics'!$C:$C,0)))</f>
        <v>Transportation</v>
      </c>
      <c r="B51" s="395" t="str">
        <f>IF(ISBLANK(INDEX('Policy Characteristics'!B:B,MATCH($C51,'Policy Characteristics'!$C:$C,0))),"",INDEX('Policy Characteristics'!B:B,MATCH($C51,'Policy Characteristics'!$C:$C,0)))</f>
        <v>Conventional Pollutant Standards</v>
      </c>
      <c r="C51" s="394" t="str">
        <f t="shared" si="2"/>
        <v>Percentage Reduction of Separately Regulated Pollutants</v>
      </c>
      <c r="D51" s="28" t="s">
        <v>666</v>
      </c>
      <c r="E51" s="28" t="s">
        <v>659</v>
      </c>
      <c r="F51" s="28" t="s">
        <v>667</v>
      </c>
      <c r="G51" s="28" t="s">
        <v>659</v>
      </c>
      <c r="H51" s="377">
        <v>349</v>
      </c>
      <c r="I51" s="396" t="s">
        <v>658</v>
      </c>
      <c r="J51" s="397" t="str">
        <f>IF(ISBLANK(INDEX('Policy Characteristics'!D:D,MATCH($C51,'Policy Characteristics'!$C:$C,0))),"",INDEX('Policy Characteristics'!D:D,MATCH($C51,'Policy Characteristics'!$C:$C,0)))</f>
        <v>Conventional Pollutant Standard</v>
      </c>
      <c r="K51" s="394" t="str">
        <f>IF(ISBLANK(INDEX('Policy Characteristics'!E:E,MATCH($C51,'Policy Characteristics'!$C:$C,0))),"",INDEX('Policy Characteristics'!E:E,MATCH($C51,'Policy Characteristics'!$C:$C,0)))</f>
        <v>trans reduce regulated pollutants</v>
      </c>
      <c r="L51" s="398">
        <f>IF(ISBLANK(INDEX('Policy Characteristics'!F:F,MATCH($C51,'Policy Characteristics'!$C:$C,0))),"",INDEX('Policy Characteristics'!F:F,MATCH($C51,'Policy Characteristics'!$C:$C,0)))</f>
        <v>0</v>
      </c>
      <c r="M51" s="398">
        <f>IF(ISBLANK(INDEX('Policy Characteristics'!G:G,MATCH($C51,'Policy Characteristics'!$C:$C,0))),"",INDEX('Policy Characteristics'!G:G,MATCH($C51,'Policy Characteristics'!$C:$C,0)))</f>
        <v>1</v>
      </c>
      <c r="N51" s="398">
        <f>IF(ISBLANK(INDEX('Policy Characteristics'!H:H,MATCH($C51,'Policy Characteristics'!$C:$C,0))),"",INDEX('Policy Characteristics'!H:H,MATCH($C51,'Policy Characteristics'!$C:$C,0)))</f>
        <v>0.02</v>
      </c>
      <c r="O51" s="394" t="str">
        <f>IF(ISBLANK(INDEX('Policy Characteristics'!I:I,MATCH($C51,'Policy Characteristics'!$C:$C,0))),"",INDEX('Policy Characteristics'!I:I,MATCH($C51,'Policy Characteristics'!$C:$C,0)))</f>
        <v>% reduction in emissions</v>
      </c>
      <c r="P51" s="394"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1" s="394" t="str">
        <f>IF(ISBLANK(INDEX('Policy Characteristics'!K:K,MATCH($C51,'Policy Characteristics'!$C:$C,0))),"",INDEX('Policy Characteristics'!K:K,MATCH($C51,'Policy Characteristics'!$C:$C,0)))</f>
        <v>transportation-sector-main.html#conv-pol-stds</v>
      </c>
      <c r="R51" s="394" t="str">
        <f>IF(ISBLANK(INDEX('Policy Characteristics'!L:L,MATCH($C51,'Policy Characteristics'!$C:$C,0))),"",INDEX('Policy Characteristics'!L:L,MATCH($C51,'Policy Characteristics'!$C:$C,0)))</f>
        <v>conventional-pollutant-standards.html</v>
      </c>
    </row>
    <row r="52" customHeight="1" spans="1:18">
      <c r="A52" s="394" t="str">
        <f>IF(ISBLANK(INDEX('Policy Characteristics'!A:A,MATCH($C52,'Policy Characteristics'!$C:$C,0))),"",INDEX('Policy Characteristics'!A:A,MATCH($C52,'Policy Characteristics'!$C:$C,0)))</f>
        <v>Transportation</v>
      </c>
      <c r="B52" s="395" t="str">
        <f>IF(ISBLANK(INDEX('Policy Characteristics'!B:B,MATCH($C52,'Policy Characteristics'!$C:$C,0))),"",INDEX('Policy Characteristics'!B:B,MATCH($C52,'Policy Characteristics'!$C:$C,0)))</f>
        <v>Conventional Pollutant Standards</v>
      </c>
      <c r="C52" s="394" t="str">
        <f t="shared" si="2"/>
        <v>Percentage Reduction of Separately Regulated Pollutants</v>
      </c>
      <c r="D52" s="28" t="s">
        <v>668</v>
      </c>
      <c r="E52" s="28" t="s">
        <v>645</v>
      </c>
      <c r="F52" s="28" t="s">
        <v>669</v>
      </c>
      <c r="G52" s="28" t="s">
        <v>647</v>
      </c>
      <c r="H52" s="377">
        <v>350</v>
      </c>
      <c r="I52" s="396" t="s">
        <v>648</v>
      </c>
      <c r="J52" s="397" t="str">
        <f>IF(ISBLANK(INDEX('Policy Characteristics'!D:D,MATCH($C52,'Policy Characteristics'!$C:$C,0))),"",INDEX('Policy Characteristics'!D:D,MATCH($C52,'Policy Characteristics'!$C:$C,0)))</f>
        <v>Conventional Pollutant Standard</v>
      </c>
      <c r="K52" s="394" t="str">
        <f>IF(ISBLANK(INDEX('Policy Characteristics'!E:E,MATCH($C52,'Policy Characteristics'!$C:$C,0))),"",INDEX('Policy Characteristics'!E:E,MATCH($C52,'Policy Characteristics'!$C:$C,0)))</f>
        <v>trans reduce regulated pollutants</v>
      </c>
      <c r="L52" s="398">
        <f>IF(ISBLANK(INDEX('Policy Characteristics'!F:F,MATCH($C52,'Policy Characteristics'!$C:$C,0))),"",INDEX('Policy Characteristics'!F:F,MATCH($C52,'Policy Characteristics'!$C:$C,0)))</f>
        <v>0</v>
      </c>
      <c r="M52" s="398">
        <f>IF(ISBLANK(INDEX('Policy Characteristics'!G:G,MATCH($C52,'Policy Characteristics'!$C:$C,0))),"",INDEX('Policy Characteristics'!G:G,MATCH($C52,'Policy Characteristics'!$C:$C,0)))</f>
        <v>1</v>
      </c>
      <c r="N52" s="398">
        <f>IF(ISBLANK(INDEX('Policy Characteristics'!H:H,MATCH($C52,'Policy Characteristics'!$C:$C,0))),"",INDEX('Policy Characteristics'!H:H,MATCH($C52,'Policy Characteristics'!$C:$C,0)))</f>
        <v>0.02</v>
      </c>
      <c r="O52" s="394" t="str">
        <f>IF(ISBLANK(INDEX('Policy Characteristics'!I:I,MATCH($C52,'Policy Characteristics'!$C:$C,0))),"",INDEX('Policy Characteristics'!I:I,MATCH($C52,'Policy Characteristics'!$C:$C,0)))</f>
        <v>% reduction in emissions</v>
      </c>
      <c r="P52" s="394"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2" s="394" t="str">
        <f>IF(ISBLANK(INDEX('Policy Characteristics'!K:K,MATCH($C52,'Policy Characteristics'!$C:$C,0))),"",INDEX('Policy Characteristics'!K:K,MATCH($C52,'Policy Characteristics'!$C:$C,0)))</f>
        <v>transportation-sector-main.html#conv-pol-stds</v>
      </c>
      <c r="R52" s="394" t="str">
        <f>IF(ISBLANK(INDEX('Policy Characteristics'!L:L,MATCH($C52,'Policy Characteristics'!$C:$C,0))),"",INDEX('Policy Characteristics'!L:L,MATCH($C52,'Policy Characteristics'!$C:$C,0)))</f>
        <v>conventional-pollutant-standards.html</v>
      </c>
    </row>
    <row r="53" customHeight="1" spans="1:18">
      <c r="A53" s="394" t="str">
        <f>IF(ISBLANK(INDEX('Policy Characteristics'!A:A,MATCH($C53,'Policy Characteristics'!$C:$C,0))),"",INDEX('Policy Characteristics'!A:A,MATCH($C53,'Policy Characteristics'!$C:$C,0)))</f>
        <v>Transportation</v>
      </c>
      <c r="B53" s="395" t="str">
        <f>IF(ISBLANK(INDEX('Policy Characteristics'!B:B,MATCH($C53,'Policy Characteristics'!$C:$C,0))),"",INDEX('Policy Characteristics'!B:B,MATCH($C53,'Policy Characteristics'!$C:$C,0)))</f>
        <v>Conventional Pollutant Standards</v>
      </c>
      <c r="C53" s="394" t="str">
        <f t="shared" si="2"/>
        <v>Percentage Reduction of Separately Regulated Pollutants</v>
      </c>
      <c r="D53" s="28" t="s">
        <v>668</v>
      </c>
      <c r="E53" s="28" t="s">
        <v>649</v>
      </c>
      <c r="F53" s="28" t="s">
        <v>669</v>
      </c>
      <c r="G53" s="28" t="s">
        <v>649</v>
      </c>
      <c r="H53" s="377">
        <v>351</v>
      </c>
      <c r="I53" s="396" t="s">
        <v>648</v>
      </c>
      <c r="J53" s="397" t="str">
        <f>IF(ISBLANK(INDEX('Policy Characteristics'!D:D,MATCH($C53,'Policy Characteristics'!$C:$C,0))),"",INDEX('Policy Characteristics'!D:D,MATCH($C53,'Policy Characteristics'!$C:$C,0)))</f>
        <v>Conventional Pollutant Standard</v>
      </c>
      <c r="K53" s="394" t="str">
        <f>IF(ISBLANK(INDEX('Policy Characteristics'!E:E,MATCH($C53,'Policy Characteristics'!$C:$C,0))),"",INDEX('Policy Characteristics'!E:E,MATCH($C53,'Policy Characteristics'!$C:$C,0)))</f>
        <v>trans reduce regulated pollutants</v>
      </c>
      <c r="L53" s="398">
        <f>IF(ISBLANK(INDEX('Policy Characteristics'!F:F,MATCH($C53,'Policy Characteristics'!$C:$C,0))),"",INDEX('Policy Characteristics'!F:F,MATCH($C53,'Policy Characteristics'!$C:$C,0)))</f>
        <v>0</v>
      </c>
      <c r="M53" s="398">
        <f>IF(ISBLANK(INDEX('Policy Characteristics'!G:G,MATCH($C53,'Policy Characteristics'!$C:$C,0))),"",INDEX('Policy Characteristics'!G:G,MATCH($C53,'Policy Characteristics'!$C:$C,0)))</f>
        <v>1</v>
      </c>
      <c r="N53" s="398">
        <f>IF(ISBLANK(INDEX('Policy Characteristics'!H:H,MATCH($C53,'Policy Characteristics'!$C:$C,0))),"",INDEX('Policy Characteristics'!H:H,MATCH($C53,'Policy Characteristics'!$C:$C,0)))</f>
        <v>0.02</v>
      </c>
      <c r="O53" s="394" t="str">
        <f>IF(ISBLANK(INDEX('Policy Characteristics'!I:I,MATCH($C53,'Policy Characteristics'!$C:$C,0))),"",INDEX('Policy Characteristics'!I:I,MATCH($C53,'Policy Characteristics'!$C:$C,0)))</f>
        <v>% reduction in emissions</v>
      </c>
      <c r="P53" s="394"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3" s="394" t="str">
        <f>IF(ISBLANK(INDEX('Policy Characteristics'!K:K,MATCH($C53,'Policy Characteristics'!$C:$C,0))),"",INDEX('Policy Characteristics'!K:K,MATCH($C53,'Policy Characteristics'!$C:$C,0)))</f>
        <v>transportation-sector-main.html#conv-pol-stds</v>
      </c>
      <c r="R53" s="394" t="str">
        <f>IF(ISBLANK(INDEX('Policy Characteristics'!L:L,MATCH($C53,'Policy Characteristics'!$C:$C,0))),"",INDEX('Policy Characteristics'!L:L,MATCH($C53,'Policy Characteristics'!$C:$C,0)))</f>
        <v>conventional-pollutant-standards.html</v>
      </c>
    </row>
    <row r="54" customHeight="1" spans="1:18">
      <c r="A54" s="394" t="str">
        <f>IF(ISBLANK(INDEX('Policy Characteristics'!A:A,MATCH($C54,'Policy Characteristics'!$C:$C,0))),"",INDEX('Policy Characteristics'!A:A,MATCH($C54,'Policy Characteristics'!$C:$C,0)))</f>
        <v>Transportation</v>
      </c>
      <c r="B54" s="395" t="str">
        <f>IF(ISBLANK(INDEX('Policy Characteristics'!B:B,MATCH($C54,'Policy Characteristics'!$C:$C,0))),"",INDEX('Policy Characteristics'!B:B,MATCH($C54,'Policy Characteristics'!$C:$C,0)))</f>
        <v>Conventional Pollutant Standards</v>
      </c>
      <c r="C54" s="394" t="str">
        <f t="shared" si="2"/>
        <v>Percentage Reduction of Separately Regulated Pollutants</v>
      </c>
      <c r="D54" s="28" t="s">
        <v>668</v>
      </c>
      <c r="E54" s="28" t="s">
        <v>650</v>
      </c>
      <c r="F54" s="28" t="s">
        <v>669</v>
      </c>
      <c r="G54" s="28" t="s">
        <v>650</v>
      </c>
      <c r="H54" s="377">
        <v>352</v>
      </c>
      <c r="I54" s="396" t="s">
        <v>648</v>
      </c>
      <c r="J54" s="397" t="str">
        <f>IF(ISBLANK(INDEX('Policy Characteristics'!D:D,MATCH($C54,'Policy Characteristics'!$C:$C,0))),"",INDEX('Policy Characteristics'!D:D,MATCH($C54,'Policy Characteristics'!$C:$C,0)))</f>
        <v>Conventional Pollutant Standard</v>
      </c>
      <c r="K54" s="394" t="str">
        <f>IF(ISBLANK(INDEX('Policy Characteristics'!E:E,MATCH($C54,'Policy Characteristics'!$C:$C,0))),"",INDEX('Policy Characteristics'!E:E,MATCH($C54,'Policy Characteristics'!$C:$C,0)))</f>
        <v>trans reduce regulated pollutants</v>
      </c>
      <c r="L54" s="398">
        <f>IF(ISBLANK(INDEX('Policy Characteristics'!F:F,MATCH($C54,'Policy Characteristics'!$C:$C,0))),"",INDEX('Policy Characteristics'!F:F,MATCH($C54,'Policy Characteristics'!$C:$C,0)))</f>
        <v>0</v>
      </c>
      <c r="M54" s="398">
        <f>IF(ISBLANK(INDEX('Policy Characteristics'!G:G,MATCH($C54,'Policy Characteristics'!$C:$C,0))),"",INDEX('Policy Characteristics'!G:G,MATCH($C54,'Policy Characteristics'!$C:$C,0)))</f>
        <v>1</v>
      </c>
      <c r="N54" s="398">
        <f>IF(ISBLANK(INDEX('Policy Characteristics'!H:H,MATCH($C54,'Policy Characteristics'!$C:$C,0))),"",INDEX('Policy Characteristics'!H:H,MATCH($C54,'Policy Characteristics'!$C:$C,0)))</f>
        <v>0.02</v>
      </c>
      <c r="O54" s="394" t="str">
        <f>IF(ISBLANK(INDEX('Policy Characteristics'!I:I,MATCH($C54,'Policy Characteristics'!$C:$C,0))),"",INDEX('Policy Characteristics'!I:I,MATCH($C54,'Policy Characteristics'!$C:$C,0)))</f>
        <v>% reduction in emissions</v>
      </c>
      <c r="P54" s="394"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4" s="394" t="str">
        <f>IF(ISBLANK(INDEX('Policy Characteristics'!K:K,MATCH($C54,'Policy Characteristics'!$C:$C,0))),"",INDEX('Policy Characteristics'!K:K,MATCH($C54,'Policy Characteristics'!$C:$C,0)))</f>
        <v>transportation-sector-main.html#conv-pol-stds</v>
      </c>
      <c r="R54" s="394" t="str">
        <f>IF(ISBLANK(INDEX('Policy Characteristics'!L:L,MATCH($C54,'Policy Characteristics'!$C:$C,0))),"",INDEX('Policy Characteristics'!L:L,MATCH($C54,'Policy Characteristics'!$C:$C,0)))</f>
        <v>conventional-pollutant-standards.html</v>
      </c>
    </row>
    <row r="55" customHeight="1" spans="1:18">
      <c r="A55" s="394" t="str">
        <f>IF(ISBLANK(INDEX('Policy Characteristics'!A:A,MATCH($C55,'Policy Characteristics'!$C:$C,0))),"",INDEX('Policy Characteristics'!A:A,MATCH($C55,'Policy Characteristics'!$C:$C,0)))</f>
        <v>Transportation</v>
      </c>
      <c r="B55" s="395" t="str">
        <f>IF(ISBLANK(INDEX('Policy Characteristics'!B:B,MATCH($C55,'Policy Characteristics'!$C:$C,0))),"",INDEX('Policy Characteristics'!B:B,MATCH($C55,'Policy Characteristics'!$C:$C,0)))</f>
        <v>Conventional Pollutant Standards</v>
      </c>
      <c r="C55" s="394" t="str">
        <f t="shared" si="2"/>
        <v>Percentage Reduction of Separately Regulated Pollutants</v>
      </c>
      <c r="D55" s="28" t="s">
        <v>668</v>
      </c>
      <c r="E55" s="28" t="s">
        <v>651</v>
      </c>
      <c r="F55" s="28" t="s">
        <v>669</v>
      </c>
      <c r="G55" s="28" t="s">
        <v>651</v>
      </c>
      <c r="H55" s="377">
        <v>353</v>
      </c>
      <c r="I55" s="396" t="s">
        <v>648</v>
      </c>
      <c r="J55" s="397" t="str">
        <f>IF(ISBLANK(INDEX('Policy Characteristics'!D:D,MATCH($C55,'Policy Characteristics'!$C:$C,0))),"",INDEX('Policy Characteristics'!D:D,MATCH($C55,'Policy Characteristics'!$C:$C,0)))</f>
        <v>Conventional Pollutant Standard</v>
      </c>
      <c r="K55" s="394" t="str">
        <f>IF(ISBLANK(INDEX('Policy Characteristics'!E:E,MATCH($C55,'Policy Characteristics'!$C:$C,0))),"",INDEX('Policy Characteristics'!E:E,MATCH($C55,'Policy Characteristics'!$C:$C,0)))</f>
        <v>trans reduce regulated pollutants</v>
      </c>
      <c r="L55" s="398">
        <f>IF(ISBLANK(INDEX('Policy Characteristics'!F:F,MATCH($C55,'Policy Characteristics'!$C:$C,0))),"",INDEX('Policy Characteristics'!F:F,MATCH($C55,'Policy Characteristics'!$C:$C,0)))</f>
        <v>0</v>
      </c>
      <c r="M55" s="398">
        <f>IF(ISBLANK(INDEX('Policy Characteristics'!G:G,MATCH($C55,'Policy Characteristics'!$C:$C,0))),"",INDEX('Policy Characteristics'!G:G,MATCH($C55,'Policy Characteristics'!$C:$C,0)))</f>
        <v>1</v>
      </c>
      <c r="N55" s="398">
        <f>IF(ISBLANK(INDEX('Policy Characteristics'!H:H,MATCH($C55,'Policy Characteristics'!$C:$C,0))),"",INDEX('Policy Characteristics'!H:H,MATCH($C55,'Policy Characteristics'!$C:$C,0)))</f>
        <v>0.02</v>
      </c>
      <c r="O55" s="394" t="str">
        <f>IF(ISBLANK(INDEX('Policy Characteristics'!I:I,MATCH($C55,'Policy Characteristics'!$C:$C,0))),"",INDEX('Policy Characteristics'!I:I,MATCH($C55,'Policy Characteristics'!$C:$C,0)))</f>
        <v>% reduction in emissions</v>
      </c>
      <c r="P55" s="394"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5" s="394" t="str">
        <f>IF(ISBLANK(INDEX('Policy Characteristics'!K:K,MATCH($C55,'Policy Characteristics'!$C:$C,0))),"",INDEX('Policy Characteristics'!K:K,MATCH($C55,'Policy Characteristics'!$C:$C,0)))</f>
        <v>transportation-sector-main.html#conv-pol-stds</v>
      </c>
      <c r="R55" s="394" t="str">
        <f>IF(ISBLANK(INDEX('Policy Characteristics'!L:L,MATCH($C55,'Policy Characteristics'!$C:$C,0))),"",INDEX('Policy Characteristics'!L:L,MATCH($C55,'Policy Characteristics'!$C:$C,0)))</f>
        <v>conventional-pollutant-standards.html</v>
      </c>
    </row>
    <row r="56" customHeight="1" spans="1:18">
      <c r="A56" s="394" t="str">
        <f>IF(ISBLANK(INDEX('Policy Characteristics'!A:A,MATCH($C56,'Policy Characteristics'!$C:$C,0))),"",INDEX('Policy Characteristics'!A:A,MATCH($C56,'Policy Characteristics'!$C:$C,0)))</f>
        <v>Transportation</v>
      </c>
      <c r="B56" s="395" t="str">
        <f>IF(ISBLANK(INDEX('Policy Characteristics'!B:B,MATCH($C56,'Policy Characteristics'!$C:$C,0))),"",INDEX('Policy Characteristics'!B:B,MATCH($C56,'Policy Characteristics'!$C:$C,0)))</f>
        <v>Conventional Pollutant Standards</v>
      </c>
      <c r="C56" s="394" t="str">
        <f t="shared" si="2"/>
        <v>Percentage Reduction of Separately Regulated Pollutants</v>
      </c>
      <c r="D56" s="28" t="s">
        <v>668</v>
      </c>
      <c r="E56" s="28" t="s">
        <v>652</v>
      </c>
      <c r="F56" s="28" t="s">
        <v>669</v>
      </c>
      <c r="G56" s="28" t="s">
        <v>653</v>
      </c>
      <c r="H56" s="377">
        <v>354</v>
      </c>
      <c r="I56" s="396" t="s">
        <v>648</v>
      </c>
      <c r="J56" s="397" t="str">
        <f>IF(ISBLANK(INDEX('Policy Characteristics'!D:D,MATCH($C56,'Policy Characteristics'!$C:$C,0))),"",INDEX('Policy Characteristics'!D:D,MATCH($C56,'Policy Characteristics'!$C:$C,0)))</f>
        <v>Conventional Pollutant Standard</v>
      </c>
      <c r="K56" s="394" t="str">
        <f>IF(ISBLANK(INDEX('Policy Characteristics'!E:E,MATCH($C56,'Policy Characteristics'!$C:$C,0))),"",INDEX('Policy Characteristics'!E:E,MATCH($C56,'Policy Characteristics'!$C:$C,0)))</f>
        <v>trans reduce regulated pollutants</v>
      </c>
      <c r="L56" s="398">
        <f>IF(ISBLANK(INDEX('Policy Characteristics'!F:F,MATCH($C56,'Policy Characteristics'!$C:$C,0))),"",INDEX('Policy Characteristics'!F:F,MATCH($C56,'Policy Characteristics'!$C:$C,0)))</f>
        <v>0</v>
      </c>
      <c r="M56" s="398">
        <f>IF(ISBLANK(INDEX('Policy Characteristics'!G:G,MATCH($C56,'Policy Characteristics'!$C:$C,0))),"",INDEX('Policy Characteristics'!G:G,MATCH($C56,'Policy Characteristics'!$C:$C,0)))</f>
        <v>1</v>
      </c>
      <c r="N56" s="398">
        <f>IF(ISBLANK(INDEX('Policy Characteristics'!H:H,MATCH($C56,'Policy Characteristics'!$C:$C,0))),"",INDEX('Policy Characteristics'!H:H,MATCH($C56,'Policy Characteristics'!$C:$C,0)))</f>
        <v>0.02</v>
      </c>
      <c r="O56" s="394" t="str">
        <f>IF(ISBLANK(INDEX('Policy Characteristics'!I:I,MATCH($C56,'Policy Characteristics'!$C:$C,0))),"",INDEX('Policy Characteristics'!I:I,MATCH($C56,'Policy Characteristics'!$C:$C,0)))</f>
        <v>% reduction in emissions</v>
      </c>
      <c r="P56" s="394"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6" s="394" t="str">
        <f>IF(ISBLANK(INDEX('Policy Characteristics'!K:K,MATCH($C56,'Policy Characteristics'!$C:$C,0))),"",INDEX('Policy Characteristics'!K:K,MATCH($C56,'Policy Characteristics'!$C:$C,0)))</f>
        <v>transportation-sector-main.html#conv-pol-stds</v>
      </c>
      <c r="R56" s="394" t="str">
        <f>IF(ISBLANK(INDEX('Policy Characteristics'!L:L,MATCH($C56,'Policy Characteristics'!$C:$C,0))),"",INDEX('Policy Characteristics'!L:L,MATCH($C56,'Policy Characteristics'!$C:$C,0)))</f>
        <v>conventional-pollutant-standards.html</v>
      </c>
    </row>
    <row r="57" customHeight="1" spans="1:18">
      <c r="A57" s="394" t="str">
        <f>IF(ISBLANK(INDEX('Policy Characteristics'!A:A,MATCH($C57,'Policy Characteristics'!$C:$C,0))),"",INDEX('Policy Characteristics'!A:A,MATCH($C57,'Policy Characteristics'!$C:$C,0)))</f>
        <v>Transportation</v>
      </c>
      <c r="B57" s="395" t="str">
        <f>IF(ISBLANK(INDEX('Policy Characteristics'!B:B,MATCH($C57,'Policy Characteristics'!$C:$C,0))),"",INDEX('Policy Characteristics'!B:B,MATCH($C57,'Policy Characteristics'!$C:$C,0)))</f>
        <v>Conventional Pollutant Standards</v>
      </c>
      <c r="C57" s="394" t="str">
        <f t="shared" si="2"/>
        <v>Percentage Reduction of Separately Regulated Pollutants</v>
      </c>
      <c r="D57" s="28" t="s">
        <v>668</v>
      </c>
      <c r="E57" s="28" t="s">
        <v>654</v>
      </c>
      <c r="F57" s="28" t="s">
        <v>669</v>
      </c>
      <c r="G57" s="28" t="s">
        <v>654</v>
      </c>
      <c r="H57" s="377">
        <v>355</v>
      </c>
      <c r="I57" s="396" t="s">
        <v>648</v>
      </c>
      <c r="J57" s="397" t="str">
        <f>IF(ISBLANK(INDEX('Policy Characteristics'!D:D,MATCH($C57,'Policy Characteristics'!$C:$C,0))),"",INDEX('Policy Characteristics'!D:D,MATCH($C57,'Policy Characteristics'!$C:$C,0)))</f>
        <v>Conventional Pollutant Standard</v>
      </c>
      <c r="K57" s="394" t="str">
        <f>IF(ISBLANK(INDEX('Policy Characteristics'!E:E,MATCH($C57,'Policy Characteristics'!$C:$C,0))),"",INDEX('Policy Characteristics'!E:E,MATCH($C57,'Policy Characteristics'!$C:$C,0)))</f>
        <v>trans reduce regulated pollutants</v>
      </c>
      <c r="L57" s="398">
        <f>IF(ISBLANK(INDEX('Policy Characteristics'!F:F,MATCH($C57,'Policy Characteristics'!$C:$C,0))),"",INDEX('Policy Characteristics'!F:F,MATCH($C57,'Policy Characteristics'!$C:$C,0)))</f>
        <v>0</v>
      </c>
      <c r="M57" s="398">
        <f>IF(ISBLANK(INDEX('Policy Characteristics'!G:G,MATCH($C57,'Policy Characteristics'!$C:$C,0))),"",INDEX('Policy Characteristics'!G:G,MATCH($C57,'Policy Characteristics'!$C:$C,0)))</f>
        <v>1</v>
      </c>
      <c r="N57" s="398">
        <f>IF(ISBLANK(INDEX('Policy Characteristics'!H:H,MATCH($C57,'Policy Characteristics'!$C:$C,0))),"",INDEX('Policy Characteristics'!H:H,MATCH($C57,'Policy Characteristics'!$C:$C,0)))</f>
        <v>0.02</v>
      </c>
      <c r="O57" s="394" t="str">
        <f>IF(ISBLANK(INDEX('Policy Characteristics'!I:I,MATCH($C57,'Policy Characteristics'!$C:$C,0))),"",INDEX('Policy Characteristics'!I:I,MATCH($C57,'Policy Characteristics'!$C:$C,0)))</f>
        <v>% reduction in emissions</v>
      </c>
      <c r="P57" s="394"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7" s="394" t="str">
        <f>IF(ISBLANK(INDEX('Policy Characteristics'!K:K,MATCH($C57,'Policy Characteristics'!$C:$C,0))),"",INDEX('Policy Characteristics'!K:K,MATCH($C57,'Policy Characteristics'!$C:$C,0)))</f>
        <v>transportation-sector-main.html#conv-pol-stds</v>
      </c>
      <c r="R57" s="394" t="str">
        <f>IF(ISBLANK(INDEX('Policy Characteristics'!L:L,MATCH($C57,'Policy Characteristics'!$C:$C,0))),"",INDEX('Policy Characteristics'!L:L,MATCH($C57,'Policy Characteristics'!$C:$C,0)))</f>
        <v>conventional-pollutant-standards.html</v>
      </c>
    </row>
    <row r="58" customHeight="1" spans="1:18">
      <c r="A58" s="394" t="str">
        <f>IF(ISBLANK(INDEX('Policy Characteristics'!A:A,MATCH($C58,'Policy Characteristics'!$C:$C,0))),"",INDEX('Policy Characteristics'!A:A,MATCH($C58,'Policy Characteristics'!$C:$C,0)))</f>
        <v>Transportation</v>
      </c>
      <c r="B58" s="395" t="str">
        <f>IF(ISBLANK(INDEX('Policy Characteristics'!B:B,MATCH($C58,'Policy Characteristics'!$C:$C,0))),"",INDEX('Policy Characteristics'!B:B,MATCH($C58,'Policy Characteristics'!$C:$C,0)))</f>
        <v>Conventional Pollutant Standards</v>
      </c>
      <c r="C58" s="394" t="str">
        <f t="shared" si="2"/>
        <v>Percentage Reduction of Separately Regulated Pollutants</v>
      </c>
      <c r="D58" s="28" t="s">
        <v>668</v>
      </c>
      <c r="E58" s="28" t="s">
        <v>655</v>
      </c>
      <c r="F58" s="28" t="s">
        <v>669</v>
      </c>
      <c r="G58" s="28" t="s">
        <v>655</v>
      </c>
      <c r="H58" s="377">
        <v>356</v>
      </c>
      <c r="I58" s="396" t="s">
        <v>648</v>
      </c>
      <c r="J58" s="397" t="str">
        <f>IF(ISBLANK(INDEX('Policy Characteristics'!D:D,MATCH($C58,'Policy Characteristics'!$C:$C,0))),"",INDEX('Policy Characteristics'!D:D,MATCH($C58,'Policy Characteristics'!$C:$C,0)))</f>
        <v>Conventional Pollutant Standard</v>
      </c>
      <c r="K58" s="394" t="str">
        <f>IF(ISBLANK(INDEX('Policy Characteristics'!E:E,MATCH($C58,'Policy Characteristics'!$C:$C,0))),"",INDEX('Policy Characteristics'!E:E,MATCH($C58,'Policy Characteristics'!$C:$C,0)))</f>
        <v>trans reduce regulated pollutants</v>
      </c>
      <c r="L58" s="398">
        <f>IF(ISBLANK(INDEX('Policy Characteristics'!F:F,MATCH($C58,'Policy Characteristics'!$C:$C,0))),"",INDEX('Policy Characteristics'!F:F,MATCH($C58,'Policy Characteristics'!$C:$C,0)))</f>
        <v>0</v>
      </c>
      <c r="M58" s="398">
        <f>IF(ISBLANK(INDEX('Policy Characteristics'!G:G,MATCH($C58,'Policy Characteristics'!$C:$C,0))),"",INDEX('Policy Characteristics'!G:G,MATCH($C58,'Policy Characteristics'!$C:$C,0)))</f>
        <v>1</v>
      </c>
      <c r="N58" s="398">
        <f>IF(ISBLANK(INDEX('Policy Characteristics'!H:H,MATCH($C58,'Policy Characteristics'!$C:$C,0))),"",INDEX('Policy Characteristics'!H:H,MATCH($C58,'Policy Characteristics'!$C:$C,0)))</f>
        <v>0.02</v>
      </c>
      <c r="O58" s="394" t="str">
        <f>IF(ISBLANK(INDEX('Policy Characteristics'!I:I,MATCH($C58,'Policy Characteristics'!$C:$C,0))),"",INDEX('Policy Characteristics'!I:I,MATCH($C58,'Policy Characteristics'!$C:$C,0)))</f>
        <v>% reduction in emissions</v>
      </c>
      <c r="P58" s="394"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8" s="394" t="str">
        <f>IF(ISBLANK(INDEX('Policy Characteristics'!K:K,MATCH($C58,'Policy Characteristics'!$C:$C,0))),"",INDEX('Policy Characteristics'!K:K,MATCH($C58,'Policy Characteristics'!$C:$C,0)))</f>
        <v>transportation-sector-main.html#conv-pol-stds</v>
      </c>
      <c r="R58" s="394" t="str">
        <f>IF(ISBLANK(INDEX('Policy Characteristics'!L:L,MATCH($C58,'Policy Characteristics'!$C:$C,0))),"",INDEX('Policy Characteristics'!L:L,MATCH($C58,'Policy Characteristics'!$C:$C,0)))</f>
        <v>conventional-pollutant-standards.html</v>
      </c>
    </row>
    <row r="59" customHeight="1" spans="1:18">
      <c r="A59" s="394" t="str">
        <f>IF(ISBLANK(INDEX('Policy Characteristics'!A:A,MATCH($C59,'Policy Characteristics'!$C:$C,0))),"",INDEX('Policy Characteristics'!A:A,MATCH($C59,'Policy Characteristics'!$C:$C,0)))</f>
        <v>Transportation</v>
      </c>
      <c r="B59" s="395" t="str">
        <f>IF(ISBLANK(INDEX('Policy Characteristics'!B:B,MATCH($C59,'Policy Characteristics'!$C:$C,0))),"",INDEX('Policy Characteristics'!B:B,MATCH($C59,'Policy Characteristics'!$C:$C,0)))</f>
        <v>Conventional Pollutant Standards</v>
      </c>
      <c r="C59" s="394" t="str">
        <f t="shared" si="2"/>
        <v>Percentage Reduction of Separately Regulated Pollutants</v>
      </c>
      <c r="D59" s="28" t="s">
        <v>668</v>
      </c>
      <c r="E59" s="28" t="s">
        <v>656</v>
      </c>
      <c r="F59" s="28" t="s">
        <v>669</v>
      </c>
      <c r="G59" s="28" t="s">
        <v>656</v>
      </c>
      <c r="H59" s="377">
        <v>357</v>
      </c>
      <c r="I59" s="396" t="s">
        <v>648</v>
      </c>
      <c r="J59" s="397" t="str">
        <f>IF(ISBLANK(INDEX('Policy Characteristics'!D:D,MATCH($C59,'Policy Characteristics'!$C:$C,0))),"",INDEX('Policy Characteristics'!D:D,MATCH($C59,'Policy Characteristics'!$C:$C,0)))</f>
        <v>Conventional Pollutant Standard</v>
      </c>
      <c r="K59" s="394" t="str">
        <f>IF(ISBLANK(INDEX('Policy Characteristics'!E:E,MATCH($C59,'Policy Characteristics'!$C:$C,0))),"",INDEX('Policy Characteristics'!E:E,MATCH($C59,'Policy Characteristics'!$C:$C,0)))</f>
        <v>trans reduce regulated pollutants</v>
      </c>
      <c r="L59" s="398">
        <f>IF(ISBLANK(INDEX('Policy Characteristics'!F:F,MATCH($C59,'Policy Characteristics'!$C:$C,0))),"",INDEX('Policy Characteristics'!F:F,MATCH($C59,'Policy Characteristics'!$C:$C,0)))</f>
        <v>0</v>
      </c>
      <c r="M59" s="398">
        <f>IF(ISBLANK(INDEX('Policy Characteristics'!G:G,MATCH($C59,'Policy Characteristics'!$C:$C,0))),"",INDEX('Policy Characteristics'!G:G,MATCH($C59,'Policy Characteristics'!$C:$C,0)))</f>
        <v>1</v>
      </c>
      <c r="N59" s="398">
        <f>IF(ISBLANK(INDEX('Policy Characteristics'!H:H,MATCH($C59,'Policy Characteristics'!$C:$C,0))),"",INDEX('Policy Characteristics'!H:H,MATCH($C59,'Policy Characteristics'!$C:$C,0)))</f>
        <v>0.02</v>
      </c>
      <c r="O59" s="394" t="str">
        <f>IF(ISBLANK(INDEX('Policy Characteristics'!I:I,MATCH($C59,'Policy Characteristics'!$C:$C,0))),"",INDEX('Policy Characteristics'!I:I,MATCH($C59,'Policy Characteristics'!$C:$C,0)))</f>
        <v>% reduction in emissions</v>
      </c>
      <c r="P59" s="394"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9" s="394" t="str">
        <f>IF(ISBLANK(INDEX('Policy Characteristics'!K:K,MATCH($C59,'Policy Characteristics'!$C:$C,0))),"",INDEX('Policy Characteristics'!K:K,MATCH($C59,'Policy Characteristics'!$C:$C,0)))</f>
        <v>transportation-sector-main.html#conv-pol-stds</v>
      </c>
      <c r="R59" s="394" t="str">
        <f>IF(ISBLANK(INDEX('Policy Characteristics'!L:L,MATCH($C59,'Policy Characteristics'!$C:$C,0))),"",INDEX('Policy Characteristics'!L:L,MATCH($C59,'Policy Characteristics'!$C:$C,0)))</f>
        <v>conventional-pollutant-standards.html</v>
      </c>
    </row>
    <row r="60" customHeight="1" spans="1:18">
      <c r="A60" s="394" t="str">
        <f>IF(ISBLANK(INDEX('Policy Characteristics'!A:A,MATCH($C60,'Policy Characteristics'!$C:$C,0))),"",INDEX('Policy Characteristics'!A:A,MATCH($C60,'Policy Characteristics'!$C:$C,0)))</f>
        <v>Transportation</v>
      </c>
      <c r="B60" s="395" t="str">
        <f>IF(ISBLANK(INDEX('Policy Characteristics'!B:B,MATCH($C60,'Policy Characteristics'!$C:$C,0))),"",INDEX('Policy Characteristics'!B:B,MATCH($C60,'Policy Characteristics'!$C:$C,0)))</f>
        <v>Conventional Pollutant Standards</v>
      </c>
      <c r="C60" s="394" t="str">
        <f t="shared" si="2"/>
        <v>Percentage Reduction of Separately Regulated Pollutants</v>
      </c>
      <c r="D60" s="28" t="s">
        <v>668</v>
      </c>
      <c r="E60" s="28" t="s">
        <v>657</v>
      </c>
      <c r="F60" s="28" t="s">
        <v>669</v>
      </c>
      <c r="G60" s="28" t="s">
        <v>657</v>
      </c>
      <c r="H60" s="377">
        <v>358</v>
      </c>
      <c r="I60" s="396" t="s">
        <v>658</v>
      </c>
      <c r="J60" s="397" t="str">
        <f>IF(ISBLANK(INDEX('Policy Characteristics'!D:D,MATCH($C60,'Policy Characteristics'!$C:$C,0))),"",INDEX('Policy Characteristics'!D:D,MATCH($C60,'Policy Characteristics'!$C:$C,0)))</f>
        <v>Conventional Pollutant Standard</v>
      </c>
      <c r="K60" s="394" t="str">
        <f>IF(ISBLANK(INDEX('Policy Characteristics'!E:E,MATCH($C60,'Policy Characteristics'!$C:$C,0))),"",INDEX('Policy Characteristics'!E:E,MATCH($C60,'Policy Characteristics'!$C:$C,0)))</f>
        <v>trans reduce regulated pollutants</v>
      </c>
      <c r="L60" s="398">
        <f>IF(ISBLANK(INDEX('Policy Characteristics'!F:F,MATCH($C60,'Policy Characteristics'!$C:$C,0))),"",INDEX('Policy Characteristics'!F:F,MATCH($C60,'Policy Characteristics'!$C:$C,0)))</f>
        <v>0</v>
      </c>
      <c r="M60" s="398">
        <f>IF(ISBLANK(INDEX('Policy Characteristics'!G:G,MATCH($C60,'Policy Characteristics'!$C:$C,0))),"",INDEX('Policy Characteristics'!G:G,MATCH($C60,'Policy Characteristics'!$C:$C,0)))</f>
        <v>1</v>
      </c>
      <c r="N60" s="398">
        <f>IF(ISBLANK(INDEX('Policy Characteristics'!H:H,MATCH($C60,'Policy Characteristics'!$C:$C,0))),"",INDEX('Policy Characteristics'!H:H,MATCH($C60,'Policy Characteristics'!$C:$C,0)))</f>
        <v>0.02</v>
      </c>
      <c r="O60" s="394" t="str">
        <f>IF(ISBLANK(INDEX('Policy Characteristics'!I:I,MATCH($C60,'Policy Characteristics'!$C:$C,0))),"",INDEX('Policy Characteristics'!I:I,MATCH($C60,'Policy Characteristics'!$C:$C,0)))</f>
        <v>% reduction in emissions</v>
      </c>
      <c r="P60" s="394"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60" s="394" t="str">
        <f>IF(ISBLANK(INDEX('Policy Characteristics'!K:K,MATCH($C60,'Policy Characteristics'!$C:$C,0))),"",INDEX('Policy Characteristics'!K:K,MATCH($C60,'Policy Characteristics'!$C:$C,0)))</f>
        <v>transportation-sector-main.html#conv-pol-stds</v>
      </c>
      <c r="R60" s="394" t="str">
        <f>IF(ISBLANK(INDEX('Policy Characteristics'!L:L,MATCH($C60,'Policy Characteristics'!$C:$C,0))),"",INDEX('Policy Characteristics'!L:L,MATCH($C60,'Policy Characteristics'!$C:$C,0)))</f>
        <v>conventional-pollutant-standards.html</v>
      </c>
    </row>
    <row r="61" customHeight="1" spans="1:18">
      <c r="A61" s="394" t="str">
        <f>IF(ISBLANK(INDEX('Policy Characteristics'!A:A,MATCH($C61,'Policy Characteristics'!$C:$C,0))),"",INDEX('Policy Characteristics'!A:A,MATCH($C61,'Policy Characteristics'!$C:$C,0)))</f>
        <v>Transportation</v>
      </c>
      <c r="B61" s="395" t="str">
        <f>IF(ISBLANK(INDEX('Policy Characteristics'!B:B,MATCH($C61,'Policy Characteristics'!$C:$C,0))),"",INDEX('Policy Characteristics'!B:B,MATCH($C61,'Policy Characteristics'!$C:$C,0)))</f>
        <v>Conventional Pollutant Standards</v>
      </c>
      <c r="C61" s="394" t="str">
        <f t="shared" si="2"/>
        <v>Percentage Reduction of Separately Regulated Pollutants</v>
      </c>
      <c r="D61" s="28" t="s">
        <v>668</v>
      </c>
      <c r="E61" s="28" t="s">
        <v>659</v>
      </c>
      <c r="F61" s="28" t="s">
        <v>669</v>
      </c>
      <c r="G61" s="28" t="s">
        <v>659</v>
      </c>
      <c r="H61" s="377">
        <v>359</v>
      </c>
      <c r="I61" s="396" t="s">
        <v>658</v>
      </c>
      <c r="J61" s="397" t="str">
        <f>IF(ISBLANK(INDEX('Policy Characteristics'!D:D,MATCH($C61,'Policy Characteristics'!$C:$C,0))),"",INDEX('Policy Characteristics'!D:D,MATCH($C61,'Policy Characteristics'!$C:$C,0)))</f>
        <v>Conventional Pollutant Standard</v>
      </c>
      <c r="K61" s="394" t="str">
        <f>IF(ISBLANK(INDEX('Policy Characteristics'!E:E,MATCH($C61,'Policy Characteristics'!$C:$C,0))),"",INDEX('Policy Characteristics'!E:E,MATCH($C61,'Policy Characteristics'!$C:$C,0)))</f>
        <v>trans reduce regulated pollutants</v>
      </c>
      <c r="L61" s="398">
        <f>IF(ISBLANK(INDEX('Policy Characteristics'!F:F,MATCH($C61,'Policy Characteristics'!$C:$C,0))),"",INDEX('Policy Characteristics'!F:F,MATCH($C61,'Policy Characteristics'!$C:$C,0)))</f>
        <v>0</v>
      </c>
      <c r="M61" s="398">
        <f>IF(ISBLANK(INDEX('Policy Characteristics'!G:G,MATCH($C61,'Policy Characteristics'!$C:$C,0))),"",INDEX('Policy Characteristics'!G:G,MATCH($C61,'Policy Characteristics'!$C:$C,0)))</f>
        <v>1</v>
      </c>
      <c r="N61" s="398">
        <f>IF(ISBLANK(INDEX('Policy Characteristics'!H:H,MATCH($C61,'Policy Characteristics'!$C:$C,0))),"",INDEX('Policy Characteristics'!H:H,MATCH($C61,'Policy Characteristics'!$C:$C,0)))</f>
        <v>0.02</v>
      </c>
      <c r="O61" s="394" t="str">
        <f>IF(ISBLANK(INDEX('Policy Characteristics'!I:I,MATCH($C61,'Policy Characteristics'!$C:$C,0))),"",INDEX('Policy Characteristics'!I:I,MATCH($C61,'Policy Characteristics'!$C:$C,0)))</f>
        <v>% reduction in emissions</v>
      </c>
      <c r="P61" s="394"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61" s="394" t="str">
        <f>IF(ISBLANK(INDEX('Policy Characteristics'!K:K,MATCH($C61,'Policy Characteristics'!$C:$C,0))),"",INDEX('Policy Characteristics'!K:K,MATCH($C61,'Policy Characteristics'!$C:$C,0)))</f>
        <v>transportation-sector-main.html#conv-pol-stds</v>
      </c>
      <c r="R61" s="394" t="str">
        <f>IF(ISBLANK(INDEX('Policy Characteristics'!L:L,MATCH($C61,'Policy Characteristics'!$C:$C,0))),"",INDEX('Policy Characteristics'!L:L,MATCH($C61,'Policy Characteristics'!$C:$C,0)))</f>
        <v>conventional-pollutant-standards.html</v>
      </c>
    </row>
    <row r="62" customHeight="1" spans="1:18">
      <c r="A62" s="394" t="str">
        <f>IF(ISBLANK(INDEX('Policy Characteristics'!A:A,MATCH($C62,'Policy Characteristics'!$C:$C,0))),"",INDEX('Policy Characteristics'!A:A,MATCH($C62,'Policy Characteristics'!$C:$C,0)))</f>
        <v>Transportation</v>
      </c>
      <c r="B62" s="395" t="str">
        <f>IF(ISBLANK(INDEX('Policy Characteristics'!B:B,MATCH($C62,'Policy Characteristics'!$C:$C,0))),"",INDEX('Policy Characteristics'!B:B,MATCH($C62,'Policy Characteristics'!$C:$C,0)))</f>
        <v>Electric Vehicle Charger Deployment</v>
      </c>
      <c r="C62" t="s">
        <v>68</v>
      </c>
      <c r="H62" s="377">
        <v>360</v>
      </c>
      <c r="I62" s="396" t="s">
        <v>648</v>
      </c>
      <c r="J62" s="397" t="str">
        <f>IF(ISBLANK(INDEX('Policy Characteristics'!D:D,MATCH($C62,'Policy Characteristics'!$C:$C,0))),"",INDEX('Policy Characteristics'!D:D,MATCH($C62,'Policy Characteristics'!$C:$C,0)))</f>
        <v>EV Charger Deployment</v>
      </c>
      <c r="K62" s="394" t="str">
        <f>IF(ISBLANK(INDEX('Policy Characteristics'!E:E,MATCH($C62,'Policy Characteristics'!$C:$C,0))),"",INDEX('Policy Characteristics'!E:E,MATCH($C62,'Policy Characteristics'!$C:$C,0)))</f>
        <v>trans EV charger deployment</v>
      </c>
      <c r="L62" s="394">
        <f>IF(ISBLANK(INDEX('Policy Characteristics'!F:F,MATCH($C62,'Policy Characteristics'!$C:$C,0))),"",INDEX('Policy Characteristics'!F:F,MATCH($C62,'Policy Characteristics'!$C:$C,0)))</f>
        <v>0</v>
      </c>
      <c r="M62" s="394">
        <f>IF(ISBLANK(INDEX('Policy Characteristics'!G:G,MATCH($C62,'Policy Characteristics'!$C:$C,0))),"",INDEX('Policy Characteristics'!G:G,MATCH($C62,'Policy Characteristics'!$C:$C,0)))</f>
        <v>300</v>
      </c>
      <c r="N62" s="394">
        <f>IF(ISBLANK(INDEX('Policy Characteristics'!H:H,MATCH($C62,'Policy Characteristics'!$C:$C,0))),"",INDEX('Policy Characteristics'!H:H,MATCH($C62,'Policy Characteristics'!$C:$C,0)))</f>
        <v>5</v>
      </c>
      <c r="O62" s="394" t="str">
        <f>IF(ISBLANK(INDEX('Policy Characteristics'!I:I,MATCH($C62,'Policy Characteristics'!$C:$C,0))),"",INDEX('Policy Characteristics'!I:I,MATCH($C62,'Policy Characteristics'!$C:$C,0)))</f>
        <v>chargers / 100k pop</v>
      </c>
      <c r="P62" s="394" t="str">
        <f>IF(ISBLANK(INDEX('Policy Characteristics'!J:J,MATCH($C62,'Policy Characteristics'!$C:$C,0))),"",INDEX('Policy Characteristics'!J:J,MATCH($C62,'Policy Characteristics'!$C:$C,0)))</f>
        <v>**Description:** This policy represents increasing the deployment of EV charging stations, including DC Fast and Level 2 charging stations.  It is set in chargers per 100,000 people (cumulative, not per year), additional to chargers in the BAU case.  This policy only affects passenger LDVs.  // **Guidance for setting values:** The Implementation Program for Accelerating the Construction of Charging and Switching Infrastructure in the Inner Mongolia Autonomous Region (2021-2025) makes it clear that by 2025, all types of charging and switching facilities in the region will strive to reach about 40,000 units.</v>
      </c>
      <c r="Q62" s="394" t="str">
        <f>IF(ISBLANK(INDEX('Policy Characteristics'!K:K,MATCH($C62,'Policy Characteristics'!$C:$C,0))),"",INDEX('Policy Characteristics'!K:K,MATCH($C62,'Policy Characteristics'!$C:$C,0)))</f>
        <v/>
      </c>
      <c r="R62" s="394" t="str">
        <f>IF(ISBLANK(INDEX('Policy Characteristics'!L:L,MATCH($C62,'Policy Characteristics'!$C:$C,0))),"",INDEX('Policy Characteristics'!L:L,MATCH($C62,'Policy Characteristics'!$C:$C,0)))</f>
        <v>ev-charger-deployment.html</v>
      </c>
    </row>
    <row r="63" customHeight="1" spans="1:18">
      <c r="A63" s="394" t="str">
        <f>IF(ISBLANK(INDEX('Policy Characteristics'!A:A,MATCH($C63,'Policy Characteristics'!$C:$C,0))),"",INDEX('Policy Characteristics'!A:A,MATCH($C63,'Policy Characteristics'!$C:$C,0)))</f>
        <v>Transportation</v>
      </c>
      <c r="B63" s="395" t="str">
        <f>IF(ISBLANK(INDEX('Policy Characteristics'!B:B,MATCH($C63,'Policy Characteristics'!$C:$C,0))),"",INDEX('Policy Characteristics'!B:B,MATCH($C63,'Policy Characteristics'!$C:$C,0)))</f>
        <v>Electric Vehicle Range &amp; Charging Time</v>
      </c>
      <c r="C63" t="s">
        <v>75</v>
      </c>
      <c r="D63" s="399"/>
      <c r="E63" s="399"/>
      <c r="F63" s="399"/>
      <c r="G63" s="399"/>
      <c r="H63" s="377">
        <v>361</v>
      </c>
      <c r="I63" s="396" t="s">
        <v>648</v>
      </c>
      <c r="J63" s="397" t="str">
        <f>IF(ISBLANK(INDEX('Policy Characteristics'!D:D,MATCH($C63,'Policy Characteristics'!$C:$C,0))),"",INDEX('Policy Characteristics'!D:D,MATCH($C63,'Policy Characteristics'!$C:$C,0)))</f>
        <v>EV Range &amp; Charging Time</v>
      </c>
      <c r="K63" s="394" t="str">
        <f>IF(ISBLANK(INDEX('Policy Characteristics'!E:E,MATCH($C63,'Policy Characteristics'!$C:$C,0))),"",INDEX('Policy Characteristics'!E:E,MATCH($C63,'Policy Characteristics'!$C:$C,0)))</f>
        <v>trans reduce EV range anxiety and charging time</v>
      </c>
      <c r="L63" s="398">
        <f>IF(ISBLANK(INDEX('Policy Characteristics'!F:F,MATCH($C63,'Policy Characteristics'!$C:$C,0))),"",INDEX('Policy Characteristics'!F:F,MATCH($C63,'Policy Characteristics'!$C:$C,0)))</f>
        <v>0</v>
      </c>
      <c r="M63" s="398">
        <f>IF(ISBLANK(INDEX('Policy Characteristics'!G:G,MATCH($C63,'Policy Characteristics'!$C:$C,0))),"",INDEX('Policy Characteristics'!G:G,MATCH($C63,'Policy Characteristics'!$C:$C,0)))</f>
        <v>1</v>
      </c>
      <c r="N63" s="398">
        <f>IF(ISBLANK(INDEX('Policy Characteristics'!H:H,MATCH($C63,'Policy Characteristics'!$C:$C,0))),"",INDEX('Policy Characteristics'!H:H,MATCH($C63,'Policy Characteristics'!$C:$C,0)))</f>
        <v>0.02</v>
      </c>
      <c r="O63" s="394" t="str">
        <f>IF(ISBLANK(INDEX('Policy Characteristics'!I:I,MATCH($C63,'Policy Characteristics'!$C:$C,0))),"",INDEX('Policy Characteristics'!I:I,MATCH($C63,'Policy Characteristics'!$C:$C,0)))</f>
        <v>% reduction in concern</v>
      </c>
      <c r="P63" s="394" t="str">
        <f>IF(ISBLANK(INDEX('Policy Characteristics'!J:J,MATCH($C63,'Policy Characteristics'!$C:$C,0))),"",INDEX('Policy Characteristics'!J:J,MATCH($C63,'Policy Characteristics'!$C:$C,0)))</f>
        <v>**Description:** This policy specifies a percentage reduction in vehicle buyers' aversion to electric vehicles due to concerns over the vehicles' range (how far the EV can travel on a charge) and charging time.  A 100% setting implies consumers are no more concerned about EV range and charging time than they are about range and fueling time of gasoline vehicles.  It does not imply that range is infinite, nor that charging is instantaneous.  This policy only affects passenger LDVs.  // **Guidance for setting values:**Technology roadmap 2.0 proposes that by 2030, the high ratio of charging facilities will cover residential communities and surrounding areas, as well as unit parking Spaces, social parking lots, and main areas of cities above the county level, key areas of townships, intercity connections, and highway service areas.</v>
      </c>
      <c r="Q63" s="394" t="str">
        <f>IF(ISBLANK(INDEX('Policy Characteristics'!K:K,MATCH($C63,'Policy Characteristics'!$C:$C,0))),"",INDEX('Policy Characteristics'!K:K,MATCH($C63,'Policy Characteristics'!$C:$C,0)))</f>
        <v/>
      </c>
      <c r="R63" s="394" t="str">
        <f>IF(ISBLANK(INDEX('Policy Characteristics'!L:L,MATCH($C63,'Policy Characteristics'!$C:$C,0))),"",INDEX('Policy Characteristics'!L:L,MATCH($C63,'Policy Characteristics'!$C:$C,0)))</f>
        <v>reduce-range-anxiety-charging-time.html</v>
      </c>
    </row>
    <row r="64" customHeight="1" spans="1:18">
      <c r="A64" s="394" t="str">
        <f>IF(ISBLANK(INDEX('Policy Characteristics'!A:A,MATCH($C64,'Policy Characteristics'!$C:$C,0))),"",INDEX('Policy Characteristics'!A:A,MATCH($C64,'Policy Characteristics'!$C:$C,0)))</f>
        <v>Transportation</v>
      </c>
      <c r="B64" s="395" t="str">
        <f>IF(ISBLANK(INDEX('Policy Characteristics'!B:B,MATCH($C64,'Policy Characteristics'!$C:$C,0))),"",INDEX('Policy Characteristics'!B:B,MATCH($C64,'Policy Characteristics'!$C:$C,0)))</f>
        <v>Zero-Emission Vehicle Sales Standard</v>
      </c>
      <c r="C64" t="s">
        <v>83</v>
      </c>
      <c r="D64" s="399" t="s">
        <v>670</v>
      </c>
      <c r="E64" s="399" t="s">
        <v>644</v>
      </c>
      <c r="F64" s="399" t="s">
        <v>671</v>
      </c>
      <c r="G64" s="28" t="s">
        <v>672</v>
      </c>
      <c r="H64" s="377">
        <v>186</v>
      </c>
      <c r="I64" s="396" t="s">
        <v>648</v>
      </c>
      <c r="J64" s="397" t="str">
        <f>IF(ISBLANK(INDEX('Policy Characteristics'!D:D,MATCH($C64,'Policy Characteristics'!$C:$C,0))),"",INDEX('Policy Characteristics'!D:D,MATCH($C64,'Policy Characteristics'!$C:$C,0)))</f>
        <v>ZEV Sales Standard</v>
      </c>
      <c r="K64" s="394" t="str">
        <f>IF(ISBLANK(INDEX('Policy Characteristics'!E:E,MATCH($C64,'Policy Characteristics'!$C:$C,0))),"",INDEX('Policy Characteristics'!E:E,MATCH($C64,'Policy Characteristics'!$C:$C,0)))</f>
        <v>trans ZEV minimum</v>
      </c>
      <c r="L64" s="398">
        <f>IF(ISBLANK(INDEX('Policy Characteristics'!F:F,MATCH($C64,'Policy Characteristics'!$C:$C,0))),"",INDEX('Policy Characteristics'!F:F,MATCH($C64,'Policy Characteristics'!$C:$C,0)))</f>
        <v>0</v>
      </c>
      <c r="M64" s="398">
        <f>IF(ISBLANK(INDEX('Policy Characteristics'!G:G,MATCH($C64,'Policy Characteristics'!$C:$C,0))),"",INDEX('Policy Characteristics'!G:G,MATCH($C64,'Policy Characteristics'!$C:$C,0)))</f>
        <v>1</v>
      </c>
      <c r="N64" s="398">
        <f>IF(ISBLANK(INDEX('Policy Characteristics'!H:H,MATCH($C64,'Policy Characteristics'!$C:$C,0))),"",INDEX('Policy Characteristics'!H:H,MATCH($C64,'Policy Characteristics'!$C:$C,0)))</f>
        <v>0.01</v>
      </c>
      <c r="O64" s="394" t="str">
        <f>IF(ISBLANK(INDEX('Policy Characteristics'!I:I,MATCH($C64,'Policy Characteristics'!$C:$C,0))),"",INDEX('Policy Characteristics'!I:I,MATCH($C64,'Policy Characteristics'!$C:$C,0)))</f>
        <v>% of new vehicles sold</v>
      </c>
      <c r="P64" s="394" t="str">
        <f>IF(ISBLANK(INDEX('Policy Characteristics'!J:J,MATCH($C64,'Policy Characteristics'!$C:$C,0))),"",INDEX('Policy Characteristics'!J:J,MATCH($C64,'Policy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4" s="394" t="str">
        <f>IF(ISBLANK(INDEX('Policy Characteristics'!K:K,MATCH($C64,'Policy Characteristics'!$C:$C,0))),"",INDEX('Policy Characteristics'!K:K,MATCH($C64,'Policy Characteristics'!$C:$C,0)))</f>
        <v>transportation-sector-main.html#ev-mandate</v>
      </c>
      <c r="R64" s="394" t="str">
        <f>IF(ISBLANK(INDEX('Policy Characteristics'!L:L,MATCH($C64,'Policy Characteristics'!$C:$C,0))),"",INDEX('Policy Characteristics'!L:L,MATCH($C64,'Policy Characteristics'!$C:$C,0)))</f>
        <v>ev-mandate.html</v>
      </c>
    </row>
    <row r="65" customHeight="1" spans="1:18">
      <c r="A65" s="394" t="str">
        <f>IF(ISBLANK(INDEX('Policy Characteristics'!A:A,MATCH($C65,'Policy Characteristics'!$C:$C,0))),"",INDEX('Policy Characteristics'!A:A,MATCH($C65,'Policy Characteristics'!$C:$C,0)))</f>
        <v>Transportation</v>
      </c>
      <c r="B65" s="395" t="str">
        <f>IF(ISBLANK(INDEX('Policy Characteristics'!B:B,MATCH($C65,'Policy Characteristics'!$C:$C,0))),"",INDEX('Policy Characteristics'!B:B,MATCH($C65,'Policy Characteristics'!$C:$C,0)))</f>
        <v>Zero-Emission Vehicle Sales Standard</v>
      </c>
      <c r="C65" s="394" t="str">
        <f t="shared" ref="C65:C75" si="3">C$64</f>
        <v>Minimum Required ZEV Sales Percentage</v>
      </c>
      <c r="D65" s="28" t="s">
        <v>673</v>
      </c>
      <c r="E65" s="28" t="s">
        <v>644</v>
      </c>
      <c r="F65" s="28" t="s">
        <v>674</v>
      </c>
      <c r="G65" s="28" t="s">
        <v>675</v>
      </c>
      <c r="H65" s="377">
        <v>203</v>
      </c>
      <c r="I65" s="396" t="s">
        <v>648</v>
      </c>
      <c r="J65" s="397" t="str">
        <f>IF(ISBLANK(INDEX('Policy Characteristics'!D:D,MATCH($C65,'Policy Characteristics'!$C:$C,0))),"",INDEX('Policy Characteristics'!D:D,MATCH($C65,'Policy Characteristics'!$C:$C,0)))</f>
        <v>ZEV Sales Standard</v>
      </c>
      <c r="K65" s="394" t="str">
        <f>IF(ISBLANK(INDEX('Policy Characteristics'!E:E,MATCH($C65,'Policy Characteristics'!$C:$C,0))),"",INDEX('Policy Characteristics'!E:E,MATCH($C65,'Policy Characteristics'!$C:$C,0)))</f>
        <v>trans ZEV minimum</v>
      </c>
      <c r="L65" s="398">
        <f>IF(ISBLANK(INDEX('Policy Characteristics'!F:F,MATCH($C65,'Policy Characteristics'!$C:$C,0))),"",INDEX('Policy Characteristics'!F:F,MATCH($C65,'Policy Characteristics'!$C:$C,0)))</f>
        <v>0</v>
      </c>
      <c r="M65" s="398">
        <f>IF(ISBLANK(INDEX('Policy Characteristics'!G:G,MATCH($C65,'Policy Characteristics'!$C:$C,0))),"",INDEX('Policy Characteristics'!G:G,MATCH($C65,'Policy Characteristics'!$C:$C,0)))</f>
        <v>1</v>
      </c>
      <c r="N65" s="398">
        <f>IF(ISBLANK(INDEX('Policy Characteristics'!H:H,MATCH($C65,'Policy Characteristics'!$C:$C,0))),"",INDEX('Policy Characteristics'!H:H,MATCH($C65,'Policy Characteristics'!$C:$C,0)))</f>
        <v>0.01</v>
      </c>
      <c r="O65" s="394" t="str">
        <f>IF(ISBLANK(INDEX('Policy Characteristics'!I:I,MATCH($C65,'Policy Characteristics'!$C:$C,0))),"",INDEX('Policy Characteristics'!I:I,MATCH($C65,'Policy Characteristics'!$C:$C,0)))</f>
        <v>% of new vehicles sold</v>
      </c>
      <c r="P65" s="394" t="str">
        <f>IF(ISBLANK(INDEX('Policy Characteristics'!J:J,MATCH($C65,'Policy Characteristics'!$C:$C,0))),"",INDEX('Policy Characteristics'!J:J,MATCH($C65,'Policy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5" s="394" t="str">
        <f>IF(ISBLANK(INDEX('Policy Characteristics'!K:K,MATCH($C65,'Policy Characteristics'!$C:$C,0))),"",INDEX('Policy Characteristics'!K:K,MATCH($C65,'Policy Characteristics'!$C:$C,0)))</f>
        <v>transportation-sector-main.html#ev-mandate</v>
      </c>
      <c r="R65" s="394" t="str">
        <f>IF(ISBLANK(INDEX('Policy Characteristics'!L:L,MATCH($C65,'Policy Characteristics'!$C:$C,0))),"",INDEX('Policy Characteristics'!L:L,MATCH($C65,'Policy Characteristics'!$C:$C,0)))</f>
        <v>ev-mandate.html</v>
      </c>
    </row>
    <row r="66" customHeight="1" spans="1:18">
      <c r="A66" s="394" t="str">
        <f>IF(ISBLANK(INDEX('Policy Characteristics'!A:A,MATCH($C66,'Policy Characteristics'!$C:$C,0))),"",INDEX('Policy Characteristics'!A:A,MATCH($C66,'Policy Characteristics'!$C:$C,0)))</f>
        <v>Transportation</v>
      </c>
      <c r="B66" s="395" t="str">
        <f>IF(ISBLANK(INDEX('Policy Characteristics'!B:B,MATCH($C66,'Policy Characteristics'!$C:$C,0))),"",INDEX('Policy Characteristics'!B:B,MATCH($C66,'Policy Characteristics'!$C:$C,0)))</f>
        <v>Zero-Emission Vehicle Sales Standard</v>
      </c>
      <c r="C66" s="394" t="str">
        <f t="shared" si="3"/>
        <v>Minimum Required ZEV Sales Percentage</v>
      </c>
      <c r="D66" s="28" t="s">
        <v>670</v>
      </c>
      <c r="E66" s="28" t="s">
        <v>660</v>
      </c>
      <c r="F66" s="28" t="s">
        <v>671</v>
      </c>
      <c r="G66" s="28" t="s">
        <v>676</v>
      </c>
      <c r="H66" s="377">
        <v>187</v>
      </c>
      <c r="I66" s="396" t="s">
        <v>648</v>
      </c>
      <c r="J66" s="397" t="str">
        <f>IF(ISBLANK(INDEX('Policy Characteristics'!D:D,MATCH($C66,'Policy Characteristics'!$C:$C,0))),"",INDEX('Policy Characteristics'!D:D,MATCH($C66,'Policy Characteristics'!$C:$C,0)))</f>
        <v>ZEV Sales Standard</v>
      </c>
      <c r="K66" s="394" t="str">
        <f>IF(ISBLANK(INDEX('Policy Characteristics'!E:E,MATCH($C66,'Policy Characteristics'!$C:$C,0))),"",INDEX('Policy Characteristics'!E:E,MATCH($C66,'Policy Characteristics'!$C:$C,0)))</f>
        <v>trans ZEV minimum</v>
      </c>
      <c r="L66" s="398">
        <f>IF(ISBLANK(INDEX('Policy Characteristics'!F:F,MATCH($C66,'Policy Characteristics'!$C:$C,0))),"",INDEX('Policy Characteristics'!F:F,MATCH($C66,'Policy Characteristics'!$C:$C,0)))</f>
        <v>0</v>
      </c>
      <c r="M66" s="398">
        <f>IF(ISBLANK(INDEX('Policy Characteristics'!G:G,MATCH($C66,'Policy Characteristics'!$C:$C,0))),"",INDEX('Policy Characteristics'!G:G,MATCH($C66,'Policy Characteristics'!$C:$C,0)))</f>
        <v>1</v>
      </c>
      <c r="N66" s="398">
        <f>IF(ISBLANK(INDEX('Policy Characteristics'!H:H,MATCH($C66,'Policy Characteristics'!$C:$C,0))),"",INDEX('Policy Characteristics'!H:H,MATCH($C66,'Policy Characteristics'!$C:$C,0)))</f>
        <v>0.01</v>
      </c>
      <c r="O66" s="394" t="str">
        <f>IF(ISBLANK(INDEX('Policy Characteristics'!I:I,MATCH($C66,'Policy Characteristics'!$C:$C,0))),"",INDEX('Policy Characteristics'!I:I,MATCH($C66,'Policy Characteristics'!$C:$C,0)))</f>
        <v>% of new vehicles sold</v>
      </c>
      <c r="P66" s="394" t="str">
        <f>IF(ISBLANK(INDEX('Policy Characteristics'!J:J,MATCH($C66,'Policy Characteristics'!$C:$C,0))),"",INDEX('Policy Characteristics'!J:J,MATCH($C66,'Policy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6" s="394" t="str">
        <f>IF(ISBLANK(INDEX('Policy Characteristics'!K:K,MATCH($C66,'Policy Characteristics'!$C:$C,0))),"",INDEX('Policy Characteristics'!K:K,MATCH($C66,'Policy Characteristics'!$C:$C,0)))</f>
        <v>transportation-sector-main.html#ev-mandate</v>
      </c>
      <c r="R66" s="394" t="str">
        <f>IF(ISBLANK(INDEX('Policy Characteristics'!L:L,MATCH($C66,'Policy Characteristics'!$C:$C,0))),"",INDEX('Policy Characteristics'!L:L,MATCH($C66,'Policy Characteristics'!$C:$C,0)))</f>
        <v>ev-mandate.html</v>
      </c>
    </row>
    <row r="67" customHeight="1" spans="1:18">
      <c r="A67" s="394" t="str">
        <f>IF(ISBLANK(INDEX('Policy Characteristics'!A:A,MATCH($C67,'Policy Characteristics'!$C:$C,0))),"",INDEX('Policy Characteristics'!A:A,MATCH($C67,'Policy Characteristics'!$C:$C,0)))</f>
        <v>Transportation</v>
      </c>
      <c r="B67" s="395" t="str">
        <f>IF(ISBLANK(INDEX('Policy Characteristics'!B:B,MATCH($C67,'Policy Characteristics'!$C:$C,0))),"",INDEX('Policy Characteristics'!B:B,MATCH($C67,'Policy Characteristics'!$C:$C,0)))</f>
        <v>Zero-Emission Vehicle Sales Standard</v>
      </c>
      <c r="C67" s="394" t="str">
        <f t="shared" si="3"/>
        <v>Minimum Required ZEV Sales Percentage</v>
      </c>
      <c r="D67" s="28" t="s">
        <v>673</v>
      </c>
      <c r="E67" s="28" t="s">
        <v>660</v>
      </c>
      <c r="F67" s="28" t="s">
        <v>674</v>
      </c>
      <c r="G67" s="28" t="s">
        <v>677</v>
      </c>
      <c r="H67" s="377">
        <v>191</v>
      </c>
      <c r="I67" s="396" t="s">
        <v>648</v>
      </c>
      <c r="J67" s="397" t="str">
        <f>IF(ISBLANK(INDEX('Policy Characteristics'!D:D,MATCH($C67,'Policy Characteristics'!$C:$C,0))),"",INDEX('Policy Characteristics'!D:D,MATCH($C67,'Policy Characteristics'!$C:$C,0)))</f>
        <v>ZEV Sales Standard</v>
      </c>
      <c r="K67" s="394" t="str">
        <f>IF(ISBLANK(INDEX('Policy Characteristics'!E:E,MATCH($C67,'Policy Characteristics'!$C:$C,0))),"",INDEX('Policy Characteristics'!E:E,MATCH($C67,'Policy Characteristics'!$C:$C,0)))</f>
        <v>trans ZEV minimum</v>
      </c>
      <c r="L67" s="398">
        <f>IF(ISBLANK(INDEX('Policy Characteristics'!F:F,MATCH($C67,'Policy Characteristics'!$C:$C,0))),"",INDEX('Policy Characteristics'!F:F,MATCH($C67,'Policy Characteristics'!$C:$C,0)))</f>
        <v>0</v>
      </c>
      <c r="M67" s="398">
        <f>IF(ISBLANK(INDEX('Policy Characteristics'!G:G,MATCH($C67,'Policy Characteristics'!$C:$C,0))),"",INDEX('Policy Characteristics'!G:G,MATCH($C67,'Policy Characteristics'!$C:$C,0)))</f>
        <v>1</v>
      </c>
      <c r="N67" s="398">
        <f>IF(ISBLANK(INDEX('Policy Characteristics'!H:H,MATCH($C67,'Policy Characteristics'!$C:$C,0))),"",INDEX('Policy Characteristics'!H:H,MATCH($C67,'Policy Characteristics'!$C:$C,0)))</f>
        <v>0.01</v>
      </c>
      <c r="O67" s="394" t="str">
        <f>IF(ISBLANK(INDEX('Policy Characteristics'!I:I,MATCH($C67,'Policy Characteristics'!$C:$C,0))),"",INDEX('Policy Characteristics'!I:I,MATCH($C67,'Policy Characteristics'!$C:$C,0)))</f>
        <v>% of new vehicles sold</v>
      </c>
      <c r="P67" s="394" t="str">
        <f>IF(ISBLANK(INDEX('Policy Characteristics'!J:J,MATCH($C67,'Policy Characteristics'!$C:$C,0))),"",INDEX('Policy Characteristics'!J:J,MATCH($C67,'Policy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7" s="394" t="str">
        <f>IF(ISBLANK(INDEX('Policy Characteristics'!K:K,MATCH($C67,'Policy Characteristics'!$C:$C,0))),"",INDEX('Policy Characteristics'!K:K,MATCH($C67,'Policy Characteristics'!$C:$C,0)))</f>
        <v>transportation-sector-main.html#ev-mandate</v>
      </c>
      <c r="R67" s="394" t="str">
        <f>IF(ISBLANK(INDEX('Policy Characteristics'!L:L,MATCH($C67,'Policy Characteristics'!$C:$C,0))),"",INDEX('Policy Characteristics'!L:L,MATCH($C67,'Policy Characteristics'!$C:$C,0)))</f>
        <v>ev-mandate.html</v>
      </c>
    </row>
    <row r="68" customHeight="1" spans="1:18">
      <c r="A68" s="394" t="str">
        <f>IF(ISBLANK(INDEX('Policy Characteristics'!A:A,MATCH($C68,'Policy Characteristics'!$C:$C,0))),"",INDEX('Policy Characteristics'!A:A,MATCH($C68,'Policy Characteristics'!$C:$C,0)))</f>
        <v>Transportation</v>
      </c>
      <c r="B68" s="395" t="str">
        <f>IF(ISBLANK(INDEX('Policy Characteristics'!B:B,MATCH($C68,'Policy Characteristics'!$C:$C,0))),"",INDEX('Policy Characteristics'!B:B,MATCH($C68,'Policy Characteristics'!$C:$C,0)))</f>
        <v>Zero-Emission Vehicle Sales Standard</v>
      </c>
      <c r="C68" s="394" t="str">
        <f t="shared" si="3"/>
        <v>Minimum Required ZEV Sales Percentage</v>
      </c>
      <c r="D68" s="28" t="s">
        <v>670</v>
      </c>
      <c r="E68" s="28" t="s">
        <v>662</v>
      </c>
      <c r="F68" s="28" t="s">
        <v>671</v>
      </c>
      <c r="G68" s="28" t="s">
        <v>678</v>
      </c>
      <c r="H68" s="377">
        <v>496</v>
      </c>
      <c r="I68" s="396" t="s">
        <v>648</v>
      </c>
      <c r="J68" s="397" t="str">
        <f>IF(ISBLANK(INDEX('Policy Characteristics'!D:D,MATCH($C68,'Policy Characteristics'!$C:$C,0))),"",INDEX('Policy Characteristics'!D:D,MATCH($C68,'Policy Characteristics'!$C:$C,0)))</f>
        <v>ZEV Sales Standard</v>
      </c>
      <c r="K68" s="394" t="str">
        <f>IF(ISBLANK(INDEX('Policy Characteristics'!E:E,MATCH($C68,'Policy Characteristics'!$C:$C,0))),"",INDEX('Policy Characteristics'!E:E,MATCH($C68,'Policy Characteristics'!$C:$C,0)))</f>
        <v>trans ZEV minimum</v>
      </c>
      <c r="L68" s="398">
        <f>IF(ISBLANK(INDEX('Policy Characteristics'!F:F,MATCH($C68,'Policy Characteristics'!$C:$C,0))),"",INDEX('Policy Characteristics'!F:F,MATCH($C68,'Policy Characteristics'!$C:$C,0)))</f>
        <v>0</v>
      </c>
      <c r="M68" s="398">
        <f>IF(ISBLANK(INDEX('Policy Characteristics'!G:G,MATCH($C68,'Policy Characteristics'!$C:$C,0))),"",INDEX('Policy Characteristics'!G:G,MATCH($C68,'Policy Characteristics'!$C:$C,0)))</f>
        <v>1</v>
      </c>
      <c r="N68" s="398">
        <f>IF(ISBLANK(INDEX('Policy Characteristics'!H:H,MATCH($C68,'Policy Characteristics'!$C:$C,0))),"",INDEX('Policy Characteristics'!H:H,MATCH($C68,'Policy Characteristics'!$C:$C,0)))</f>
        <v>0.01</v>
      </c>
      <c r="O68" s="394" t="str">
        <f>IF(ISBLANK(INDEX('Policy Characteristics'!I:I,MATCH($C68,'Policy Characteristics'!$C:$C,0))),"",INDEX('Policy Characteristics'!I:I,MATCH($C68,'Policy Characteristics'!$C:$C,0)))</f>
        <v>% of new vehicles sold</v>
      </c>
      <c r="P68" s="394" t="str">
        <f>IF(ISBLANK(INDEX('Policy Characteristics'!J:J,MATCH($C68,'Policy Characteristics'!$C:$C,0))),"",INDEX('Policy Characteristics'!J:J,MATCH($C68,'Policy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8" s="394" t="str">
        <f>IF(ISBLANK(INDEX('Policy Characteristics'!K:K,MATCH($C68,'Policy Characteristics'!$C:$C,0))),"",INDEX('Policy Characteristics'!K:K,MATCH($C68,'Policy Characteristics'!$C:$C,0)))</f>
        <v>transportation-sector-main.html#ev-mandate</v>
      </c>
      <c r="R68" s="394" t="str">
        <f>IF(ISBLANK(INDEX('Policy Characteristics'!L:L,MATCH($C68,'Policy Characteristics'!$C:$C,0))),"",INDEX('Policy Characteristics'!L:L,MATCH($C68,'Policy Characteristics'!$C:$C,0)))</f>
        <v>ev-mandate.html</v>
      </c>
    </row>
    <row r="69" customHeight="1" spans="1:18">
      <c r="A69" s="394" t="str">
        <f>IF(ISBLANK(INDEX('Policy Characteristics'!A:A,MATCH($C69,'Policy Characteristics'!$C:$C,0))),"",INDEX('Policy Characteristics'!A:A,MATCH($C69,'Policy Characteristics'!$C:$C,0)))</f>
        <v>Transportation</v>
      </c>
      <c r="B69" s="395" t="str">
        <f>IF(ISBLANK(INDEX('Policy Characteristics'!B:B,MATCH($C69,'Policy Characteristics'!$C:$C,0))),"",INDEX('Policy Characteristics'!B:B,MATCH($C69,'Policy Characteristics'!$C:$C,0)))</f>
        <v>Zero-Emission Vehicle Sales Standard</v>
      </c>
      <c r="C69" s="394" t="str">
        <f t="shared" si="3"/>
        <v>Minimum Required ZEV Sales Percentage</v>
      </c>
      <c r="D69" s="28" t="s">
        <v>673</v>
      </c>
      <c r="E69" s="28" t="s">
        <v>662</v>
      </c>
      <c r="F69" s="28" t="s">
        <v>674</v>
      </c>
      <c r="G69" s="28" t="s">
        <v>678</v>
      </c>
      <c r="H69" s="377">
        <v>497</v>
      </c>
      <c r="I69" s="396" t="s">
        <v>658</v>
      </c>
      <c r="J69" s="397" t="str">
        <f>IF(ISBLANK(INDEX('Policy Characteristics'!D:D,MATCH($C69,'Policy Characteristics'!$C:$C,0))),"",INDEX('Policy Characteristics'!D:D,MATCH($C69,'Policy Characteristics'!$C:$C,0)))</f>
        <v>ZEV Sales Standard</v>
      </c>
      <c r="K69" s="394" t="str">
        <f>IF(ISBLANK(INDEX('Policy Characteristics'!E:E,MATCH($C69,'Policy Characteristics'!$C:$C,0))),"",INDEX('Policy Characteristics'!E:E,MATCH($C69,'Policy Characteristics'!$C:$C,0)))</f>
        <v>trans ZEV minimum</v>
      </c>
      <c r="L69" s="398">
        <f>IF(ISBLANK(INDEX('Policy Characteristics'!F:F,MATCH($C69,'Policy Characteristics'!$C:$C,0))),"",INDEX('Policy Characteristics'!F:F,MATCH($C69,'Policy Characteristics'!$C:$C,0)))</f>
        <v>0</v>
      </c>
      <c r="M69" s="398">
        <f>IF(ISBLANK(INDEX('Policy Characteristics'!G:G,MATCH($C69,'Policy Characteristics'!$C:$C,0))),"",INDEX('Policy Characteristics'!G:G,MATCH($C69,'Policy Characteristics'!$C:$C,0)))</f>
        <v>1</v>
      </c>
      <c r="N69" s="398">
        <f>IF(ISBLANK(INDEX('Policy Characteristics'!H:H,MATCH($C69,'Policy Characteristics'!$C:$C,0))),"",INDEX('Policy Characteristics'!H:H,MATCH($C69,'Policy Characteristics'!$C:$C,0)))</f>
        <v>0.01</v>
      </c>
      <c r="O69" s="394" t="str">
        <f>IF(ISBLANK(INDEX('Policy Characteristics'!I:I,MATCH($C69,'Policy Characteristics'!$C:$C,0))),"",INDEX('Policy Characteristics'!I:I,MATCH($C69,'Policy Characteristics'!$C:$C,0)))</f>
        <v>% of new vehicles sold</v>
      </c>
      <c r="P69" s="394" t="str">
        <f>IF(ISBLANK(INDEX('Policy Characteristics'!J:J,MATCH($C69,'Policy Characteristics'!$C:$C,0))),"",INDEX('Policy Characteristics'!J:J,MATCH($C69,'Policy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9" s="394" t="str">
        <f>IF(ISBLANK(INDEX('Policy Characteristics'!K:K,MATCH($C69,'Policy Characteristics'!$C:$C,0))),"",INDEX('Policy Characteristics'!K:K,MATCH($C69,'Policy Characteristics'!$C:$C,0)))</f>
        <v>transportation-sector-main.html#ev-mandate</v>
      </c>
      <c r="R69" s="394" t="str">
        <f>IF(ISBLANK(INDEX('Policy Characteristics'!L:L,MATCH($C69,'Policy Characteristics'!$C:$C,0))),"",INDEX('Policy Characteristics'!L:L,MATCH($C69,'Policy Characteristics'!$C:$C,0)))</f>
        <v>ev-mandate.html</v>
      </c>
    </row>
    <row r="70" customHeight="1" spans="1:18">
      <c r="A70" s="394" t="str">
        <f>IF(ISBLANK(INDEX('Policy Characteristics'!A:A,MATCH($C70,'Policy Characteristics'!$C:$C,0))),"",INDEX('Policy Characteristics'!A:A,MATCH($C70,'Policy Characteristics'!$C:$C,0)))</f>
        <v>Transportation</v>
      </c>
      <c r="B70" s="395" t="str">
        <f>IF(ISBLANK(INDEX('Policy Characteristics'!B:B,MATCH($C70,'Policy Characteristics'!$C:$C,0))),"",INDEX('Policy Characteristics'!B:B,MATCH($C70,'Policy Characteristics'!$C:$C,0)))</f>
        <v>Zero-Emission Vehicle Sales Standard</v>
      </c>
      <c r="C70" s="394" t="str">
        <f t="shared" si="3"/>
        <v>Minimum Required ZEV Sales Percentage</v>
      </c>
      <c r="D70" s="28" t="s">
        <v>670</v>
      </c>
      <c r="E70" s="28" t="s">
        <v>664</v>
      </c>
      <c r="F70" s="28" t="s">
        <v>671</v>
      </c>
      <c r="G70" s="28" t="s">
        <v>679</v>
      </c>
      <c r="H70" s="377">
        <v>498</v>
      </c>
      <c r="I70" s="396" t="s">
        <v>648</v>
      </c>
      <c r="J70" s="397" t="str">
        <f>IF(ISBLANK(INDEX('Policy Characteristics'!D:D,MATCH($C70,'Policy Characteristics'!$C:$C,0))),"",INDEX('Policy Characteristics'!D:D,MATCH($C70,'Policy Characteristics'!$C:$C,0)))</f>
        <v>ZEV Sales Standard</v>
      </c>
      <c r="K70" s="394" t="str">
        <f>IF(ISBLANK(INDEX('Policy Characteristics'!E:E,MATCH($C70,'Policy Characteristics'!$C:$C,0))),"",INDEX('Policy Characteristics'!E:E,MATCH($C70,'Policy Characteristics'!$C:$C,0)))</f>
        <v>trans ZEV minimum</v>
      </c>
      <c r="L70" s="398">
        <f>IF(ISBLANK(INDEX('Policy Characteristics'!F:F,MATCH($C70,'Policy Characteristics'!$C:$C,0))),"",INDEX('Policy Characteristics'!F:F,MATCH($C70,'Policy Characteristics'!$C:$C,0)))</f>
        <v>0</v>
      </c>
      <c r="M70" s="398">
        <f>IF(ISBLANK(INDEX('Policy Characteristics'!G:G,MATCH($C70,'Policy Characteristics'!$C:$C,0))),"",INDEX('Policy Characteristics'!G:G,MATCH($C70,'Policy Characteristics'!$C:$C,0)))</f>
        <v>1</v>
      </c>
      <c r="N70" s="398">
        <f>IF(ISBLANK(INDEX('Policy Characteristics'!H:H,MATCH($C70,'Policy Characteristics'!$C:$C,0))),"",INDEX('Policy Characteristics'!H:H,MATCH($C70,'Policy Characteristics'!$C:$C,0)))</f>
        <v>0.01</v>
      </c>
      <c r="O70" s="394" t="str">
        <f>IF(ISBLANK(INDEX('Policy Characteristics'!I:I,MATCH($C70,'Policy Characteristics'!$C:$C,0))),"",INDEX('Policy Characteristics'!I:I,MATCH($C70,'Policy Characteristics'!$C:$C,0)))</f>
        <v>% of new vehicles sold</v>
      </c>
      <c r="P70" s="394" t="str">
        <f>IF(ISBLANK(INDEX('Policy Characteristics'!J:J,MATCH($C70,'Policy Characteristics'!$C:$C,0))),"",INDEX('Policy Characteristics'!J:J,MATCH($C70,'Policy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0" s="394" t="str">
        <f>IF(ISBLANK(INDEX('Policy Characteristics'!K:K,MATCH($C70,'Policy Characteristics'!$C:$C,0))),"",INDEX('Policy Characteristics'!K:K,MATCH($C70,'Policy Characteristics'!$C:$C,0)))</f>
        <v>transportation-sector-main.html#ev-mandate</v>
      </c>
      <c r="R70" s="394" t="str">
        <f>IF(ISBLANK(INDEX('Policy Characteristics'!L:L,MATCH($C70,'Policy Characteristics'!$C:$C,0))),"",INDEX('Policy Characteristics'!L:L,MATCH($C70,'Policy Characteristics'!$C:$C,0)))</f>
        <v>ev-mandate.html</v>
      </c>
    </row>
    <row r="71" customHeight="1" spans="1:18">
      <c r="A71" s="394" t="str">
        <f>IF(ISBLANK(INDEX('Policy Characteristics'!A:A,MATCH($C71,'Policy Characteristics'!$C:$C,0))),"",INDEX('Policy Characteristics'!A:A,MATCH($C71,'Policy Characteristics'!$C:$C,0)))</f>
        <v>Transportation</v>
      </c>
      <c r="B71" s="395" t="str">
        <f>IF(ISBLANK(INDEX('Policy Characteristics'!B:B,MATCH($C71,'Policy Characteristics'!$C:$C,0))),"",INDEX('Policy Characteristics'!B:B,MATCH($C71,'Policy Characteristics'!$C:$C,0)))</f>
        <v>Zero-Emission Vehicle Sales Standard</v>
      </c>
      <c r="C71" s="394" t="str">
        <f t="shared" si="3"/>
        <v>Minimum Required ZEV Sales Percentage</v>
      </c>
      <c r="D71" s="28" t="s">
        <v>673</v>
      </c>
      <c r="E71" s="28" t="s">
        <v>664</v>
      </c>
      <c r="F71" s="28" t="s">
        <v>674</v>
      </c>
      <c r="G71" s="28" t="s">
        <v>679</v>
      </c>
      <c r="H71" s="377">
        <v>499</v>
      </c>
      <c r="I71" s="396" t="s">
        <v>648</v>
      </c>
      <c r="J71" s="397" t="str">
        <f>IF(ISBLANK(INDEX('Policy Characteristics'!D:D,MATCH($C71,'Policy Characteristics'!$C:$C,0))),"",INDEX('Policy Characteristics'!D:D,MATCH($C71,'Policy Characteristics'!$C:$C,0)))</f>
        <v>ZEV Sales Standard</v>
      </c>
      <c r="K71" s="394" t="str">
        <f>IF(ISBLANK(INDEX('Policy Characteristics'!E:E,MATCH($C71,'Policy Characteristics'!$C:$C,0))),"",INDEX('Policy Characteristics'!E:E,MATCH($C71,'Policy Characteristics'!$C:$C,0)))</f>
        <v>trans ZEV minimum</v>
      </c>
      <c r="L71" s="398">
        <f>IF(ISBLANK(INDEX('Policy Characteristics'!F:F,MATCH($C71,'Policy Characteristics'!$C:$C,0))),"",INDEX('Policy Characteristics'!F:F,MATCH($C71,'Policy Characteristics'!$C:$C,0)))</f>
        <v>0</v>
      </c>
      <c r="M71" s="398">
        <f>IF(ISBLANK(INDEX('Policy Characteristics'!G:G,MATCH($C71,'Policy Characteristics'!$C:$C,0))),"",INDEX('Policy Characteristics'!G:G,MATCH($C71,'Policy Characteristics'!$C:$C,0)))</f>
        <v>1</v>
      </c>
      <c r="N71" s="398">
        <f>IF(ISBLANK(INDEX('Policy Characteristics'!H:H,MATCH($C71,'Policy Characteristics'!$C:$C,0))),"",INDEX('Policy Characteristics'!H:H,MATCH($C71,'Policy Characteristics'!$C:$C,0)))</f>
        <v>0.01</v>
      </c>
      <c r="O71" s="394" t="str">
        <f>IF(ISBLANK(INDEX('Policy Characteristics'!I:I,MATCH($C71,'Policy Characteristics'!$C:$C,0))),"",INDEX('Policy Characteristics'!I:I,MATCH($C71,'Policy Characteristics'!$C:$C,0)))</f>
        <v>% of new vehicles sold</v>
      </c>
      <c r="P71" s="394" t="str">
        <f>IF(ISBLANK(INDEX('Policy Characteristics'!J:J,MATCH($C71,'Policy Characteristics'!$C:$C,0))),"",INDEX('Policy Characteristics'!J:J,MATCH($C71,'Policy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1" s="394" t="str">
        <f>IF(ISBLANK(INDEX('Policy Characteristics'!K:K,MATCH($C71,'Policy Characteristics'!$C:$C,0))),"",INDEX('Policy Characteristics'!K:K,MATCH($C71,'Policy Characteristics'!$C:$C,0)))</f>
        <v>transportation-sector-main.html#ev-mandate</v>
      </c>
      <c r="R71" s="394" t="str">
        <f>IF(ISBLANK(INDEX('Policy Characteristics'!L:L,MATCH($C71,'Policy Characteristics'!$C:$C,0))),"",INDEX('Policy Characteristics'!L:L,MATCH($C71,'Policy Characteristics'!$C:$C,0)))</f>
        <v>ev-mandate.html</v>
      </c>
    </row>
    <row r="72" customHeight="1" spans="1:18">
      <c r="A72" s="394" t="str">
        <f>IF(ISBLANK(INDEX('Policy Characteristics'!A:A,MATCH($C72,'Policy Characteristics'!$C:$C,0))),"",INDEX('Policy Characteristics'!A:A,MATCH($C72,'Policy Characteristics'!$C:$C,0)))</f>
        <v>Transportation</v>
      </c>
      <c r="B72" s="395" t="str">
        <f>IF(ISBLANK(INDEX('Policy Characteristics'!B:B,MATCH($C72,'Policy Characteristics'!$C:$C,0))),"",INDEX('Policy Characteristics'!B:B,MATCH($C72,'Policy Characteristics'!$C:$C,0)))</f>
        <v>Zero-Emission Vehicle Sales Standard</v>
      </c>
      <c r="C72" s="394" t="str">
        <f t="shared" si="3"/>
        <v>Minimum Required ZEV Sales Percentage</v>
      </c>
      <c r="D72" s="28" t="s">
        <v>670</v>
      </c>
      <c r="E72" s="28" t="s">
        <v>666</v>
      </c>
      <c r="F72" s="28" t="s">
        <v>671</v>
      </c>
      <c r="G72" s="28" t="s">
        <v>680</v>
      </c>
      <c r="H72" s="377">
        <v>500</v>
      </c>
      <c r="I72" s="396" t="s">
        <v>648</v>
      </c>
      <c r="J72" s="397" t="str">
        <f>IF(ISBLANK(INDEX('Policy Characteristics'!D:D,MATCH($C72,'Policy Characteristics'!$C:$C,0))),"",INDEX('Policy Characteristics'!D:D,MATCH($C72,'Policy Characteristics'!$C:$C,0)))</f>
        <v>ZEV Sales Standard</v>
      </c>
      <c r="K72" s="394" t="str">
        <f>IF(ISBLANK(INDEX('Policy Characteristics'!E:E,MATCH($C72,'Policy Characteristics'!$C:$C,0))),"",INDEX('Policy Characteristics'!E:E,MATCH($C72,'Policy Characteristics'!$C:$C,0)))</f>
        <v>trans ZEV minimum</v>
      </c>
      <c r="L72" s="398">
        <f>IF(ISBLANK(INDEX('Policy Characteristics'!F:F,MATCH($C72,'Policy Characteristics'!$C:$C,0))),"",INDEX('Policy Characteristics'!F:F,MATCH($C72,'Policy Characteristics'!$C:$C,0)))</f>
        <v>0</v>
      </c>
      <c r="M72" s="398">
        <f>IF(ISBLANK(INDEX('Policy Characteristics'!G:G,MATCH($C72,'Policy Characteristics'!$C:$C,0))),"",INDEX('Policy Characteristics'!G:G,MATCH($C72,'Policy Characteristics'!$C:$C,0)))</f>
        <v>1</v>
      </c>
      <c r="N72" s="398">
        <f>IF(ISBLANK(INDEX('Policy Characteristics'!H:H,MATCH($C72,'Policy Characteristics'!$C:$C,0))),"",INDEX('Policy Characteristics'!H:H,MATCH($C72,'Policy Characteristics'!$C:$C,0)))</f>
        <v>0.01</v>
      </c>
      <c r="O72" s="394" t="str">
        <f>IF(ISBLANK(INDEX('Policy Characteristics'!I:I,MATCH($C72,'Policy Characteristics'!$C:$C,0))),"",INDEX('Policy Characteristics'!I:I,MATCH($C72,'Policy Characteristics'!$C:$C,0)))</f>
        <v>% of new vehicles sold</v>
      </c>
      <c r="P72" s="394" t="str">
        <f>IF(ISBLANK(INDEX('Policy Characteristics'!J:J,MATCH($C72,'Policy Characteristics'!$C:$C,0))),"",INDEX('Policy Characteristics'!J:J,MATCH($C72,'Policy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2" s="394" t="str">
        <f>IF(ISBLANK(INDEX('Policy Characteristics'!K:K,MATCH($C72,'Policy Characteristics'!$C:$C,0))),"",INDEX('Policy Characteristics'!K:K,MATCH($C72,'Policy Characteristics'!$C:$C,0)))</f>
        <v>transportation-sector-main.html#ev-mandate</v>
      </c>
      <c r="R72" s="394" t="str">
        <f>IF(ISBLANK(INDEX('Policy Characteristics'!L:L,MATCH($C72,'Policy Characteristics'!$C:$C,0))),"",INDEX('Policy Characteristics'!L:L,MATCH($C72,'Policy Characteristics'!$C:$C,0)))</f>
        <v>ev-mandate.html</v>
      </c>
    </row>
    <row r="73" customHeight="1" spans="1:18">
      <c r="A73" s="394" t="str">
        <f>IF(ISBLANK(INDEX('Policy Characteristics'!A:A,MATCH($C73,'Policy Characteristics'!$C:$C,0))),"",INDEX('Policy Characteristics'!A:A,MATCH($C73,'Policy Characteristics'!$C:$C,0)))</f>
        <v>Transportation</v>
      </c>
      <c r="B73" s="395" t="str">
        <f>IF(ISBLANK(INDEX('Policy Characteristics'!B:B,MATCH($C73,'Policy Characteristics'!$C:$C,0))),"",INDEX('Policy Characteristics'!B:B,MATCH($C73,'Policy Characteristics'!$C:$C,0)))</f>
        <v>Zero-Emission Vehicle Sales Standard</v>
      </c>
      <c r="C73" s="394" t="str">
        <f t="shared" si="3"/>
        <v>Minimum Required ZEV Sales Percentage</v>
      </c>
      <c r="D73" s="28" t="s">
        <v>673</v>
      </c>
      <c r="E73" s="28" t="s">
        <v>666</v>
      </c>
      <c r="F73" s="28" t="s">
        <v>674</v>
      </c>
      <c r="G73" s="28" t="s">
        <v>681</v>
      </c>
      <c r="H73" s="377">
        <v>501</v>
      </c>
      <c r="I73" s="396" t="s">
        <v>648</v>
      </c>
      <c r="J73" s="397" t="str">
        <f>IF(ISBLANK(INDEX('Policy Characteristics'!D:D,MATCH($C73,'Policy Characteristics'!$C:$C,0))),"",INDEX('Policy Characteristics'!D:D,MATCH($C73,'Policy Characteristics'!$C:$C,0)))</f>
        <v>ZEV Sales Standard</v>
      </c>
      <c r="K73" s="394" t="str">
        <f>IF(ISBLANK(INDEX('Policy Characteristics'!E:E,MATCH($C73,'Policy Characteristics'!$C:$C,0))),"",INDEX('Policy Characteristics'!E:E,MATCH($C73,'Policy Characteristics'!$C:$C,0)))</f>
        <v>trans ZEV minimum</v>
      </c>
      <c r="L73" s="398">
        <f>IF(ISBLANK(INDEX('Policy Characteristics'!F:F,MATCH($C73,'Policy Characteristics'!$C:$C,0))),"",INDEX('Policy Characteristics'!F:F,MATCH($C73,'Policy Characteristics'!$C:$C,0)))</f>
        <v>0</v>
      </c>
      <c r="M73" s="398">
        <f>IF(ISBLANK(INDEX('Policy Characteristics'!G:G,MATCH($C73,'Policy Characteristics'!$C:$C,0))),"",INDEX('Policy Characteristics'!G:G,MATCH($C73,'Policy Characteristics'!$C:$C,0)))</f>
        <v>1</v>
      </c>
      <c r="N73" s="398">
        <f>IF(ISBLANK(INDEX('Policy Characteristics'!H:H,MATCH($C73,'Policy Characteristics'!$C:$C,0))),"",INDEX('Policy Characteristics'!H:H,MATCH($C73,'Policy Characteristics'!$C:$C,0)))</f>
        <v>0.01</v>
      </c>
      <c r="O73" s="394" t="str">
        <f>IF(ISBLANK(INDEX('Policy Characteristics'!I:I,MATCH($C73,'Policy Characteristics'!$C:$C,0))),"",INDEX('Policy Characteristics'!I:I,MATCH($C73,'Policy Characteristics'!$C:$C,0)))</f>
        <v>% of new vehicles sold</v>
      </c>
      <c r="P73" s="394" t="str">
        <f>IF(ISBLANK(INDEX('Policy Characteristics'!J:J,MATCH($C73,'Policy Characteristics'!$C:$C,0))),"",INDEX('Policy Characteristics'!J:J,MATCH($C73,'Policy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3" s="394" t="str">
        <f>IF(ISBLANK(INDEX('Policy Characteristics'!K:K,MATCH($C73,'Policy Characteristics'!$C:$C,0))),"",INDEX('Policy Characteristics'!K:K,MATCH($C73,'Policy Characteristics'!$C:$C,0)))</f>
        <v>transportation-sector-main.html#ev-mandate</v>
      </c>
      <c r="R73" s="394" t="str">
        <f>IF(ISBLANK(INDEX('Policy Characteristics'!L:L,MATCH($C73,'Policy Characteristics'!$C:$C,0))),"",INDEX('Policy Characteristics'!L:L,MATCH($C73,'Policy Characteristics'!$C:$C,0)))</f>
        <v>ev-mandate.html</v>
      </c>
    </row>
    <row r="74" customHeight="1" spans="1:18">
      <c r="A74" s="394" t="str">
        <f>IF(ISBLANK(INDEX('Policy Characteristics'!A:A,MATCH($C74,'Policy Characteristics'!$C:$C,0))),"",INDEX('Policy Characteristics'!A:A,MATCH($C74,'Policy Characteristics'!$C:$C,0)))</f>
        <v>Transportation</v>
      </c>
      <c r="B74" s="395" t="str">
        <f>IF(ISBLANK(INDEX('Policy Characteristics'!B:B,MATCH($C74,'Policy Characteristics'!$C:$C,0))),"",INDEX('Policy Characteristics'!B:B,MATCH($C74,'Policy Characteristics'!$C:$C,0)))</f>
        <v>Zero-Emission Vehicle Sales Standard</v>
      </c>
      <c r="C74" s="394" t="str">
        <f t="shared" si="3"/>
        <v>Minimum Required ZEV Sales Percentage</v>
      </c>
      <c r="D74" s="28" t="s">
        <v>670</v>
      </c>
      <c r="E74" s="28" t="s">
        <v>668</v>
      </c>
      <c r="F74" s="28" t="s">
        <v>671</v>
      </c>
      <c r="G74" s="28" t="s">
        <v>682</v>
      </c>
      <c r="H74" s="377">
        <v>188</v>
      </c>
      <c r="I74" s="396" t="s">
        <v>648</v>
      </c>
      <c r="J74" s="397" t="str">
        <f>IF(ISBLANK(INDEX('Policy Characteristics'!D:D,MATCH($C74,'Policy Characteristics'!$C:$C,0))),"",INDEX('Policy Characteristics'!D:D,MATCH($C74,'Policy Characteristics'!$C:$C,0)))</f>
        <v>ZEV Sales Standard</v>
      </c>
      <c r="K74" s="394" t="str">
        <f>IF(ISBLANK(INDEX('Policy Characteristics'!E:E,MATCH($C74,'Policy Characteristics'!$C:$C,0))),"",INDEX('Policy Characteristics'!E:E,MATCH($C74,'Policy Characteristics'!$C:$C,0)))</f>
        <v>trans ZEV minimum</v>
      </c>
      <c r="L74" s="398">
        <f>IF(ISBLANK(INDEX('Policy Characteristics'!F:F,MATCH($C74,'Policy Characteristics'!$C:$C,0))),"",INDEX('Policy Characteristics'!F:F,MATCH($C74,'Policy Characteristics'!$C:$C,0)))</f>
        <v>0</v>
      </c>
      <c r="M74" s="398">
        <f>IF(ISBLANK(INDEX('Policy Characteristics'!G:G,MATCH($C74,'Policy Characteristics'!$C:$C,0))),"",INDEX('Policy Characteristics'!G:G,MATCH($C74,'Policy Characteristics'!$C:$C,0)))</f>
        <v>1</v>
      </c>
      <c r="N74" s="398">
        <f>IF(ISBLANK(INDEX('Policy Characteristics'!H:H,MATCH($C74,'Policy Characteristics'!$C:$C,0))),"",INDEX('Policy Characteristics'!H:H,MATCH($C74,'Policy Characteristics'!$C:$C,0)))</f>
        <v>0.01</v>
      </c>
      <c r="O74" s="394" t="str">
        <f>IF(ISBLANK(INDEX('Policy Characteristics'!I:I,MATCH($C74,'Policy Characteristics'!$C:$C,0))),"",INDEX('Policy Characteristics'!I:I,MATCH($C74,'Policy Characteristics'!$C:$C,0)))</f>
        <v>% of new vehicles sold</v>
      </c>
      <c r="P74" s="394" t="str">
        <f>IF(ISBLANK(INDEX('Policy Characteristics'!J:J,MATCH($C74,'Policy Characteristics'!$C:$C,0))),"",INDEX('Policy Characteristics'!J:J,MATCH($C74,'Policy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4" s="394" t="str">
        <f>IF(ISBLANK(INDEX('Policy Characteristics'!K:K,MATCH($C74,'Policy Characteristics'!$C:$C,0))),"",INDEX('Policy Characteristics'!K:K,MATCH($C74,'Policy Characteristics'!$C:$C,0)))</f>
        <v>transportation-sector-main.html#ev-mandate</v>
      </c>
      <c r="R74" s="394" t="str">
        <f>IF(ISBLANK(INDEX('Policy Characteristics'!L:L,MATCH($C74,'Policy Characteristics'!$C:$C,0))),"",INDEX('Policy Characteristics'!L:L,MATCH($C74,'Policy Characteristics'!$C:$C,0)))</f>
        <v>ev-mandate.html</v>
      </c>
    </row>
    <row r="75" customHeight="1" spans="1:18">
      <c r="A75" s="394" t="str">
        <f>IF(ISBLANK(INDEX('Policy Characteristics'!A:A,MATCH($C75,'Policy Characteristics'!$C:$C,0))),"",INDEX('Policy Characteristics'!A:A,MATCH($C75,'Policy Characteristics'!$C:$C,0)))</f>
        <v>Transportation</v>
      </c>
      <c r="B75" s="395" t="str">
        <f>IF(ISBLANK(INDEX('Policy Characteristics'!B:B,MATCH($C75,'Policy Characteristics'!$C:$C,0))),"",INDEX('Policy Characteristics'!B:B,MATCH($C75,'Policy Characteristics'!$C:$C,0)))</f>
        <v>Zero-Emission Vehicle Sales Standard</v>
      </c>
      <c r="C75" s="394" t="str">
        <f t="shared" si="3"/>
        <v>Minimum Required ZEV Sales Percentage</v>
      </c>
      <c r="D75" s="28" t="s">
        <v>673</v>
      </c>
      <c r="E75" s="28" t="s">
        <v>668</v>
      </c>
      <c r="F75" s="28" t="s">
        <v>674</v>
      </c>
      <c r="G75" s="28" t="s">
        <v>682</v>
      </c>
      <c r="H75" s="377">
        <v>591</v>
      </c>
      <c r="I75" s="396" t="s">
        <v>648</v>
      </c>
      <c r="J75" s="397" t="str">
        <f>IF(ISBLANK(INDEX('Policy Characteristics'!D:D,MATCH($C75,'Policy Characteristics'!$C:$C,0))),"",INDEX('Policy Characteristics'!D:D,MATCH($C75,'Policy Characteristics'!$C:$C,0)))</f>
        <v>ZEV Sales Standard</v>
      </c>
      <c r="K75" s="394" t="str">
        <f>IF(ISBLANK(INDEX('Policy Characteristics'!E:E,MATCH($C75,'Policy Characteristics'!$C:$C,0))),"",INDEX('Policy Characteristics'!E:E,MATCH($C75,'Policy Characteristics'!$C:$C,0)))</f>
        <v>trans ZEV minimum</v>
      </c>
      <c r="L75" s="398">
        <f>IF(ISBLANK(INDEX('Policy Characteristics'!F:F,MATCH($C75,'Policy Characteristics'!$C:$C,0))),"",INDEX('Policy Characteristics'!F:F,MATCH($C75,'Policy Characteristics'!$C:$C,0)))</f>
        <v>0</v>
      </c>
      <c r="M75" s="398">
        <f>IF(ISBLANK(INDEX('Policy Characteristics'!G:G,MATCH($C75,'Policy Characteristics'!$C:$C,0))),"",INDEX('Policy Characteristics'!G:G,MATCH($C75,'Policy Characteristics'!$C:$C,0)))</f>
        <v>1</v>
      </c>
      <c r="N75" s="398">
        <f>IF(ISBLANK(INDEX('Policy Characteristics'!H:H,MATCH($C75,'Policy Characteristics'!$C:$C,0))),"",INDEX('Policy Characteristics'!H:H,MATCH($C75,'Policy Characteristics'!$C:$C,0)))</f>
        <v>0.01</v>
      </c>
      <c r="O75" s="394" t="str">
        <f>IF(ISBLANK(INDEX('Policy Characteristics'!I:I,MATCH($C75,'Policy Characteristics'!$C:$C,0))),"",INDEX('Policy Characteristics'!I:I,MATCH($C75,'Policy Characteristics'!$C:$C,0)))</f>
        <v>% of new vehicles sold</v>
      </c>
      <c r="P75" s="394" t="str">
        <f>IF(ISBLANK(INDEX('Policy Characteristics'!J:J,MATCH($C75,'Policy Characteristics'!$C:$C,0))),"",INDEX('Policy Characteristics'!J:J,MATCH($C75,'Policy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5" s="394" t="str">
        <f>IF(ISBLANK(INDEX('Policy Characteristics'!K:K,MATCH($C75,'Policy Characteristics'!$C:$C,0))),"",INDEX('Policy Characteristics'!K:K,MATCH($C75,'Policy Characteristics'!$C:$C,0)))</f>
        <v>transportation-sector-main.html#ev-mandate</v>
      </c>
      <c r="R75" s="394" t="str">
        <f>IF(ISBLANK(INDEX('Policy Characteristics'!L:L,MATCH($C75,'Policy Characteristics'!$C:$C,0))),"",INDEX('Policy Characteristics'!L:L,MATCH($C75,'Policy Characteristics'!$C:$C,0)))</f>
        <v>ev-mandate.html</v>
      </c>
    </row>
    <row r="76" customHeight="1" spans="1:18">
      <c r="A76" s="394" t="str">
        <f>IF(ISBLANK(INDEX('Policy Characteristics'!A:A,MATCH($C76,'Policy Characteristics'!$C:$C,0))),"",INDEX('Policy Characteristics'!A:A,MATCH($C76,'Policy Characteristics'!$C:$C,0)))</f>
        <v>Transportation</v>
      </c>
      <c r="B76" s="395" t="str">
        <f>IF(ISBLANK(INDEX('Policy Characteristics'!B:B,MATCH($C76,'Policy Characteristics'!$C:$C,0))),"",INDEX('Policy Characteristics'!B:B,MATCH($C76,'Policy Characteristics'!$C:$C,0)))</f>
        <v>Non BAU ZEV Qualifying Vehicles</v>
      </c>
      <c r="C76" s="28" t="s">
        <v>92</v>
      </c>
      <c r="H76" s="377">
        <v>1655</v>
      </c>
      <c r="I76" s="396" t="s">
        <v>648</v>
      </c>
      <c r="J76" s="397" t="str">
        <f>IF(ISBLANK(INDEX('Policy Characteristics'!D:D,MATCH($C76,'Policy Characteristics'!$C:$C,0))),"",INDEX('Policy Characteristics'!D:D,MATCH($C76,'Policy Characteristics'!$C:$C,0)))</f>
        <v>ZEV Sales Standard</v>
      </c>
      <c r="K76" s="394" t="str">
        <f>IF(ISBLANK(INDEX('Policy Characteristics'!E:E,MATCH($C76,'Policy Characteristics'!$C:$C,0))),"",INDEX('Policy Characteristics'!E:E,MATCH($C76,'Policy Characteristics'!$C:$C,0)))</f>
        <v>trans non BAU ZEV vehicle definitions</v>
      </c>
      <c r="L76" s="398">
        <f>IF(ISBLANK(INDEX('Policy Characteristics'!F:F,MATCH($C76,'Policy Characteristics'!$C:$C,0))),"",INDEX('Policy Characteristics'!F:F,MATCH($C76,'Policy Characteristics'!$C:$C,0)))</f>
        <v>0</v>
      </c>
      <c r="M76" s="398">
        <f>IF(ISBLANK(INDEX('Policy Characteristics'!G:G,MATCH($C76,'Policy Characteristics'!$C:$C,0))),"",INDEX('Policy Characteristics'!G:G,MATCH($C76,'Policy Characteristics'!$C:$C,0)))</f>
        <v>1</v>
      </c>
      <c r="N76" s="398">
        <f>IF(ISBLANK(INDEX('Policy Characteristics'!H:H,MATCH($C76,'Policy Characteristics'!$C:$C,0))),"",INDEX('Policy Characteristics'!H:H,MATCH($C76,'Policy Characteristics'!$C:$C,0)))</f>
        <v>1</v>
      </c>
      <c r="O76" s="394" t="str">
        <f>IF(ISBLANK(INDEX('Policy Characteristics'!I:I,MATCH($C76,'Policy Characteristics'!$C:$C,0))),"",INDEX('Policy Characteristics'!I:I,MATCH($C76,'Policy Characteristics'!$C:$C,0)))</f>
        <v>on/off</v>
      </c>
      <c r="P76" s="394" t="str">
        <f>IF(ISBLANK(INDEX('Policy Characteristics'!J:J,MATCH($C76,'Policy Characteristics'!$C:$C,0))),"",INDEX('Policy Characteristics'!J:J,MATCH($C76,'Policy Characteristics'!$C:$C,0)))</f>
        <v>**Description:** This lever changes which vehicles qualify under the ZEV standard. With the lever off, ZEV qualifying vehicles include: battery electric vehicles, plugin hybrid vehicles, and hydrogen fueled vehicles. With the lever on, only battery electric vehicles and hydrogen fueled vehicles qualify.</v>
      </c>
      <c r="Q76" s="394" t="str">
        <f>IF(ISBLANK(INDEX('Policy Characteristics'!K:K,MATCH($C76,'Policy Characteristics'!$C:$C,0))),"",INDEX('Policy Characteristics'!K:K,MATCH($C76,'Policy Characteristics'!$C:$C,0)))</f>
        <v/>
      </c>
      <c r="R76" s="394" t="str">
        <f>IF(ISBLANK(INDEX('Policy Characteristics'!L:L,MATCH($C76,'Policy Characteristics'!$C:$C,0))),"",INDEX('Policy Characteristics'!L:L,MATCH($C76,'Policy Characteristics'!$C:$C,0)))</f>
        <v/>
      </c>
    </row>
    <row r="77" customHeight="1" spans="1:18">
      <c r="A77" s="394" t="str">
        <f>IF(ISBLANK(INDEX('Policy Characteristics'!A:A,MATCH($C77,'Policy Characteristics'!$C:$C,0))),"",INDEX('Policy Characteristics'!A:A,MATCH($C77,'Policy Characteristics'!$C:$C,0)))</f>
        <v>Transportation</v>
      </c>
      <c r="B77" s="395" t="str">
        <f>IF(ISBLANK(INDEX('Policy Characteristics'!B:B,MATCH($C77,'Policy Characteristics'!$C:$C,0))),"",INDEX('Policy Characteristics'!B:B,MATCH($C77,'Policy Characteristics'!$C:$C,0)))</f>
        <v>Electric Vehicle Subsidy</v>
      </c>
      <c r="C77" t="s">
        <v>97</v>
      </c>
      <c r="D77" s="399" t="s">
        <v>670</v>
      </c>
      <c r="E77" s="399" t="s">
        <v>644</v>
      </c>
      <c r="F77" s="399" t="s">
        <v>671</v>
      </c>
      <c r="G77" s="28" t="s">
        <v>672</v>
      </c>
      <c r="H77" s="377">
        <v>189</v>
      </c>
      <c r="I77" s="396" t="s">
        <v>648</v>
      </c>
      <c r="J77" s="397" t="str">
        <f>IF(ISBLANK(INDEX('Policy Characteristics'!D:D,MATCH($C77,'Policy Characteristics'!$C:$C,0))),"",INDEX('Policy Characteristics'!D:D,MATCH($C77,'Policy Characteristics'!$C:$C,0)))</f>
        <v>EV Subsidy</v>
      </c>
      <c r="K77" s="394" t="str">
        <f>IF(ISBLANK(INDEX('Policy Characteristics'!E:E,MATCH($C77,'Policy Characteristics'!$C:$C,0))),"",INDEX('Policy Characteristics'!E:E,MATCH($C77,'Policy Characteristics'!$C:$C,0)))</f>
        <v>trans EV subsidy</v>
      </c>
      <c r="L77" s="398">
        <f>IF(ISBLANK(INDEX('Policy Characteristics'!F:F,MATCH($C77,'Policy Characteristics'!$C:$C,0))),"",INDEX('Policy Characteristics'!F:F,MATCH($C77,'Policy Characteristics'!$C:$C,0)))</f>
        <v>0</v>
      </c>
      <c r="M77" s="398">
        <f>IF(ISBLANK(INDEX('Policy Characteristics'!G:G,MATCH($C77,'Policy Characteristics'!$C:$C,0))),"",INDEX('Policy Characteristics'!G:G,MATCH($C77,'Policy Characteristics'!$C:$C,0)))</f>
        <v>0.5</v>
      </c>
      <c r="N77" s="398">
        <f>IF(ISBLANK(INDEX('Policy Characteristics'!H:H,MATCH($C77,'Policy Characteristics'!$C:$C,0))),"",INDEX('Policy Characteristics'!H:H,MATCH($C77,'Policy Characteristics'!$C:$C,0)))</f>
        <v>0.01</v>
      </c>
      <c r="O77" s="394" t="str">
        <f>IF(ISBLANK(INDEX('Policy Characteristics'!I:I,MATCH($C77,'Policy Characteristics'!$C:$C,0))),"",INDEX('Policy Characteristics'!I:I,MATCH($C77,'Policy Characteristics'!$C:$C,0)))</f>
        <v>% of vehicle cost</v>
      </c>
      <c r="P77" s="394" t="str">
        <f>IF(ISBLANK(INDEX('Policy Characteristics'!J:J,MATCH($C77,'Policy Characteristics'!$C:$C,0))),"",INDEX('Policy Characteristics'!J:J,MATCH($C77,'Policy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77" s="394" t="str">
        <f>IF(ISBLANK(INDEX('Policy Characteristics'!K:K,MATCH($C77,'Policy Characteristics'!$C:$C,0))),"",INDEX('Policy Characteristics'!K:K,MATCH($C77,'Policy Characteristics'!$C:$C,0)))</f>
        <v>transportation-sector-main.html#ev-subsidy</v>
      </c>
      <c r="R77" s="394" t="str">
        <f>IF(ISBLANK(INDEX('Policy Characteristics'!L:L,MATCH($C77,'Policy Characteristics'!$C:$C,0))),"",INDEX('Policy Characteristics'!L:L,MATCH($C77,'Policy Characteristics'!$C:$C,0)))</f>
        <v>ev-subsidy.html</v>
      </c>
    </row>
    <row r="78" customHeight="1" spans="1:18">
      <c r="A78" s="394" t="str">
        <f>IF(ISBLANK(INDEX('Policy Characteristics'!A:A,MATCH($C78,'Policy Characteristics'!$C:$C,0))),"",INDEX('Policy Characteristics'!A:A,MATCH($C78,'Policy Characteristics'!$C:$C,0)))</f>
        <v>Transportation</v>
      </c>
      <c r="B78" s="395" t="str">
        <f>IF(ISBLANK(INDEX('Policy Characteristics'!B:B,MATCH($C78,'Policy Characteristics'!$C:$C,0))),"",INDEX('Policy Characteristics'!B:B,MATCH($C78,'Policy Characteristics'!$C:$C,0)))</f>
        <v>Electric Vehicle Subsidy</v>
      </c>
      <c r="C78" s="394" t="str">
        <f t="shared" ref="C78:C88" si="4">C$77</f>
        <v>Additional EV Subsidy Percentage</v>
      </c>
      <c r="D78" s="28" t="s">
        <v>673</v>
      </c>
      <c r="E78" s="28" t="s">
        <v>644</v>
      </c>
      <c r="F78" s="28" t="s">
        <v>674</v>
      </c>
      <c r="G78" s="28" t="s">
        <v>675</v>
      </c>
      <c r="H78" s="377">
        <v>592</v>
      </c>
      <c r="I78" s="396" t="s">
        <v>648</v>
      </c>
      <c r="J78" s="397" t="str">
        <f>IF(ISBLANK(INDEX('Policy Characteristics'!D:D,MATCH($C78,'Policy Characteristics'!$C:$C,0))),"",INDEX('Policy Characteristics'!D:D,MATCH($C78,'Policy Characteristics'!$C:$C,0)))</f>
        <v>EV Subsidy</v>
      </c>
      <c r="K78" s="394" t="str">
        <f>IF(ISBLANK(INDEX('Policy Characteristics'!E:E,MATCH($C78,'Policy Characteristics'!$C:$C,0))),"",INDEX('Policy Characteristics'!E:E,MATCH($C78,'Policy Characteristics'!$C:$C,0)))</f>
        <v>trans EV subsidy</v>
      </c>
      <c r="L78" s="398">
        <f>IF(ISBLANK(INDEX('Policy Characteristics'!F:F,MATCH($C78,'Policy Characteristics'!$C:$C,0))),"",INDEX('Policy Characteristics'!F:F,MATCH($C78,'Policy Characteristics'!$C:$C,0)))</f>
        <v>0</v>
      </c>
      <c r="M78" s="398">
        <f>IF(ISBLANK(INDEX('Policy Characteristics'!G:G,MATCH($C78,'Policy Characteristics'!$C:$C,0))),"",INDEX('Policy Characteristics'!G:G,MATCH($C78,'Policy Characteristics'!$C:$C,0)))</f>
        <v>0.5</v>
      </c>
      <c r="N78" s="398">
        <f>IF(ISBLANK(INDEX('Policy Characteristics'!H:H,MATCH($C78,'Policy Characteristics'!$C:$C,0))),"",INDEX('Policy Characteristics'!H:H,MATCH($C78,'Policy Characteristics'!$C:$C,0)))</f>
        <v>0.01</v>
      </c>
      <c r="O78" s="394" t="str">
        <f>IF(ISBLANK(INDEX('Policy Characteristics'!I:I,MATCH($C78,'Policy Characteristics'!$C:$C,0))),"",INDEX('Policy Characteristics'!I:I,MATCH($C78,'Policy Characteristics'!$C:$C,0)))</f>
        <v>% of vehicle cost</v>
      </c>
      <c r="P78" s="394" t="str">
        <f>IF(ISBLANK(INDEX('Policy Characteristics'!J:J,MATCH($C78,'Policy Characteristics'!$C:$C,0))),"",INDEX('Policy Characteristics'!J:J,MATCH($C78,'Policy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78" s="394" t="str">
        <f>IF(ISBLANK(INDEX('Policy Characteristics'!K:K,MATCH($C78,'Policy Characteristics'!$C:$C,0))),"",INDEX('Policy Characteristics'!K:K,MATCH($C78,'Policy Characteristics'!$C:$C,0)))</f>
        <v>transportation-sector-main.html#ev-subsidy</v>
      </c>
      <c r="R78" s="394" t="str">
        <f>IF(ISBLANK(INDEX('Policy Characteristics'!L:L,MATCH($C78,'Policy Characteristics'!$C:$C,0))),"",INDEX('Policy Characteristics'!L:L,MATCH($C78,'Policy Characteristics'!$C:$C,0)))</f>
        <v>ev-subsidy.html</v>
      </c>
    </row>
    <row r="79" customHeight="1" spans="1:18">
      <c r="A79" s="394" t="str">
        <f>IF(ISBLANK(INDEX('Policy Characteristics'!A:A,MATCH($C79,'Policy Characteristics'!$C:$C,0))),"",INDEX('Policy Characteristics'!A:A,MATCH($C79,'Policy Characteristics'!$C:$C,0)))</f>
        <v>Transportation</v>
      </c>
      <c r="B79" s="395" t="str">
        <f>IF(ISBLANK(INDEX('Policy Characteristics'!B:B,MATCH($C79,'Policy Characteristics'!$C:$C,0))),"",INDEX('Policy Characteristics'!B:B,MATCH($C79,'Policy Characteristics'!$C:$C,0)))</f>
        <v>Electric Vehicle Subsidy</v>
      </c>
      <c r="C79" s="394" t="str">
        <f t="shared" si="4"/>
        <v>Additional EV Subsidy Percentage</v>
      </c>
      <c r="D79" s="28" t="s">
        <v>670</v>
      </c>
      <c r="E79" s="28" t="s">
        <v>660</v>
      </c>
      <c r="F79" s="28" t="s">
        <v>671</v>
      </c>
      <c r="G79" s="28" t="s">
        <v>676</v>
      </c>
      <c r="H79" s="377">
        <v>593</v>
      </c>
      <c r="I79" s="396" t="s">
        <v>658</v>
      </c>
      <c r="J79" s="397" t="str">
        <f>IF(ISBLANK(INDEX('Policy Characteristics'!D:D,MATCH($C79,'Policy Characteristics'!$C:$C,0))),"",INDEX('Policy Characteristics'!D:D,MATCH($C79,'Policy Characteristics'!$C:$C,0)))</f>
        <v>EV Subsidy</v>
      </c>
      <c r="K79" s="394" t="str">
        <f>IF(ISBLANK(INDEX('Policy Characteristics'!E:E,MATCH($C79,'Policy Characteristics'!$C:$C,0))),"",INDEX('Policy Characteristics'!E:E,MATCH($C79,'Policy Characteristics'!$C:$C,0)))</f>
        <v>trans EV subsidy</v>
      </c>
      <c r="L79" s="398">
        <f>IF(ISBLANK(INDEX('Policy Characteristics'!F:F,MATCH($C79,'Policy Characteristics'!$C:$C,0))),"",INDEX('Policy Characteristics'!F:F,MATCH($C79,'Policy Characteristics'!$C:$C,0)))</f>
        <v>0</v>
      </c>
      <c r="M79" s="398">
        <f>IF(ISBLANK(INDEX('Policy Characteristics'!G:G,MATCH($C79,'Policy Characteristics'!$C:$C,0))),"",INDEX('Policy Characteristics'!G:G,MATCH($C79,'Policy Characteristics'!$C:$C,0)))</f>
        <v>0.5</v>
      </c>
      <c r="N79" s="398">
        <f>IF(ISBLANK(INDEX('Policy Characteristics'!H:H,MATCH($C79,'Policy Characteristics'!$C:$C,0))),"",INDEX('Policy Characteristics'!H:H,MATCH($C79,'Policy Characteristics'!$C:$C,0)))</f>
        <v>0.01</v>
      </c>
      <c r="O79" s="394" t="str">
        <f>IF(ISBLANK(INDEX('Policy Characteristics'!I:I,MATCH($C79,'Policy Characteristics'!$C:$C,0))),"",INDEX('Policy Characteristics'!I:I,MATCH($C79,'Policy Characteristics'!$C:$C,0)))</f>
        <v>% of vehicle cost</v>
      </c>
      <c r="P79" s="394" t="str">
        <f>IF(ISBLANK(INDEX('Policy Characteristics'!J:J,MATCH($C79,'Policy Characteristics'!$C:$C,0))),"",INDEX('Policy Characteristics'!J:J,MATCH($C79,'Policy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79" s="394" t="str">
        <f>IF(ISBLANK(INDEX('Policy Characteristics'!K:K,MATCH($C79,'Policy Characteristics'!$C:$C,0))),"",INDEX('Policy Characteristics'!K:K,MATCH($C79,'Policy Characteristics'!$C:$C,0)))</f>
        <v>transportation-sector-main.html#ev-subsidy</v>
      </c>
      <c r="R79" s="394" t="str">
        <f>IF(ISBLANK(INDEX('Policy Characteristics'!L:L,MATCH($C79,'Policy Characteristics'!$C:$C,0))),"",INDEX('Policy Characteristics'!L:L,MATCH($C79,'Policy Characteristics'!$C:$C,0)))</f>
        <v>ev-subsidy.html</v>
      </c>
    </row>
    <row r="80" customHeight="1" spans="1:18">
      <c r="A80" s="394" t="str">
        <f>IF(ISBLANK(INDEX('Policy Characteristics'!A:A,MATCH($C80,'Policy Characteristics'!$C:$C,0))),"",INDEX('Policy Characteristics'!A:A,MATCH($C80,'Policy Characteristics'!$C:$C,0)))</f>
        <v>Transportation</v>
      </c>
      <c r="B80" s="395" t="str">
        <f>IF(ISBLANK(INDEX('Policy Characteristics'!B:B,MATCH($C80,'Policy Characteristics'!$C:$C,0))),"",INDEX('Policy Characteristics'!B:B,MATCH($C80,'Policy Characteristics'!$C:$C,0)))</f>
        <v>Electric Vehicle Subsidy</v>
      </c>
      <c r="C80" s="394" t="str">
        <f t="shared" si="4"/>
        <v>Additional EV Subsidy Percentage</v>
      </c>
      <c r="D80" s="28" t="s">
        <v>673</v>
      </c>
      <c r="E80" s="28" t="s">
        <v>660</v>
      </c>
      <c r="F80" s="28" t="s">
        <v>674</v>
      </c>
      <c r="G80" s="28" t="s">
        <v>677</v>
      </c>
      <c r="H80" s="377">
        <v>594</v>
      </c>
      <c r="I80" s="396" t="s">
        <v>648</v>
      </c>
      <c r="J80" s="397" t="str">
        <f>IF(ISBLANK(INDEX('Policy Characteristics'!D:D,MATCH($C80,'Policy Characteristics'!$C:$C,0))),"",INDEX('Policy Characteristics'!D:D,MATCH($C80,'Policy Characteristics'!$C:$C,0)))</f>
        <v>EV Subsidy</v>
      </c>
      <c r="K80" s="394" t="str">
        <f>IF(ISBLANK(INDEX('Policy Characteristics'!E:E,MATCH($C80,'Policy Characteristics'!$C:$C,0))),"",INDEX('Policy Characteristics'!E:E,MATCH($C80,'Policy Characteristics'!$C:$C,0)))</f>
        <v>trans EV subsidy</v>
      </c>
      <c r="L80" s="398">
        <f>IF(ISBLANK(INDEX('Policy Characteristics'!F:F,MATCH($C80,'Policy Characteristics'!$C:$C,0))),"",INDEX('Policy Characteristics'!F:F,MATCH($C80,'Policy Characteristics'!$C:$C,0)))</f>
        <v>0</v>
      </c>
      <c r="M80" s="398">
        <f>IF(ISBLANK(INDEX('Policy Characteristics'!G:G,MATCH($C80,'Policy Characteristics'!$C:$C,0))),"",INDEX('Policy Characteristics'!G:G,MATCH($C80,'Policy Characteristics'!$C:$C,0)))</f>
        <v>0.5</v>
      </c>
      <c r="N80" s="398">
        <f>IF(ISBLANK(INDEX('Policy Characteristics'!H:H,MATCH($C80,'Policy Characteristics'!$C:$C,0))),"",INDEX('Policy Characteristics'!H:H,MATCH($C80,'Policy Characteristics'!$C:$C,0)))</f>
        <v>0.01</v>
      </c>
      <c r="O80" s="394" t="str">
        <f>IF(ISBLANK(INDEX('Policy Characteristics'!I:I,MATCH($C80,'Policy Characteristics'!$C:$C,0))),"",INDEX('Policy Characteristics'!I:I,MATCH($C80,'Policy Characteristics'!$C:$C,0)))</f>
        <v>% of vehicle cost</v>
      </c>
      <c r="P80" s="394" t="str">
        <f>IF(ISBLANK(INDEX('Policy Characteristics'!J:J,MATCH($C80,'Policy Characteristics'!$C:$C,0))),"",INDEX('Policy Characteristics'!J:J,MATCH($C80,'Policy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0" s="394" t="str">
        <f>IF(ISBLANK(INDEX('Policy Characteristics'!K:K,MATCH($C80,'Policy Characteristics'!$C:$C,0))),"",INDEX('Policy Characteristics'!K:K,MATCH($C80,'Policy Characteristics'!$C:$C,0)))</f>
        <v>transportation-sector-main.html#ev-subsidy</v>
      </c>
      <c r="R80" s="394" t="str">
        <f>IF(ISBLANK(INDEX('Policy Characteristics'!L:L,MATCH($C80,'Policy Characteristics'!$C:$C,0))),"",INDEX('Policy Characteristics'!L:L,MATCH($C80,'Policy Characteristics'!$C:$C,0)))</f>
        <v>ev-subsidy.html</v>
      </c>
    </row>
    <row r="81" customHeight="1" spans="1:18">
      <c r="A81" s="394" t="str">
        <f>IF(ISBLANK(INDEX('Policy Characteristics'!A:A,MATCH($C81,'Policy Characteristics'!$C:$C,0))),"",INDEX('Policy Characteristics'!A:A,MATCH($C81,'Policy Characteristics'!$C:$C,0)))</f>
        <v>Transportation</v>
      </c>
      <c r="B81" s="395" t="str">
        <f>IF(ISBLANK(INDEX('Policy Characteristics'!B:B,MATCH($C81,'Policy Characteristics'!$C:$C,0))),"",INDEX('Policy Characteristics'!B:B,MATCH($C81,'Policy Characteristics'!$C:$C,0)))</f>
        <v>Electric Vehicle Subsidy</v>
      </c>
      <c r="C81" s="394" t="str">
        <f t="shared" si="4"/>
        <v>Additional EV Subsidy Percentage</v>
      </c>
      <c r="D81" s="28" t="s">
        <v>670</v>
      </c>
      <c r="E81" s="28" t="s">
        <v>662</v>
      </c>
      <c r="F81" s="28" t="s">
        <v>671</v>
      </c>
      <c r="G81" s="28" t="s">
        <v>678</v>
      </c>
      <c r="H81" s="377">
        <v>595</v>
      </c>
      <c r="I81" s="396" t="s">
        <v>658</v>
      </c>
      <c r="J81" s="397" t="str">
        <f>IF(ISBLANK(INDEX('Policy Characteristics'!D:D,MATCH($C81,'Policy Characteristics'!$C:$C,0))),"",INDEX('Policy Characteristics'!D:D,MATCH($C81,'Policy Characteristics'!$C:$C,0)))</f>
        <v>EV Subsidy</v>
      </c>
      <c r="K81" s="394" t="str">
        <f>IF(ISBLANK(INDEX('Policy Characteristics'!E:E,MATCH($C81,'Policy Characteristics'!$C:$C,0))),"",INDEX('Policy Characteristics'!E:E,MATCH($C81,'Policy Characteristics'!$C:$C,0)))</f>
        <v>trans EV subsidy</v>
      </c>
      <c r="L81" s="398">
        <f>IF(ISBLANK(INDEX('Policy Characteristics'!F:F,MATCH($C81,'Policy Characteristics'!$C:$C,0))),"",INDEX('Policy Characteristics'!F:F,MATCH($C81,'Policy Characteristics'!$C:$C,0)))</f>
        <v>0</v>
      </c>
      <c r="M81" s="398">
        <f>IF(ISBLANK(INDEX('Policy Characteristics'!G:G,MATCH($C81,'Policy Characteristics'!$C:$C,0))),"",INDEX('Policy Characteristics'!G:G,MATCH($C81,'Policy Characteristics'!$C:$C,0)))</f>
        <v>0.5</v>
      </c>
      <c r="N81" s="398">
        <f>IF(ISBLANK(INDEX('Policy Characteristics'!H:H,MATCH($C81,'Policy Characteristics'!$C:$C,0))),"",INDEX('Policy Characteristics'!H:H,MATCH($C81,'Policy Characteristics'!$C:$C,0)))</f>
        <v>0.01</v>
      </c>
      <c r="O81" s="394" t="str">
        <f>IF(ISBLANK(INDEX('Policy Characteristics'!I:I,MATCH($C81,'Policy Characteristics'!$C:$C,0))),"",INDEX('Policy Characteristics'!I:I,MATCH($C81,'Policy Characteristics'!$C:$C,0)))</f>
        <v>% of vehicle cost</v>
      </c>
      <c r="P81" s="394" t="str">
        <f>IF(ISBLANK(INDEX('Policy Characteristics'!J:J,MATCH($C81,'Policy Characteristics'!$C:$C,0))),"",INDEX('Policy Characteristics'!J:J,MATCH($C81,'Policy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1" s="394" t="str">
        <f>IF(ISBLANK(INDEX('Policy Characteristics'!K:K,MATCH($C81,'Policy Characteristics'!$C:$C,0))),"",INDEX('Policy Characteristics'!K:K,MATCH($C81,'Policy Characteristics'!$C:$C,0)))</f>
        <v>transportation-sector-main.html#ev-subsidy</v>
      </c>
      <c r="R81" s="394" t="str">
        <f>IF(ISBLANK(INDEX('Policy Characteristics'!L:L,MATCH($C81,'Policy Characteristics'!$C:$C,0))),"",INDEX('Policy Characteristics'!L:L,MATCH($C81,'Policy Characteristics'!$C:$C,0)))</f>
        <v>ev-subsidy.html</v>
      </c>
    </row>
    <row r="82" customHeight="1" spans="1:18">
      <c r="A82" s="394" t="str">
        <f>IF(ISBLANK(INDEX('Policy Characteristics'!A:A,MATCH($C82,'Policy Characteristics'!$C:$C,0))),"",INDEX('Policy Characteristics'!A:A,MATCH($C82,'Policy Characteristics'!$C:$C,0)))</f>
        <v>Transportation</v>
      </c>
      <c r="B82" s="395" t="str">
        <f>IF(ISBLANK(INDEX('Policy Characteristics'!B:B,MATCH($C82,'Policy Characteristics'!$C:$C,0))),"",INDEX('Policy Characteristics'!B:B,MATCH($C82,'Policy Characteristics'!$C:$C,0)))</f>
        <v>Electric Vehicle Subsidy</v>
      </c>
      <c r="C82" s="394" t="str">
        <f t="shared" si="4"/>
        <v>Additional EV Subsidy Percentage</v>
      </c>
      <c r="D82" s="28" t="s">
        <v>673</v>
      </c>
      <c r="E82" s="28" t="s">
        <v>662</v>
      </c>
      <c r="F82" s="28" t="s">
        <v>674</v>
      </c>
      <c r="G82" s="28" t="s">
        <v>678</v>
      </c>
      <c r="H82" s="377">
        <v>596</v>
      </c>
      <c r="I82" s="396" t="s">
        <v>658</v>
      </c>
      <c r="J82" s="397" t="str">
        <f>IF(ISBLANK(INDEX('Policy Characteristics'!D:D,MATCH($C82,'Policy Characteristics'!$C:$C,0))),"",INDEX('Policy Characteristics'!D:D,MATCH($C82,'Policy Characteristics'!$C:$C,0)))</f>
        <v>EV Subsidy</v>
      </c>
      <c r="K82" s="394" t="str">
        <f>IF(ISBLANK(INDEX('Policy Characteristics'!E:E,MATCH($C82,'Policy Characteristics'!$C:$C,0))),"",INDEX('Policy Characteristics'!E:E,MATCH($C82,'Policy Characteristics'!$C:$C,0)))</f>
        <v>trans EV subsidy</v>
      </c>
      <c r="L82" s="398">
        <f>IF(ISBLANK(INDEX('Policy Characteristics'!F:F,MATCH($C82,'Policy Characteristics'!$C:$C,0))),"",INDEX('Policy Characteristics'!F:F,MATCH($C82,'Policy Characteristics'!$C:$C,0)))</f>
        <v>0</v>
      </c>
      <c r="M82" s="398">
        <f>IF(ISBLANK(INDEX('Policy Characteristics'!G:G,MATCH($C82,'Policy Characteristics'!$C:$C,0))),"",INDEX('Policy Characteristics'!G:G,MATCH($C82,'Policy Characteristics'!$C:$C,0)))</f>
        <v>0.5</v>
      </c>
      <c r="N82" s="398">
        <f>IF(ISBLANK(INDEX('Policy Characteristics'!H:H,MATCH($C82,'Policy Characteristics'!$C:$C,0))),"",INDEX('Policy Characteristics'!H:H,MATCH($C82,'Policy Characteristics'!$C:$C,0)))</f>
        <v>0.01</v>
      </c>
      <c r="O82" s="394" t="str">
        <f>IF(ISBLANK(INDEX('Policy Characteristics'!I:I,MATCH($C82,'Policy Characteristics'!$C:$C,0))),"",INDEX('Policy Characteristics'!I:I,MATCH($C82,'Policy Characteristics'!$C:$C,0)))</f>
        <v>% of vehicle cost</v>
      </c>
      <c r="P82" s="394" t="str">
        <f>IF(ISBLANK(INDEX('Policy Characteristics'!J:J,MATCH($C82,'Policy Characteristics'!$C:$C,0))),"",INDEX('Policy Characteristics'!J:J,MATCH($C82,'Policy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2" s="394" t="str">
        <f>IF(ISBLANK(INDEX('Policy Characteristics'!K:K,MATCH($C82,'Policy Characteristics'!$C:$C,0))),"",INDEX('Policy Characteristics'!K:K,MATCH($C82,'Policy Characteristics'!$C:$C,0)))</f>
        <v>transportation-sector-main.html#ev-subsidy</v>
      </c>
      <c r="R82" s="394" t="str">
        <f>IF(ISBLANK(INDEX('Policy Characteristics'!L:L,MATCH($C82,'Policy Characteristics'!$C:$C,0))),"",INDEX('Policy Characteristics'!L:L,MATCH($C82,'Policy Characteristics'!$C:$C,0)))</f>
        <v>ev-subsidy.html</v>
      </c>
    </row>
    <row r="83" customHeight="1" spans="1:18">
      <c r="A83" s="394" t="str">
        <f>IF(ISBLANK(INDEX('Policy Characteristics'!A:A,MATCH($C83,'Policy Characteristics'!$C:$C,0))),"",INDEX('Policy Characteristics'!A:A,MATCH($C83,'Policy Characteristics'!$C:$C,0)))</f>
        <v>Transportation</v>
      </c>
      <c r="B83" s="395" t="str">
        <f>IF(ISBLANK(INDEX('Policy Characteristics'!B:B,MATCH($C83,'Policy Characteristics'!$C:$C,0))),"",INDEX('Policy Characteristics'!B:B,MATCH($C83,'Policy Characteristics'!$C:$C,0)))</f>
        <v>Electric Vehicle Subsidy</v>
      </c>
      <c r="C83" s="394" t="str">
        <f t="shared" si="4"/>
        <v>Additional EV Subsidy Percentage</v>
      </c>
      <c r="D83" s="28" t="s">
        <v>670</v>
      </c>
      <c r="E83" s="28" t="s">
        <v>664</v>
      </c>
      <c r="F83" s="28" t="s">
        <v>671</v>
      </c>
      <c r="G83" s="28" t="s">
        <v>679</v>
      </c>
      <c r="H83" s="377">
        <v>597</v>
      </c>
      <c r="I83" s="396" t="s">
        <v>658</v>
      </c>
      <c r="J83" s="397" t="str">
        <f>IF(ISBLANK(INDEX('Policy Characteristics'!D:D,MATCH($C83,'Policy Characteristics'!$C:$C,0))),"",INDEX('Policy Characteristics'!D:D,MATCH($C83,'Policy Characteristics'!$C:$C,0)))</f>
        <v>EV Subsidy</v>
      </c>
      <c r="K83" s="394" t="str">
        <f>IF(ISBLANK(INDEX('Policy Characteristics'!E:E,MATCH($C83,'Policy Characteristics'!$C:$C,0))),"",INDEX('Policy Characteristics'!E:E,MATCH($C83,'Policy Characteristics'!$C:$C,0)))</f>
        <v>trans EV subsidy</v>
      </c>
      <c r="L83" s="398">
        <f>IF(ISBLANK(INDEX('Policy Characteristics'!F:F,MATCH($C83,'Policy Characteristics'!$C:$C,0))),"",INDEX('Policy Characteristics'!F:F,MATCH($C83,'Policy Characteristics'!$C:$C,0)))</f>
        <v>0</v>
      </c>
      <c r="M83" s="398">
        <f>IF(ISBLANK(INDEX('Policy Characteristics'!G:G,MATCH($C83,'Policy Characteristics'!$C:$C,0))),"",INDEX('Policy Characteristics'!G:G,MATCH($C83,'Policy Characteristics'!$C:$C,0)))</f>
        <v>0.5</v>
      </c>
      <c r="N83" s="398">
        <f>IF(ISBLANK(INDEX('Policy Characteristics'!H:H,MATCH($C83,'Policy Characteristics'!$C:$C,0))),"",INDEX('Policy Characteristics'!H:H,MATCH($C83,'Policy Characteristics'!$C:$C,0)))</f>
        <v>0.01</v>
      </c>
      <c r="O83" s="394" t="str">
        <f>IF(ISBLANK(INDEX('Policy Characteristics'!I:I,MATCH($C83,'Policy Characteristics'!$C:$C,0))),"",INDEX('Policy Characteristics'!I:I,MATCH($C83,'Policy Characteristics'!$C:$C,0)))</f>
        <v>% of vehicle cost</v>
      </c>
      <c r="P83" s="394" t="str">
        <f>IF(ISBLANK(INDEX('Policy Characteristics'!J:J,MATCH($C83,'Policy Characteristics'!$C:$C,0))),"",INDEX('Policy Characteristics'!J:J,MATCH($C83,'Policy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3" s="394" t="str">
        <f>IF(ISBLANK(INDEX('Policy Characteristics'!K:K,MATCH($C83,'Policy Characteristics'!$C:$C,0))),"",INDEX('Policy Characteristics'!K:K,MATCH($C83,'Policy Characteristics'!$C:$C,0)))</f>
        <v>transportation-sector-main.html#ev-subsidy</v>
      </c>
      <c r="R83" s="394" t="str">
        <f>IF(ISBLANK(INDEX('Policy Characteristics'!L:L,MATCH($C83,'Policy Characteristics'!$C:$C,0))),"",INDEX('Policy Characteristics'!L:L,MATCH($C83,'Policy Characteristics'!$C:$C,0)))</f>
        <v>ev-subsidy.html</v>
      </c>
    </row>
    <row r="84" customHeight="1" spans="1:18">
      <c r="A84" s="394" t="str">
        <f>IF(ISBLANK(INDEX('Policy Characteristics'!A:A,MATCH($C84,'Policy Characteristics'!$C:$C,0))),"",INDEX('Policy Characteristics'!A:A,MATCH($C84,'Policy Characteristics'!$C:$C,0)))</f>
        <v>Transportation</v>
      </c>
      <c r="B84" s="395" t="str">
        <f>IF(ISBLANK(INDEX('Policy Characteristics'!B:B,MATCH($C84,'Policy Characteristics'!$C:$C,0))),"",INDEX('Policy Characteristics'!B:B,MATCH($C84,'Policy Characteristics'!$C:$C,0)))</f>
        <v>Electric Vehicle Subsidy</v>
      </c>
      <c r="C84" s="394" t="str">
        <f t="shared" si="4"/>
        <v>Additional EV Subsidy Percentage</v>
      </c>
      <c r="D84" s="28" t="s">
        <v>673</v>
      </c>
      <c r="E84" s="28" t="s">
        <v>664</v>
      </c>
      <c r="F84" s="28" t="s">
        <v>674</v>
      </c>
      <c r="G84" s="28" t="s">
        <v>679</v>
      </c>
      <c r="H84" s="377">
        <v>598</v>
      </c>
      <c r="I84" s="396" t="s">
        <v>658</v>
      </c>
      <c r="J84" s="397" t="str">
        <f>IF(ISBLANK(INDEX('Policy Characteristics'!D:D,MATCH($C84,'Policy Characteristics'!$C:$C,0))),"",INDEX('Policy Characteristics'!D:D,MATCH($C84,'Policy Characteristics'!$C:$C,0)))</f>
        <v>EV Subsidy</v>
      </c>
      <c r="K84" s="394" t="str">
        <f>IF(ISBLANK(INDEX('Policy Characteristics'!E:E,MATCH($C84,'Policy Characteristics'!$C:$C,0))),"",INDEX('Policy Characteristics'!E:E,MATCH($C84,'Policy Characteristics'!$C:$C,0)))</f>
        <v>trans EV subsidy</v>
      </c>
      <c r="L84" s="398">
        <f>IF(ISBLANK(INDEX('Policy Characteristics'!F:F,MATCH($C84,'Policy Characteristics'!$C:$C,0))),"",INDEX('Policy Characteristics'!F:F,MATCH($C84,'Policy Characteristics'!$C:$C,0)))</f>
        <v>0</v>
      </c>
      <c r="M84" s="398">
        <f>IF(ISBLANK(INDEX('Policy Characteristics'!G:G,MATCH($C84,'Policy Characteristics'!$C:$C,0))),"",INDEX('Policy Characteristics'!G:G,MATCH($C84,'Policy Characteristics'!$C:$C,0)))</f>
        <v>0.5</v>
      </c>
      <c r="N84" s="398">
        <f>IF(ISBLANK(INDEX('Policy Characteristics'!H:H,MATCH($C84,'Policy Characteristics'!$C:$C,0))),"",INDEX('Policy Characteristics'!H:H,MATCH($C84,'Policy Characteristics'!$C:$C,0)))</f>
        <v>0.01</v>
      </c>
      <c r="O84" s="394" t="str">
        <f>IF(ISBLANK(INDEX('Policy Characteristics'!I:I,MATCH($C84,'Policy Characteristics'!$C:$C,0))),"",INDEX('Policy Characteristics'!I:I,MATCH($C84,'Policy Characteristics'!$C:$C,0)))</f>
        <v>% of vehicle cost</v>
      </c>
      <c r="P84" s="394" t="str">
        <f>IF(ISBLANK(INDEX('Policy Characteristics'!J:J,MATCH($C84,'Policy Characteristics'!$C:$C,0))),"",INDEX('Policy Characteristics'!J:J,MATCH($C84,'Policy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4" s="394" t="str">
        <f>IF(ISBLANK(INDEX('Policy Characteristics'!K:K,MATCH($C84,'Policy Characteristics'!$C:$C,0))),"",INDEX('Policy Characteristics'!K:K,MATCH($C84,'Policy Characteristics'!$C:$C,0)))</f>
        <v>transportation-sector-main.html#ev-subsidy</v>
      </c>
      <c r="R84" s="394" t="str">
        <f>IF(ISBLANK(INDEX('Policy Characteristics'!L:L,MATCH($C84,'Policy Characteristics'!$C:$C,0))),"",INDEX('Policy Characteristics'!L:L,MATCH($C84,'Policy Characteristics'!$C:$C,0)))</f>
        <v>ev-subsidy.html</v>
      </c>
    </row>
    <row r="85" customHeight="1" spans="1:18">
      <c r="A85" s="394" t="str">
        <f>IF(ISBLANK(INDEX('Policy Characteristics'!A:A,MATCH($C85,'Policy Characteristics'!$C:$C,0))),"",INDEX('Policy Characteristics'!A:A,MATCH($C85,'Policy Characteristics'!$C:$C,0)))</f>
        <v>Transportation</v>
      </c>
      <c r="B85" s="395" t="str">
        <f>IF(ISBLANK(INDEX('Policy Characteristics'!B:B,MATCH($C85,'Policy Characteristics'!$C:$C,0))),"",INDEX('Policy Characteristics'!B:B,MATCH($C85,'Policy Characteristics'!$C:$C,0)))</f>
        <v>Electric Vehicle Subsidy</v>
      </c>
      <c r="C85" s="394" t="str">
        <f t="shared" si="4"/>
        <v>Additional EV Subsidy Percentage</v>
      </c>
      <c r="D85" s="28" t="s">
        <v>670</v>
      </c>
      <c r="E85" s="28" t="s">
        <v>666</v>
      </c>
      <c r="F85" s="28" t="s">
        <v>671</v>
      </c>
      <c r="G85" s="28" t="s">
        <v>680</v>
      </c>
      <c r="H85" s="377">
        <v>599</v>
      </c>
      <c r="I85" s="396" t="s">
        <v>658</v>
      </c>
      <c r="J85" s="397" t="str">
        <f>IF(ISBLANK(INDEX('Policy Characteristics'!D:D,MATCH($C85,'Policy Characteristics'!$C:$C,0))),"",INDEX('Policy Characteristics'!D:D,MATCH($C85,'Policy Characteristics'!$C:$C,0)))</f>
        <v>EV Subsidy</v>
      </c>
      <c r="K85" s="394" t="str">
        <f>IF(ISBLANK(INDEX('Policy Characteristics'!E:E,MATCH($C85,'Policy Characteristics'!$C:$C,0))),"",INDEX('Policy Characteristics'!E:E,MATCH($C85,'Policy Characteristics'!$C:$C,0)))</f>
        <v>trans EV subsidy</v>
      </c>
      <c r="L85" s="398">
        <f>IF(ISBLANK(INDEX('Policy Characteristics'!F:F,MATCH($C85,'Policy Characteristics'!$C:$C,0))),"",INDEX('Policy Characteristics'!F:F,MATCH($C85,'Policy Characteristics'!$C:$C,0)))</f>
        <v>0</v>
      </c>
      <c r="M85" s="398">
        <f>IF(ISBLANK(INDEX('Policy Characteristics'!G:G,MATCH($C85,'Policy Characteristics'!$C:$C,0))),"",INDEX('Policy Characteristics'!G:G,MATCH($C85,'Policy Characteristics'!$C:$C,0)))</f>
        <v>0.5</v>
      </c>
      <c r="N85" s="398">
        <f>IF(ISBLANK(INDEX('Policy Characteristics'!H:H,MATCH($C85,'Policy Characteristics'!$C:$C,0))),"",INDEX('Policy Characteristics'!H:H,MATCH($C85,'Policy Characteristics'!$C:$C,0)))</f>
        <v>0.01</v>
      </c>
      <c r="O85" s="394" t="str">
        <f>IF(ISBLANK(INDEX('Policy Characteristics'!I:I,MATCH($C85,'Policy Characteristics'!$C:$C,0))),"",INDEX('Policy Characteristics'!I:I,MATCH($C85,'Policy Characteristics'!$C:$C,0)))</f>
        <v>% of vehicle cost</v>
      </c>
      <c r="P85" s="394" t="str">
        <f>IF(ISBLANK(INDEX('Policy Characteristics'!J:J,MATCH($C85,'Policy Characteristics'!$C:$C,0))),"",INDEX('Policy Characteristics'!J:J,MATCH($C85,'Policy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5" s="394" t="str">
        <f>IF(ISBLANK(INDEX('Policy Characteristics'!K:K,MATCH($C85,'Policy Characteristics'!$C:$C,0))),"",INDEX('Policy Characteristics'!K:K,MATCH($C85,'Policy Characteristics'!$C:$C,0)))</f>
        <v>transportation-sector-main.html#ev-subsidy</v>
      </c>
      <c r="R85" s="394" t="str">
        <f>IF(ISBLANK(INDEX('Policy Characteristics'!L:L,MATCH($C85,'Policy Characteristics'!$C:$C,0))),"",INDEX('Policy Characteristics'!L:L,MATCH($C85,'Policy Characteristics'!$C:$C,0)))</f>
        <v>ev-subsidy.html</v>
      </c>
    </row>
    <row r="86" customHeight="1" spans="1:18">
      <c r="A86" s="394" t="str">
        <f>IF(ISBLANK(INDEX('Policy Characteristics'!A:A,MATCH($C86,'Policy Characteristics'!$C:$C,0))),"",INDEX('Policy Characteristics'!A:A,MATCH($C86,'Policy Characteristics'!$C:$C,0)))</f>
        <v>Transportation</v>
      </c>
      <c r="B86" s="395" t="str">
        <f>IF(ISBLANK(INDEX('Policy Characteristics'!B:B,MATCH($C86,'Policy Characteristics'!$C:$C,0))),"",INDEX('Policy Characteristics'!B:B,MATCH($C86,'Policy Characteristics'!$C:$C,0)))</f>
        <v>Electric Vehicle Subsidy</v>
      </c>
      <c r="C86" s="394" t="str">
        <f t="shared" si="4"/>
        <v>Additional EV Subsidy Percentage</v>
      </c>
      <c r="D86" s="28" t="s">
        <v>673</v>
      </c>
      <c r="E86" s="28" t="s">
        <v>666</v>
      </c>
      <c r="F86" s="28" t="s">
        <v>674</v>
      </c>
      <c r="G86" s="28" t="s">
        <v>681</v>
      </c>
      <c r="H86" s="377">
        <v>600</v>
      </c>
      <c r="I86" s="396" t="s">
        <v>658</v>
      </c>
      <c r="J86" s="397" t="str">
        <f>IF(ISBLANK(INDEX('Policy Characteristics'!D:D,MATCH($C86,'Policy Characteristics'!$C:$C,0))),"",INDEX('Policy Characteristics'!D:D,MATCH($C86,'Policy Characteristics'!$C:$C,0)))</f>
        <v>EV Subsidy</v>
      </c>
      <c r="K86" s="394" t="str">
        <f>IF(ISBLANK(INDEX('Policy Characteristics'!E:E,MATCH($C86,'Policy Characteristics'!$C:$C,0))),"",INDEX('Policy Characteristics'!E:E,MATCH($C86,'Policy Characteristics'!$C:$C,0)))</f>
        <v>trans EV subsidy</v>
      </c>
      <c r="L86" s="398">
        <f>IF(ISBLANK(INDEX('Policy Characteristics'!F:F,MATCH($C86,'Policy Characteristics'!$C:$C,0))),"",INDEX('Policy Characteristics'!F:F,MATCH($C86,'Policy Characteristics'!$C:$C,0)))</f>
        <v>0</v>
      </c>
      <c r="M86" s="398">
        <f>IF(ISBLANK(INDEX('Policy Characteristics'!G:G,MATCH($C86,'Policy Characteristics'!$C:$C,0))),"",INDEX('Policy Characteristics'!G:G,MATCH($C86,'Policy Characteristics'!$C:$C,0)))</f>
        <v>0.5</v>
      </c>
      <c r="N86" s="398">
        <f>IF(ISBLANK(INDEX('Policy Characteristics'!H:H,MATCH($C86,'Policy Characteristics'!$C:$C,0))),"",INDEX('Policy Characteristics'!H:H,MATCH($C86,'Policy Characteristics'!$C:$C,0)))</f>
        <v>0.01</v>
      </c>
      <c r="O86" s="394" t="str">
        <f>IF(ISBLANK(INDEX('Policy Characteristics'!I:I,MATCH($C86,'Policy Characteristics'!$C:$C,0))),"",INDEX('Policy Characteristics'!I:I,MATCH($C86,'Policy Characteristics'!$C:$C,0)))</f>
        <v>% of vehicle cost</v>
      </c>
      <c r="P86" s="394" t="str">
        <f>IF(ISBLANK(INDEX('Policy Characteristics'!J:J,MATCH($C86,'Policy Characteristics'!$C:$C,0))),"",INDEX('Policy Characteristics'!J:J,MATCH($C86,'Policy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6" s="394" t="str">
        <f>IF(ISBLANK(INDEX('Policy Characteristics'!K:K,MATCH($C86,'Policy Characteristics'!$C:$C,0))),"",INDEX('Policy Characteristics'!K:K,MATCH($C86,'Policy Characteristics'!$C:$C,0)))</f>
        <v>transportation-sector-main.html#ev-subsidy</v>
      </c>
      <c r="R86" s="394" t="str">
        <f>IF(ISBLANK(INDEX('Policy Characteristics'!L:L,MATCH($C86,'Policy Characteristics'!$C:$C,0))),"",INDEX('Policy Characteristics'!L:L,MATCH($C86,'Policy Characteristics'!$C:$C,0)))</f>
        <v>ev-subsidy.html</v>
      </c>
    </row>
    <row r="87" customHeight="1" spans="1:18">
      <c r="A87" s="394" t="str">
        <f>IF(ISBLANK(INDEX('Policy Characteristics'!A:A,MATCH($C87,'Policy Characteristics'!$C:$C,0))),"",INDEX('Policy Characteristics'!A:A,MATCH($C87,'Policy Characteristics'!$C:$C,0)))</f>
        <v>Transportation</v>
      </c>
      <c r="B87" s="395" t="str">
        <f>IF(ISBLANK(INDEX('Policy Characteristics'!B:B,MATCH($C87,'Policy Characteristics'!$C:$C,0))),"",INDEX('Policy Characteristics'!B:B,MATCH($C87,'Policy Characteristics'!$C:$C,0)))</f>
        <v>Electric Vehicle Subsidy</v>
      </c>
      <c r="C87" s="394" t="str">
        <f t="shared" si="4"/>
        <v>Additional EV Subsidy Percentage</v>
      </c>
      <c r="D87" s="28" t="s">
        <v>670</v>
      </c>
      <c r="E87" s="28" t="s">
        <v>668</v>
      </c>
      <c r="F87" s="28" t="s">
        <v>671</v>
      </c>
      <c r="G87" s="28" t="s">
        <v>682</v>
      </c>
      <c r="H87" s="377">
        <v>601</v>
      </c>
      <c r="I87" s="396" t="s">
        <v>658</v>
      </c>
      <c r="J87" s="397" t="str">
        <f>IF(ISBLANK(INDEX('Policy Characteristics'!D:D,MATCH($C87,'Policy Characteristics'!$C:$C,0))),"",INDEX('Policy Characteristics'!D:D,MATCH($C87,'Policy Characteristics'!$C:$C,0)))</f>
        <v>EV Subsidy</v>
      </c>
      <c r="K87" s="394" t="str">
        <f>IF(ISBLANK(INDEX('Policy Characteristics'!E:E,MATCH($C87,'Policy Characteristics'!$C:$C,0))),"",INDEX('Policy Characteristics'!E:E,MATCH($C87,'Policy Characteristics'!$C:$C,0)))</f>
        <v>trans EV subsidy</v>
      </c>
      <c r="L87" s="398">
        <f>IF(ISBLANK(INDEX('Policy Characteristics'!F:F,MATCH($C87,'Policy Characteristics'!$C:$C,0))),"",INDEX('Policy Characteristics'!F:F,MATCH($C87,'Policy Characteristics'!$C:$C,0)))</f>
        <v>0</v>
      </c>
      <c r="M87" s="398">
        <f>IF(ISBLANK(INDEX('Policy Characteristics'!G:G,MATCH($C87,'Policy Characteristics'!$C:$C,0))),"",INDEX('Policy Characteristics'!G:G,MATCH($C87,'Policy Characteristics'!$C:$C,0)))</f>
        <v>0.5</v>
      </c>
      <c r="N87" s="398">
        <f>IF(ISBLANK(INDEX('Policy Characteristics'!H:H,MATCH($C87,'Policy Characteristics'!$C:$C,0))),"",INDEX('Policy Characteristics'!H:H,MATCH($C87,'Policy Characteristics'!$C:$C,0)))</f>
        <v>0.01</v>
      </c>
      <c r="O87" s="394" t="str">
        <f>IF(ISBLANK(INDEX('Policy Characteristics'!I:I,MATCH($C87,'Policy Characteristics'!$C:$C,0))),"",INDEX('Policy Characteristics'!I:I,MATCH($C87,'Policy Characteristics'!$C:$C,0)))</f>
        <v>% of vehicle cost</v>
      </c>
      <c r="P87" s="394" t="str">
        <f>IF(ISBLANK(INDEX('Policy Characteristics'!J:J,MATCH($C87,'Policy Characteristics'!$C:$C,0))),"",INDEX('Policy Characteristics'!J:J,MATCH($C87,'Policy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7" s="394" t="str">
        <f>IF(ISBLANK(INDEX('Policy Characteristics'!K:K,MATCH($C87,'Policy Characteristics'!$C:$C,0))),"",INDEX('Policy Characteristics'!K:K,MATCH($C87,'Policy Characteristics'!$C:$C,0)))</f>
        <v>transportation-sector-main.html#ev-subsidy</v>
      </c>
      <c r="R87" s="394" t="str">
        <f>IF(ISBLANK(INDEX('Policy Characteristics'!L:L,MATCH($C87,'Policy Characteristics'!$C:$C,0))),"",INDEX('Policy Characteristics'!L:L,MATCH($C87,'Policy Characteristics'!$C:$C,0)))</f>
        <v>ev-subsidy.html</v>
      </c>
    </row>
    <row r="88" customHeight="1" spans="1:18">
      <c r="A88" s="394" t="str">
        <f>IF(ISBLANK(INDEX('Policy Characteristics'!A:A,MATCH($C88,'Policy Characteristics'!$C:$C,0))),"",INDEX('Policy Characteristics'!A:A,MATCH($C88,'Policy Characteristics'!$C:$C,0)))</f>
        <v>Transportation</v>
      </c>
      <c r="B88" s="395" t="str">
        <f>IF(ISBLANK(INDEX('Policy Characteristics'!B:B,MATCH($C88,'Policy Characteristics'!$C:$C,0))),"",INDEX('Policy Characteristics'!B:B,MATCH($C88,'Policy Characteristics'!$C:$C,0)))</f>
        <v>Electric Vehicle Subsidy</v>
      </c>
      <c r="C88" s="394" t="str">
        <f t="shared" si="4"/>
        <v>Additional EV Subsidy Percentage</v>
      </c>
      <c r="D88" s="28" t="s">
        <v>673</v>
      </c>
      <c r="E88" s="28" t="s">
        <v>668</v>
      </c>
      <c r="F88" s="28" t="s">
        <v>674</v>
      </c>
      <c r="G88" s="28" t="s">
        <v>682</v>
      </c>
      <c r="H88" s="377">
        <v>602</v>
      </c>
      <c r="I88" s="396" t="s">
        <v>658</v>
      </c>
      <c r="J88" s="397" t="str">
        <f>IF(ISBLANK(INDEX('Policy Characteristics'!D:D,MATCH($C88,'Policy Characteristics'!$C:$C,0))),"",INDEX('Policy Characteristics'!D:D,MATCH($C88,'Policy Characteristics'!$C:$C,0)))</f>
        <v>EV Subsidy</v>
      </c>
      <c r="K88" s="394" t="str">
        <f>IF(ISBLANK(INDEX('Policy Characteristics'!E:E,MATCH($C88,'Policy Characteristics'!$C:$C,0))),"",INDEX('Policy Characteristics'!E:E,MATCH($C88,'Policy Characteristics'!$C:$C,0)))</f>
        <v>trans EV subsidy</v>
      </c>
      <c r="L88" s="398">
        <f>IF(ISBLANK(INDEX('Policy Characteristics'!F:F,MATCH($C88,'Policy Characteristics'!$C:$C,0))),"",INDEX('Policy Characteristics'!F:F,MATCH($C88,'Policy Characteristics'!$C:$C,0)))</f>
        <v>0</v>
      </c>
      <c r="M88" s="398">
        <f>IF(ISBLANK(INDEX('Policy Characteristics'!G:G,MATCH($C88,'Policy Characteristics'!$C:$C,0))),"",INDEX('Policy Characteristics'!G:G,MATCH($C88,'Policy Characteristics'!$C:$C,0)))</f>
        <v>0.5</v>
      </c>
      <c r="N88" s="398">
        <f>IF(ISBLANK(INDEX('Policy Characteristics'!H:H,MATCH($C88,'Policy Characteristics'!$C:$C,0))),"",INDEX('Policy Characteristics'!H:H,MATCH($C88,'Policy Characteristics'!$C:$C,0)))</f>
        <v>0.01</v>
      </c>
      <c r="O88" s="394" t="str">
        <f>IF(ISBLANK(INDEX('Policy Characteristics'!I:I,MATCH($C88,'Policy Characteristics'!$C:$C,0))),"",INDEX('Policy Characteristics'!I:I,MATCH($C88,'Policy Characteristics'!$C:$C,0)))</f>
        <v>% of vehicle cost</v>
      </c>
      <c r="P88" s="394" t="str">
        <f>IF(ISBLANK(INDEX('Policy Characteristics'!J:J,MATCH($C88,'Policy Characteristics'!$C:$C,0))),"",INDEX('Policy Characteristics'!J:J,MATCH($C88,'Policy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8" s="394" t="str">
        <f>IF(ISBLANK(INDEX('Policy Characteristics'!K:K,MATCH($C88,'Policy Characteristics'!$C:$C,0))),"",INDEX('Policy Characteristics'!K:K,MATCH($C88,'Policy Characteristics'!$C:$C,0)))</f>
        <v>transportation-sector-main.html#ev-subsidy</v>
      </c>
      <c r="R88" s="394" t="str">
        <f>IF(ISBLANK(INDEX('Policy Characteristics'!L:L,MATCH($C88,'Policy Characteristics'!$C:$C,0))),"",INDEX('Policy Characteristics'!L:L,MATCH($C88,'Policy Characteristics'!$C:$C,0)))</f>
        <v>ev-subsidy.html</v>
      </c>
    </row>
    <row r="89" customHeight="1" spans="1:18">
      <c r="A89" s="394" t="str">
        <f>IF(ISBLANK(INDEX('Policy Characteristics'!A:A,MATCH($C89,'Policy Characteristics'!$C:$C,0))),"",INDEX('Policy Characteristics'!A:A,MATCH($C89,'Policy Characteristics'!$C:$C,0)))</f>
        <v>Transportation</v>
      </c>
      <c r="B89" s="395" t="str">
        <f>IF(ISBLANK(INDEX('Policy Characteristics'!B:B,MATCH($C89,'Policy Characteristics'!$C:$C,0))),"",INDEX('Policy Characteristics'!B:B,MATCH($C89,'Policy Characteristics'!$C:$C,0)))</f>
        <v>Feebate</v>
      </c>
      <c r="C89" t="s">
        <v>106</v>
      </c>
      <c r="D89" s="399"/>
      <c r="E89" s="399"/>
      <c r="F89" s="399"/>
      <c r="G89" s="399"/>
      <c r="H89" s="377">
        <v>1</v>
      </c>
      <c r="I89" s="396" t="s">
        <v>648</v>
      </c>
      <c r="J89" s="397" t="str">
        <f>IF(ISBLANK(INDEX('Policy Characteristics'!D:D,MATCH($C89,'Policy Characteristics'!$C:$C,0))),"",INDEX('Policy Characteristics'!D:D,MATCH($C89,'Policy Characteristics'!$C:$C,0)))</f>
        <v>Feebate</v>
      </c>
      <c r="K89" s="394" t="str">
        <f>IF(ISBLANK(INDEX('Policy Characteristics'!E:E,MATCH($C89,'Policy Characteristics'!$C:$C,0))),"",INDEX('Policy Characteristics'!E:E,MATCH($C89,'Policy Characteristics'!$C:$C,0)))</f>
        <v>trans LDVs feebate</v>
      </c>
      <c r="L89" s="398">
        <f>IF(ISBLANK(INDEX('Policy Characteristics'!F:F,MATCH($C89,'Policy Characteristics'!$C:$C,0))),"",INDEX('Policy Characteristics'!F:F,MATCH($C89,'Policy Characteristics'!$C:$C,0)))</f>
        <v>0</v>
      </c>
      <c r="M89" s="398">
        <f>IF(ISBLANK(INDEX('Policy Characteristics'!G:G,MATCH($C89,'Policy Characteristics'!$C:$C,0))),"",INDEX('Policy Characteristics'!G:G,MATCH($C89,'Policy Characteristics'!$C:$C,0)))</f>
        <v>1</v>
      </c>
      <c r="N89" s="398">
        <f>IF(ISBLANK(INDEX('Policy Characteristics'!H:H,MATCH($C89,'Policy Characteristics'!$C:$C,0))),"",INDEX('Policy Characteristics'!H:H,MATCH($C89,'Policy Characteristics'!$C:$C,0)))</f>
        <v>0.02</v>
      </c>
      <c r="O89" s="394" t="str">
        <f>IF(ISBLANK(INDEX('Policy Characteristics'!I:I,MATCH($C89,'Policy Characteristics'!$C:$C,0))),"",INDEX('Policy Characteristics'!I:I,MATCH($C89,'Policy Characteristics'!$C:$C,0)))</f>
        <v>% of global best practice rate</v>
      </c>
      <c r="P89" s="394" t="str">
        <f>IF(ISBLANK(INDEX('Policy Characteristics'!J:J,MATCH($C89,'Policy Characteristics'!$C:$C,0))),"",INDEX('Policy Characteristics'!J:J,MATCH($C89,'Policy Characteristics'!$C:$C,0)))</f>
        <v>**Description:** This policy implements a fee on sales of inefficient light-duty vehicles (LDVs; namely cars and SUVs)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 China does not have feebate currently</v>
      </c>
      <c r="Q89" s="394" t="str">
        <f>IF(ISBLANK(INDEX('Policy Characteristics'!K:K,MATCH($C89,'Policy Characteristics'!$C:$C,0))),"",INDEX('Policy Characteristics'!K:K,MATCH($C89,'Policy Characteristics'!$C:$C,0)))</f>
        <v>transportation-sector-main.html#feebate</v>
      </c>
      <c r="R89" s="394" t="str">
        <f>IF(ISBLANK(INDEX('Policy Characteristics'!L:L,MATCH($C89,'Policy Characteristics'!$C:$C,0))),"",INDEX('Policy Characteristics'!L:L,MATCH($C89,'Policy Characteristics'!$C:$C,0)))</f>
        <v>feebate.html</v>
      </c>
    </row>
    <row r="90" customHeight="1" spans="1:18">
      <c r="A90" s="394" t="str">
        <f>IF(ISBLANK(INDEX('Policy Characteristics'!A:A,MATCH($C90,'Policy Characteristics'!$C:$C,0))),"",INDEX('Policy Characteristics'!A:A,MATCH($C90,'Policy Characteristics'!$C:$C,0)))</f>
        <v>Transportation</v>
      </c>
      <c r="B90" s="395" t="str">
        <f>IF(ISBLANK(INDEX('Policy Characteristics'!B:B,MATCH($C90,'Policy Characteristics'!$C:$C,0))),"",INDEX('Policy Characteristics'!B:B,MATCH($C90,'Policy Characteristics'!$C:$C,0)))</f>
        <v>Fuel Economy Standard</v>
      </c>
      <c r="C90" t="s">
        <v>115</v>
      </c>
      <c r="D90" s="399" t="s">
        <v>670</v>
      </c>
      <c r="E90" s="399" t="s">
        <v>644</v>
      </c>
      <c r="F90" s="399" t="s">
        <v>671</v>
      </c>
      <c r="G90" s="28" t="s">
        <v>672</v>
      </c>
      <c r="H90" s="377">
        <v>362</v>
      </c>
      <c r="I90" s="396" t="s">
        <v>648</v>
      </c>
      <c r="J90" s="397" t="str">
        <f>IF(ISBLANK(INDEX('Policy Characteristics'!D:D,MATCH($C90,'Policy Characteristics'!$C:$C,0))),"",INDEX('Policy Characteristics'!D:D,MATCH($C90,'Policy Characteristics'!$C:$C,0)))</f>
        <v>Vehicle Fuel Economy Standards</v>
      </c>
      <c r="K90" s="394" t="str">
        <f>IF(ISBLANK(INDEX('Policy Characteristics'!E:E,MATCH($C90,'Policy Characteristics'!$C:$C,0))),"",INDEX('Policy Characteristics'!E:E,MATCH($C90,'Policy Characteristics'!$C:$C,0)))</f>
        <v>trans fuel economy standards</v>
      </c>
      <c r="L90" s="398">
        <f>IF(ISBLANK(INDEX('Policy Characteristics'!F:F,MATCH($C90,'Policy Characteristics'!$C:$C,0))),"",INDEX('Policy Characteristics'!F:F,MATCH($C90,'Policy Characteristics'!$C:$C,0)))</f>
        <v>0</v>
      </c>
      <c r="M90" s="398">
        <f>IF(ISBLANK(INDEX('Policy Characteristics'!G:G,MATCH($C90,'Policy Characteristics'!$C:$C,0))),"",INDEX('Policy Characteristics'!G:G,MATCH($C90,'Policy Characteristics'!$C:$C,0)))</f>
        <v>1</v>
      </c>
      <c r="N90" s="398">
        <f>IF(ISBLANK(INDEX('Policy Characteristics'!H:H,MATCH($C90,'Policy Characteristics'!$C:$C,0))),"",INDEX('Policy Characteristics'!H:H,MATCH($C90,'Policy Characteristics'!$C:$C,0)))</f>
        <v>0.01</v>
      </c>
      <c r="O90" s="394" t="str">
        <f>IF(ISBLANK(INDEX('Policy Characteristics'!I:I,MATCH($C90,'Policy Characteristics'!$C:$C,0))),"",INDEX('Policy Characteristics'!I:I,MATCH($C90,'Policy Characteristics'!$C:$C,0)))</f>
        <v>% increase in miles/gal</v>
      </c>
      <c r="P90" s="394" t="str">
        <f>IF(ISBLANK(INDEX('Policy Characteristics'!J:J,MATCH($C90,'Policy Characteristics'!$C:$C,0))),"",INDEX('Policy Characteristics'!J:J,MATCH($C90,'Policy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0" s="394" t="str">
        <f>IF(ISBLANK(INDEX('Policy Characteristics'!K:K,MATCH($C90,'Policy Characteristics'!$C:$C,0))),"",INDEX('Policy Characteristics'!K:K,MATCH($C90,'Policy Characteristics'!$C:$C,0)))</f>
        <v>transportation-sector-main.html#fuel-econ-std</v>
      </c>
      <c r="R90" s="394" t="str">
        <f>IF(ISBLANK(INDEX('Policy Characteristics'!L:L,MATCH($C90,'Policy Characteristics'!$C:$C,0))),"",INDEX('Policy Characteristics'!L:L,MATCH($C90,'Policy Characteristics'!$C:$C,0)))</f>
        <v>fuel-economy-standard.html</v>
      </c>
    </row>
    <row r="91" customHeight="1" spans="1:18">
      <c r="A91" s="394" t="str">
        <f>IF(ISBLANK(INDEX('Policy Characteristics'!A:A,MATCH($C91,'Policy Characteristics'!$C:$C,0))),"",INDEX('Policy Characteristics'!A:A,MATCH($C91,'Policy Characteristics'!$C:$C,0)))</f>
        <v>Transportation</v>
      </c>
      <c r="B91" s="395" t="str">
        <f>IF(ISBLANK(INDEX('Policy Characteristics'!B:B,MATCH($C91,'Policy Characteristics'!$C:$C,0))),"",INDEX('Policy Characteristics'!B:B,MATCH($C91,'Policy Characteristics'!$C:$C,0)))</f>
        <v>Fuel Economy Standard</v>
      </c>
      <c r="C91" s="394" t="str">
        <f t="shared" ref="C91:C94" si="5">C$90</f>
        <v>Percentage Additional Improvement of Fuel Economy Std</v>
      </c>
      <c r="D91" s="399" t="s">
        <v>673</v>
      </c>
      <c r="E91" s="399" t="s">
        <v>644</v>
      </c>
      <c r="F91" s="399" t="s">
        <v>674</v>
      </c>
      <c r="G91" s="28" t="s">
        <v>675</v>
      </c>
      <c r="H91" s="377">
        <v>363</v>
      </c>
      <c r="I91" s="396" t="s">
        <v>648</v>
      </c>
      <c r="J91" s="397" t="str">
        <f>IF(ISBLANK(INDEX('Policy Characteristics'!D:D,MATCH($C91,'Policy Characteristics'!$C:$C,0))),"",INDEX('Policy Characteristics'!D:D,MATCH($C91,'Policy Characteristics'!$C:$C,0)))</f>
        <v>Vehicle Fuel Economy Standards</v>
      </c>
      <c r="K91" s="394" t="str">
        <f>IF(ISBLANK(INDEX('Policy Characteristics'!E:E,MATCH($C91,'Policy Characteristics'!$C:$C,0))),"",INDEX('Policy Characteristics'!E:E,MATCH($C91,'Policy Characteristics'!$C:$C,0)))</f>
        <v>trans fuel economy standards</v>
      </c>
      <c r="L91" s="398">
        <f>IF(ISBLANK(INDEX('Policy Characteristics'!F:F,MATCH($C91,'Policy Characteristics'!$C:$C,0))),"",INDEX('Policy Characteristics'!F:F,MATCH($C91,'Policy Characteristics'!$C:$C,0)))</f>
        <v>0</v>
      </c>
      <c r="M91" s="398">
        <f>IF(ISBLANK(INDEX('Policy Characteristics'!G:G,MATCH($C91,'Policy Characteristics'!$C:$C,0))),"",INDEX('Policy Characteristics'!G:G,MATCH($C91,'Policy Characteristics'!$C:$C,0)))</f>
        <v>1</v>
      </c>
      <c r="N91" s="398">
        <f>IF(ISBLANK(INDEX('Policy Characteristics'!H:H,MATCH($C91,'Policy Characteristics'!$C:$C,0))),"",INDEX('Policy Characteristics'!H:H,MATCH($C91,'Policy Characteristics'!$C:$C,0)))</f>
        <v>0.01</v>
      </c>
      <c r="O91" s="394" t="str">
        <f>IF(ISBLANK(INDEX('Policy Characteristics'!I:I,MATCH($C91,'Policy Characteristics'!$C:$C,0))),"",INDEX('Policy Characteristics'!I:I,MATCH($C91,'Policy Characteristics'!$C:$C,0)))</f>
        <v>% increase in miles/gal</v>
      </c>
      <c r="P91" s="394" t="str">
        <f>IF(ISBLANK(INDEX('Policy Characteristics'!J:J,MATCH($C91,'Policy Characteristics'!$C:$C,0))),"",INDEX('Policy Characteristics'!J:J,MATCH($C91,'Policy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1" s="394" t="str">
        <f>IF(ISBLANK(INDEX('Policy Characteristics'!K:K,MATCH($C91,'Policy Characteristics'!$C:$C,0))),"",INDEX('Policy Characteristics'!K:K,MATCH($C91,'Policy Characteristics'!$C:$C,0)))</f>
        <v>transportation-sector-main.html#fuel-econ-std</v>
      </c>
      <c r="R91" s="394" t="str">
        <f>IF(ISBLANK(INDEX('Policy Characteristics'!L:L,MATCH($C91,'Policy Characteristics'!$C:$C,0))),"",INDEX('Policy Characteristics'!L:L,MATCH($C91,'Policy Characteristics'!$C:$C,0)))</f>
        <v>fuel-economy-standard.html</v>
      </c>
    </row>
    <row r="92" customHeight="1" spans="1:18">
      <c r="A92" s="394" t="str">
        <f>IF(ISBLANK(INDEX('Policy Characteristics'!A:A,MATCH($C92,'Policy Characteristics'!$C:$C,0))),"",INDEX('Policy Characteristics'!A:A,MATCH($C92,'Policy Characteristics'!$C:$C,0)))</f>
        <v>Transportation</v>
      </c>
      <c r="B92" s="395" t="str">
        <f>IF(ISBLANK(INDEX('Policy Characteristics'!B:B,MATCH($C92,'Policy Characteristics'!$C:$C,0))),"",INDEX('Policy Characteristics'!B:B,MATCH($C92,'Policy Characteristics'!$C:$C,0)))</f>
        <v>Fuel Economy Standard</v>
      </c>
      <c r="C92" s="394" t="str">
        <f t="shared" ref="C92:C95" si="6">C$90</f>
        <v>Percentage Additional Improvement of Fuel Economy Std</v>
      </c>
      <c r="D92" s="399" t="s">
        <v>670</v>
      </c>
      <c r="E92" s="399" t="s">
        <v>660</v>
      </c>
      <c r="F92" s="399" t="s">
        <v>671</v>
      </c>
      <c r="G92" s="28" t="s">
        <v>676</v>
      </c>
      <c r="H92" s="377">
        <v>364</v>
      </c>
      <c r="I92" s="396" t="s">
        <v>648</v>
      </c>
      <c r="J92" s="397" t="str">
        <f>IF(ISBLANK(INDEX('Policy Characteristics'!D:D,MATCH($C92,'Policy Characteristics'!$C:$C,0))),"",INDEX('Policy Characteristics'!D:D,MATCH($C92,'Policy Characteristics'!$C:$C,0)))</f>
        <v>Vehicle Fuel Economy Standards</v>
      </c>
      <c r="K92" s="394" t="str">
        <f>IF(ISBLANK(INDEX('Policy Characteristics'!E:E,MATCH($C92,'Policy Characteristics'!$C:$C,0))),"",INDEX('Policy Characteristics'!E:E,MATCH($C92,'Policy Characteristics'!$C:$C,0)))</f>
        <v>trans fuel economy standards</v>
      </c>
      <c r="L92" s="398">
        <f>IF(ISBLANK(INDEX('Policy Characteristics'!F:F,MATCH($C92,'Policy Characteristics'!$C:$C,0))),"",INDEX('Policy Characteristics'!F:F,MATCH($C92,'Policy Characteristics'!$C:$C,0)))</f>
        <v>0</v>
      </c>
      <c r="M92" s="398">
        <f>IF(ISBLANK(INDEX('Policy Characteristics'!G:G,MATCH($C92,'Policy Characteristics'!$C:$C,0))),"",INDEX('Policy Characteristics'!G:G,MATCH($C92,'Policy Characteristics'!$C:$C,0)))</f>
        <v>1</v>
      </c>
      <c r="N92" s="398">
        <f>IF(ISBLANK(INDEX('Policy Characteristics'!H:H,MATCH($C92,'Policy Characteristics'!$C:$C,0))),"",INDEX('Policy Characteristics'!H:H,MATCH($C92,'Policy Characteristics'!$C:$C,0)))</f>
        <v>0.01</v>
      </c>
      <c r="O92" s="394" t="str">
        <f>IF(ISBLANK(INDEX('Policy Characteristics'!I:I,MATCH($C92,'Policy Characteristics'!$C:$C,0))),"",INDEX('Policy Characteristics'!I:I,MATCH($C92,'Policy Characteristics'!$C:$C,0)))</f>
        <v>% increase in miles/gal</v>
      </c>
      <c r="P92" s="394" t="str">
        <f>IF(ISBLANK(INDEX('Policy Characteristics'!J:J,MATCH($C92,'Policy Characteristics'!$C:$C,0))),"",INDEX('Policy Characteristics'!J:J,MATCH($C92,'Policy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2" s="394" t="str">
        <f>IF(ISBLANK(INDEX('Policy Characteristics'!K:K,MATCH($C92,'Policy Characteristics'!$C:$C,0))),"",INDEX('Policy Characteristics'!K:K,MATCH($C92,'Policy Characteristics'!$C:$C,0)))</f>
        <v>transportation-sector-main.html#fuel-econ-std</v>
      </c>
      <c r="R92" s="394" t="str">
        <f>IF(ISBLANK(INDEX('Policy Characteristics'!L:L,MATCH($C92,'Policy Characteristics'!$C:$C,0))),"",INDEX('Policy Characteristics'!L:L,MATCH($C92,'Policy Characteristics'!$C:$C,0)))</f>
        <v>fuel-economy-standard.html</v>
      </c>
    </row>
    <row r="93" customHeight="1" spans="1:18">
      <c r="A93" s="394" t="str">
        <f>IF(ISBLANK(INDEX('Policy Characteristics'!A:A,MATCH($C93,'Policy Characteristics'!$C:$C,0))),"",INDEX('Policy Characteristics'!A:A,MATCH($C93,'Policy Characteristics'!$C:$C,0)))</f>
        <v>Transportation</v>
      </c>
      <c r="B93" s="395" t="str">
        <f>IF(ISBLANK(INDEX('Policy Characteristics'!B:B,MATCH($C93,'Policy Characteristics'!$C:$C,0))),"",INDEX('Policy Characteristics'!B:B,MATCH($C93,'Policy Characteristics'!$C:$C,0)))</f>
        <v>Fuel Economy Standard</v>
      </c>
      <c r="C93" s="394" t="str">
        <f t="shared" si="5"/>
        <v>Percentage Additional Improvement of Fuel Economy Std</v>
      </c>
      <c r="D93" s="399" t="s">
        <v>673</v>
      </c>
      <c r="E93" s="399" t="s">
        <v>660</v>
      </c>
      <c r="F93" s="399" t="s">
        <v>674</v>
      </c>
      <c r="G93" s="28" t="s">
        <v>677</v>
      </c>
      <c r="H93" s="377">
        <v>365</v>
      </c>
      <c r="I93" s="396" t="s">
        <v>648</v>
      </c>
      <c r="J93" s="397" t="str">
        <f>IF(ISBLANK(INDEX('Policy Characteristics'!D:D,MATCH($C93,'Policy Characteristics'!$C:$C,0))),"",INDEX('Policy Characteristics'!D:D,MATCH($C93,'Policy Characteristics'!$C:$C,0)))</f>
        <v>Vehicle Fuel Economy Standards</v>
      </c>
      <c r="K93" s="394" t="str">
        <f>IF(ISBLANK(INDEX('Policy Characteristics'!E:E,MATCH($C93,'Policy Characteristics'!$C:$C,0))),"",INDEX('Policy Characteristics'!E:E,MATCH($C93,'Policy Characteristics'!$C:$C,0)))</f>
        <v>trans fuel economy standards</v>
      </c>
      <c r="L93" s="398">
        <f>IF(ISBLANK(INDEX('Policy Characteristics'!F:F,MATCH($C93,'Policy Characteristics'!$C:$C,0))),"",INDEX('Policy Characteristics'!F:F,MATCH($C93,'Policy Characteristics'!$C:$C,0)))</f>
        <v>0</v>
      </c>
      <c r="M93" s="398">
        <f>IF(ISBLANK(INDEX('Policy Characteristics'!G:G,MATCH($C93,'Policy Characteristics'!$C:$C,0))),"",INDEX('Policy Characteristics'!G:G,MATCH($C93,'Policy Characteristics'!$C:$C,0)))</f>
        <v>1</v>
      </c>
      <c r="N93" s="398">
        <f>IF(ISBLANK(INDEX('Policy Characteristics'!H:H,MATCH($C93,'Policy Characteristics'!$C:$C,0))),"",INDEX('Policy Characteristics'!H:H,MATCH($C93,'Policy Characteristics'!$C:$C,0)))</f>
        <v>0.01</v>
      </c>
      <c r="O93" s="394" t="str">
        <f>IF(ISBLANK(INDEX('Policy Characteristics'!I:I,MATCH($C93,'Policy Characteristics'!$C:$C,0))),"",INDEX('Policy Characteristics'!I:I,MATCH($C93,'Policy Characteristics'!$C:$C,0)))</f>
        <v>% increase in miles/gal</v>
      </c>
      <c r="P93" s="394" t="str">
        <f>IF(ISBLANK(INDEX('Policy Characteristics'!J:J,MATCH($C93,'Policy Characteristics'!$C:$C,0))),"",INDEX('Policy Characteristics'!J:J,MATCH($C93,'Policy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3" s="394" t="str">
        <f>IF(ISBLANK(INDEX('Policy Characteristics'!K:K,MATCH($C93,'Policy Characteristics'!$C:$C,0))),"",INDEX('Policy Characteristics'!K:K,MATCH($C93,'Policy Characteristics'!$C:$C,0)))</f>
        <v>transportation-sector-main.html#fuel-econ-std</v>
      </c>
      <c r="R93" s="394" t="str">
        <f>IF(ISBLANK(INDEX('Policy Characteristics'!L:L,MATCH($C93,'Policy Characteristics'!$C:$C,0))),"",INDEX('Policy Characteristics'!L:L,MATCH($C93,'Policy Characteristics'!$C:$C,0)))</f>
        <v>fuel-economy-standard.html</v>
      </c>
    </row>
    <row r="94" customHeight="1" spans="1:18">
      <c r="A94" s="394" t="str">
        <f>IF(ISBLANK(INDEX('Policy Characteristics'!A:A,MATCH($C94,'Policy Characteristics'!$C:$C,0))),"",INDEX('Policy Characteristics'!A:A,MATCH($C94,'Policy Characteristics'!$C:$C,0)))</f>
        <v>Transportation</v>
      </c>
      <c r="B94" s="395" t="str">
        <f>IF(ISBLANK(INDEX('Policy Characteristics'!B:B,MATCH($C94,'Policy Characteristics'!$C:$C,0))),"",INDEX('Policy Characteristics'!B:B,MATCH($C94,'Policy Characteristics'!$C:$C,0)))</f>
        <v>Fuel Economy Standard</v>
      </c>
      <c r="C94" s="394" t="str">
        <f t="shared" si="5"/>
        <v>Percentage Additional Improvement of Fuel Economy Std</v>
      </c>
      <c r="D94" s="399" t="s">
        <v>670</v>
      </c>
      <c r="E94" s="399" t="s">
        <v>662</v>
      </c>
      <c r="F94" s="399" t="s">
        <v>671</v>
      </c>
      <c r="G94" s="28" t="s">
        <v>678</v>
      </c>
      <c r="H94" s="377">
        <v>366</v>
      </c>
      <c r="I94" s="396" t="s">
        <v>648</v>
      </c>
      <c r="J94" s="397" t="str">
        <f>IF(ISBLANK(INDEX('Policy Characteristics'!D:D,MATCH($C94,'Policy Characteristics'!$C:$C,0))),"",INDEX('Policy Characteristics'!D:D,MATCH($C94,'Policy Characteristics'!$C:$C,0)))</f>
        <v>Vehicle Fuel Economy Standards</v>
      </c>
      <c r="K94" s="394" t="str">
        <f>IF(ISBLANK(INDEX('Policy Characteristics'!E:E,MATCH($C94,'Policy Characteristics'!$C:$C,0))),"",INDEX('Policy Characteristics'!E:E,MATCH($C94,'Policy Characteristics'!$C:$C,0)))</f>
        <v>trans fuel economy standards</v>
      </c>
      <c r="L94" s="398">
        <f>IF(ISBLANK(INDEX('Policy Characteristics'!F:F,MATCH($C94,'Policy Characteristics'!$C:$C,0))),"",INDEX('Policy Characteristics'!F:F,MATCH($C94,'Policy Characteristics'!$C:$C,0)))</f>
        <v>0</v>
      </c>
      <c r="M94" s="398">
        <f>IF(ISBLANK(INDEX('Policy Characteristics'!G:G,MATCH($C94,'Policy Characteristics'!$C:$C,0))),"",INDEX('Policy Characteristics'!G:G,MATCH($C94,'Policy Characteristics'!$C:$C,0)))</f>
        <v>1</v>
      </c>
      <c r="N94" s="398">
        <f>IF(ISBLANK(INDEX('Policy Characteristics'!H:H,MATCH($C94,'Policy Characteristics'!$C:$C,0))),"",INDEX('Policy Characteristics'!H:H,MATCH($C94,'Policy Characteristics'!$C:$C,0)))</f>
        <v>0.01</v>
      </c>
      <c r="O94" s="394" t="str">
        <f>IF(ISBLANK(INDEX('Policy Characteristics'!I:I,MATCH($C94,'Policy Characteristics'!$C:$C,0))),"",INDEX('Policy Characteristics'!I:I,MATCH($C94,'Policy Characteristics'!$C:$C,0)))</f>
        <v>% increase in miles/gal</v>
      </c>
      <c r="P94" s="394" t="str">
        <f>IF(ISBLANK(INDEX('Policy Characteristics'!J:J,MATCH($C94,'Policy Characteristics'!$C:$C,0))),"",INDEX('Policy Characteristics'!J:J,MATCH($C94,'Policy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4" s="394" t="str">
        <f>IF(ISBLANK(INDEX('Policy Characteristics'!K:K,MATCH($C94,'Policy Characteristics'!$C:$C,0))),"",INDEX('Policy Characteristics'!K:K,MATCH($C94,'Policy Characteristics'!$C:$C,0)))</f>
        <v>transportation-sector-main.html#fuel-econ-std</v>
      </c>
      <c r="R94" s="394" t="str">
        <f>IF(ISBLANK(INDEX('Policy Characteristics'!L:L,MATCH($C94,'Policy Characteristics'!$C:$C,0))),"",INDEX('Policy Characteristics'!L:L,MATCH($C94,'Policy Characteristics'!$C:$C,0)))</f>
        <v>fuel-economy-standard.html</v>
      </c>
    </row>
    <row r="95" customHeight="1" spans="1:18">
      <c r="A95" s="394" t="str">
        <f>IF(ISBLANK(INDEX('Policy Characteristics'!A:A,MATCH($C95,'Policy Characteristics'!$C:$C,0))),"",INDEX('Policy Characteristics'!A:A,MATCH($C95,'Policy Characteristics'!$C:$C,0)))</f>
        <v>Transportation</v>
      </c>
      <c r="B95" s="395" t="str">
        <f>IF(ISBLANK(INDEX('Policy Characteristics'!B:B,MATCH($C95,'Policy Characteristics'!$C:$C,0))),"",INDEX('Policy Characteristics'!B:B,MATCH($C95,'Policy Characteristics'!$C:$C,0)))</f>
        <v>Fuel Economy Standard</v>
      </c>
      <c r="C95" s="394" t="str">
        <f t="shared" si="6"/>
        <v>Percentage Additional Improvement of Fuel Economy Std</v>
      </c>
      <c r="D95" s="399" t="s">
        <v>673</v>
      </c>
      <c r="E95" s="399" t="s">
        <v>662</v>
      </c>
      <c r="F95" s="399" t="s">
        <v>674</v>
      </c>
      <c r="G95" s="28" t="s">
        <v>678</v>
      </c>
      <c r="H95" s="377">
        <v>367</v>
      </c>
      <c r="I95" s="396" t="s">
        <v>648</v>
      </c>
      <c r="J95" s="397" t="str">
        <f>IF(ISBLANK(INDEX('Policy Characteristics'!D:D,MATCH($C95,'Policy Characteristics'!$C:$C,0))),"",INDEX('Policy Characteristics'!D:D,MATCH($C95,'Policy Characteristics'!$C:$C,0)))</f>
        <v>Vehicle Fuel Economy Standards</v>
      </c>
      <c r="K95" s="394" t="str">
        <f>IF(ISBLANK(INDEX('Policy Characteristics'!E:E,MATCH($C95,'Policy Characteristics'!$C:$C,0))),"",INDEX('Policy Characteristics'!E:E,MATCH($C95,'Policy Characteristics'!$C:$C,0)))</f>
        <v>trans fuel economy standards</v>
      </c>
      <c r="L95" s="398">
        <f>IF(ISBLANK(INDEX('Policy Characteristics'!F:F,MATCH($C95,'Policy Characteristics'!$C:$C,0))),"",INDEX('Policy Characteristics'!F:F,MATCH($C95,'Policy Characteristics'!$C:$C,0)))</f>
        <v>0</v>
      </c>
      <c r="M95" s="398">
        <f>IF(ISBLANK(INDEX('Policy Characteristics'!G:G,MATCH($C95,'Policy Characteristics'!$C:$C,0))),"",INDEX('Policy Characteristics'!G:G,MATCH($C95,'Policy Characteristics'!$C:$C,0)))</f>
        <v>1</v>
      </c>
      <c r="N95" s="398">
        <f>IF(ISBLANK(INDEX('Policy Characteristics'!H:H,MATCH($C95,'Policy Characteristics'!$C:$C,0))),"",INDEX('Policy Characteristics'!H:H,MATCH($C95,'Policy Characteristics'!$C:$C,0)))</f>
        <v>0.01</v>
      </c>
      <c r="O95" s="394" t="str">
        <f>IF(ISBLANK(INDEX('Policy Characteristics'!I:I,MATCH($C95,'Policy Characteristics'!$C:$C,0))),"",INDEX('Policy Characteristics'!I:I,MATCH($C95,'Policy Characteristics'!$C:$C,0)))</f>
        <v>% increase in miles/gal</v>
      </c>
      <c r="P95" s="394" t="str">
        <f>IF(ISBLANK(INDEX('Policy Characteristics'!J:J,MATCH($C95,'Policy Characteristics'!$C:$C,0))),"",INDEX('Policy Characteristics'!J:J,MATCH($C95,'Policy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5" s="394" t="str">
        <f>IF(ISBLANK(INDEX('Policy Characteristics'!K:K,MATCH($C95,'Policy Characteristics'!$C:$C,0))),"",INDEX('Policy Characteristics'!K:K,MATCH($C95,'Policy Characteristics'!$C:$C,0)))</f>
        <v>transportation-sector-main.html#fuel-econ-std</v>
      </c>
      <c r="R95" s="394" t="str">
        <f>IF(ISBLANK(INDEX('Policy Characteristics'!L:L,MATCH($C95,'Policy Characteristics'!$C:$C,0))),"",INDEX('Policy Characteristics'!L:L,MATCH($C95,'Policy Characteristics'!$C:$C,0)))</f>
        <v>fuel-economy-standard.html</v>
      </c>
    </row>
    <row r="96" customHeight="1" spans="1:18">
      <c r="A96" s="394" t="str">
        <f>IF(ISBLANK(INDEX('Policy Characteristics'!A:A,MATCH($C96,'Policy Characteristics'!$C:$C,0))),"",INDEX('Policy Characteristics'!A:A,MATCH($C96,'Policy Characteristics'!$C:$C,0)))</f>
        <v>Transportation</v>
      </c>
      <c r="B96" s="395" t="str">
        <f>IF(ISBLANK(INDEX('Policy Characteristics'!B:B,MATCH($C96,'Policy Characteristics'!$C:$C,0))),"",INDEX('Policy Characteristics'!B:B,MATCH($C96,'Policy Characteristics'!$C:$C,0)))</f>
        <v>Fuel Economy Standard</v>
      </c>
      <c r="C96" s="394" t="str">
        <f t="shared" ref="C96:C101" si="7">C$90</f>
        <v>Percentage Additional Improvement of Fuel Economy Std</v>
      </c>
      <c r="D96" s="399" t="s">
        <v>670</v>
      </c>
      <c r="E96" s="399" t="s">
        <v>664</v>
      </c>
      <c r="F96" s="399" t="s">
        <v>671</v>
      </c>
      <c r="G96" s="28" t="s">
        <v>679</v>
      </c>
      <c r="H96" s="377">
        <v>368</v>
      </c>
      <c r="I96" s="396" t="s">
        <v>648</v>
      </c>
      <c r="J96" s="397" t="str">
        <f>IF(ISBLANK(INDEX('Policy Characteristics'!D:D,MATCH($C96,'Policy Characteristics'!$C:$C,0))),"",INDEX('Policy Characteristics'!D:D,MATCH($C96,'Policy Characteristics'!$C:$C,0)))</f>
        <v>Vehicle Fuel Economy Standards</v>
      </c>
      <c r="K96" s="394" t="str">
        <f>IF(ISBLANK(INDEX('Policy Characteristics'!E:E,MATCH($C96,'Policy Characteristics'!$C:$C,0))),"",INDEX('Policy Characteristics'!E:E,MATCH($C96,'Policy Characteristics'!$C:$C,0)))</f>
        <v>trans fuel economy standards</v>
      </c>
      <c r="L96" s="398">
        <f>IF(ISBLANK(INDEX('Policy Characteristics'!F:F,MATCH($C96,'Policy Characteristics'!$C:$C,0))),"",INDEX('Policy Characteristics'!F:F,MATCH($C96,'Policy Characteristics'!$C:$C,0)))</f>
        <v>0</v>
      </c>
      <c r="M96" s="398">
        <f>IF(ISBLANK(INDEX('Policy Characteristics'!G:G,MATCH($C96,'Policy Characteristics'!$C:$C,0))),"",INDEX('Policy Characteristics'!G:G,MATCH($C96,'Policy Characteristics'!$C:$C,0)))</f>
        <v>1</v>
      </c>
      <c r="N96" s="398">
        <f>IF(ISBLANK(INDEX('Policy Characteristics'!H:H,MATCH($C96,'Policy Characteristics'!$C:$C,0))),"",INDEX('Policy Characteristics'!H:H,MATCH($C96,'Policy Characteristics'!$C:$C,0)))</f>
        <v>0.01</v>
      </c>
      <c r="O96" s="394" t="str">
        <f>IF(ISBLANK(INDEX('Policy Characteristics'!I:I,MATCH($C96,'Policy Characteristics'!$C:$C,0))),"",INDEX('Policy Characteristics'!I:I,MATCH($C96,'Policy Characteristics'!$C:$C,0)))</f>
        <v>% increase in miles/gal</v>
      </c>
      <c r="P96" s="394" t="str">
        <f>IF(ISBLANK(INDEX('Policy Characteristics'!J:J,MATCH($C96,'Policy Characteristics'!$C:$C,0))),"",INDEX('Policy Characteristics'!J:J,MATCH($C96,'Policy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6" s="394" t="str">
        <f>IF(ISBLANK(INDEX('Policy Characteristics'!K:K,MATCH($C96,'Policy Characteristics'!$C:$C,0))),"",INDEX('Policy Characteristics'!K:K,MATCH($C96,'Policy Characteristics'!$C:$C,0)))</f>
        <v>transportation-sector-main.html#fuel-econ-std</v>
      </c>
      <c r="R96" s="394" t="str">
        <f>IF(ISBLANK(INDEX('Policy Characteristics'!L:L,MATCH($C96,'Policy Characteristics'!$C:$C,0))),"",INDEX('Policy Characteristics'!L:L,MATCH($C96,'Policy Characteristics'!$C:$C,0)))</f>
        <v>fuel-economy-standard.html</v>
      </c>
    </row>
    <row r="97" customHeight="1" spans="1:18">
      <c r="A97" s="394" t="str">
        <f>IF(ISBLANK(INDEX('Policy Characteristics'!A:A,MATCH($C97,'Policy Characteristics'!$C:$C,0))),"",INDEX('Policy Characteristics'!A:A,MATCH($C97,'Policy Characteristics'!$C:$C,0)))</f>
        <v>Transportation</v>
      </c>
      <c r="B97" s="395" t="str">
        <f>IF(ISBLANK(INDEX('Policy Characteristics'!B:B,MATCH($C97,'Policy Characteristics'!$C:$C,0))),"",INDEX('Policy Characteristics'!B:B,MATCH($C97,'Policy Characteristics'!$C:$C,0)))</f>
        <v>Fuel Economy Standard</v>
      </c>
      <c r="C97" s="394" t="str">
        <f t="shared" si="7"/>
        <v>Percentage Additional Improvement of Fuel Economy Std</v>
      </c>
      <c r="D97" s="399" t="s">
        <v>673</v>
      </c>
      <c r="E97" s="399" t="s">
        <v>664</v>
      </c>
      <c r="F97" s="399" t="s">
        <v>674</v>
      </c>
      <c r="G97" s="28" t="s">
        <v>679</v>
      </c>
      <c r="H97" s="377">
        <v>369</v>
      </c>
      <c r="I97" s="396" t="s">
        <v>648</v>
      </c>
      <c r="J97" s="397" t="str">
        <f>IF(ISBLANK(INDEX('Policy Characteristics'!D:D,MATCH($C97,'Policy Characteristics'!$C:$C,0))),"",INDEX('Policy Characteristics'!D:D,MATCH($C97,'Policy Characteristics'!$C:$C,0)))</f>
        <v>Vehicle Fuel Economy Standards</v>
      </c>
      <c r="K97" s="394" t="str">
        <f>IF(ISBLANK(INDEX('Policy Characteristics'!E:E,MATCH($C97,'Policy Characteristics'!$C:$C,0))),"",INDEX('Policy Characteristics'!E:E,MATCH($C97,'Policy Characteristics'!$C:$C,0)))</f>
        <v>trans fuel economy standards</v>
      </c>
      <c r="L97" s="398">
        <f>IF(ISBLANK(INDEX('Policy Characteristics'!F:F,MATCH($C97,'Policy Characteristics'!$C:$C,0))),"",INDEX('Policy Characteristics'!F:F,MATCH($C97,'Policy Characteristics'!$C:$C,0)))</f>
        <v>0</v>
      </c>
      <c r="M97" s="398">
        <f>IF(ISBLANK(INDEX('Policy Characteristics'!G:G,MATCH($C97,'Policy Characteristics'!$C:$C,0))),"",INDEX('Policy Characteristics'!G:G,MATCH($C97,'Policy Characteristics'!$C:$C,0)))</f>
        <v>1</v>
      </c>
      <c r="N97" s="398">
        <f>IF(ISBLANK(INDEX('Policy Characteristics'!H:H,MATCH($C97,'Policy Characteristics'!$C:$C,0))),"",INDEX('Policy Characteristics'!H:H,MATCH($C97,'Policy Characteristics'!$C:$C,0)))</f>
        <v>0.01</v>
      </c>
      <c r="O97" s="394" t="str">
        <f>IF(ISBLANK(INDEX('Policy Characteristics'!I:I,MATCH($C97,'Policy Characteristics'!$C:$C,0))),"",INDEX('Policy Characteristics'!I:I,MATCH($C97,'Policy Characteristics'!$C:$C,0)))</f>
        <v>% increase in miles/gal</v>
      </c>
      <c r="P97" s="394" t="str">
        <f>IF(ISBLANK(INDEX('Policy Characteristics'!J:J,MATCH($C97,'Policy Characteristics'!$C:$C,0))),"",INDEX('Policy Characteristics'!J:J,MATCH($C97,'Policy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7" s="394" t="str">
        <f>IF(ISBLANK(INDEX('Policy Characteristics'!K:K,MATCH($C97,'Policy Characteristics'!$C:$C,0))),"",INDEX('Policy Characteristics'!K:K,MATCH($C97,'Policy Characteristics'!$C:$C,0)))</f>
        <v>transportation-sector-main.html#fuel-econ-std</v>
      </c>
      <c r="R97" s="394" t="str">
        <f>IF(ISBLANK(INDEX('Policy Characteristics'!L:L,MATCH($C97,'Policy Characteristics'!$C:$C,0))),"",INDEX('Policy Characteristics'!L:L,MATCH($C97,'Policy Characteristics'!$C:$C,0)))</f>
        <v>fuel-economy-standard.html</v>
      </c>
    </row>
    <row r="98" customHeight="1" spans="1:18">
      <c r="A98" s="394" t="str">
        <f>IF(ISBLANK(INDEX('Policy Characteristics'!A:A,MATCH($C98,'Policy Characteristics'!$C:$C,0))),"",INDEX('Policy Characteristics'!A:A,MATCH($C98,'Policy Characteristics'!$C:$C,0)))</f>
        <v>Transportation</v>
      </c>
      <c r="B98" s="395" t="str">
        <f>IF(ISBLANK(INDEX('Policy Characteristics'!B:B,MATCH($C98,'Policy Characteristics'!$C:$C,0))),"",INDEX('Policy Characteristics'!B:B,MATCH($C98,'Policy Characteristics'!$C:$C,0)))</f>
        <v>Fuel Economy Standard</v>
      </c>
      <c r="C98" s="394" t="str">
        <f t="shared" si="7"/>
        <v>Percentage Additional Improvement of Fuel Economy Std</v>
      </c>
      <c r="D98" s="399" t="s">
        <v>670</v>
      </c>
      <c r="E98" s="399" t="s">
        <v>666</v>
      </c>
      <c r="F98" s="399" t="s">
        <v>671</v>
      </c>
      <c r="G98" s="28" t="s">
        <v>680</v>
      </c>
      <c r="H98" s="377">
        <v>370</v>
      </c>
      <c r="I98" s="396" t="s">
        <v>648</v>
      </c>
      <c r="J98" s="397" t="str">
        <f>IF(ISBLANK(INDEX('Policy Characteristics'!D:D,MATCH($C98,'Policy Characteristics'!$C:$C,0))),"",INDEX('Policy Characteristics'!D:D,MATCH($C98,'Policy Characteristics'!$C:$C,0)))</f>
        <v>Vehicle Fuel Economy Standards</v>
      </c>
      <c r="K98" s="394" t="str">
        <f>IF(ISBLANK(INDEX('Policy Characteristics'!E:E,MATCH($C98,'Policy Characteristics'!$C:$C,0))),"",INDEX('Policy Characteristics'!E:E,MATCH($C98,'Policy Characteristics'!$C:$C,0)))</f>
        <v>trans fuel economy standards</v>
      </c>
      <c r="L98" s="398">
        <f>IF(ISBLANK(INDEX('Policy Characteristics'!F:F,MATCH($C98,'Policy Characteristics'!$C:$C,0))),"",INDEX('Policy Characteristics'!F:F,MATCH($C98,'Policy Characteristics'!$C:$C,0)))</f>
        <v>0</v>
      </c>
      <c r="M98" s="398">
        <f>IF(ISBLANK(INDEX('Policy Characteristics'!G:G,MATCH($C98,'Policy Characteristics'!$C:$C,0))),"",INDEX('Policy Characteristics'!G:G,MATCH($C98,'Policy Characteristics'!$C:$C,0)))</f>
        <v>1</v>
      </c>
      <c r="N98" s="398">
        <f>IF(ISBLANK(INDEX('Policy Characteristics'!H:H,MATCH($C98,'Policy Characteristics'!$C:$C,0))),"",INDEX('Policy Characteristics'!H:H,MATCH($C98,'Policy Characteristics'!$C:$C,0)))</f>
        <v>0.01</v>
      </c>
      <c r="O98" s="394" t="str">
        <f>IF(ISBLANK(INDEX('Policy Characteristics'!I:I,MATCH($C98,'Policy Characteristics'!$C:$C,0))),"",INDEX('Policy Characteristics'!I:I,MATCH($C98,'Policy Characteristics'!$C:$C,0)))</f>
        <v>% increase in miles/gal</v>
      </c>
      <c r="P98" s="394" t="str">
        <f>IF(ISBLANK(INDEX('Policy Characteristics'!J:J,MATCH($C98,'Policy Characteristics'!$C:$C,0))),"",INDEX('Policy Characteristics'!J:J,MATCH($C98,'Policy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8" s="394" t="str">
        <f>IF(ISBLANK(INDEX('Policy Characteristics'!K:K,MATCH($C98,'Policy Characteristics'!$C:$C,0))),"",INDEX('Policy Characteristics'!K:K,MATCH($C98,'Policy Characteristics'!$C:$C,0)))</f>
        <v>transportation-sector-main.html#fuel-econ-std</v>
      </c>
      <c r="R98" s="394" t="str">
        <f>IF(ISBLANK(INDEX('Policy Characteristics'!L:L,MATCH($C98,'Policy Characteristics'!$C:$C,0))),"",INDEX('Policy Characteristics'!L:L,MATCH($C98,'Policy Characteristics'!$C:$C,0)))</f>
        <v>fuel-economy-standard.html</v>
      </c>
    </row>
    <row r="99" customHeight="1" spans="1:18">
      <c r="A99" s="394" t="str">
        <f>IF(ISBLANK(INDEX('Policy Characteristics'!A:A,MATCH($C99,'Policy Characteristics'!$C:$C,0))),"",INDEX('Policy Characteristics'!A:A,MATCH($C99,'Policy Characteristics'!$C:$C,0)))</f>
        <v>Transportation</v>
      </c>
      <c r="B99" s="395" t="str">
        <f>IF(ISBLANK(INDEX('Policy Characteristics'!B:B,MATCH($C99,'Policy Characteristics'!$C:$C,0))),"",INDEX('Policy Characteristics'!B:B,MATCH($C99,'Policy Characteristics'!$C:$C,0)))</f>
        <v>Fuel Economy Standard</v>
      </c>
      <c r="C99" s="394" t="str">
        <f t="shared" si="7"/>
        <v>Percentage Additional Improvement of Fuel Economy Std</v>
      </c>
      <c r="D99" s="399" t="s">
        <v>673</v>
      </c>
      <c r="E99" s="399" t="s">
        <v>666</v>
      </c>
      <c r="F99" s="399" t="s">
        <v>674</v>
      </c>
      <c r="G99" s="28" t="s">
        <v>681</v>
      </c>
      <c r="H99" s="377">
        <v>371</v>
      </c>
      <c r="I99" s="396" t="s">
        <v>648</v>
      </c>
      <c r="J99" s="397" t="str">
        <f>IF(ISBLANK(INDEX('Policy Characteristics'!D:D,MATCH($C99,'Policy Characteristics'!$C:$C,0))),"",INDEX('Policy Characteristics'!D:D,MATCH($C99,'Policy Characteristics'!$C:$C,0)))</f>
        <v>Vehicle Fuel Economy Standards</v>
      </c>
      <c r="K99" s="394" t="str">
        <f>IF(ISBLANK(INDEX('Policy Characteristics'!E:E,MATCH($C99,'Policy Characteristics'!$C:$C,0))),"",INDEX('Policy Characteristics'!E:E,MATCH($C99,'Policy Characteristics'!$C:$C,0)))</f>
        <v>trans fuel economy standards</v>
      </c>
      <c r="L99" s="398">
        <f>IF(ISBLANK(INDEX('Policy Characteristics'!F:F,MATCH($C99,'Policy Characteristics'!$C:$C,0))),"",INDEX('Policy Characteristics'!F:F,MATCH($C99,'Policy Characteristics'!$C:$C,0)))</f>
        <v>0</v>
      </c>
      <c r="M99" s="398">
        <f>IF(ISBLANK(INDEX('Policy Characteristics'!G:G,MATCH($C99,'Policy Characteristics'!$C:$C,0))),"",INDEX('Policy Characteristics'!G:G,MATCH($C99,'Policy Characteristics'!$C:$C,0)))</f>
        <v>1</v>
      </c>
      <c r="N99" s="398">
        <f>IF(ISBLANK(INDEX('Policy Characteristics'!H:H,MATCH($C99,'Policy Characteristics'!$C:$C,0))),"",INDEX('Policy Characteristics'!H:H,MATCH($C99,'Policy Characteristics'!$C:$C,0)))</f>
        <v>0.01</v>
      </c>
      <c r="O99" s="394" t="str">
        <f>IF(ISBLANK(INDEX('Policy Characteristics'!I:I,MATCH($C99,'Policy Characteristics'!$C:$C,0))),"",INDEX('Policy Characteristics'!I:I,MATCH($C99,'Policy Characteristics'!$C:$C,0)))</f>
        <v>% increase in miles/gal</v>
      </c>
      <c r="P99" s="394" t="str">
        <f>IF(ISBLANK(INDEX('Policy Characteristics'!J:J,MATCH($C99,'Policy Characteristics'!$C:$C,0))),"",INDEX('Policy Characteristics'!J:J,MATCH($C99,'Policy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9" s="394" t="str">
        <f>IF(ISBLANK(INDEX('Policy Characteristics'!K:K,MATCH($C99,'Policy Characteristics'!$C:$C,0))),"",INDEX('Policy Characteristics'!K:K,MATCH($C99,'Policy Characteristics'!$C:$C,0)))</f>
        <v>transportation-sector-main.html#fuel-econ-std</v>
      </c>
      <c r="R99" s="394" t="str">
        <f>IF(ISBLANK(INDEX('Policy Characteristics'!L:L,MATCH($C99,'Policy Characteristics'!$C:$C,0))),"",INDEX('Policy Characteristics'!L:L,MATCH($C99,'Policy Characteristics'!$C:$C,0)))</f>
        <v>fuel-economy-standard.html</v>
      </c>
    </row>
    <row r="100" customHeight="1" spans="1:18">
      <c r="A100" s="394" t="str">
        <f>IF(ISBLANK(INDEX('Policy Characteristics'!A:A,MATCH($C100,'Policy Characteristics'!$C:$C,0))),"",INDEX('Policy Characteristics'!A:A,MATCH($C100,'Policy Characteristics'!$C:$C,0)))</f>
        <v>Transportation</v>
      </c>
      <c r="B100" s="395" t="str">
        <f>IF(ISBLANK(INDEX('Policy Characteristics'!B:B,MATCH($C100,'Policy Characteristics'!$C:$C,0))),"",INDEX('Policy Characteristics'!B:B,MATCH($C100,'Policy Characteristics'!$C:$C,0)))</f>
        <v>Fuel Economy Standard</v>
      </c>
      <c r="C100" s="394" t="str">
        <f t="shared" si="7"/>
        <v>Percentage Additional Improvement of Fuel Economy Std</v>
      </c>
      <c r="D100" s="399" t="s">
        <v>670</v>
      </c>
      <c r="E100" s="399" t="s">
        <v>668</v>
      </c>
      <c r="F100" s="399" t="s">
        <v>671</v>
      </c>
      <c r="G100" s="28" t="s">
        <v>682</v>
      </c>
      <c r="H100" s="377">
        <v>372</v>
      </c>
      <c r="I100" s="396" t="s">
        <v>648</v>
      </c>
      <c r="J100" s="397" t="str">
        <f>IF(ISBLANK(INDEX('Policy Characteristics'!D:D,MATCH($C100,'Policy Characteristics'!$C:$C,0))),"",INDEX('Policy Characteristics'!D:D,MATCH($C100,'Policy Characteristics'!$C:$C,0)))</f>
        <v>Vehicle Fuel Economy Standards</v>
      </c>
      <c r="K100" s="394" t="str">
        <f>IF(ISBLANK(INDEX('Policy Characteristics'!E:E,MATCH($C100,'Policy Characteristics'!$C:$C,0))),"",INDEX('Policy Characteristics'!E:E,MATCH($C100,'Policy Characteristics'!$C:$C,0)))</f>
        <v>trans fuel economy standards</v>
      </c>
      <c r="L100" s="398">
        <f>IF(ISBLANK(INDEX('Policy Characteristics'!F:F,MATCH($C100,'Policy Characteristics'!$C:$C,0))),"",INDEX('Policy Characteristics'!F:F,MATCH($C100,'Policy Characteristics'!$C:$C,0)))</f>
        <v>0</v>
      </c>
      <c r="M100" s="398">
        <f>IF(ISBLANK(INDEX('Policy Characteristics'!G:G,MATCH($C100,'Policy Characteristics'!$C:$C,0))),"",INDEX('Policy Characteristics'!G:G,MATCH($C100,'Policy Characteristics'!$C:$C,0)))</f>
        <v>1</v>
      </c>
      <c r="N100" s="398">
        <f>IF(ISBLANK(INDEX('Policy Characteristics'!H:H,MATCH($C100,'Policy Characteristics'!$C:$C,0))),"",INDEX('Policy Characteristics'!H:H,MATCH($C100,'Policy Characteristics'!$C:$C,0)))</f>
        <v>0.01</v>
      </c>
      <c r="O100" s="394" t="str">
        <f>IF(ISBLANK(INDEX('Policy Characteristics'!I:I,MATCH($C100,'Policy Characteristics'!$C:$C,0))),"",INDEX('Policy Characteristics'!I:I,MATCH($C100,'Policy Characteristics'!$C:$C,0)))</f>
        <v>% increase in miles/gal</v>
      </c>
      <c r="P100" s="394" t="str">
        <f>IF(ISBLANK(INDEX('Policy Characteristics'!J:J,MATCH($C100,'Policy Characteristics'!$C:$C,0))),"",INDEX('Policy Characteristics'!J:J,MATCH($C100,'Policy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100" s="394" t="str">
        <f>IF(ISBLANK(INDEX('Policy Characteristics'!K:K,MATCH($C100,'Policy Characteristics'!$C:$C,0))),"",INDEX('Policy Characteristics'!K:K,MATCH($C100,'Policy Characteristics'!$C:$C,0)))</f>
        <v>transportation-sector-main.html#fuel-econ-std</v>
      </c>
      <c r="R100" s="394" t="str">
        <f>IF(ISBLANK(INDEX('Policy Characteristics'!L:L,MATCH($C100,'Policy Characteristics'!$C:$C,0))),"",INDEX('Policy Characteristics'!L:L,MATCH($C100,'Policy Characteristics'!$C:$C,0)))</f>
        <v>fuel-economy-standard.html</v>
      </c>
    </row>
    <row r="101" customHeight="1" spans="1:18">
      <c r="A101" s="394" t="str">
        <f>IF(ISBLANK(INDEX('Policy Characteristics'!A:A,MATCH($C101,'Policy Characteristics'!$C:$C,0))),"",INDEX('Policy Characteristics'!A:A,MATCH($C101,'Policy Characteristics'!$C:$C,0)))</f>
        <v>Transportation</v>
      </c>
      <c r="B101" s="395" t="str">
        <f>IF(ISBLANK(INDEX('Policy Characteristics'!B:B,MATCH($C101,'Policy Characteristics'!$C:$C,0))),"",INDEX('Policy Characteristics'!B:B,MATCH($C101,'Policy Characteristics'!$C:$C,0)))</f>
        <v>Fuel Economy Standard</v>
      </c>
      <c r="C101" s="394" t="str">
        <f t="shared" si="7"/>
        <v>Percentage Additional Improvement of Fuel Economy Std</v>
      </c>
      <c r="D101" s="399" t="s">
        <v>673</v>
      </c>
      <c r="E101" s="399" t="s">
        <v>668</v>
      </c>
      <c r="F101" s="399" t="s">
        <v>674</v>
      </c>
      <c r="G101" s="28" t="s">
        <v>682</v>
      </c>
      <c r="H101" s="377">
        <v>373</v>
      </c>
      <c r="I101" s="396" t="s">
        <v>658</v>
      </c>
      <c r="J101" s="397" t="str">
        <f>IF(ISBLANK(INDEX('Policy Characteristics'!D:D,MATCH($C101,'Policy Characteristics'!$C:$C,0))),"",INDEX('Policy Characteristics'!D:D,MATCH($C101,'Policy Characteristics'!$C:$C,0)))</f>
        <v>Vehicle Fuel Economy Standards</v>
      </c>
      <c r="K101" s="394" t="str">
        <f>IF(ISBLANK(INDEX('Policy Characteristics'!E:E,MATCH($C101,'Policy Characteristics'!$C:$C,0))),"",INDEX('Policy Characteristics'!E:E,MATCH($C101,'Policy Characteristics'!$C:$C,0)))</f>
        <v>trans fuel economy standards</v>
      </c>
      <c r="L101" s="398">
        <f>IF(ISBLANK(INDEX('Policy Characteristics'!F:F,MATCH($C101,'Policy Characteristics'!$C:$C,0))),"",INDEX('Policy Characteristics'!F:F,MATCH($C101,'Policy Characteristics'!$C:$C,0)))</f>
        <v>0</v>
      </c>
      <c r="M101" s="398">
        <f>IF(ISBLANK(INDEX('Policy Characteristics'!G:G,MATCH($C101,'Policy Characteristics'!$C:$C,0))),"",INDEX('Policy Characteristics'!G:G,MATCH($C101,'Policy Characteristics'!$C:$C,0)))</f>
        <v>1</v>
      </c>
      <c r="N101" s="398">
        <f>IF(ISBLANK(INDEX('Policy Characteristics'!H:H,MATCH($C101,'Policy Characteristics'!$C:$C,0))),"",INDEX('Policy Characteristics'!H:H,MATCH($C101,'Policy Characteristics'!$C:$C,0)))</f>
        <v>0.01</v>
      </c>
      <c r="O101" s="394" t="str">
        <f>IF(ISBLANK(INDEX('Policy Characteristics'!I:I,MATCH($C101,'Policy Characteristics'!$C:$C,0))),"",INDEX('Policy Characteristics'!I:I,MATCH($C101,'Policy Characteristics'!$C:$C,0)))</f>
        <v>% increase in miles/gal</v>
      </c>
      <c r="P101" s="394" t="str">
        <f>IF(ISBLANK(INDEX('Policy Characteristics'!J:J,MATCH($C101,'Policy Characteristics'!$C:$C,0))),"",INDEX('Policy Characteristics'!J:J,MATCH($C101,'Policy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101" s="394" t="str">
        <f>IF(ISBLANK(INDEX('Policy Characteristics'!K:K,MATCH($C101,'Policy Characteristics'!$C:$C,0))),"",INDEX('Policy Characteristics'!K:K,MATCH($C101,'Policy Characteristics'!$C:$C,0)))</f>
        <v>transportation-sector-main.html#fuel-econ-std</v>
      </c>
      <c r="R101" s="394" t="str">
        <f>IF(ISBLANK(INDEX('Policy Characteristics'!L:L,MATCH($C101,'Policy Characteristics'!$C:$C,0))),"",INDEX('Policy Characteristics'!L:L,MATCH($C101,'Policy Characteristics'!$C:$C,0)))</f>
        <v>fuel-economy-standard.html</v>
      </c>
    </row>
    <row r="102" customHeight="1" spans="1:18">
      <c r="A102" s="394" t="str">
        <f>IF(ISBLANK(INDEX('Policy Characteristics'!A:A,MATCH($C102,'Policy Characteristics'!$C:$C,0))),"",INDEX('Policy Characteristics'!A:A,MATCH($C102,'Policy Characteristics'!$C:$C,0)))</f>
        <v>Transportation</v>
      </c>
      <c r="B102" s="395" t="str">
        <f>IF(ISBLANK(INDEX('Policy Characteristics'!B:B,MATCH($C102,'Policy Characteristics'!$C:$C,0))),"",INDEX('Policy Characteristics'!B:B,MATCH($C102,'Policy Characteristics'!$C:$C,0)))</f>
        <v>Low Carbon Fuel Standard</v>
      </c>
      <c r="C102" t="s">
        <v>125</v>
      </c>
      <c r="D102" s="399"/>
      <c r="E102" s="399"/>
      <c r="F102" s="399"/>
      <c r="G102" s="399"/>
      <c r="H102" s="377">
        <v>190</v>
      </c>
      <c r="I102" s="396" t="s">
        <v>648</v>
      </c>
      <c r="J102" s="397" t="str">
        <f>IF(ISBLANK(INDEX('Policy Characteristics'!D:D,MATCH($C102,'Policy Characteristics'!$C:$C,0))),"",INDEX('Policy Characteristics'!D:D,MATCH($C102,'Policy Characteristics'!$C:$C,0)))</f>
        <v>Low Carbon Fuel Standard</v>
      </c>
      <c r="K102" s="394" t="str">
        <f>IF(ISBLANK(INDEX('Policy Characteristics'!E:E,MATCH($C102,'Policy Characteristics'!$C:$C,0))),"",INDEX('Policy Characteristics'!E:E,MATCH($C102,'Policy Characteristics'!$C:$C,0)))</f>
        <v>trans LCFS</v>
      </c>
      <c r="L102" s="398">
        <f>IF(ISBLANK(INDEX('Policy Characteristics'!F:F,MATCH($C102,'Policy Characteristics'!$C:$C,0))),"",INDEX('Policy Characteristics'!F:F,MATCH($C102,'Policy Characteristics'!$C:$C,0)))</f>
        <v>0</v>
      </c>
      <c r="M102" s="398">
        <f>IF(ISBLANK(INDEX('Policy Characteristics'!G:G,MATCH($C102,'Policy Characteristics'!$C:$C,0))),"",INDEX('Policy Characteristics'!G:G,MATCH($C102,'Policy Characteristics'!$C:$C,0)))</f>
        <v>1</v>
      </c>
      <c r="N102" s="398">
        <f>IF(ISBLANK(INDEX('Policy Characteristics'!H:H,MATCH($C102,'Policy Characteristics'!$C:$C,0))),"",INDEX('Policy Characteristics'!H:H,MATCH($C102,'Policy Characteristics'!$C:$C,0)))</f>
        <v>0.01</v>
      </c>
      <c r="O102" s="394" t="str">
        <f>IF(ISBLANK(INDEX('Policy Characteristics'!I:I,MATCH($C102,'Policy Characteristics'!$C:$C,0))),"",INDEX('Policy Characteristics'!I:I,MATCH($C102,'Policy Characteristics'!$C:$C,0)))</f>
        <v>% reduction in carbon emissions</v>
      </c>
      <c r="P102" s="394" t="str">
        <f>IF(ISBLANK(INDEX('Policy Characteristics'!J:J,MATCH($C102,'Policy Characteristics'!$C:$C,0))),"",INDEX('Policy Characteristics'!J:J,MATCH($C102,'Policy Characteristics'!$C:$C,0)))</f>
        <v>**Description:** This policy specifies the percentage reduction in carbon emissions from the transportation sector that must be achieved via fuel switching.  This value is in addition to BAU requirements. // **Guidance for setting values:** China does not have LCFS. The U.S. National Renewable Fuel Standard equates to a BAU LCFS of 2.2% - 4.6% (varying by year).  California adopted an LCFS that requires a 10% reduction in carbon intensity of the transportation fuel pool by 2020.</v>
      </c>
      <c r="Q102" s="394" t="str">
        <f>IF(ISBLANK(INDEX('Policy Characteristics'!K:K,MATCH($C102,'Policy Characteristics'!$C:$C,0))),"",INDEX('Policy Characteristics'!K:K,MATCH($C102,'Policy Characteristics'!$C:$C,0)))</f>
        <v>transportation-sector-main.html#lcfs</v>
      </c>
      <c r="R102" s="394" t="str">
        <f>IF(ISBLANK(INDEX('Policy Characteristics'!L:L,MATCH($C102,'Policy Characteristics'!$C:$C,0))),"",INDEX('Policy Characteristics'!L:L,MATCH($C102,'Policy Characteristics'!$C:$C,0)))</f>
        <v>low-carbon-fuel-standard.html</v>
      </c>
    </row>
    <row r="103" customHeight="1" spans="1:18">
      <c r="A103" s="394" t="str">
        <f>IF(ISBLANK(INDEX('Policy Characteristics'!A:A,MATCH($C103,'Policy Characteristics'!$C:$C,0))),"",INDEX('Policy Characteristics'!A:A,MATCH($C103,'Policy Characteristics'!$C:$C,0)))</f>
        <v>Transportation</v>
      </c>
      <c r="B103" s="395" t="str">
        <f>IF(ISBLANK(INDEX('Policy Characteristics'!B:B,MATCH($C103,'Policy Characteristics'!$C:$C,0))),"",INDEX('Policy Characteristics'!B:B,MATCH($C103,'Policy Characteristics'!$C:$C,0)))</f>
        <v>Mode Shifting</v>
      </c>
      <c r="C103" t="s">
        <v>133</v>
      </c>
      <c r="D103" s="399" t="s">
        <v>670</v>
      </c>
      <c r="E103" s="399" t="s">
        <v>644</v>
      </c>
      <c r="F103" s="399" t="s">
        <v>671</v>
      </c>
      <c r="G103" s="28" t="s">
        <v>672</v>
      </c>
      <c r="H103" s="377">
        <v>848</v>
      </c>
      <c r="I103" s="396" t="s">
        <v>648</v>
      </c>
      <c r="J103" s="397" t="str">
        <f>IF(ISBLANK(INDEX('Policy Characteristics'!D:D,MATCH($C103,'Policy Characteristics'!$C:$C,0))),"",INDEX('Policy Characteristics'!D:D,MATCH($C103,'Policy Characteristics'!$C:$C,0)))</f>
        <v>Mode Shifting</v>
      </c>
      <c r="K103" s="394" t="str">
        <f>IF(ISBLANK(INDEX('Policy Characteristics'!E:E,MATCH($C103,'Policy Characteristics'!$C:$C,0))),"",INDEX('Policy Characteristics'!E:E,MATCH($C103,'Policy Characteristics'!$C:$C,0)))</f>
        <v>trans mode shifting</v>
      </c>
      <c r="L103" s="398">
        <f>IF(ISBLANK(INDEX('Policy Characteristics'!F:F,MATCH($C103,'Policy Characteristics'!$C:$C,0))),"",INDEX('Policy Characteristics'!F:F,MATCH($C103,'Policy Characteristics'!$C:$C,0)))</f>
        <v>0</v>
      </c>
      <c r="M103" s="398">
        <f>IF(ISBLANK(INDEX('Policy Characteristics'!G:G,MATCH($C103,'Policy Characteristics'!$C:$C,0))),"",INDEX('Policy Characteristics'!G:G,MATCH($C103,'Policy Characteristics'!$C:$C,0)))</f>
        <v>0.26</v>
      </c>
      <c r="N103" s="398">
        <f>IF(ISBLANK(INDEX('Policy Characteristics'!H:H,MATCH($C103,'Policy Characteristics'!$C:$C,0))),"",INDEX('Policy Characteristics'!H:H,MATCH($C103,'Policy Characteristics'!$C:$C,0)))</f>
        <v>0.01</v>
      </c>
      <c r="O103" s="394" t="str">
        <f>IF(ISBLANK(INDEX('Policy Characteristics'!I:I,MATCH($C103,'Policy Characteristics'!$C:$C,0))),"",INDEX('Policy Characteristics'!I:I,MATCH($C103,'Policy Characteristics'!$C:$C,0)))</f>
        <v>% of trips shifted</v>
      </c>
      <c r="P103" s="394" t="str">
        <f>IF(ISBLANK(INDEX('Policy Characteristics'!J:J,MATCH($C103,'Policy Characteristics'!$C:$C,0))),"",INDEX('Policy Characteristics'!J:J,MATCH($C103,'Policy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3" s="394" t="str">
        <f>IF(ISBLANK(INDEX('Policy Characteristics'!K:K,MATCH($C103,'Policy Characteristics'!$C:$C,0))),"",INDEX('Policy Characteristics'!K:K,MATCH($C103,'Policy Characteristics'!$C:$C,0)))</f>
        <v>transportation-sector-main.html#tdm</v>
      </c>
      <c r="R103" s="394" t="str">
        <f>IF(ISBLANK(INDEX('Policy Characteristics'!L:L,MATCH($C103,'Policy Characteristics'!$C:$C,0))),"",INDEX('Policy Characteristics'!L:L,MATCH($C103,'Policy Characteristics'!$C:$C,0)))</f>
        <v>transportation-demand-management.html</v>
      </c>
    </row>
    <row r="104" customHeight="1" spans="1:18">
      <c r="A104" s="394" t="str">
        <f>IF(ISBLANK(INDEX('Policy Characteristics'!A:A,MATCH($C104,'Policy Characteristics'!$C:$C,0))),"",INDEX('Policy Characteristics'!A:A,MATCH($C104,'Policy Characteristics'!$C:$C,0)))</f>
        <v>Transportation</v>
      </c>
      <c r="B104" s="395" t="str">
        <f>IF(ISBLANK(INDEX('Policy Characteristics'!B:B,MATCH($C104,'Policy Characteristics'!$C:$C,0))),"",INDEX('Policy Characteristics'!B:B,MATCH($C104,'Policy Characteristics'!$C:$C,0)))</f>
        <v>Mode Shifting</v>
      </c>
      <c r="C104" s="394" t="str">
        <f t="shared" ref="C104:C114" si="8">C$103</f>
        <v>Percent of Travel Demand Shifted to Other Modes or Eliminated</v>
      </c>
      <c r="D104" s="399" t="s">
        <v>670</v>
      </c>
      <c r="E104" s="399" t="s">
        <v>660</v>
      </c>
      <c r="F104" s="399" t="s">
        <v>671</v>
      </c>
      <c r="G104" s="28" t="s">
        <v>676</v>
      </c>
      <c r="H104" s="377">
        <v>849</v>
      </c>
      <c r="I104" s="396" t="s">
        <v>648</v>
      </c>
      <c r="J104" s="397" t="str">
        <f>IF(ISBLANK(INDEX('Policy Characteristics'!D:D,MATCH($C104,'Policy Characteristics'!$C:$C,0))),"",INDEX('Policy Characteristics'!D:D,MATCH($C104,'Policy Characteristics'!$C:$C,0)))</f>
        <v>Mode Shifting</v>
      </c>
      <c r="K104" s="394" t="str">
        <f>IF(ISBLANK(INDEX('Policy Characteristics'!E:E,MATCH($C104,'Policy Characteristics'!$C:$C,0))),"",INDEX('Policy Characteristics'!E:E,MATCH($C104,'Policy Characteristics'!$C:$C,0)))</f>
        <v>trans mode shifting</v>
      </c>
      <c r="L104" s="398">
        <f>IF(ISBLANK(INDEX('Policy Characteristics'!F:F,MATCH($C104,'Policy Characteristics'!$C:$C,0))),"",INDEX('Policy Characteristics'!F:F,MATCH($C104,'Policy Characteristics'!$C:$C,0)))</f>
        <v>0</v>
      </c>
      <c r="M104" s="398">
        <f>IF(ISBLANK(INDEX('Policy Characteristics'!G:G,MATCH($C104,'Policy Characteristics'!$C:$C,0))),"",INDEX('Policy Characteristics'!G:G,MATCH($C104,'Policy Characteristics'!$C:$C,0)))</f>
        <v>0.26</v>
      </c>
      <c r="N104" s="398">
        <f>IF(ISBLANK(INDEX('Policy Characteristics'!H:H,MATCH($C104,'Policy Characteristics'!$C:$C,0))),"",INDEX('Policy Characteristics'!H:H,MATCH($C104,'Policy Characteristics'!$C:$C,0)))</f>
        <v>0.01</v>
      </c>
      <c r="O104" s="394" t="str">
        <f>IF(ISBLANK(INDEX('Policy Characteristics'!I:I,MATCH($C104,'Policy Characteristics'!$C:$C,0))),"",INDEX('Policy Characteristics'!I:I,MATCH($C104,'Policy Characteristics'!$C:$C,0)))</f>
        <v>% of trips shifted</v>
      </c>
      <c r="P104" s="394" t="str">
        <f>IF(ISBLANK(INDEX('Policy Characteristics'!J:J,MATCH($C104,'Policy Characteristics'!$C:$C,0))),"",INDEX('Policy Characteristics'!J:J,MATCH($C104,'Policy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4" s="394" t="str">
        <f>IF(ISBLANK(INDEX('Policy Characteristics'!K:K,MATCH($C104,'Policy Characteristics'!$C:$C,0))),"",INDEX('Policy Characteristics'!K:K,MATCH($C104,'Policy Characteristics'!$C:$C,0)))</f>
        <v>transportation-sector-main.html#tdm</v>
      </c>
      <c r="R104" s="394" t="str">
        <f>IF(ISBLANK(INDEX('Policy Characteristics'!L:L,MATCH($C104,'Policy Characteristics'!$C:$C,0))),"",INDEX('Policy Characteristics'!L:L,MATCH($C104,'Policy Characteristics'!$C:$C,0)))</f>
        <v>transportation-demand-management.html</v>
      </c>
    </row>
    <row r="105" customHeight="1" spans="1:18">
      <c r="A105" s="394" t="str">
        <f>IF(ISBLANK(INDEX('Policy Characteristics'!A:A,MATCH($C105,'Policy Characteristics'!$C:$C,0))),"",INDEX('Policy Characteristics'!A:A,MATCH($C105,'Policy Characteristics'!$C:$C,0)))</f>
        <v>Transportation</v>
      </c>
      <c r="B105" s="395" t="str">
        <f>IF(ISBLANK(INDEX('Policy Characteristics'!B:B,MATCH($C105,'Policy Characteristics'!$C:$C,0))),"",INDEX('Policy Characteristics'!B:B,MATCH($C105,'Policy Characteristics'!$C:$C,0)))</f>
        <v>Mode Shifting</v>
      </c>
      <c r="C105" s="394" t="str">
        <f t="shared" si="8"/>
        <v>Percent of Travel Demand Shifted to Other Modes or Eliminated</v>
      </c>
      <c r="D105" s="399" t="s">
        <v>670</v>
      </c>
      <c r="E105" s="399" t="s">
        <v>662</v>
      </c>
      <c r="F105" s="399" t="s">
        <v>671</v>
      </c>
      <c r="G105" s="28" t="s">
        <v>678</v>
      </c>
      <c r="H105" s="377">
        <v>850</v>
      </c>
      <c r="I105" s="396" t="s">
        <v>648</v>
      </c>
      <c r="J105" s="397" t="str">
        <f>IF(ISBLANK(INDEX('Policy Characteristics'!D:D,MATCH($C105,'Policy Characteristics'!$C:$C,0))),"",INDEX('Policy Characteristics'!D:D,MATCH($C105,'Policy Characteristics'!$C:$C,0)))</f>
        <v>Mode Shifting</v>
      </c>
      <c r="K105" s="394" t="str">
        <f>IF(ISBLANK(INDEX('Policy Characteristics'!E:E,MATCH($C105,'Policy Characteristics'!$C:$C,0))),"",INDEX('Policy Characteristics'!E:E,MATCH($C105,'Policy Characteristics'!$C:$C,0)))</f>
        <v>trans mode shifting</v>
      </c>
      <c r="L105" s="398">
        <f>IF(ISBLANK(INDEX('Policy Characteristics'!F:F,MATCH($C105,'Policy Characteristics'!$C:$C,0))),"",INDEX('Policy Characteristics'!F:F,MATCH($C105,'Policy Characteristics'!$C:$C,0)))</f>
        <v>0</v>
      </c>
      <c r="M105" s="398">
        <f>IF(ISBLANK(INDEX('Policy Characteristics'!G:G,MATCH($C105,'Policy Characteristics'!$C:$C,0))),"",INDEX('Policy Characteristics'!G:G,MATCH($C105,'Policy Characteristics'!$C:$C,0)))</f>
        <v>0.26</v>
      </c>
      <c r="N105" s="398">
        <f>IF(ISBLANK(INDEX('Policy Characteristics'!H:H,MATCH($C105,'Policy Characteristics'!$C:$C,0))),"",INDEX('Policy Characteristics'!H:H,MATCH($C105,'Policy Characteristics'!$C:$C,0)))</f>
        <v>0.01</v>
      </c>
      <c r="O105" s="394" t="str">
        <f>IF(ISBLANK(INDEX('Policy Characteristics'!I:I,MATCH($C105,'Policy Characteristics'!$C:$C,0))),"",INDEX('Policy Characteristics'!I:I,MATCH($C105,'Policy Characteristics'!$C:$C,0)))</f>
        <v>% of trips shifted</v>
      </c>
      <c r="P105" s="394" t="str">
        <f>IF(ISBLANK(INDEX('Policy Characteristics'!J:J,MATCH($C105,'Policy Characteristics'!$C:$C,0))),"",INDEX('Policy Characteristics'!J:J,MATCH($C105,'Policy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5" s="394" t="str">
        <f>IF(ISBLANK(INDEX('Policy Characteristics'!K:K,MATCH($C105,'Policy Characteristics'!$C:$C,0))),"",INDEX('Policy Characteristics'!K:K,MATCH($C105,'Policy Characteristics'!$C:$C,0)))</f>
        <v>transportation-sector-main.html#tdm</v>
      </c>
      <c r="R105" s="394" t="str">
        <f>IF(ISBLANK(INDEX('Policy Characteristics'!L:L,MATCH($C105,'Policy Characteristics'!$C:$C,0))),"",INDEX('Policy Characteristics'!L:L,MATCH($C105,'Policy Characteristics'!$C:$C,0)))</f>
        <v>transportation-demand-management.html</v>
      </c>
    </row>
    <row r="106" customHeight="1" spans="1:18">
      <c r="A106" s="394" t="str">
        <f>IF(ISBLANK(INDEX('Policy Characteristics'!A:A,MATCH($C106,'Policy Characteristics'!$C:$C,0))),"",INDEX('Policy Characteristics'!A:A,MATCH($C106,'Policy Characteristics'!$C:$C,0)))</f>
        <v>Transportation</v>
      </c>
      <c r="B106" s="395" t="str">
        <f>IF(ISBLANK(INDEX('Policy Characteristics'!B:B,MATCH($C106,'Policy Characteristics'!$C:$C,0))),"",INDEX('Policy Characteristics'!B:B,MATCH($C106,'Policy Characteristics'!$C:$C,0)))</f>
        <v>Mode Shifting</v>
      </c>
      <c r="C106" s="394" t="str">
        <f t="shared" si="8"/>
        <v>Percent of Travel Demand Shifted to Other Modes or Eliminated</v>
      </c>
      <c r="D106" s="399" t="s">
        <v>670</v>
      </c>
      <c r="E106" s="399" t="s">
        <v>664</v>
      </c>
      <c r="F106" s="399" t="s">
        <v>671</v>
      </c>
      <c r="G106" s="399" t="s">
        <v>679</v>
      </c>
      <c r="H106" s="377">
        <v>851</v>
      </c>
      <c r="I106" s="396" t="s">
        <v>658</v>
      </c>
      <c r="J106" s="397" t="str">
        <f>IF(ISBLANK(INDEX('Policy Characteristics'!D:D,MATCH($C106,'Policy Characteristics'!$C:$C,0))),"",INDEX('Policy Characteristics'!D:D,MATCH($C106,'Policy Characteristics'!$C:$C,0)))</f>
        <v>Mode Shifting</v>
      </c>
      <c r="K106" s="394" t="str">
        <f>IF(ISBLANK(INDEX('Policy Characteristics'!E:E,MATCH($C106,'Policy Characteristics'!$C:$C,0))),"",INDEX('Policy Characteristics'!E:E,MATCH($C106,'Policy Characteristics'!$C:$C,0)))</f>
        <v>trans mode shifting</v>
      </c>
      <c r="L106" s="398">
        <f>IF(ISBLANK(INDEX('Policy Characteristics'!F:F,MATCH($C106,'Policy Characteristics'!$C:$C,0))),"",INDEX('Policy Characteristics'!F:F,MATCH($C106,'Policy Characteristics'!$C:$C,0)))</f>
        <v>0</v>
      </c>
      <c r="M106" s="398">
        <f>IF(ISBLANK(INDEX('Policy Characteristics'!G:G,MATCH($C106,'Policy Characteristics'!$C:$C,0))),"",INDEX('Policy Characteristics'!G:G,MATCH($C106,'Policy Characteristics'!$C:$C,0)))</f>
        <v>0.26</v>
      </c>
      <c r="N106" s="398">
        <f>IF(ISBLANK(INDEX('Policy Characteristics'!H:H,MATCH($C106,'Policy Characteristics'!$C:$C,0))),"",INDEX('Policy Characteristics'!H:H,MATCH($C106,'Policy Characteristics'!$C:$C,0)))</f>
        <v>0.01</v>
      </c>
      <c r="O106" s="394" t="str">
        <f>IF(ISBLANK(INDEX('Policy Characteristics'!I:I,MATCH($C106,'Policy Characteristics'!$C:$C,0))),"",INDEX('Policy Characteristics'!I:I,MATCH($C106,'Policy Characteristics'!$C:$C,0)))</f>
        <v>% of trips shifted</v>
      </c>
      <c r="P106" s="394" t="str">
        <f>IF(ISBLANK(INDEX('Policy Characteristics'!J:J,MATCH($C106,'Policy Characteristics'!$C:$C,0))),"",INDEX('Policy Characteristics'!J:J,MATCH($C106,'Policy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6" s="394" t="str">
        <f>IF(ISBLANK(INDEX('Policy Characteristics'!K:K,MATCH($C106,'Policy Characteristics'!$C:$C,0))),"",INDEX('Policy Characteristics'!K:K,MATCH($C106,'Policy Characteristics'!$C:$C,0)))</f>
        <v>transportation-sector-main.html#tdm</v>
      </c>
      <c r="R106" s="394" t="str">
        <f>IF(ISBLANK(INDEX('Policy Characteristics'!L:L,MATCH($C106,'Policy Characteristics'!$C:$C,0))),"",INDEX('Policy Characteristics'!L:L,MATCH($C106,'Policy Characteristics'!$C:$C,0)))</f>
        <v>transportation-demand-management.html</v>
      </c>
    </row>
    <row r="107" customHeight="1" spans="1:18">
      <c r="A107" s="394" t="str">
        <f>IF(ISBLANK(INDEX('Policy Characteristics'!A:A,MATCH($C107,'Policy Characteristics'!$C:$C,0))),"",INDEX('Policy Characteristics'!A:A,MATCH($C107,'Policy Characteristics'!$C:$C,0)))</f>
        <v>Transportation</v>
      </c>
      <c r="B107" s="395" t="str">
        <f>IF(ISBLANK(INDEX('Policy Characteristics'!B:B,MATCH($C107,'Policy Characteristics'!$C:$C,0))),"",INDEX('Policy Characteristics'!B:B,MATCH($C107,'Policy Characteristics'!$C:$C,0)))</f>
        <v>Mode Shifting</v>
      </c>
      <c r="C107" s="394" t="str">
        <f t="shared" si="8"/>
        <v>Percent of Travel Demand Shifted to Other Modes or Eliminated</v>
      </c>
      <c r="D107" s="399" t="s">
        <v>670</v>
      </c>
      <c r="E107" s="399" t="s">
        <v>666</v>
      </c>
      <c r="F107" s="399" t="s">
        <v>671</v>
      </c>
      <c r="G107" s="28" t="s">
        <v>680</v>
      </c>
      <c r="H107" s="377">
        <v>852</v>
      </c>
      <c r="I107" s="396" t="s">
        <v>658</v>
      </c>
      <c r="J107" s="397" t="str">
        <f>IF(ISBLANK(INDEX('Policy Characteristics'!D:D,MATCH($C107,'Policy Characteristics'!$C:$C,0))),"",INDEX('Policy Characteristics'!D:D,MATCH($C107,'Policy Characteristics'!$C:$C,0)))</f>
        <v>Mode Shifting</v>
      </c>
      <c r="K107" s="394" t="str">
        <f>IF(ISBLANK(INDEX('Policy Characteristics'!E:E,MATCH($C107,'Policy Characteristics'!$C:$C,0))),"",INDEX('Policy Characteristics'!E:E,MATCH($C107,'Policy Characteristics'!$C:$C,0)))</f>
        <v>trans mode shifting</v>
      </c>
      <c r="L107" s="398">
        <f>IF(ISBLANK(INDEX('Policy Characteristics'!F:F,MATCH($C107,'Policy Characteristics'!$C:$C,0))),"",INDEX('Policy Characteristics'!F:F,MATCH($C107,'Policy Characteristics'!$C:$C,0)))</f>
        <v>0</v>
      </c>
      <c r="M107" s="398">
        <f>IF(ISBLANK(INDEX('Policy Characteristics'!G:G,MATCH($C107,'Policy Characteristics'!$C:$C,0))),"",INDEX('Policy Characteristics'!G:G,MATCH($C107,'Policy Characteristics'!$C:$C,0)))</f>
        <v>0.26</v>
      </c>
      <c r="N107" s="398">
        <f>IF(ISBLANK(INDEX('Policy Characteristics'!H:H,MATCH($C107,'Policy Characteristics'!$C:$C,0))),"",INDEX('Policy Characteristics'!H:H,MATCH($C107,'Policy Characteristics'!$C:$C,0)))</f>
        <v>0.01</v>
      </c>
      <c r="O107" s="394" t="str">
        <f>IF(ISBLANK(INDEX('Policy Characteristics'!I:I,MATCH($C107,'Policy Characteristics'!$C:$C,0))),"",INDEX('Policy Characteristics'!I:I,MATCH($C107,'Policy Characteristics'!$C:$C,0)))</f>
        <v>% of trips shifted</v>
      </c>
      <c r="P107" s="394" t="str">
        <f>IF(ISBLANK(INDEX('Policy Characteristics'!J:J,MATCH($C107,'Policy Characteristics'!$C:$C,0))),"",INDEX('Policy Characteristics'!J:J,MATCH($C107,'Policy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7" s="394" t="str">
        <f>IF(ISBLANK(INDEX('Policy Characteristics'!K:K,MATCH($C107,'Policy Characteristics'!$C:$C,0))),"",INDEX('Policy Characteristics'!K:K,MATCH($C107,'Policy Characteristics'!$C:$C,0)))</f>
        <v>transportation-sector-main.html#tdm</v>
      </c>
      <c r="R107" s="394" t="str">
        <f>IF(ISBLANK(INDEX('Policy Characteristics'!L:L,MATCH($C107,'Policy Characteristics'!$C:$C,0))),"",INDEX('Policy Characteristics'!L:L,MATCH($C107,'Policy Characteristics'!$C:$C,0)))</f>
        <v>transportation-demand-management.html</v>
      </c>
    </row>
    <row r="108" customHeight="1" spans="1:18">
      <c r="A108" s="394" t="str">
        <f>IF(ISBLANK(INDEX('Policy Characteristics'!A:A,MATCH($C108,'Policy Characteristics'!$C:$C,0))),"",INDEX('Policy Characteristics'!A:A,MATCH($C108,'Policy Characteristics'!$C:$C,0)))</f>
        <v>Transportation</v>
      </c>
      <c r="B108" s="395" t="str">
        <f>IF(ISBLANK(INDEX('Policy Characteristics'!B:B,MATCH($C108,'Policy Characteristics'!$C:$C,0))),"",INDEX('Policy Characteristics'!B:B,MATCH($C108,'Policy Characteristics'!$C:$C,0)))</f>
        <v>Mode Shifting</v>
      </c>
      <c r="C108" s="394" t="str">
        <f t="shared" si="8"/>
        <v>Percent of Travel Demand Shifted to Other Modes or Eliminated</v>
      </c>
      <c r="D108" s="399" t="s">
        <v>670</v>
      </c>
      <c r="E108" s="399" t="s">
        <v>668</v>
      </c>
      <c r="F108" s="399" t="s">
        <v>671</v>
      </c>
      <c r="G108" s="399" t="s">
        <v>682</v>
      </c>
      <c r="H108" s="377">
        <v>853</v>
      </c>
      <c r="I108" s="396" t="s">
        <v>658</v>
      </c>
      <c r="J108" s="397" t="str">
        <f>IF(ISBLANK(INDEX('Policy Characteristics'!D:D,MATCH($C108,'Policy Characteristics'!$C:$C,0))),"",INDEX('Policy Characteristics'!D:D,MATCH($C108,'Policy Characteristics'!$C:$C,0)))</f>
        <v>Mode Shifting</v>
      </c>
      <c r="K108" s="394" t="str">
        <f>IF(ISBLANK(INDEX('Policy Characteristics'!E:E,MATCH($C108,'Policy Characteristics'!$C:$C,0))),"",INDEX('Policy Characteristics'!E:E,MATCH($C108,'Policy Characteristics'!$C:$C,0)))</f>
        <v>trans mode shifting</v>
      </c>
      <c r="L108" s="398">
        <f>IF(ISBLANK(INDEX('Policy Characteristics'!F:F,MATCH($C108,'Policy Characteristics'!$C:$C,0))),"",INDEX('Policy Characteristics'!F:F,MATCH($C108,'Policy Characteristics'!$C:$C,0)))</f>
        <v>0</v>
      </c>
      <c r="M108" s="398">
        <f>IF(ISBLANK(INDEX('Policy Characteristics'!G:G,MATCH($C108,'Policy Characteristics'!$C:$C,0))),"",INDEX('Policy Characteristics'!G:G,MATCH($C108,'Policy Characteristics'!$C:$C,0)))</f>
        <v>0.26</v>
      </c>
      <c r="N108" s="398">
        <f>IF(ISBLANK(INDEX('Policy Characteristics'!H:H,MATCH($C108,'Policy Characteristics'!$C:$C,0))),"",INDEX('Policy Characteristics'!H:H,MATCH($C108,'Policy Characteristics'!$C:$C,0)))</f>
        <v>0.01</v>
      </c>
      <c r="O108" s="394" t="str">
        <f>IF(ISBLANK(INDEX('Policy Characteristics'!I:I,MATCH($C108,'Policy Characteristics'!$C:$C,0))),"",INDEX('Policy Characteristics'!I:I,MATCH($C108,'Policy Characteristics'!$C:$C,0)))</f>
        <v>% of trips shifted</v>
      </c>
      <c r="P108" s="394" t="str">
        <f>IF(ISBLANK(INDEX('Policy Characteristics'!J:J,MATCH($C108,'Policy Characteristics'!$C:$C,0))),"",INDEX('Policy Characteristics'!J:J,MATCH($C108,'Policy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8" s="394" t="str">
        <f>IF(ISBLANK(INDEX('Policy Characteristics'!K:K,MATCH($C108,'Policy Characteristics'!$C:$C,0))),"",INDEX('Policy Characteristics'!K:K,MATCH($C108,'Policy Characteristics'!$C:$C,0)))</f>
        <v>transportation-sector-main.html#tdm</v>
      </c>
      <c r="R108" s="394" t="str">
        <f>IF(ISBLANK(INDEX('Policy Characteristics'!L:L,MATCH($C108,'Policy Characteristics'!$C:$C,0))),"",INDEX('Policy Characteristics'!L:L,MATCH($C108,'Policy Characteristics'!$C:$C,0)))</f>
        <v>transportation-demand-management.html</v>
      </c>
    </row>
    <row r="109" customHeight="1" spans="1:18">
      <c r="A109" s="394" t="str">
        <f>IF(ISBLANK(INDEX('Policy Characteristics'!A:A,MATCH($C109,'Policy Characteristics'!$C:$C,0))),"",INDEX('Policy Characteristics'!A:A,MATCH($C109,'Policy Characteristics'!$C:$C,0)))</f>
        <v>Transportation</v>
      </c>
      <c r="B109" s="395" t="str">
        <f>IF(ISBLANK(INDEX('Policy Characteristics'!B:B,MATCH($C109,'Policy Characteristics'!$C:$C,0))),"",INDEX('Policy Characteristics'!B:B,MATCH($C109,'Policy Characteristics'!$C:$C,0)))</f>
        <v>Mode Shifting</v>
      </c>
      <c r="C109" s="394" t="str">
        <f t="shared" si="8"/>
        <v>Percent of Travel Demand Shifted to Other Modes or Eliminated</v>
      </c>
      <c r="D109" s="399" t="s">
        <v>673</v>
      </c>
      <c r="E109" s="399" t="s">
        <v>644</v>
      </c>
      <c r="F109" s="399" t="s">
        <v>674</v>
      </c>
      <c r="G109" s="28" t="s">
        <v>675</v>
      </c>
      <c r="H109" s="377">
        <v>854</v>
      </c>
      <c r="I109" s="396" t="s">
        <v>648</v>
      </c>
      <c r="J109" s="397" t="str">
        <f>IF(ISBLANK(INDEX('Policy Characteristics'!D:D,MATCH($C109,'Policy Characteristics'!$C:$C,0))),"",INDEX('Policy Characteristics'!D:D,MATCH($C109,'Policy Characteristics'!$C:$C,0)))</f>
        <v>Mode Shifting</v>
      </c>
      <c r="K109" s="394" t="str">
        <f>IF(ISBLANK(INDEX('Policy Characteristics'!E:E,MATCH($C109,'Policy Characteristics'!$C:$C,0))),"",INDEX('Policy Characteristics'!E:E,MATCH($C109,'Policy Characteristics'!$C:$C,0)))</f>
        <v>trans mode shifting</v>
      </c>
      <c r="L109" s="398">
        <f>IF(ISBLANK(INDEX('Policy Characteristics'!F:F,MATCH($C109,'Policy Characteristics'!$C:$C,0))),"",INDEX('Policy Characteristics'!F:F,MATCH($C109,'Policy Characteristics'!$C:$C,0)))</f>
        <v>0</v>
      </c>
      <c r="M109" s="398">
        <f>IF(ISBLANK(INDEX('Policy Characteristics'!G:G,MATCH($C109,'Policy Characteristics'!$C:$C,0))),"",INDEX('Policy Characteristics'!G:G,MATCH($C109,'Policy Characteristics'!$C:$C,0)))</f>
        <v>0.26</v>
      </c>
      <c r="N109" s="398">
        <f>IF(ISBLANK(INDEX('Policy Characteristics'!H:H,MATCH($C109,'Policy Characteristics'!$C:$C,0))),"",INDEX('Policy Characteristics'!H:H,MATCH($C109,'Policy Characteristics'!$C:$C,0)))</f>
        <v>0.01</v>
      </c>
      <c r="O109" s="394" t="str">
        <f>IF(ISBLANK(INDEX('Policy Characteristics'!I:I,MATCH($C109,'Policy Characteristics'!$C:$C,0))),"",INDEX('Policy Characteristics'!I:I,MATCH($C109,'Policy Characteristics'!$C:$C,0)))</f>
        <v>% of trips shifted</v>
      </c>
      <c r="P109" s="394" t="str">
        <f>IF(ISBLANK(INDEX('Policy Characteristics'!J:J,MATCH($C109,'Policy Characteristics'!$C:$C,0))),"",INDEX('Policy Characteristics'!J:J,MATCH($C109,'Policy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9" s="394" t="str">
        <f>IF(ISBLANK(INDEX('Policy Characteristics'!K:K,MATCH($C109,'Policy Characteristics'!$C:$C,0))),"",INDEX('Policy Characteristics'!K:K,MATCH($C109,'Policy Characteristics'!$C:$C,0)))</f>
        <v>transportation-sector-main.html#tdm</v>
      </c>
      <c r="R109" s="394" t="str">
        <f>IF(ISBLANK(INDEX('Policy Characteristics'!L:L,MATCH($C109,'Policy Characteristics'!$C:$C,0))),"",INDEX('Policy Characteristics'!L:L,MATCH($C109,'Policy Characteristics'!$C:$C,0)))</f>
        <v>transportation-demand-management.html</v>
      </c>
    </row>
    <row r="110" customHeight="1" spans="1:18">
      <c r="A110" s="394" t="str">
        <f>IF(ISBLANK(INDEX('Policy Characteristics'!A:A,MATCH($C110,'Policy Characteristics'!$C:$C,0))),"",INDEX('Policy Characteristics'!A:A,MATCH($C110,'Policy Characteristics'!$C:$C,0)))</f>
        <v>Transportation</v>
      </c>
      <c r="B110" s="395" t="str">
        <f>IF(ISBLANK(INDEX('Policy Characteristics'!B:B,MATCH($C110,'Policy Characteristics'!$C:$C,0))),"",INDEX('Policy Characteristics'!B:B,MATCH($C110,'Policy Characteristics'!$C:$C,0)))</f>
        <v>Mode Shifting</v>
      </c>
      <c r="C110" s="394" t="str">
        <f t="shared" si="8"/>
        <v>Percent of Travel Demand Shifted to Other Modes or Eliminated</v>
      </c>
      <c r="D110" s="399" t="s">
        <v>673</v>
      </c>
      <c r="E110" s="399" t="s">
        <v>660</v>
      </c>
      <c r="F110" s="399" t="s">
        <v>674</v>
      </c>
      <c r="G110" s="28" t="s">
        <v>677</v>
      </c>
      <c r="H110" s="377">
        <v>855</v>
      </c>
      <c r="I110" s="396" t="s">
        <v>648</v>
      </c>
      <c r="J110" s="397" t="str">
        <f>IF(ISBLANK(INDEX('Policy Characteristics'!D:D,MATCH($C110,'Policy Characteristics'!$C:$C,0))),"",INDEX('Policy Characteristics'!D:D,MATCH($C110,'Policy Characteristics'!$C:$C,0)))</f>
        <v>Mode Shifting</v>
      </c>
      <c r="K110" s="394" t="str">
        <f>IF(ISBLANK(INDEX('Policy Characteristics'!E:E,MATCH($C110,'Policy Characteristics'!$C:$C,0))),"",INDEX('Policy Characteristics'!E:E,MATCH($C110,'Policy Characteristics'!$C:$C,0)))</f>
        <v>trans mode shifting</v>
      </c>
      <c r="L110" s="398">
        <f>IF(ISBLANK(INDEX('Policy Characteristics'!F:F,MATCH($C110,'Policy Characteristics'!$C:$C,0))),"",INDEX('Policy Characteristics'!F:F,MATCH($C110,'Policy Characteristics'!$C:$C,0)))</f>
        <v>0</v>
      </c>
      <c r="M110" s="398">
        <f>IF(ISBLANK(INDEX('Policy Characteristics'!G:G,MATCH($C110,'Policy Characteristics'!$C:$C,0))),"",INDEX('Policy Characteristics'!G:G,MATCH($C110,'Policy Characteristics'!$C:$C,0)))</f>
        <v>0.26</v>
      </c>
      <c r="N110" s="398">
        <f>IF(ISBLANK(INDEX('Policy Characteristics'!H:H,MATCH($C110,'Policy Characteristics'!$C:$C,0))),"",INDEX('Policy Characteristics'!H:H,MATCH($C110,'Policy Characteristics'!$C:$C,0)))</f>
        <v>0.01</v>
      </c>
      <c r="O110" s="394" t="str">
        <f>IF(ISBLANK(INDEX('Policy Characteristics'!I:I,MATCH($C110,'Policy Characteristics'!$C:$C,0))),"",INDEX('Policy Characteristics'!I:I,MATCH($C110,'Policy Characteristics'!$C:$C,0)))</f>
        <v>% of trips shifted</v>
      </c>
      <c r="P110" s="394" t="str">
        <f>IF(ISBLANK(INDEX('Policy Characteristics'!J:J,MATCH($C110,'Policy Characteristics'!$C:$C,0))),"",INDEX('Policy Characteristics'!J:J,MATCH($C110,'Policy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0" s="394" t="str">
        <f>IF(ISBLANK(INDEX('Policy Characteristics'!K:K,MATCH($C110,'Policy Characteristics'!$C:$C,0))),"",INDEX('Policy Characteristics'!K:K,MATCH($C110,'Policy Characteristics'!$C:$C,0)))</f>
        <v>transportation-sector-main.html#tdm</v>
      </c>
      <c r="R110" s="394" t="str">
        <f>IF(ISBLANK(INDEX('Policy Characteristics'!L:L,MATCH($C110,'Policy Characteristics'!$C:$C,0))),"",INDEX('Policy Characteristics'!L:L,MATCH($C110,'Policy Characteristics'!$C:$C,0)))</f>
        <v>transportation-demand-management.html</v>
      </c>
    </row>
    <row r="111" customHeight="1" spans="1:18">
      <c r="A111" s="394" t="str">
        <f>IF(ISBLANK(INDEX('Policy Characteristics'!A:A,MATCH($C111,'Policy Characteristics'!$C:$C,0))),"",INDEX('Policy Characteristics'!A:A,MATCH($C111,'Policy Characteristics'!$C:$C,0)))</f>
        <v>Transportation</v>
      </c>
      <c r="B111" s="395" t="str">
        <f>IF(ISBLANK(INDEX('Policy Characteristics'!B:B,MATCH($C111,'Policy Characteristics'!$C:$C,0))),"",INDEX('Policy Characteristics'!B:B,MATCH($C111,'Policy Characteristics'!$C:$C,0)))</f>
        <v>Mode Shifting</v>
      </c>
      <c r="C111" s="394" t="str">
        <f t="shared" si="8"/>
        <v>Percent of Travel Demand Shifted to Other Modes or Eliminated</v>
      </c>
      <c r="D111" s="399" t="s">
        <v>673</v>
      </c>
      <c r="E111" s="399" t="s">
        <v>662</v>
      </c>
      <c r="F111" s="399" t="s">
        <v>674</v>
      </c>
      <c r="G111" s="28" t="s">
        <v>678</v>
      </c>
      <c r="H111" s="377">
        <v>856</v>
      </c>
      <c r="I111" s="396" t="s">
        <v>658</v>
      </c>
      <c r="J111" s="397" t="str">
        <f>IF(ISBLANK(INDEX('Policy Characteristics'!D:D,MATCH($C111,'Policy Characteristics'!$C:$C,0))),"",INDEX('Policy Characteristics'!D:D,MATCH($C111,'Policy Characteristics'!$C:$C,0)))</f>
        <v>Mode Shifting</v>
      </c>
      <c r="K111" s="394" t="str">
        <f>IF(ISBLANK(INDEX('Policy Characteristics'!E:E,MATCH($C111,'Policy Characteristics'!$C:$C,0))),"",INDEX('Policy Characteristics'!E:E,MATCH($C111,'Policy Characteristics'!$C:$C,0)))</f>
        <v>trans mode shifting</v>
      </c>
      <c r="L111" s="398">
        <f>IF(ISBLANK(INDEX('Policy Characteristics'!F:F,MATCH($C111,'Policy Characteristics'!$C:$C,0))),"",INDEX('Policy Characteristics'!F:F,MATCH($C111,'Policy Characteristics'!$C:$C,0)))</f>
        <v>0</v>
      </c>
      <c r="M111" s="398">
        <f>IF(ISBLANK(INDEX('Policy Characteristics'!G:G,MATCH($C111,'Policy Characteristics'!$C:$C,0))),"",INDEX('Policy Characteristics'!G:G,MATCH($C111,'Policy Characteristics'!$C:$C,0)))</f>
        <v>0.26</v>
      </c>
      <c r="N111" s="398">
        <f>IF(ISBLANK(INDEX('Policy Characteristics'!H:H,MATCH($C111,'Policy Characteristics'!$C:$C,0))),"",INDEX('Policy Characteristics'!H:H,MATCH($C111,'Policy Characteristics'!$C:$C,0)))</f>
        <v>0.01</v>
      </c>
      <c r="O111" s="394" t="str">
        <f>IF(ISBLANK(INDEX('Policy Characteristics'!I:I,MATCH($C111,'Policy Characteristics'!$C:$C,0))),"",INDEX('Policy Characteristics'!I:I,MATCH($C111,'Policy Characteristics'!$C:$C,0)))</f>
        <v>% of trips shifted</v>
      </c>
      <c r="P111" s="394" t="str">
        <f>IF(ISBLANK(INDEX('Policy Characteristics'!J:J,MATCH($C111,'Policy Characteristics'!$C:$C,0))),"",INDEX('Policy Characteristics'!J:J,MATCH($C111,'Policy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1" s="394" t="str">
        <f>IF(ISBLANK(INDEX('Policy Characteristics'!K:K,MATCH($C111,'Policy Characteristics'!$C:$C,0))),"",INDEX('Policy Characteristics'!K:K,MATCH($C111,'Policy Characteristics'!$C:$C,0)))</f>
        <v>transportation-sector-main.html#tdm</v>
      </c>
      <c r="R111" s="394" t="str">
        <f>IF(ISBLANK(INDEX('Policy Characteristics'!L:L,MATCH($C111,'Policy Characteristics'!$C:$C,0))),"",INDEX('Policy Characteristics'!L:L,MATCH($C111,'Policy Characteristics'!$C:$C,0)))</f>
        <v>transportation-demand-management.html</v>
      </c>
    </row>
    <row r="112" customHeight="1" spans="1:18">
      <c r="A112" s="394" t="str">
        <f>IF(ISBLANK(INDEX('Policy Characteristics'!A:A,MATCH($C112,'Policy Characteristics'!$C:$C,0))),"",INDEX('Policy Characteristics'!A:A,MATCH($C112,'Policy Characteristics'!$C:$C,0)))</f>
        <v>Transportation</v>
      </c>
      <c r="B112" s="395" t="str">
        <f>IF(ISBLANK(INDEX('Policy Characteristics'!B:B,MATCH($C112,'Policy Characteristics'!$C:$C,0))),"",INDEX('Policy Characteristics'!B:B,MATCH($C112,'Policy Characteristics'!$C:$C,0)))</f>
        <v>Mode Shifting</v>
      </c>
      <c r="C112" s="394" t="str">
        <f t="shared" si="8"/>
        <v>Percent of Travel Demand Shifted to Other Modes or Eliminated</v>
      </c>
      <c r="D112" s="399" t="s">
        <v>673</v>
      </c>
      <c r="E112" s="399" t="s">
        <v>664</v>
      </c>
      <c r="F112" s="399" t="s">
        <v>674</v>
      </c>
      <c r="G112" s="399" t="s">
        <v>679</v>
      </c>
      <c r="H112" s="377">
        <v>857</v>
      </c>
      <c r="I112" s="396" t="s">
        <v>658</v>
      </c>
      <c r="J112" s="397" t="str">
        <f>IF(ISBLANK(INDEX('Policy Characteristics'!D:D,MATCH($C112,'Policy Characteristics'!$C:$C,0))),"",INDEX('Policy Characteristics'!D:D,MATCH($C112,'Policy Characteristics'!$C:$C,0)))</f>
        <v>Mode Shifting</v>
      </c>
      <c r="K112" s="394" t="str">
        <f>IF(ISBLANK(INDEX('Policy Characteristics'!E:E,MATCH($C112,'Policy Characteristics'!$C:$C,0))),"",INDEX('Policy Characteristics'!E:E,MATCH($C112,'Policy Characteristics'!$C:$C,0)))</f>
        <v>trans mode shifting</v>
      </c>
      <c r="L112" s="398">
        <f>IF(ISBLANK(INDEX('Policy Characteristics'!F:F,MATCH($C112,'Policy Characteristics'!$C:$C,0))),"",INDEX('Policy Characteristics'!F:F,MATCH($C112,'Policy Characteristics'!$C:$C,0)))</f>
        <v>0</v>
      </c>
      <c r="M112" s="398">
        <f>IF(ISBLANK(INDEX('Policy Characteristics'!G:G,MATCH($C112,'Policy Characteristics'!$C:$C,0))),"",INDEX('Policy Characteristics'!G:G,MATCH($C112,'Policy Characteristics'!$C:$C,0)))</f>
        <v>0.26</v>
      </c>
      <c r="N112" s="398">
        <f>IF(ISBLANK(INDEX('Policy Characteristics'!H:H,MATCH($C112,'Policy Characteristics'!$C:$C,0))),"",INDEX('Policy Characteristics'!H:H,MATCH($C112,'Policy Characteristics'!$C:$C,0)))</f>
        <v>0.01</v>
      </c>
      <c r="O112" s="394" t="str">
        <f>IF(ISBLANK(INDEX('Policy Characteristics'!I:I,MATCH($C112,'Policy Characteristics'!$C:$C,0))),"",INDEX('Policy Characteristics'!I:I,MATCH($C112,'Policy Characteristics'!$C:$C,0)))</f>
        <v>% of trips shifted</v>
      </c>
      <c r="P112" s="394" t="str">
        <f>IF(ISBLANK(INDEX('Policy Characteristics'!J:J,MATCH($C112,'Policy Characteristics'!$C:$C,0))),"",INDEX('Policy Characteristics'!J:J,MATCH($C112,'Policy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2" s="394" t="str">
        <f>IF(ISBLANK(INDEX('Policy Characteristics'!K:K,MATCH($C112,'Policy Characteristics'!$C:$C,0))),"",INDEX('Policy Characteristics'!K:K,MATCH($C112,'Policy Characteristics'!$C:$C,0)))</f>
        <v>transportation-sector-main.html#tdm</v>
      </c>
      <c r="R112" s="394" t="str">
        <f>IF(ISBLANK(INDEX('Policy Characteristics'!L:L,MATCH($C112,'Policy Characteristics'!$C:$C,0))),"",INDEX('Policy Characteristics'!L:L,MATCH($C112,'Policy Characteristics'!$C:$C,0)))</f>
        <v>transportation-demand-management.html</v>
      </c>
    </row>
    <row r="113" customHeight="1" spans="1:18">
      <c r="A113" s="394" t="str">
        <f>IF(ISBLANK(INDEX('Policy Characteristics'!A:A,MATCH($C113,'Policy Characteristics'!$C:$C,0))),"",INDEX('Policy Characteristics'!A:A,MATCH($C113,'Policy Characteristics'!$C:$C,0)))</f>
        <v>Transportation</v>
      </c>
      <c r="B113" s="395" t="str">
        <f>IF(ISBLANK(INDEX('Policy Characteristics'!B:B,MATCH($C113,'Policy Characteristics'!$C:$C,0))),"",INDEX('Policy Characteristics'!B:B,MATCH($C113,'Policy Characteristics'!$C:$C,0)))</f>
        <v>Mode Shifting</v>
      </c>
      <c r="C113" s="394" t="str">
        <f t="shared" si="8"/>
        <v>Percent of Travel Demand Shifted to Other Modes or Eliminated</v>
      </c>
      <c r="D113" s="399" t="s">
        <v>673</v>
      </c>
      <c r="E113" s="399" t="s">
        <v>666</v>
      </c>
      <c r="F113" s="399" t="s">
        <v>674</v>
      </c>
      <c r="G113" s="28" t="s">
        <v>681</v>
      </c>
      <c r="H113" s="377">
        <v>858</v>
      </c>
      <c r="I113" s="396" t="s">
        <v>658</v>
      </c>
      <c r="J113" s="397" t="str">
        <f>IF(ISBLANK(INDEX('Policy Characteristics'!D:D,MATCH($C113,'Policy Characteristics'!$C:$C,0))),"",INDEX('Policy Characteristics'!D:D,MATCH($C113,'Policy Characteristics'!$C:$C,0)))</f>
        <v>Mode Shifting</v>
      </c>
      <c r="K113" s="394" t="str">
        <f>IF(ISBLANK(INDEX('Policy Characteristics'!E:E,MATCH($C113,'Policy Characteristics'!$C:$C,0))),"",INDEX('Policy Characteristics'!E:E,MATCH($C113,'Policy Characteristics'!$C:$C,0)))</f>
        <v>trans mode shifting</v>
      </c>
      <c r="L113" s="398">
        <f>IF(ISBLANK(INDEX('Policy Characteristics'!F:F,MATCH($C113,'Policy Characteristics'!$C:$C,0))),"",INDEX('Policy Characteristics'!F:F,MATCH($C113,'Policy Characteristics'!$C:$C,0)))</f>
        <v>0</v>
      </c>
      <c r="M113" s="398">
        <f>IF(ISBLANK(INDEX('Policy Characteristics'!G:G,MATCH($C113,'Policy Characteristics'!$C:$C,0))),"",INDEX('Policy Characteristics'!G:G,MATCH($C113,'Policy Characteristics'!$C:$C,0)))</f>
        <v>0.26</v>
      </c>
      <c r="N113" s="398">
        <f>IF(ISBLANK(INDEX('Policy Characteristics'!H:H,MATCH($C113,'Policy Characteristics'!$C:$C,0))),"",INDEX('Policy Characteristics'!H:H,MATCH($C113,'Policy Characteristics'!$C:$C,0)))</f>
        <v>0.01</v>
      </c>
      <c r="O113" s="394" t="str">
        <f>IF(ISBLANK(INDEX('Policy Characteristics'!I:I,MATCH($C113,'Policy Characteristics'!$C:$C,0))),"",INDEX('Policy Characteristics'!I:I,MATCH($C113,'Policy Characteristics'!$C:$C,0)))</f>
        <v>% of trips shifted</v>
      </c>
      <c r="P113" s="394" t="str">
        <f>IF(ISBLANK(INDEX('Policy Characteristics'!J:J,MATCH($C113,'Policy Characteristics'!$C:$C,0))),"",INDEX('Policy Characteristics'!J:J,MATCH($C113,'Policy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3" s="394" t="str">
        <f>IF(ISBLANK(INDEX('Policy Characteristics'!K:K,MATCH($C113,'Policy Characteristics'!$C:$C,0))),"",INDEX('Policy Characteristics'!K:K,MATCH($C113,'Policy Characteristics'!$C:$C,0)))</f>
        <v>transportation-sector-main.html#tdm</v>
      </c>
      <c r="R113" s="394" t="str">
        <f>IF(ISBLANK(INDEX('Policy Characteristics'!L:L,MATCH($C113,'Policy Characteristics'!$C:$C,0))),"",INDEX('Policy Characteristics'!L:L,MATCH($C113,'Policy Characteristics'!$C:$C,0)))</f>
        <v>transportation-demand-management.html</v>
      </c>
    </row>
    <row r="114" customHeight="1" spans="1:18">
      <c r="A114" s="394" t="str">
        <f>IF(ISBLANK(INDEX('Policy Characteristics'!A:A,MATCH($C114,'Policy Characteristics'!$C:$C,0))),"",INDEX('Policy Characteristics'!A:A,MATCH($C114,'Policy Characteristics'!$C:$C,0)))</f>
        <v>Transportation</v>
      </c>
      <c r="B114" s="395" t="str">
        <f>IF(ISBLANK(INDEX('Policy Characteristics'!B:B,MATCH($C114,'Policy Characteristics'!$C:$C,0))),"",INDEX('Policy Characteristics'!B:B,MATCH($C114,'Policy Characteristics'!$C:$C,0)))</f>
        <v>Mode Shifting</v>
      </c>
      <c r="C114" s="394" t="str">
        <f t="shared" si="8"/>
        <v>Percent of Travel Demand Shifted to Other Modes or Eliminated</v>
      </c>
      <c r="D114" s="399" t="s">
        <v>673</v>
      </c>
      <c r="E114" s="399" t="s">
        <v>668</v>
      </c>
      <c r="F114" s="399" t="s">
        <v>674</v>
      </c>
      <c r="G114" s="399" t="s">
        <v>682</v>
      </c>
      <c r="H114" s="377">
        <v>859</v>
      </c>
      <c r="I114" s="396" t="s">
        <v>658</v>
      </c>
      <c r="J114" s="397" t="str">
        <f>IF(ISBLANK(INDEX('Policy Characteristics'!D:D,MATCH($C114,'Policy Characteristics'!$C:$C,0))),"",INDEX('Policy Characteristics'!D:D,MATCH($C114,'Policy Characteristics'!$C:$C,0)))</f>
        <v>Mode Shifting</v>
      </c>
      <c r="K114" s="394" t="str">
        <f>IF(ISBLANK(INDEX('Policy Characteristics'!E:E,MATCH($C114,'Policy Characteristics'!$C:$C,0))),"",INDEX('Policy Characteristics'!E:E,MATCH($C114,'Policy Characteristics'!$C:$C,0)))</f>
        <v>trans mode shifting</v>
      </c>
      <c r="L114" s="398">
        <f>IF(ISBLANK(INDEX('Policy Characteristics'!F:F,MATCH($C114,'Policy Characteristics'!$C:$C,0))),"",INDEX('Policy Characteristics'!F:F,MATCH($C114,'Policy Characteristics'!$C:$C,0)))</f>
        <v>0</v>
      </c>
      <c r="M114" s="398">
        <f>IF(ISBLANK(INDEX('Policy Characteristics'!G:G,MATCH($C114,'Policy Characteristics'!$C:$C,0))),"",INDEX('Policy Characteristics'!G:G,MATCH($C114,'Policy Characteristics'!$C:$C,0)))</f>
        <v>0.26</v>
      </c>
      <c r="N114" s="398">
        <f>IF(ISBLANK(INDEX('Policy Characteristics'!H:H,MATCH($C114,'Policy Characteristics'!$C:$C,0))),"",INDEX('Policy Characteristics'!H:H,MATCH($C114,'Policy Characteristics'!$C:$C,0)))</f>
        <v>0.01</v>
      </c>
      <c r="O114" s="394" t="str">
        <f>IF(ISBLANK(INDEX('Policy Characteristics'!I:I,MATCH($C114,'Policy Characteristics'!$C:$C,0))),"",INDEX('Policy Characteristics'!I:I,MATCH($C114,'Policy Characteristics'!$C:$C,0)))</f>
        <v>% of trips shifted</v>
      </c>
      <c r="P114" s="394" t="str">
        <f>IF(ISBLANK(INDEX('Policy Characteristics'!J:J,MATCH($C114,'Policy Characteristics'!$C:$C,0))),"",INDEX('Policy Characteristics'!J:J,MATCH($C114,'Policy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4" s="394" t="str">
        <f>IF(ISBLANK(INDEX('Policy Characteristics'!K:K,MATCH($C114,'Policy Characteristics'!$C:$C,0))),"",INDEX('Policy Characteristics'!K:K,MATCH($C114,'Policy Characteristics'!$C:$C,0)))</f>
        <v>transportation-sector-main.html#tdm</v>
      </c>
      <c r="R114" s="394" t="str">
        <f>IF(ISBLANK(INDEX('Policy Characteristics'!L:L,MATCH($C114,'Policy Characteristics'!$C:$C,0))),"",INDEX('Policy Characteristics'!L:L,MATCH($C114,'Policy Characteristics'!$C:$C,0)))</f>
        <v>transportation-demand-management.html</v>
      </c>
    </row>
    <row r="115" customHeight="1" spans="1:18">
      <c r="A115" s="394" t="str">
        <f>IF(ISBLANK(INDEX('Policy Characteristics'!A:A,MATCH($C115,'Policy Characteristics'!$C:$C,0))),"",INDEX('Policy Characteristics'!A:A,MATCH($C115,'Policy Characteristics'!$C:$C,0)))</f>
        <v>Buildings and Appliances</v>
      </c>
      <c r="B115" s="395" t="str">
        <f>IF(ISBLANK(INDEX('Policy Characteristics'!B:B,MATCH($C115,'Policy Characteristics'!$C:$C,0))),"",INDEX('Policy Characteristics'!B:B,MATCH($C115,'Policy Characteristics'!$C:$C,0)))</f>
        <v>Building Component Electrification</v>
      </c>
      <c r="C115" t="s">
        <v>142</v>
      </c>
      <c r="D115" s="399" t="s">
        <v>683</v>
      </c>
      <c r="E115" s="399" t="s">
        <v>684</v>
      </c>
      <c r="F115" s="399" t="s">
        <v>685</v>
      </c>
      <c r="G115" s="399" t="s">
        <v>686</v>
      </c>
      <c r="H115" s="377">
        <v>435</v>
      </c>
      <c r="I115" s="396" t="s">
        <v>648</v>
      </c>
      <c r="J115" s="397" t="str">
        <f>IF(ISBLANK(INDEX('Policy Characteristics'!D:D,MATCH($C115,'Policy Characteristics'!$C:$C,0))),"",INDEX('Policy Characteristics'!D:D,MATCH($C115,'Policy Characteristics'!$C:$C,0)))</f>
        <v>Building Component Electrification</v>
      </c>
      <c r="K115" s="394" t="str">
        <f>IF(ISBLANK(INDEX('Policy Characteristics'!E:E,MATCH($C115,'Policy Characteristics'!$C:$C,0))),"",INDEX('Policy Characteristics'!E:E,MATCH($C115,'Policy Characteristics'!$C:$C,0)))</f>
        <v>bldgs new component fuel shifting</v>
      </c>
      <c r="L115" s="398">
        <f>IF(ISBLANK(INDEX('Policy Characteristics'!F:F,MATCH($C115,'Policy Characteristics'!$C:$C,0))),"",INDEX('Policy Characteristics'!F:F,MATCH($C115,'Policy Characteristics'!$C:$C,0)))</f>
        <v>0</v>
      </c>
      <c r="M115" s="398">
        <f>IF(ISBLANK(INDEX('Policy Characteristics'!G:G,MATCH($C115,'Policy Characteristics'!$C:$C,0))),"",INDEX('Policy Characteristics'!G:G,MATCH($C115,'Policy Characteristics'!$C:$C,0)))</f>
        <v>1</v>
      </c>
      <c r="N115" s="398">
        <f>IF(ISBLANK(INDEX('Policy Characteristics'!H:H,MATCH($C115,'Policy Characteristics'!$C:$C,0))),"",INDEX('Policy Characteristics'!H:H,MATCH($C115,'Policy Characteristics'!$C:$C,0)))</f>
        <v>0.01</v>
      </c>
      <c r="O115" s="394" t="str">
        <f>IF(ISBLANK(INDEX('Policy Characteristics'!I:I,MATCH($C115,'Policy Characteristics'!$C:$C,0))),"",INDEX('Policy Characteristics'!I:I,MATCH($C115,'Policy Characteristics'!$C:$C,0)))</f>
        <v>% of newly sold non-electric building components</v>
      </c>
      <c r="P115" s="394" t="str">
        <f>IF(ISBLANK(INDEX('Policy Characteristics'!J:J,MATCH($C115,'Policy Characteristics'!$C:$C,0))),"",INDEX('Policy Characteristics'!J:J,MATCH($C115,'Policy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5" s="394" t="str">
        <f>IF(ISBLANK(INDEX('Policy Characteristics'!K:K,MATCH($C115,'Policy Characteristics'!$C:$C,0))),"",INDEX('Policy Characteristics'!K:K,MATCH($C115,'Policy Characteristics'!$C:$C,0)))</f>
        <v>buildings-sector-main.html#component-elec</v>
      </c>
      <c r="R115" s="394" t="str">
        <f>IF(ISBLANK(INDEX('Policy Characteristics'!L:L,MATCH($C115,'Policy Characteristics'!$C:$C,0))),"",INDEX('Policy Characteristics'!L:L,MATCH($C115,'Policy Characteristics'!$C:$C,0)))</f>
        <v>building-component-electrification.html</v>
      </c>
    </row>
    <row r="116" customHeight="1" spans="1:18">
      <c r="A116" s="394" t="str">
        <f>IF(ISBLANK(INDEX('Policy Characteristics'!A:A,MATCH($C116,'Policy Characteristics'!$C:$C,0))),"",INDEX('Policy Characteristics'!A:A,MATCH($C116,'Policy Characteristics'!$C:$C,0)))</f>
        <v>Buildings and Appliances</v>
      </c>
      <c r="B116" s="395" t="str">
        <f>IF(ISBLANK(INDEX('Policy Characteristics'!B:B,MATCH($C116,'Policy Characteristics'!$C:$C,0))),"",INDEX('Policy Characteristics'!B:B,MATCH($C116,'Policy Characteristics'!$C:$C,0)))</f>
        <v>Building Component Electrification</v>
      </c>
      <c r="C116" s="394" t="str">
        <f t="shared" ref="C116:C128" si="9">C$115</f>
        <v>Fraction of New Bldg Components Shifted to Other Fuels</v>
      </c>
      <c r="D116" s="399" t="s">
        <v>687</v>
      </c>
      <c r="E116" s="399" t="s">
        <v>684</v>
      </c>
      <c r="F116" s="399" t="s">
        <v>688</v>
      </c>
      <c r="G116" s="399" t="s">
        <v>686</v>
      </c>
      <c r="H116" s="377">
        <v>436</v>
      </c>
      <c r="I116" s="396" t="s">
        <v>658</v>
      </c>
      <c r="J116" s="397" t="str">
        <f>IF(ISBLANK(INDEX('Policy Characteristics'!D:D,MATCH($C116,'Policy Characteristics'!$C:$C,0))),"",INDEX('Policy Characteristics'!D:D,MATCH($C116,'Policy Characteristics'!$C:$C,0)))</f>
        <v>Building Component Electrification</v>
      </c>
      <c r="K116" s="394" t="str">
        <f>IF(ISBLANK(INDEX('Policy Characteristics'!E:E,MATCH($C116,'Policy Characteristics'!$C:$C,0))),"",INDEX('Policy Characteristics'!E:E,MATCH($C116,'Policy Characteristics'!$C:$C,0)))</f>
        <v>bldgs new component fuel shifting</v>
      </c>
      <c r="L116" s="398">
        <f>IF(ISBLANK(INDEX('Policy Characteristics'!F:F,MATCH($C116,'Policy Characteristics'!$C:$C,0))),"",INDEX('Policy Characteristics'!F:F,MATCH($C116,'Policy Characteristics'!$C:$C,0)))</f>
        <v>0</v>
      </c>
      <c r="M116" s="398">
        <f>IF(ISBLANK(INDEX('Policy Characteristics'!G:G,MATCH($C116,'Policy Characteristics'!$C:$C,0))),"",INDEX('Policy Characteristics'!G:G,MATCH($C116,'Policy Characteristics'!$C:$C,0)))</f>
        <v>1</v>
      </c>
      <c r="N116" s="398">
        <f>IF(ISBLANK(INDEX('Policy Characteristics'!H:H,MATCH($C116,'Policy Characteristics'!$C:$C,0))),"",INDEX('Policy Characteristics'!H:H,MATCH($C116,'Policy Characteristics'!$C:$C,0)))</f>
        <v>0.01</v>
      </c>
      <c r="O116" s="394" t="str">
        <f>IF(ISBLANK(INDEX('Policy Characteristics'!I:I,MATCH($C116,'Policy Characteristics'!$C:$C,0))),"",INDEX('Policy Characteristics'!I:I,MATCH($C116,'Policy Characteristics'!$C:$C,0)))</f>
        <v>% of newly sold non-electric building components</v>
      </c>
      <c r="P116" s="394" t="str">
        <f>IF(ISBLANK(INDEX('Policy Characteristics'!J:J,MATCH($C116,'Policy Characteristics'!$C:$C,0))),"",INDEX('Policy Characteristics'!J:J,MATCH($C116,'Policy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6" s="394" t="str">
        <f>IF(ISBLANK(INDEX('Policy Characteristics'!K:K,MATCH($C116,'Policy Characteristics'!$C:$C,0))),"",INDEX('Policy Characteristics'!K:K,MATCH($C116,'Policy Characteristics'!$C:$C,0)))</f>
        <v>buildings-sector-main.html#component-elec</v>
      </c>
      <c r="R116" s="394" t="str">
        <f>IF(ISBLANK(INDEX('Policy Characteristics'!L:L,MATCH($C116,'Policy Characteristics'!$C:$C,0))),"",INDEX('Policy Characteristics'!L:L,MATCH($C116,'Policy Characteristics'!$C:$C,0)))</f>
        <v>building-component-electrification.html</v>
      </c>
    </row>
    <row r="117" customHeight="1" spans="1:18">
      <c r="A117" s="394" t="str">
        <f>IF(ISBLANK(INDEX('Policy Characteristics'!A:A,MATCH($C117,'Policy Characteristics'!$C:$C,0))),"",INDEX('Policy Characteristics'!A:A,MATCH($C117,'Policy Characteristics'!$C:$C,0)))</f>
        <v>Buildings and Appliances</v>
      </c>
      <c r="B117" s="395" t="str">
        <f>IF(ISBLANK(INDEX('Policy Characteristics'!B:B,MATCH($C117,'Policy Characteristics'!$C:$C,0))),"",INDEX('Policy Characteristics'!B:B,MATCH($C117,'Policy Characteristics'!$C:$C,0)))</f>
        <v>Building Component Electrification</v>
      </c>
      <c r="C117" s="394" t="str">
        <f t="shared" si="9"/>
        <v>Fraction of New Bldg Components Shifted to Other Fuels</v>
      </c>
      <c r="D117" s="399" t="s">
        <v>689</v>
      </c>
      <c r="E117" s="399" t="s">
        <v>684</v>
      </c>
      <c r="F117" s="399" t="s">
        <v>690</v>
      </c>
      <c r="G117" s="399" t="s">
        <v>686</v>
      </c>
      <c r="H117" s="377">
        <v>437</v>
      </c>
      <c r="I117" s="396" t="s">
        <v>658</v>
      </c>
      <c r="J117" s="397" t="str">
        <f>IF(ISBLANK(INDEX('Policy Characteristics'!D:D,MATCH($C117,'Policy Characteristics'!$C:$C,0))),"",INDEX('Policy Characteristics'!D:D,MATCH($C117,'Policy Characteristics'!$C:$C,0)))</f>
        <v>Building Component Electrification</v>
      </c>
      <c r="K117" s="394" t="str">
        <f>IF(ISBLANK(INDEX('Policy Characteristics'!E:E,MATCH($C117,'Policy Characteristics'!$C:$C,0))),"",INDEX('Policy Characteristics'!E:E,MATCH($C117,'Policy Characteristics'!$C:$C,0)))</f>
        <v>bldgs new component fuel shifting</v>
      </c>
      <c r="L117" s="398">
        <f>IF(ISBLANK(INDEX('Policy Characteristics'!F:F,MATCH($C117,'Policy Characteristics'!$C:$C,0))),"",INDEX('Policy Characteristics'!F:F,MATCH($C117,'Policy Characteristics'!$C:$C,0)))</f>
        <v>0</v>
      </c>
      <c r="M117" s="398">
        <f>IF(ISBLANK(INDEX('Policy Characteristics'!G:G,MATCH($C117,'Policy Characteristics'!$C:$C,0))),"",INDEX('Policy Characteristics'!G:G,MATCH($C117,'Policy Characteristics'!$C:$C,0)))</f>
        <v>1</v>
      </c>
      <c r="N117" s="398">
        <f>IF(ISBLANK(INDEX('Policy Characteristics'!H:H,MATCH($C117,'Policy Characteristics'!$C:$C,0))),"",INDEX('Policy Characteristics'!H:H,MATCH($C117,'Policy Characteristics'!$C:$C,0)))</f>
        <v>0.01</v>
      </c>
      <c r="O117" s="394" t="str">
        <f>IF(ISBLANK(INDEX('Policy Characteristics'!I:I,MATCH($C117,'Policy Characteristics'!$C:$C,0))),"",INDEX('Policy Characteristics'!I:I,MATCH($C117,'Policy Characteristics'!$C:$C,0)))</f>
        <v>% of newly sold non-electric building components</v>
      </c>
      <c r="P117" s="394" t="str">
        <f>IF(ISBLANK(INDEX('Policy Characteristics'!J:J,MATCH($C117,'Policy Characteristics'!$C:$C,0))),"",INDEX('Policy Characteristics'!J:J,MATCH($C117,'Policy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7" s="394" t="str">
        <f>IF(ISBLANK(INDEX('Policy Characteristics'!K:K,MATCH($C117,'Policy Characteristics'!$C:$C,0))),"",INDEX('Policy Characteristics'!K:K,MATCH($C117,'Policy Characteristics'!$C:$C,0)))</f>
        <v>buildings-sector-main.html#component-elec</v>
      </c>
      <c r="R117" s="394" t="str">
        <f>IF(ISBLANK(INDEX('Policy Characteristics'!L:L,MATCH($C117,'Policy Characteristics'!$C:$C,0))),"",INDEX('Policy Characteristics'!L:L,MATCH($C117,'Policy Characteristics'!$C:$C,0)))</f>
        <v>building-component-electrification.html</v>
      </c>
    </row>
    <row r="118" customHeight="1" spans="1:18">
      <c r="A118" s="394" t="str">
        <f>IF(ISBLANK(INDEX('Policy Characteristics'!A:A,MATCH($C118,'Policy Characteristics'!$C:$C,0))),"",INDEX('Policy Characteristics'!A:A,MATCH($C118,'Policy Characteristics'!$C:$C,0)))</f>
        <v>Buildings and Appliances</v>
      </c>
      <c r="B118" s="395" t="str">
        <f>IF(ISBLANK(INDEX('Policy Characteristics'!B:B,MATCH($C118,'Policy Characteristics'!$C:$C,0))),"",INDEX('Policy Characteristics'!B:B,MATCH($C118,'Policy Characteristics'!$C:$C,0)))</f>
        <v>Building Component Electrification</v>
      </c>
      <c r="C118" s="394" t="str">
        <f t="shared" si="9"/>
        <v>Fraction of New Bldg Components Shifted to Other Fuels</v>
      </c>
      <c r="D118" s="399" t="s">
        <v>691</v>
      </c>
      <c r="E118" s="399" t="s">
        <v>684</v>
      </c>
      <c r="F118" s="399" t="s">
        <v>692</v>
      </c>
      <c r="G118" s="399" t="s">
        <v>686</v>
      </c>
      <c r="H118" s="377">
        <v>438</v>
      </c>
      <c r="I118" s="396" t="s">
        <v>648</v>
      </c>
      <c r="J118" s="397" t="str">
        <f>IF(ISBLANK(INDEX('Policy Characteristics'!D:D,MATCH($C118,'Policy Characteristics'!$C:$C,0))),"",INDEX('Policy Characteristics'!D:D,MATCH($C118,'Policy Characteristics'!$C:$C,0)))</f>
        <v>Building Component Electrification</v>
      </c>
      <c r="K118" s="394" t="str">
        <f>IF(ISBLANK(INDEX('Policy Characteristics'!E:E,MATCH($C118,'Policy Characteristics'!$C:$C,0))),"",INDEX('Policy Characteristics'!E:E,MATCH($C118,'Policy Characteristics'!$C:$C,0)))</f>
        <v>bldgs new component fuel shifting</v>
      </c>
      <c r="L118" s="398">
        <f>IF(ISBLANK(INDEX('Policy Characteristics'!F:F,MATCH($C118,'Policy Characteristics'!$C:$C,0))),"",INDEX('Policy Characteristics'!F:F,MATCH($C118,'Policy Characteristics'!$C:$C,0)))</f>
        <v>0</v>
      </c>
      <c r="M118" s="398">
        <f>IF(ISBLANK(INDEX('Policy Characteristics'!G:G,MATCH($C118,'Policy Characteristics'!$C:$C,0))),"",INDEX('Policy Characteristics'!G:G,MATCH($C118,'Policy Characteristics'!$C:$C,0)))</f>
        <v>1</v>
      </c>
      <c r="N118" s="398">
        <f>IF(ISBLANK(INDEX('Policy Characteristics'!H:H,MATCH($C118,'Policy Characteristics'!$C:$C,0))),"",INDEX('Policy Characteristics'!H:H,MATCH($C118,'Policy Characteristics'!$C:$C,0)))</f>
        <v>0.01</v>
      </c>
      <c r="O118" s="394" t="str">
        <f>IF(ISBLANK(INDEX('Policy Characteristics'!I:I,MATCH($C118,'Policy Characteristics'!$C:$C,0))),"",INDEX('Policy Characteristics'!I:I,MATCH($C118,'Policy Characteristics'!$C:$C,0)))</f>
        <v>% of newly sold non-electric building components</v>
      </c>
      <c r="P118" s="394" t="str">
        <f>IF(ISBLANK(INDEX('Policy Characteristics'!J:J,MATCH($C118,'Policy Characteristics'!$C:$C,0))),"",INDEX('Policy Characteristics'!J:J,MATCH($C118,'Policy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8" s="394" t="str">
        <f>IF(ISBLANK(INDEX('Policy Characteristics'!K:K,MATCH($C118,'Policy Characteristics'!$C:$C,0))),"",INDEX('Policy Characteristics'!K:K,MATCH($C118,'Policy Characteristics'!$C:$C,0)))</f>
        <v>buildings-sector-main.html#component-elec</v>
      </c>
      <c r="R118" s="394" t="str">
        <f>IF(ISBLANK(INDEX('Policy Characteristics'!L:L,MATCH($C118,'Policy Characteristics'!$C:$C,0))),"",INDEX('Policy Characteristics'!L:L,MATCH($C118,'Policy Characteristics'!$C:$C,0)))</f>
        <v>building-component-electrification.html</v>
      </c>
    </row>
    <row r="119" customHeight="1" spans="1:18">
      <c r="A119" s="394" t="str">
        <f>IF(ISBLANK(INDEX('Policy Characteristics'!A:A,MATCH($C119,'Policy Characteristics'!$C:$C,0))),"",INDEX('Policy Characteristics'!A:A,MATCH($C119,'Policy Characteristics'!$C:$C,0)))</f>
        <v>Buildings and Appliances</v>
      </c>
      <c r="B119" s="395" t="str">
        <f>IF(ISBLANK(INDEX('Policy Characteristics'!B:B,MATCH($C119,'Policy Characteristics'!$C:$C,0))),"",INDEX('Policy Characteristics'!B:B,MATCH($C119,'Policy Characteristics'!$C:$C,0)))</f>
        <v>Building Component Electrification</v>
      </c>
      <c r="C119" s="394" t="str">
        <f t="shared" si="9"/>
        <v>Fraction of New Bldg Components Shifted to Other Fuels</v>
      </c>
      <c r="D119" s="399" t="s">
        <v>693</v>
      </c>
      <c r="E119" s="399" t="s">
        <v>684</v>
      </c>
      <c r="F119" s="399" t="s">
        <v>694</v>
      </c>
      <c r="G119" s="399" t="s">
        <v>686</v>
      </c>
      <c r="H119" s="377">
        <v>439</v>
      </c>
      <c r="I119" s="396" t="s">
        <v>648</v>
      </c>
      <c r="J119" s="397" t="str">
        <f>IF(ISBLANK(INDEX('Policy Characteristics'!D:D,MATCH($C119,'Policy Characteristics'!$C:$C,0))),"",INDEX('Policy Characteristics'!D:D,MATCH($C119,'Policy Characteristics'!$C:$C,0)))</f>
        <v>Building Component Electrification</v>
      </c>
      <c r="K119" s="394" t="str">
        <f>IF(ISBLANK(INDEX('Policy Characteristics'!E:E,MATCH($C119,'Policy Characteristics'!$C:$C,0))),"",INDEX('Policy Characteristics'!E:E,MATCH($C119,'Policy Characteristics'!$C:$C,0)))</f>
        <v>bldgs new component fuel shifting</v>
      </c>
      <c r="L119" s="398">
        <f>IF(ISBLANK(INDEX('Policy Characteristics'!F:F,MATCH($C119,'Policy Characteristics'!$C:$C,0))),"",INDEX('Policy Characteristics'!F:F,MATCH($C119,'Policy Characteristics'!$C:$C,0)))</f>
        <v>0</v>
      </c>
      <c r="M119" s="398">
        <f>IF(ISBLANK(INDEX('Policy Characteristics'!G:G,MATCH($C119,'Policy Characteristics'!$C:$C,0))),"",INDEX('Policy Characteristics'!G:G,MATCH($C119,'Policy Characteristics'!$C:$C,0)))</f>
        <v>1</v>
      </c>
      <c r="N119" s="398">
        <f>IF(ISBLANK(INDEX('Policy Characteristics'!H:H,MATCH($C119,'Policy Characteristics'!$C:$C,0))),"",INDEX('Policy Characteristics'!H:H,MATCH($C119,'Policy Characteristics'!$C:$C,0)))</f>
        <v>0.01</v>
      </c>
      <c r="O119" s="394" t="str">
        <f>IF(ISBLANK(INDEX('Policy Characteristics'!I:I,MATCH($C119,'Policy Characteristics'!$C:$C,0))),"",INDEX('Policy Characteristics'!I:I,MATCH($C119,'Policy Characteristics'!$C:$C,0)))</f>
        <v>% of newly sold non-electric building components</v>
      </c>
      <c r="P119" s="394" t="str">
        <f>IF(ISBLANK(INDEX('Policy Characteristics'!J:J,MATCH($C119,'Policy Characteristics'!$C:$C,0))),"",INDEX('Policy Characteristics'!J:J,MATCH($C119,'Policy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9" s="394" t="str">
        <f>IF(ISBLANK(INDEX('Policy Characteristics'!K:K,MATCH($C119,'Policy Characteristics'!$C:$C,0))),"",INDEX('Policy Characteristics'!K:K,MATCH($C119,'Policy Characteristics'!$C:$C,0)))</f>
        <v>buildings-sector-main.html#component-elec</v>
      </c>
      <c r="R119" s="394" t="str">
        <f>IF(ISBLANK(INDEX('Policy Characteristics'!L:L,MATCH($C119,'Policy Characteristics'!$C:$C,0))),"",INDEX('Policy Characteristics'!L:L,MATCH($C119,'Policy Characteristics'!$C:$C,0)))</f>
        <v>building-component-electrification.html</v>
      </c>
    </row>
    <row r="120" customHeight="1" spans="1:18">
      <c r="A120" s="394" t="str">
        <f>IF(ISBLANK(INDEX('Policy Characteristics'!A:A,MATCH($C120,'Policy Characteristics'!$C:$C,0))),"",INDEX('Policy Characteristics'!A:A,MATCH($C120,'Policy Characteristics'!$C:$C,0)))</f>
        <v>Buildings and Appliances</v>
      </c>
      <c r="B120" s="395" t="str">
        <f>IF(ISBLANK(INDEX('Policy Characteristics'!B:B,MATCH($C120,'Policy Characteristics'!$C:$C,0))),"",INDEX('Policy Characteristics'!B:B,MATCH($C120,'Policy Characteristics'!$C:$C,0)))</f>
        <v>Building Component Electrification</v>
      </c>
      <c r="C120" s="394" t="str">
        <f t="shared" si="9"/>
        <v>Fraction of New Bldg Components Shifted to Other Fuels</v>
      </c>
      <c r="D120" s="399" t="s">
        <v>683</v>
      </c>
      <c r="E120" s="399" t="s">
        <v>695</v>
      </c>
      <c r="F120" s="399" t="s">
        <v>685</v>
      </c>
      <c r="G120" s="399" t="s">
        <v>696</v>
      </c>
      <c r="H120" s="377">
        <v>440</v>
      </c>
      <c r="I120" s="396" t="s">
        <v>648</v>
      </c>
      <c r="J120" s="397" t="str">
        <f>IF(ISBLANK(INDEX('Policy Characteristics'!D:D,MATCH($C120,'Policy Characteristics'!$C:$C,0))),"",INDEX('Policy Characteristics'!D:D,MATCH($C120,'Policy Characteristics'!$C:$C,0)))</f>
        <v>Building Component Electrification</v>
      </c>
      <c r="K120" s="394" t="str">
        <f>IF(ISBLANK(INDEX('Policy Characteristics'!E:E,MATCH($C120,'Policy Characteristics'!$C:$C,0))),"",INDEX('Policy Characteristics'!E:E,MATCH($C120,'Policy Characteristics'!$C:$C,0)))</f>
        <v>bldgs new component fuel shifting</v>
      </c>
      <c r="L120" s="398">
        <f>IF(ISBLANK(INDEX('Policy Characteristics'!F:F,MATCH($C120,'Policy Characteristics'!$C:$C,0))),"",INDEX('Policy Characteristics'!F:F,MATCH($C120,'Policy Characteristics'!$C:$C,0)))</f>
        <v>0</v>
      </c>
      <c r="M120" s="398">
        <f>IF(ISBLANK(INDEX('Policy Characteristics'!G:G,MATCH($C120,'Policy Characteristics'!$C:$C,0))),"",INDEX('Policy Characteristics'!G:G,MATCH($C120,'Policy Characteristics'!$C:$C,0)))</f>
        <v>1</v>
      </c>
      <c r="N120" s="398">
        <f>IF(ISBLANK(INDEX('Policy Characteristics'!H:H,MATCH($C120,'Policy Characteristics'!$C:$C,0))),"",INDEX('Policy Characteristics'!H:H,MATCH($C120,'Policy Characteristics'!$C:$C,0)))</f>
        <v>0.01</v>
      </c>
      <c r="O120" s="394" t="str">
        <f>IF(ISBLANK(INDEX('Policy Characteristics'!I:I,MATCH($C120,'Policy Characteristics'!$C:$C,0))),"",INDEX('Policy Characteristics'!I:I,MATCH($C120,'Policy Characteristics'!$C:$C,0)))</f>
        <v>% of newly sold non-electric building components</v>
      </c>
      <c r="P120" s="394" t="str">
        <f>IF(ISBLANK(INDEX('Policy Characteristics'!J:J,MATCH($C120,'Policy Characteristics'!$C:$C,0))),"",INDEX('Policy Characteristics'!J:J,MATCH($C120,'Policy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0" s="394" t="str">
        <f>IF(ISBLANK(INDEX('Policy Characteristics'!K:K,MATCH($C120,'Policy Characteristics'!$C:$C,0))),"",INDEX('Policy Characteristics'!K:K,MATCH($C120,'Policy Characteristics'!$C:$C,0)))</f>
        <v>buildings-sector-main.html#component-elec</v>
      </c>
      <c r="R120" s="394" t="str">
        <f>IF(ISBLANK(INDEX('Policy Characteristics'!L:L,MATCH($C120,'Policy Characteristics'!$C:$C,0))),"",INDEX('Policy Characteristics'!L:L,MATCH($C120,'Policy Characteristics'!$C:$C,0)))</f>
        <v>building-component-electrification.html</v>
      </c>
    </row>
    <row r="121" customHeight="1" spans="1:18">
      <c r="A121" s="394" t="str">
        <f>IF(ISBLANK(INDEX('Policy Characteristics'!A:A,MATCH($C121,'Policy Characteristics'!$C:$C,0))),"",INDEX('Policy Characteristics'!A:A,MATCH($C121,'Policy Characteristics'!$C:$C,0)))</f>
        <v>Buildings and Appliances</v>
      </c>
      <c r="B121" s="395" t="str">
        <f>IF(ISBLANK(INDEX('Policy Characteristics'!B:B,MATCH($C121,'Policy Characteristics'!$C:$C,0))),"",INDEX('Policy Characteristics'!B:B,MATCH($C121,'Policy Characteristics'!$C:$C,0)))</f>
        <v>Building Component Electrification</v>
      </c>
      <c r="C121" s="394" t="str">
        <f t="shared" si="9"/>
        <v>Fraction of New Bldg Components Shifted to Other Fuels</v>
      </c>
      <c r="D121" s="399" t="s">
        <v>687</v>
      </c>
      <c r="E121" s="399" t="s">
        <v>695</v>
      </c>
      <c r="F121" s="399" t="s">
        <v>688</v>
      </c>
      <c r="G121" s="399" t="s">
        <v>696</v>
      </c>
      <c r="H121" s="377">
        <v>441</v>
      </c>
      <c r="I121" s="396" t="s">
        <v>658</v>
      </c>
      <c r="J121" s="397" t="str">
        <f>IF(ISBLANK(INDEX('Policy Characteristics'!D:D,MATCH($C121,'Policy Characteristics'!$C:$C,0))),"",INDEX('Policy Characteristics'!D:D,MATCH($C121,'Policy Characteristics'!$C:$C,0)))</f>
        <v>Building Component Electrification</v>
      </c>
      <c r="K121" s="394" t="str">
        <f>IF(ISBLANK(INDEX('Policy Characteristics'!E:E,MATCH($C121,'Policy Characteristics'!$C:$C,0))),"",INDEX('Policy Characteristics'!E:E,MATCH($C121,'Policy Characteristics'!$C:$C,0)))</f>
        <v>bldgs new component fuel shifting</v>
      </c>
      <c r="L121" s="398">
        <f>IF(ISBLANK(INDEX('Policy Characteristics'!F:F,MATCH($C121,'Policy Characteristics'!$C:$C,0))),"",INDEX('Policy Characteristics'!F:F,MATCH($C121,'Policy Characteristics'!$C:$C,0)))</f>
        <v>0</v>
      </c>
      <c r="M121" s="398">
        <f>IF(ISBLANK(INDEX('Policy Characteristics'!G:G,MATCH($C121,'Policy Characteristics'!$C:$C,0))),"",INDEX('Policy Characteristics'!G:G,MATCH($C121,'Policy Characteristics'!$C:$C,0)))</f>
        <v>1</v>
      </c>
      <c r="N121" s="398">
        <f>IF(ISBLANK(INDEX('Policy Characteristics'!H:H,MATCH($C121,'Policy Characteristics'!$C:$C,0))),"",INDEX('Policy Characteristics'!H:H,MATCH($C121,'Policy Characteristics'!$C:$C,0)))</f>
        <v>0.01</v>
      </c>
      <c r="O121" s="394" t="str">
        <f>IF(ISBLANK(INDEX('Policy Characteristics'!I:I,MATCH($C121,'Policy Characteristics'!$C:$C,0))),"",INDEX('Policy Characteristics'!I:I,MATCH($C121,'Policy Characteristics'!$C:$C,0)))</f>
        <v>% of newly sold non-electric building components</v>
      </c>
      <c r="P121" s="394" t="str">
        <f>IF(ISBLANK(INDEX('Policy Characteristics'!J:J,MATCH($C121,'Policy Characteristics'!$C:$C,0))),"",INDEX('Policy Characteristics'!J:J,MATCH($C121,'Policy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1" s="394" t="str">
        <f>IF(ISBLANK(INDEX('Policy Characteristics'!K:K,MATCH($C121,'Policy Characteristics'!$C:$C,0))),"",INDEX('Policy Characteristics'!K:K,MATCH($C121,'Policy Characteristics'!$C:$C,0)))</f>
        <v>buildings-sector-main.html#component-elec</v>
      </c>
      <c r="R121" s="394" t="str">
        <f>IF(ISBLANK(INDEX('Policy Characteristics'!L:L,MATCH($C121,'Policy Characteristics'!$C:$C,0))),"",INDEX('Policy Characteristics'!L:L,MATCH($C121,'Policy Characteristics'!$C:$C,0)))</f>
        <v>building-component-electrification.html</v>
      </c>
    </row>
    <row r="122" customHeight="1" spans="1:18">
      <c r="A122" s="394" t="str">
        <f>IF(ISBLANK(INDEX('Policy Characteristics'!A:A,MATCH($C122,'Policy Characteristics'!$C:$C,0))),"",INDEX('Policy Characteristics'!A:A,MATCH($C122,'Policy Characteristics'!$C:$C,0)))</f>
        <v>Buildings and Appliances</v>
      </c>
      <c r="B122" s="395" t="str">
        <f>IF(ISBLANK(INDEX('Policy Characteristics'!B:B,MATCH($C122,'Policy Characteristics'!$C:$C,0))),"",INDEX('Policy Characteristics'!B:B,MATCH($C122,'Policy Characteristics'!$C:$C,0)))</f>
        <v>Building Component Electrification</v>
      </c>
      <c r="C122" s="394" t="str">
        <f t="shared" si="9"/>
        <v>Fraction of New Bldg Components Shifted to Other Fuels</v>
      </c>
      <c r="D122" s="399" t="s">
        <v>689</v>
      </c>
      <c r="E122" s="399" t="s">
        <v>695</v>
      </c>
      <c r="F122" s="399" t="s">
        <v>690</v>
      </c>
      <c r="G122" s="399" t="s">
        <v>696</v>
      </c>
      <c r="H122" s="377">
        <v>442</v>
      </c>
      <c r="I122" s="396" t="s">
        <v>658</v>
      </c>
      <c r="J122" s="397" t="str">
        <f>IF(ISBLANK(INDEX('Policy Characteristics'!D:D,MATCH($C122,'Policy Characteristics'!$C:$C,0))),"",INDEX('Policy Characteristics'!D:D,MATCH($C122,'Policy Characteristics'!$C:$C,0)))</f>
        <v>Building Component Electrification</v>
      </c>
      <c r="K122" s="394" t="str">
        <f>IF(ISBLANK(INDEX('Policy Characteristics'!E:E,MATCH($C122,'Policy Characteristics'!$C:$C,0))),"",INDEX('Policy Characteristics'!E:E,MATCH($C122,'Policy Characteristics'!$C:$C,0)))</f>
        <v>bldgs new component fuel shifting</v>
      </c>
      <c r="L122" s="398">
        <f>IF(ISBLANK(INDEX('Policy Characteristics'!F:F,MATCH($C122,'Policy Characteristics'!$C:$C,0))),"",INDEX('Policy Characteristics'!F:F,MATCH($C122,'Policy Characteristics'!$C:$C,0)))</f>
        <v>0</v>
      </c>
      <c r="M122" s="398">
        <f>IF(ISBLANK(INDEX('Policy Characteristics'!G:G,MATCH($C122,'Policy Characteristics'!$C:$C,0))),"",INDEX('Policy Characteristics'!G:G,MATCH($C122,'Policy Characteristics'!$C:$C,0)))</f>
        <v>1</v>
      </c>
      <c r="N122" s="398">
        <f>IF(ISBLANK(INDEX('Policy Characteristics'!H:H,MATCH($C122,'Policy Characteristics'!$C:$C,0))),"",INDEX('Policy Characteristics'!H:H,MATCH($C122,'Policy Characteristics'!$C:$C,0)))</f>
        <v>0.01</v>
      </c>
      <c r="O122" s="394" t="str">
        <f>IF(ISBLANK(INDEX('Policy Characteristics'!I:I,MATCH($C122,'Policy Characteristics'!$C:$C,0))),"",INDEX('Policy Characteristics'!I:I,MATCH($C122,'Policy Characteristics'!$C:$C,0)))</f>
        <v>% of newly sold non-electric building components</v>
      </c>
      <c r="P122" s="394" t="str">
        <f>IF(ISBLANK(INDEX('Policy Characteristics'!J:J,MATCH($C122,'Policy Characteristics'!$C:$C,0))),"",INDEX('Policy Characteristics'!J:J,MATCH($C122,'Policy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2" s="394" t="str">
        <f>IF(ISBLANK(INDEX('Policy Characteristics'!K:K,MATCH($C122,'Policy Characteristics'!$C:$C,0))),"",INDEX('Policy Characteristics'!K:K,MATCH($C122,'Policy Characteristics'!$C:$C,0)))</f>
        <v>buildings-sector-main.html#component-elec</v>
      </c>
      <c r="R122" s="394" t="str">
        <f>IF(ISBLANK(INDEX('Policy Characteristics'!L:L,MATCH($C122,'Policy Characteristics'!$C:$C,0))),"",INDEX('Policy Characteristics'!L:L,MATCH($C122,'Policy Characteristics'!$C:$C,0)))</f>
        <v>building-component-electrification.html</v>
      </c>
    </row>
    <row r="123" customHeight="1" spans="1:18">
      <c r="A123" s="394" t="str">
        <f>IF(ISBLANK(INDEX('Policy Characteristics'!A:A,MATCH($C123,'Policy Characteristics'!$C:$C,0))),"",INDEX('Policy Characteristics'!A:A,MATCH($C123,'Policy Characteristics'!$C:$C,0)))</f>
        <v>Buildings and Appliances</v>
      </c>
      <c r="B123" s="395" t="str">
        <f>IF(ISBLANK(INDEX('Policy Characteristics'!B:B,MATCH($C123,'Policy Characteristics'!$C:$C,0))),"",INDEX('Policy Characteristics'!B:B,MATCH($C123,'Policy Characteristics'!$C:$C,0)))</f>
        <v>Building Component Electrification</v>
      </c>
      <c r="C123" s="394" t="str">
        <f t="shared" si="9"/>
        <v>Fraction of New Bldg Components Shifted to Other Fuels</v>
      </c>
      <c r="D123" s="399" t="s">
        <v>691</v>
      </c>
      <c r="E123" s="399" t="s">
        <v>695</v>
      </c>
      <c r="F123" s="399" t="s">
        <v>692</v>
      </c>
      <c r="G123" s="399" t="s">
        <v>696</v>
      </c>
      <c r="H123" s="377">
        <v>443</v>
      </c>
      <c r="I123" s="396" t="s">
        <v>648</v>
      </c>
      <c r="J123" s="397" t="str">
        <f>IF(ISBLANK(INDEX('Policy Characteristics'!D:D,MATCH($C123,'Policy Characteristics'!$C:$C,0))),"",INDEX('Policy Characteristics'!D:D,MATCH($C123,'Policy Characteristics'!$C:$C,0)))</f>
        <v>Building Component Electrification</v>
      </c>
      <c r="K123" s="394" t="str">
        <f>IF(ISBLANK(INDEX('Policy Characteristics'!E:E,MATCH($C123,'Policy Characteristics'!$C:$C,0))),"",INDEX('Policy Characteristics'!E:E,MATCH($C123,'Policy Characteristics'!$C:$C,0)))</f>
        <v>bldgs new component fuel shifting</v>
      </c>
      <c r="L123" s="398">
        <f>IF(ISBLANK(INDEX('Policy Characteristics'!F:F,MATCH($C123,'Policy Characteristics'!$C:$C,0))),"",INDEX('Policy Characteristics'!F:F,MATCH($C123,'Policy Characteristics'!$C:$C,0)))</f>
        <v>0</v>
      </c>
      <c r="M123" s="398">
        <f>IF(ISBLANK(INDEX('Policy Characteristics'!G:G,MATCH($C123,'Policy Characteristics'!$C:$C,0))),"",INDEX('Policy Characteristics'!G:G,MATCH($C123,'Policy Characteristics'!$C:$C,0)))</f>
        <v>1</v>
      </c>
      <c r="N123" s="398">
        <f>IF(ISBLANK(INDEX('Policy Characteristics'!H:H,MATCH($C123,'Policy Characteristics'!$C:$C,0))),"",INDEX('Policy Characteristics'!H:H,MATCH($C123,'Policy Characteristics'!$C:$C,0)))</f>
        <v>0.01</v>
      </c>
      <c r="O123" s="394" t="str">
        <f>IF(ISBLANK(INDEX('Policy Characteristics'!I:I,MATCH($C123,'Policy Characteristics'!$C:$C,0))),"",INDEX('Policy Characteristics'!I:I,MATCH($C123,'Policy Characteristics'!$C:$C,0)))</f>
        <v>% of newly sold non-electric building components</v>
      </c>
      <c r="P123" s="394" t="str">
        <f>IF(ISBLANK(INDEX('Policy Characteristics'!J:J,MATCH($C123,'Policy Characteristics'!$C:$C,0))),"",INDEX('Policy Characteristics'!J:J,MATCH($C123,'Policy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3" s="394" t="str">
        <f>IF(ISBLANK(INDEX('Policy Characteristics'!K:K,MATCH($C123,'Policy Characteristics'!$C:$C,0))),"",INDEX('Policy Characteristics'!K:K,MATCH($C123,'Policy Characteristics'!$C:$C,0)))</f>
        <v>buildings-sector-main.html#component-elec</v>
      </c>
      <c r="R123" s="394" t="str">
        <f>IF(ISBLANK(INDEX('Policy Characteristics'!L:L,MATCH($C123,'Policy Characteristics'!$C:$C,0))),"",INDEX('Policy Characteristics'!L:L,MATCH($C123,'Policy Characteristics'!$C:$C,0)))</f>
        <v>building-component-electrification.html</v>
      </c>
    </row>
    <row r="124" customHeight="1" spans="1:18">
      <c r="A124" s="394" t="str">
        <f>IF(ISBLANK(INDEX('Policy Characteristics'!A:A,MATCH($C124,'Policy Characteristics'!$C:$C,0))),"",INDEX('Policy Characteristics'!A:A,MATCH($C124,'Policy Characteristics'!$C:$C,0)))</f>
        <v>Buildings and Appliances</v>
      </c>
      <c r="B124" s="395" t="str">
        <f>IF(ISBLANK(INDEX('Policy Characteristics'!B:B,MATCH($C124,'Policy Characteristics'!$C:$C,0))),"",INDEX('Policy Characteristics'!B:B,MATCH($C124,'Policy Characteristics'!$C:$C,0)))</f>
        <v>Building Component Electrification</v>
      </c>
      <c r="C124" s="394" t="str">
        <f t="shared" si="9"/>
        <v>Fraction of New Bldg Components Shifted to Other Fuels</v>
      </c>
      <c r="D124" s="399" t="s">
        <v>693</v>
      </c>
      <c r="E124" s="399" t="s">
        <v>695</v>
      </c>
      <c r="F124" s="399" t="s">
        <v>694</v>
      </c>
      <c r="G124" s="399" t="s">
        <v>696</v>
      </c>
      <c r="H124" s="377">
        <v>444</v>
      </c>
      <c r="I124" s="396" t="s">
        <v>648</v>
      </c>
      <c r="J124" s="397" t="str">
        <f>IF(ISBLANK(INDEX('Policy Characteristics'!D:D,MATCH($C124,'Policy Characteristics'!$C:$C,0))),"",INDEX('Policy Characteristics'!D:D,MATCH($C124,'Policy Characteristics'!$C:$C,0)))</f>
        <v>Building Component Electrification</v>
      </c>
      <c r="K124" s="394" t="str">
        <f>IF(ISBLANK(INDEX('Policy Characteristics'!E:E,MATCH($C124,'Policy Characteristics'!$C:$C,0))),"",INDEX('Policy Characteristics'!E:E,MATCH($C124,'Policy Characteristics'!$C:$C,0)))</f>
        <v>bldgs new component fuel shifting</v>
      </c>
      <c r="L124" s="398">
        <f>IF(ISBLANK(INDEX('Policy Characteristics'!F:F,MATCH($C124,'Policy Characteristics'!$C:$C,0))),"",INDEX('Policy Characteristics'!F:F,MATCH($C124,'Policy Characteristics'!$C:$C,0)))</f>
        <v>0</v>
      </c>
      <c r="M124" s="398">
        <f>IF(ISBLANK(INDEX('Policy Characteristics'!G:G,MATCH($C124,'Policy Characteristics'!$C:$C,0))),"",INDEX('Policy Characteristics'!G:G,MATCH($C124,'Policy Characteristics'!$C:$C,0)))</f>
        <v>1</v>
      </c>
      <c r="N124" s="398">
        <f>IF(ISBLANK(INDEX('Policy Characteristics'!H:H,MATCH($C124,'Policy Characteristics'!$C:$C,0))),"",INDEX('Policy Characteristics'!H:H,MATCH($C124,'Policy Characteristics'!$C:$C,0)))</f>
        <v>0.01</v>
      </c>
      <c r="O124" s="394" t="str">
        <f>IF(ISBLANK(INDEX('Policy Characteristics'!I:I,MATCH($C124,'Policy Characteristics'!$C:$C,0))),"",INDEX('Policy Characteristics'!I:I,MATCH($C124,'Policy Characteristics'!$C:$C,0)))</f>
        <v>% of newly sold non-electric building components</v>
      </c>
      <c r="P124" s="394" t="str">
        <f>IF(ISBLANK(INDEX('Policy Characteristics'!J:J,MATCH($C124,'Policy Characteristics'!$C:$C,0))),"",INDEX('Policy Characteristics'!J:J,MATCH($C124,'Policy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4" s="394" t="str">
        <f>IF(ISBLANK(INDEX('Policy Characteristics'!K:K,MATCH($C124,'Policy Characteristics'!$C:$C,0))),"",INDEX('Policy Characteristics'!K:K,MATCH($C124,'Policy Characteristics'!$C:$C,0)))</f>
        <v>buildings-sector-main.html#component-elec</v>
      </c>
      <c r="R124" s="394" t="str">
        <f>IF(ISBLANK(INDEX('Policy Characteristics'!L:L,MATCH($C124,'Policy Characteristics'!$C:$C,0))),"",INDEX('Policy Characteristics'!L:L,MATCH($C124,'Policy Characteristics'!$C:$C,0)))</f>
        <v>building-component-electrification.html</v>
      </c>
    </row>
    <row r="125" customHeight="1" spans="1:18">
      <c r="A125" s="394" t="str">
        <f>IF(ISBLANK(INDEX('Policy Characteristics'!A:A,MATCH($C125,'Policy Characteristics'!$C:$C,0))),"",INDEX('Policy Characteristics'!A:A,MATCH($C125,'Policy Characteristics'!$C:$C,0)))</f>
        <v>Buildings and Appliances</v>
      </c>
      <c r="B125" s="395" t="str">
        <f>IF(ISBLANK(INDEX('Policy Characteristics'!B:B,MATCH($C125,'Policy Characteristics'!$C:$C,0))),"",INDEX('Policy Characteristics'!B:B,MATCH($C125,'Policy Characteristics'!$C:$C,0)))</f>
        <v>Building Component Electrification</v>
      </c>
      <c r="C125" s="394" t="str">
        <f t="shared" si="9"/>
        <v>Fraction of New Bldg Components Shifted to Other Fuels</v>
      </c>
      <c r="D125" s="399" t="s">
        <v>683</v>
      </c>
      <c r="E125" s="399" t="s">
        <v>697</v>
      </c>
      <c r="F125" s="399" t="s">
        <v>685</v>
      </c>
      <c r="G125" s="399" t="s">
        <v>698</v>
      </c>
      <c r="H125" s="377">
        <v>445</v>
      </c>
      <c r="I125" s="396" t="s">
        <v>648</v>
      </c>
      <c r="J125" s="397" t="str">
        <f>IF(ISBLANK(INDEX('Policy Characteristics'!D:D,MATCH($C125,'Policy Characteristics'!$C:$C,0))),"",INDEX('Policy Characteristics'!D:D,MATCH($C125,'Policy Characteristics'!$C:$C,0)))</f>
        <v>Building Component Electrification</v>
      </c>
      <c r="K125" s="394" t="str">
        <f>IF(ISBLANK(INDEX('Policy Characteristics'!E:E,MATCH($C125,'Policy Characteristics'!$C:$C,0))),"",INDEX('Policy Characteristics'!E:E,MATCH($C125,'Policy Characteristics'!$C:$C,0)))</f>
        <v>bldgs new component fuel shifting</v>
      </c>
      <c r="L125" s="398">
        <f>IF(ISBLANK(INDEX('Policy Characteristics'!F:F,MATCH($C125,'Policy Characteristics'!$C:$C,0))),"",INDEX('Policy Characteristics'!F:F,MATCH($C125,'Policy Characteristics'!$C:$C,0)))</f>
        <v>0</v>
      </c>
      <c r="M125" s="398">
        <f>IF(ISBLANK(INDEX('Policy Characteristics'!G:G,MATCH($C125,'Policy Characteristics'!$C:$C,0))),"",INDEX('Policy Characteristics'!G:G,MATCH($C125,'Policy Characteristics'!$C:$C,0)))</f>
        <v>1</v>
      </c>
      <c r="N125" s="398">
        <f>IF(ISBLANK(INDEX('Policy Characteristics'!H:H,MATCH($C125,'Policy Characteristics'!$C:$C,0))),"",INDEX('Policy Characteristics'!H:H,MATCH($C125,'Policy Characteristics'!$C:$C,0)))</f>
        <v>0.01</v>
      </c>
      <c r="O125" s="394" t="str">
        <f>IF(ISBLANK(INDEX('Policy Characteristics'!I:I,MATCH($C125,'Policy Characteristics'!$C:$C,0))),"",INDEX('Policy Characteristics'!I:I,MATCH($C125,'Policy Characteristics'!$C:$C,0)))</f>
        <v>% of newly sold non-electric building components</v>
      </c>
      <c r="P125" s="394" t="str">
        <f>IF(ISBLANK(INDEX('Policy Characteristics'!J:J,MATCH($C125,'Policy Characteristics'!$C:$C,0))),"",INDEX('Policy Characteristics'!J:J,MATCH($C125,'Policy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5" s="394" t="str">
        <f>IF(ISBLANK(INDEX('Policy Characteristics'!K:K,MATCH($C125,'Policy Characteristics'!$C:$C,0))),"",INDEX('Policy Characteristics'!K:K,MATCH($C125,'Policy Characteristics'!$C:$C,0)))</f>
        <v>buildings-sector-main.html#component-elec</v>
      </c>
      <c r="R125" s="394" t="str">
        <f>IF(ISBLANK(INDEX('Policy Characteristics'!L:L,MATCH($C125,'Policy Characteristics'!$C:$C,0))),"",INDEX('Policy Characteristics'!L:L,MATCH($C125,'Policy Characteristics'!$C:$C,0)))</f>
        <v>building-component-electrification.html</v>
      </c>
    </row>
    <row r="126" customHeight="1" spans="1:18">
      <c r="A126" s="394" t="str">
        <f>IF(ISBLANK(INDEX('Policy Characteristics'!A:A,MATCH($C126,'Policy Characteristics'!$C:$C,0))),"",INDEX('Policy Characteristics'!A:A,MATCH($C126,'Policy Characteristics'!$C:$C,0)))</f>
        <v>Buildings and Appliances</v>
      </c>
      <c r="B126" s="395" t="str">
        <f>IF(ISBLANK(INDEX('Policy Characteristics'!B:B,MATCH($C126,'Policy Characteristics'!$C:$C,0))),"",INDEX('Policy Characteristics'!B:B,MATCH($C126,'Policy Characteristics'!$C:$C,0)))</f>
        <v>Building Component Electrification</v>
      </c>
      <c r="C126" s="394" t="str">
        <f t="shared" si="9"/>
        <v>Fraction of New Bldg Components Shifted to Other Fuels</v>
      </c>
      <c r="D126" s="399" t="s">
        <v>687</v>
      </c>
      <c r="E126" s="399" t="s">
        <v>697</v>
      </c>
      <c r="F126" s="399" t="s">
        <v>688</v>
      </c>
      <c r="G126" s="399" t="s">
        <v>698</v>
      </c>
      <c r="H126" s="377">
        <v>446</v>
      </c>
      <c r="I126" s="396" t="s">
        <v>658</v>
      </c>
      <c r="J126" s="397" t="str">
        <f>IF(ISBLANK(INDEX('Policy Characteristics'!D:D,MATCH($C126,'Policy Characteristics'!$C:$C,0))),"",INDEX('Policy Characteristics'!D:D,MATCH($C126,'Policy Characteristics'!$C:$C,0)))</f>
        <v>Building Component Electrification</v>
      </c>
      <c r="K126" s="394" t="str">
        <f>IF(ISBLANK(INDEX('Policy Characteristics'!E:E,MATCH($C126,'Policy Characteristics'!$C:$C,0))),"",INDEX('Policy Characteristics'!E:E,MATCH($C126,'Policy Characteristics'!$C:$C,0)))</f>
        <v>bldgs new component fuel shifting</v>
      </c>
      <c r="L126" s="398">
        <f>IF(ISBLANK(INDEX('Policy Characteristics'!F:F,MATCH($C126,'Policy Characteristics'!$C:$C,0))),"",INDEX('Policy Characteristics'!F:F,MATCH($C126,'Policy Characteristics'!$C:$C,0)))</f>
        <v>0</v>
      </c>
      <c r="M126" s="398">
        <f>IF(ISBLANK(INDEX('Policy Characteristics'!G:G,MATCH($C126,'Policy Characteristics'!$C:$C,0))),"",INDEX('Policy Characteristics'!G:G,MATCH($C126,'Policy Characteristics'!$C:$C,0)))</f>
        <v>1</v>
      </c>
      <c r="N126" s="398">
        <f>IF(ISBLANK(INDEX('Policy Characteristics'!H:H,MATCH($C126,'Policy Characteristics'!$C:$C,0))),"",INDEX('Policy Characteristics'!H:H,MATCH($C126,'Policy Characteristics'!$C:$C,0)))</f>
        <v>0.01</v>
      </c>
      <c r="O126" s="394" t="str">
        <f>IF(ISBLANK(INDEX('Policy Characteristics'!I:I,MATCH($C126,'Policy Characteristics'!$C:$C,0))),"",INDEX('Policy Characteristics'!I:I,MATCH($C126,'Policy Characteristics'!$C:$C,0)))</f>
        <v>% of newly sold non-electric building components</v>
      </c>
      <c r="P126" s="394" t="str">
        <f>IF(ISBLANK(INDEX('Policy Characteristics'!J:J,MATCH($C126,'Policy Characteristics'!$C:$C,0))),"",INDEX('Policy Characteristics'!J:J,MATCH($C126,'Policy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6" s="394" t="str">
        <f>IF(ISBLANK(INDEX('Policy Characteristics'!K:K,MATCH($C126,'Policy Characteristics'!$C:$C,0))),"",INDEX('Policy Characteristics'!K:K,MATCH($C126,'Policy Characteristics'!$C:$C,0)))</f>
        <v>buildings-sector-main.html#component-elec</v>
      </c>
      <c r="R126" s="394" t="str">
        <f>IF(ISBLANK(INDEX('Policy Characteristics'!L:L,MATCH($C126,'Policy Characteristics'!$C:$C,0))),"",INDEX('Policy Characteristics'!L:L,MATCH($C126,'Policy Characteristics'!$C:$C,0)))</f>
        <v>building-component-electrification.html</v>
      </c>
    </row>
    <row r="127" customHeight="1" spans="1:18">
      <c r="A127" s="394" t="str">
        <f>IF(ISBLANK(INDEX('Policy Characteristics'!A:A,MATCH($C127,'Policy Characteristics'!$C:$C,0))),"",INDEX('Policy Characteristics'!A:A,MATCH($C127,'Policy Characteristics'!$C:$C,0)))</f>
        <v>Buildings and Appliances</v>
      </c>
      <c r="B127" s="395" t="str">
        <f>IF(ISBLANK(INDEX('Policy Characteristics'!B:B,MATCH($C127,'Policy Characteristics'!$C:$C,0))),"",INDEX('Policy Characteristics'!B:B,MATCH($C127,'Policy Characteristics'!$C:$C,0)))</f>
        <v>Building Component Electrification</v>
      </c>
      <c r="C127" s="394" t="str">
        <f t="shared" si="9"/>
        <v>Fraction of New Bldg Components Shifted to Other Fuels</v>
      </c>
      <c r="D127" s="399" t="s">
        <v>689</v>
      </c>
      <c r="E127" s="399" t="s">
        <v>697</v>
      </c>
      <c r="F127" s="399" t="s">
        <v>690</v>
      </c>
      <c r="G127" s="399" t="s">
        <v>698</v>
      </c>
      <c r="H127" s="377">
        <v>447</v>
      </c>
      <c r="I127" s="396" t="s">
        <v>658</v>
      </c>
      <c r="J127" s="397" t="str">
        <f>IF(ISBLANK(INDEX('Policy Characteristics'!D:D,MATCH($C127,'Policy Characteristics'!$C:$C,0))),"",INDEX('Policy Characteristics'!D:D,MATCH($C127,'Policy Characteristics'!$C:$C,0)))</f>
        <v>Building Component Electrification</v>
      </c>
      <c r="K127" s="394" t="str">
        <f>IF(ISBLANK(INDEX('Policy Characteristics'!E:E,MATCH($C127,'Policy Characteristics'!$C:$C,0))),"",INDEX('Policy Characteristics'!E:E,MATCH($C127,'Policy Characteristics'!$C:$C,0)))</f>
        <v>bldgs new component fuel shifting</v>
      </c>
      <c r="L127" s="398">
        <f>IF(ISBLANK(INDEX('Policy Characteristics'!F:F,MATCH($C127,'Policy Characteristics'!$C:$C,0))),"",INDEX('Policy Characteristics'!F:F,MATCH($C127,'Policy Characteristics'!$C:$C,0)))</f>
        <v>0</v>
      </c>
      <c r="M127" s="398">
        <f>IF(ISBLANK(INDEX('Policy Characteristics'!G:G,MATCH($C127,'Policy Characteristics'!$C:$C,0))),"",INDEX('Policy Characteristics'!G:G,MATCH($C127,'Policy Characteristics'!$C:$C,0)))</f>
        <v>1</v>
      </c>
      <c r="N127" s="398">
        <f>IF(ISBLANK(INDEX('Policy Characteristics'!H:H,MATCH($C127,'Policy Characteristics'!$C:$C,0))),"",INDEX('Policy Characteristics'!H:H,MATCH($C127,'Policy Characteristics'!$C:$C,0)))</f>
        <v>0.01</v>
      </c>
      <c r="O127" s="394" t="str">
        <f>IF(ISBLANK(INDEX('Policy Characteristics'!I:I,MATCH($C127,'Policy Characteristics'!$C:$C,0))),"",INDEX('Policy Characteristics'!I:I,MATCH($C127,'Policy Characteristics'!$C:$C,0)))</f>
        <v>% of newly sold non-electric building components</v>
      </c>
      <c r="P127" s="394" t="str">
        <f>IF(ISBLANK(INDEX('Policy Characteristics'!J:J,MATCH($C127,'Policy Characteristics'!$C:$C,0))),"",INDEX('Policy Characteristics'!J:J,MATCH($C127,'Policy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7" s="394" t="str">
        <f>IF(ISBLANK(INDEX('Policy Characteristics'!K:K,MATCH($C127,'Policy Characteristics'!$C:$C,0))),"",INDEX('Policy Characteristics'!K:K,MATCH($C127,'Policy Characteristics'!$C:$C,0)))</f>
        <v>buildings-sector-main.html#component-elec</v>
      </c>
      <c r="R127" s="394" t="str">
        <f>IF(ISBLANK(INDEX('Policy Characteristics'!L:L,MATCH($C127,'Policy Characteristics'!$C:$C,0))),"",INDEX('Policy Characteristics'!L:L,MATCH($C127,'Policy Characteristics'!$C:$C,0)))</f>
        <v>building-component-electrification.html</v>
      </c>
    </row>
    <row r="128" customHeight="1" spans="1:18">
      <c r="A128" s="394" t="str">
        <f>IF(ISBLANK(INDEX('Policy Characteristics'!A:A,MATCH($C128,'Policy Characteristics'!$C:$C,0))),"",INDEX('Policy Characteristics'!A:A,MATCH($C128,'Policy Characteristics'!$C:$C,0)))</f>
        <v>Buildings and Appliances</v>
      </c>
      <c r="B128" s="395" t="str">
        <f>IF(ISBLANK(INDEX('Policy Characteristics'!B:B,MATCH($C128,'Policy Characteristics'!$C:$C,0))),"",INDEX('Policy Characteristics'!B:B,MATCH($C128,'Policy Characteristics'!$C:$C,0)))</f>
        <v>Building Component Electrification</v>
      </c>
      <c r="C128" s="394" t="str">
        <f t="shared" si="9"/>
        <v>Fraction of New Bldg Components Shifted to Other Fuels</v>
      </c>
      <c r="D128" s="399" t="s">
        <v>691</v>
      </c>
      <c r="E128" s="399" t="s">
        <v>697</v>
      </c>
      <c r="F128" s="399" t="s">
        <v>692</v>
      </c>
      <c r="G128" s="399" t="s">
        <v>698</v>
      </c>
      <c r="H128" s="377">
        <v>448</v>
      </c>
      <c r="I128" s="396" t="s">
        <v>648</v>
      </c>
      <c r="J128" s="397" t="str">
        <f>IF(ISBLANK(INDEX('Policy Characteristics'!D:D,MATCH($C128,'Policy Characteristics'!$C:$C,0))),"",INDEX('Policy Characteristics'!D:D,MATCH($C128,'Policy Characteristics'!$C:$C,0)))</f>
        <v>Building Component Electrification</v>
      </c>
      <c r="K128" s="394" t="str">
        <f>IF(ISBLANK(INDEX('Policy Characteristics'!E:E,MATCH($C128,'Policy Characteristics'!$C:$C,0))),"",INDEX('Policy Characteristics'!E:E,MATCH($C128,'Policy Characteristics'!$C:$C,0)))</f>
        <v>bldgs new component fuel shifting</v>
      </c>
      <c r="L128" s="398">
        <f>IF(ISBLANK(INDEX('Policy Characteristics'!F:F,MATCH($C128,'Policy Characteristics'!$C:$C,0))),"",INDEX('Policy Characteristics'!F:F,MATCH($C128,'Policy Characteristics'!$C:$C,0)))</f>
        <v>0</v>
      </c>
      <c r="M128" s="398">
        <f>IF(ISBLANK(INDEX('Policy Characteristics'!G:G,MATCH($C128,'Policy Characteristics'!$C:$C,0))),"",INDEX('Policy Characteristics'!G:G,MATCH($C128,'Policy Characteristics'!$C:$C,0)))</f>
        <v>1</v>
      </c>
      <c r="N128" s="398">
        <f>IF(ISBLANK(INDEX('Policy Characteristics'!H:H,MATCH($C128,'Policy Characteristics'!$C:$C,0))),"",INDEX('Policy Characteristics'!H:H,MATCH($C128,'Policy Characteristics'!$C:$C,0)))</f>
        <v>0.01</v>
      </c>
      <c r="O128" s="394" t="str">
        <f>IF(ISBLANK(INDEX('Policy Characteristics'!I:I,MATCH($C128,'Policy Characteristics'!$C:$C,0))),"",INDEX('Policy Characteristics'!I:I,MATCH($C128,'Policy Characteristics'!$C:$C,0)))</f>
        <v>% of newly sold non-electric building components</v>
      </c>
      <c r="P128" s="394" t="str">
        <f>IF(ISBLANK(INDEX('Policy Characteristics'!J:J,MATCH($C128,'Policy Characteristics'!$C:$C,0))),"",INDEX('Policy Characteristics'!J:J,MATCH($C128,'Policy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8" s="394" t="str">
        <f>IF(ISBLANK(INDEX('Policy Characteristics'!K:K,MATCH($C128,'Policy Characteristics'!$C:$C,0))),"",INDEX('Policy Characteristics'!K:K,MATCH($C128,'Policy Characteristics'!$C:$C,0)))</f>
        <v>buildings-sector-main.html#component-elec</v>
      </c>
      <c r="R128" s="394" t="str">
        <f>IF(ISBLANK(INDEX('Policy Characteristics'!L:L,MATCH($C128,'Policy Characteristics'!$C:$C,0))),"",INDEX('Policy Characteristics'!L:L,MATCH($C128,'Policy Characteristics'!$C:$C,0)))</f>
        <v>building-component-electrification.html</v>
      </c>
    </row>
    <row r="129" customHeight="1" spans="1:18">
      <c r="A129" s="394" t="str">
        <f>IF(ISBLANK(INDEX('Policy Characteristics'!A:A,MATCH($C129,'Policy Characteristics'!$C:$C,0))),"",INDEX('Policy Characteristics'!A:A,MATCH($C129,'Policy Characteristics'!$C:$C,0)))</f>
        <v>Buildings and Appliances</v>
      </c>
      <c r="B129" s="395" t="str">
        <f>IF(ISBLANK(INDEX('Policy Characteristics'!B:B,MATCH($C129,'Policy Characteristics'!$C:$C,0))),"",INDEX('Policy Characteristics'!B:B,MATCH($C129,'Policy Characteristics'!$C:$C,0)))</f>
        <v>Building Component Electrification</v>
      </c>
      <c r="C129" s="394" t="str">
        <f t="shared" ref="C129" si="10">C$115</f>
        <v>Fraction of New Bldg Components Shifted to Other Fuels</v>
      </c>
      <c r="D129" s="399" t="s">
        <v>693</v>
      </c>
      <c r="E129" s="399" t="s">
        <v>697</v>
      </c>
      <c r="F129" s="399" t="s">
        <v>694</v>
      </c>
      <c r="G129" s="399" t="s">
        <v>698</v>
      </c>
      <c r="H129" s="377">
        <v>449</v>
      </c>
      <c r="I129" s="396" t="s">
        <v>648</v>
      </c>
      <c r="J129" s="397" t="str">
        <f>IF(ISBLANK(INDEX('Policy Characteristics'!D:D,MATCH($C129,'Policy Characteristics'!$C:$C,0))),"",INDEX('Policy Characteristics'!D:D,MATCH($C129,'Policy Characteristics'!$C:$C,0)))</f>
        <v>Building Component Electrification</v>
      </c>
      <c r="K129" s="394" t="str">
        <f>IF(ISBLANK(INDEX('Policy Characteristics'!E:E,MATCH($C129,'Policy Characteristics'!$C:$C,0))),"",INDEX('Policy Characteristics'!E:E,MATCH($C129,'Policy Characteristics'!$C:$C,0)))</f>
        <v>bldgs new component fuel shifting</v>
      </c>
      <c r="L129" s="398">
        <f>IF(ISBLANK(INDEX('Policy Characteristics'!F:F,MATCH($C129,'Policy Characteristics'!$C:$C,0))),"",INDEX('Policy Characteristics'!F:F,MATCH($C129,'Policy Characteristics'!$C:$C,0)))</f>
        <v>0</v>
      </c>
      <c r="M129" s="398">
        <f>IF(ISBLANK(INDEX('Policy Characteristics'!G:G,MATCH($C129,'Policy Characteristics'!$C:$C,0))),"",INDEX('Policy Characteristics'!G:G,MATCH($C129,'Policy Characteristics'!$C:$C,0)))</f>
        <v>1</v>
      </c>
      <c r="N129" s="398">
        <f>IF(ISBLANK(INDEX('Policy Characteristics'!H:H,MATCH($C129,'Policy Characteristics'!$C:$C,0))),"",INDEX('Policy Characteristics'!H:H,MATCH($C129,'Policy Characteristics'!$C:$C,0)))</f>
        <v>0.01</v>
      </c>
      <c r="O129" s="394" t="str">
        <f>IF(ISBLANK(INDEX('Policy Characteristics'!I:I,MATCH($C129,'Policy Characteristics'!$C:$C,0))),"",INDEX('Policy Characteristics'!I:I,MATCH($C129,'Policy Characteristics'!$C:$C,0)))</f>
        <v>% of newly sold non-electric building components</v>
      </c>
      <c r="P129" s="394" t="str">
        <f>IF(ISBLANK(INDEX('Policy Characteristics'!J:J,MATCH($C129,'Policy Characteristics'!$C:$C,0))),"",INDEX('Policy Characteristics'!J:J,MATCH($C129,'Policy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9" s="394" t="str">
        <f>IF(ISBLANK(INDEX('Policy Characteristics'!K:K,MATCH($C129,'Policy Characteristics'!$C:$C,0))),"",INDEX('Policy Characteristics'!K:K,MATCH($C129,'Policy Characteristics'!$C:$C,0)))</f>
        <v>buildings-sector-main.html#component-elec</v>
      </c>
      <c r="R129" s="394" t="str">
        <f>IF(ISBLANK(INDEX('Policy Characteristics'!L:L,MATCH($C129,'Policy Characteristics'!$C:$C,0))),"",INDEX('Policy Characteristics'!L:L,MATCH($C129,'Policy Characteristics'!$C:$C,0)))</f>
        <v>building-component-electrification.html</v>
      </c>
    </row>
    <row r="130" s="384" customFormat="1" customHeight="1" spans="1:18">
      <c r="A130" s="394" t="str">
        <f>IF(ISBLANK(INDEX('Policy Characteristics'!A:A,MATCH($C130,'Policy Characteristics'!$C:$C,0))),"",INDEX('Policy Characteristics'!A:A,MATCH($C130,'Policy Characteristics'!$C:$C,0)))</f>
        <v>Buildings and Appliances</v>
      </c>
      <c r="B130" s="395" t="str">
        <f>IF(ISBLANK(INDEX('Policy Characteristics'!B:B,MATCH($C130,'Policy Characteristics'!$C:$C,0))),"",INDEX('Policy Characteristics'!B:B,MATCH($C130,'Policy Characteristics'!$C:$C,0)))</f>
        <v>Building Energy Efficiency Standards</v>
      </c>
      <c r="C130" t="s">
        <v>150</v>
      </c>
      <c r="D130" s="399" t="s">
        <v>683</v>
      </c>
      <c r="E130" s="399" t="s">
        <v>684</v>
      </c>
      <c r="F130" s="399" t="s">
        <v>685</v>
      </c>
      <c r="G130" s="399" t="s">
        <v>686</v>
      </c>
      <c r="H130" s="377">
        <v>13</v>
      </c>
      <c r="I130" s="396" t="s">
        <v>648</v>
      </c>
      <c r="J130" s="397" t="str">
        <f>IF(ISBLANK(INDEX('Policy Characteristics'!D:D,MATCH($C130,'Policy Characteristics'!$C:$C,0))),"",INDEX('Policy Characteristics'!D:D,MATCH($C130,'Policy Characteristics'!$C:$C,0)))</f>
        <v>Building Energy Efficiency Standards</v>
      </c>
      <c r="K130" s="394" t="str">
        <f>IF(ISBLANK(INDEX('Policy Characteristics'!E:E,MATCH($C130,'Policy Characteristics'!$C:$C,0))),"",INDEX('Policy Characteristics'!E:E,MATCH($C130,'Policy Characteristics'!$C:$C,0)))</f>
        <v>bldgs efficiency standards</v>
      </c>
      <c r="L130" s="398">
        <f>IF(ISBLANK(INDEX('Policy Characteristics'!F:F,MATCH($C130,'Policy Characteristics'!$C:$C,0))),"",INDEX('Policy Characteristics'!F:F,MATCH($C130,'Policy Characteristics'!$C:$C,0)))</f>
        <v>0</v>
      </c>
      <c r="M130" s="398">
        <f>IF(ISBLANK(INDEX('Policy Characteristics'!G:G,MATCH($C130,'Policy Characteristics'!$C:$C,0))),"",INDEX('Policy Characteristics'!G:G,MATCH($C130,'Policy Characteristics'!$C:$C,0)))</f>
        <v>1</v>
      </c>
      <c r="N130" s="398">
        <f>IF(ISBLANK(INDEX('Policy Characteristics'!H:H,MATCH($C130,'Policy Characteristics'!$C:$C,0))),"",INDEX('Policy Characteristics'!H:H,MATCH($C130,'Policy Characteristics'!$C:$C,0)))</f>
        <v>0.01</v>
      </c>
      <c r="O130" s="394" t="str">
        <f>IF(ISBLANK(INDEX('Policy Characteristics'!I:I,MATCH($C130,'Policy Characteristics'!$C:$C,0))),"",INDEX('Policy Characteristics'!I:I,MATCH($C130,'Policy Characteristics'!$C:$C,0)))</f>
        <v>% reduction in energy use</v>
      </c>
      <c r="P130" s="394" t="str">
        <f>IF(ISBLANK(INDEX('Policy Characteristics'!J:J,MATCH($C130,'Policy Characteristics'!$C:$C,0))),"",INDEX('Policy Characteristics'!J:J,MATCH($C130,'Policy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0" s="394" t="str">
        <f>IF(ISBLANK(INDEX('Policy Characteristics'!K:K,MATCH($C130,'Policy Characteristics'!$C:$C,0))),"",INDEX('Policy Characteristics'!K:K,MATCH($C130,'Policy Characteristics'!$C:$C,0)))</f>
        <v>buildings-sector-main.html#eff-stds</v>
      </c>
      <c r="R130" s="394" t="str">
        <f>IF(ISBLANK(INDEX('Policy Characteristics'!L:L,MATCH($C130,'Policy Characteristics'!$C:$C,0))),"",INDEX('Policy Characteristics'!L:L,MATCH($C130,'Policy Characteristics'!$C:$C,0)))</f>
        <v>building-energy-efficiency-standards.html</v>
      </c>
    </row>
    <row r="131" s="384" customFormat="1" customHeight="1" spans="1:18">
      <c r="A131" s="394" t="str">
        <f>IF(ISBLANK(INDEX('Policy Characteristics'!A:A,MATCH($C131,'Policy Characteristics'!$C:$C,0))),"",INDEX('Policy Characteristics'!A:A,MATCH($C131,'Policy Characteristics'!$C:$C,0)))</f>
        <v>Buildings and Appliances</v>
      </c>
      <c r="B131" s="395" t="str">
        <f>IF(ISBLANK(INDEX('Policy Characteristics'!B:B,MATCH($C131,'Policy Characteristics'!$C:$C,0))),"",INDEX('Policy Characteristics'!B:B,MATCH($C131,'Policy Characteristics'!$C:$C,0)))</f>
        <v>Building Energy Efficiency Standards</v>
      </c>
      <c r="C131" s="394" t="str">
        <f t="shared" ref="C131:C146" si="11">C$130</f>
        <v>Reduction in E Use Allowed by Component Eff Std</v>
      </c>
      <c r="D131" s="399" t="s">
        <v>687</v>
      </c>
      <c r="E131" s="399" t="s">
        <v>684</v>
      </c>
      <c r="F131" s="399" t="s">
        <v>688</v>
      </c>
      <c r="G131" s="399" t="s">
        <v>686</v>
      </c>
      <c r="H131" s="377">
        <v>14</v>
      </c>
      <c r="I131" s="396" t="s">
        <v>648</v>
      </c>
      <c r="J131" s="397" t="str">
        <f>IF(ISBLANK(INDEX('Policy Characteristics'!D:D,MATCH($C131,'Policy Characteristics'!$C:$C,0))),"",INDEX('Policy Characteristics'!D:D,MATCH($C131,'Policy Characteristics'!$C:$C,0)))</f>
        <v>Building Energy Efficiency Standards</v>
      </c>
      <c r="K131" s="394" t="str">
        <f>IF(ISBLANK(INDEX('Policy Characteristics'!E:E,MATCH($C131,'Policy Characteristics'!$C:$C,0))),"",INDEX('Policy Characteristics'!E:E,MATCH($C131,'Policy Characteristics'!$C:$C,0)))</f>
        <v>bldgs efficiency standards</v>
      </c>
      <c r="L131" s="398">
        <f>IF(ISBLANK(INDEX('Policy Characteristics'!F:F,MATCH($C131,'Policy Characteristics'!$C:$C,0))),"",INDEX('Policy Characteristics'!F:F,MATCH($C131,'Policy Characteristics'!$C:$C,0)))</f>
        <v>0</v>
      </c>
      <c r="M131" s="398">
        <f>IF(ISBLANK(INDEX('Policy Characteristics'!G:G,MATCH($C131,'Policy Characteristics'!$C:$C,0))),"",INDEX('Policy Characteristics'!G:G,MATCH($C131,'Policy Characteristics'!$C:$C,0)))</f>
        <v>1</v>
      </c>
      <c r="N131" s="398">
        <f>IF(ISBLANK(INDEX('Policy Characteristics'!H:H,MATCH($C131,'Policy Characteristics'!$C:$C,0))),"",INDEX('Policy Characteristics'!H:H,MATCH($C131,'Policy Characteristics'!$C:$C,0)))</f>
        <v>0.01</v>
      </c>
      <c r="O131" s="394" t="str">
        <f>IF(ISBLANK(INDEX('Policy Characteristics'!I:I,MATCH($C131,'Policy Characteristics'!$C:$C,0))),"",INDEX('Policy Characteristics'!I:I,MATCH($C131,'Policy Characteristics'!$C:$C,0)))</f>
        <v>% reduction in energy use</v>
      </c>
      <c r="P131" s="394" t="str">
        <f>IF(ISBLANK(INDEX('Policy Characteristics'!J:J,MATCH($C131,'Policy Characteristics'!$C:$C,0))),"",INDEX('Policy Characteristics'!J:J,MATCH($C131,'Policy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1" s="394" t="str">
        <f>IF(ISBLANK(INDEX('Policy Characteristics'!K:K,MATCH($C131,'Policy Characteristics'!$C:$C,0))),"",INDEX('Policy Characteristics'!K:K,MATCH($C131,'Policy Characteristics'!$C:$C,0)))</f>
        <v>buildings-sector-main.html#eff-stds</v>
      </c>
      <c r="R131" s="394" t="str">
        <f>IF(ISBLANK(INDEX('Policy Characteristics'!L:L,MATCH($C131,'Policy Characteristics'!$C:$C,0))),"",INDEX('Policy Characteristics'!L:L,MATCH($C131,'Policy Characteristics'!$C:$C,0)))</f>
        <v>building-energy-efficiency-standards.html</v>
      </c>
    </row>
    <row r="132" s="384" customFormat="1" customHeight="1" spans="1:18">
      <c r="A132" s="394" t="str">
        <f>IF(ISBLANK(INDEX('Policy Characteristics'!A:A,MATCH($C132,'Policy Characteristics'!$C:$C,0))),"",INDEX('Policy Characteristics'!A:A,MATCH($C132,'Policy Characteristics'!$C:$C,0)))</f>
        <v>Buildings and Appliances</v>
      </c>
      <c r="B132" s="395" t="str">
        <f>IF(ISBLANK(INDEX('Policy Characteristics'!B:B,MATCH($C132,'Policy Characteristics'!$C:$C,0))),"",INDEX('Policy Characteristics'!B:B,MATCH($C132,'Policy Characteristics'!$C:$C,0)))</f>
        <v>Building Energy Efficiency Standards</v>
      </c>
      <c r="C132" s="394" t="str">
        <f t="shared" si="11"/>
        <v>Reduction in E Use Allowed by Component Eff Std</v>
      </c>
      <c r="D132" s="399" t="s">
        <v>699</v>
      </c>
      <c r="E132" s="399" t="s">
        <v>684</v>
      </c>
      <c r="F132" s="399" t="s">
        <v>700</v>
      </c>
      <c r="G132" s="399" t="s">
        <v>686</v>
      </c>
      <c r="H132" s="377">
        <v>15</v>
      </c>
      <c r="I132" s="396" t="s">
        <v>648</v>
      </c>
      <c r="J132" s="397" t="str">
        <f>IF(ISBLANK(INDEX('Policy Characteristics'!D:D,MATCH($C132,'Policy Characteristics'!$C:$C,0))),"",INDEX('Policy Characteristics'!D:D,MATCH($C132,'Policy Characteristics'!$C:$C,0)))</f>
        <v>Building Energy Efficiency Standards</v>
      </c>
      <c r="K132" s="394" t="str">
        <f>IF(ISBLANK(INDEX('Policy Characteristics'!E:E,MATCH($C132,'Policy Characteristics'!$C:$C,0))),"",INDEX('Policy Characteristics'!E:E,MATCH($C132,'Policy Characteristics'!$C:$C,0)))</f>
        <v>bldgs efficiency standards</v>
      </c>
      <c r="L132" s="398">
        <f>IF(ISBLANK(INDEX('Policy Characteristics'!F:F,MATCH($C132,'Policy Characteristics'!$C:$C,0))),"",INDEX('Policy Characteristics'!F:F,MATCH($C132,'Policy Characteristics'!$C:$C,0)))</f>
        <v>0</v>
      </c>
      <c r="M132" s="398">
        <f>IF(ISBLANK(INDEX('Policy Characteristics'!G:G,MATCH($C132,'Policy Characteristics'!$C:$C,0))),"",INDEX('Policy Characteristics'!G:G,MATCH($C132,'Policy Characteristics'!$C:$C,0)))</f>
        <v>1</v>
      </c>
      <c r="N132" s="398">
        <f>IF(ISBLANK(INDEX('Policy Characteristics'!H:H,MATCH($C132,'Policy Characteristics'!$C:$C,0))),"",INDEX('Policy Characteristics'!H:H,MATCH($C132,'Policy Characteristics'!$C:$C,0)))</f>
        <v>0.01</v>
      </c>
      <c r="O132" s="394" t="str">
        <f>IF(ISBLANK(INDEX('Policy Characteristics'!I:I,MATCH($C132,'Policy Characteristics'!$C:$C,0))),"",INDEX('Policy Characteristics'!I:I,MATCH($C132,'Policy Characteristics'!$C:$C,0)))</f>
        <v>% reduction in energy use</v>
      </c>
      <c r="P132" s="394" t="str">
        <f>IF(ISBLANK(INDEX('Policy Characteristics'!J:J,MATCH($C132,'Policy Characteristics'!$C:$C,0))),"",INDEX('Policy Characteristics'!J:J,MATCH($C132,'Policy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2" s="394" t="str">
        <f>IF(ISBLANK(INDEX('Policy Characteristics'!K:K,MATCH($C132,'Policy Characteristics'!$C:$C,0))),"",INDEX('Policy Characteristics'!K:K,MATCH($C132,'Policy Characteristics'!$C:$C,0)))</f>
        <v>buildings-sector-main.html#eff-stds</v>
      </c>
      <c r="R132" s="394" t="str">
        <f>IF(ISBLANK(INDEX('Policy Characteristics'!L:L,MATCH($C132,'Policy Characteristics'!$C:$C,0))),"",INDEX('Policy Characteristics'!L:L,MATCH($C132,'Policy Characteristics'!$C:$C,0)))</f>
        <v>building-energy-efficiency-standards.html</v>
      </c>
    </row>
    <row r="133" s="384" customFormat="1" customHeight="1" spans="1:18">
      <c r="A133" s="394" t="str">
        <f>IF(ISBLANK(INDEX('Policy Characteristics'!A:A,MATCH($C133,'Policy Characteristics'!$C:$C,0))),"",INDEX('Policy Characteristics'!A:A,MATCH($C133,'Policy Characteristics'!$C:$C,0)))</f>
        <v>Buildings and Appliances</v>
      </c>
      <c r="B133" s="395" t="str">
        <f>IF(ISBLANK(INDEX('Policy Characteristics'!B:B,MATCH($C133,'Policy Characteristics'!$C:$C,0))),"",INDEX('Policy Characteristics'!B:B,MATCH($C133,'Policy Characteristics'!$C:$C,0)))</f>
        <v>Building Energy Efficiency Standards</v>
      </c>
      <c r="C133" s="394" t="str">
        <f t="shared" si="11"/>
        <v>Reduction in E Use Allowed by Component Eff Std</v>
      </c>
      <c r="D133" s="399" t="s">
        <v>689</v>
      </c>
      <c r="E133" s="399" t="s">
        <v>684</v>
      </c>
      <c r="F133" s="399" t="s">
        <v>690</v>
      </c>
      <c r="G133" s="399" t="s">
        <v>686</v>
      </c>
      <c r="H133" s="377">
        <v>16</v>
      </c>
      <c r="I133" s="396" t="s">
        <v>648</v>
      </c>
      <c r="J133" s="397" t="str">
        <f>IF(ISBLANK(INDEX('Policy Characteristics'!D:D,MATCH($C133,'Policy Characteristics'!$C:$C,0))),"",INDEX('Policy Characteristics'!D:D,MATCH($C133,'Policy Characteristics'!$C:$C,0)))</f>
        <v>Building Energy Efficiency Standards</v>
      </c>
      <c r="K133" s="394" t="str">
        <f>IF(ISBLANK(INDEX('Policy Characteristics'!E:E,MATCH($C133,'Policy Characteristics'!$C:$C,0))),"",INDEX('Policy Characteristics'!E:E,MATCH($C133,'Policy Characteristics'!$C:$C,0)))</f>
        <v>bldgs efficiency standards</v>
      </c>
      <c r="L133" s="398">
        <f>IF(ISBLANK(INDEX('Policy Characteristics'!F:F,MATCH($C133,'Policy Characteristics'!$C:$C,0))),"",INDEX('Policy Characteristics'!F:F,MATCH($C133,'Policy Characteristics'!$C:$C,0)))</f>
        <v>0</v>
      </c>
      <c r="M133" s="398">
        <f>IF(ISBLANK(INDEX('Policy Characteristics'!G:G,MATCH($C133,'Policy Characteristics'!$C:$C,0))),"",INDEX('Policy Characteristics'!G:G,MATCH($C133,'Policy Characteristics'!$C:$C,0)))</f>
        <v>1</v>
      </c>
      <c r="N133" s="398">
        <f>IF(ISBLANK(INDEX('Policy Characteristics'!H:H,MATCH($C133,'Policy Characteristics'!$C:$C,0))),"",INDEX('Policy Characteristics'!H:H,MATCH($C133,'Policy Characteristics'!$C:$C,0)))</f>
        <v>0.01</v>
      </c>
      <c r="O133" s="394" t="str">
        <f>IF(ISBLANK(INDEX('Policy Characteristics'!I:I,MATCH($C133,'Policy Characteristics'!$C:$C,0))),"",INDEX('Policy Characteristics'!I:I,MATCH($C133,'Policy Characteristics'!$C:$C,0)))</f>
        <v>% reduction in energy use</v>
      </c>
      <c r="P133" s="394" t="str">
        <f>IF(ISBLANK(INDEX('Policy Characteristics'!J:J,MATCH($C133,'Policy Characteristics'!$C:$C,0))),"",INDEX('Policy Characteristics'!J:J,MATCH($C133,'Policy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3" s="394" t="str">
        <f>IF(ISBLANK(INDEX('Policy Characteristics'!K:K,MATCH($C133,'Policy Characteristics'!$C:$C,0))),"",INDEX('Policy Characteristics'!K:K,MATCH($C133,'Policy Characteristics'!$C:$C,0)))</f>
        <v>buildings-sector-main.html#eff-stds</v>
      </c>
      <c r="R133" s="394" t="str">
        <f>IF(ISBLANK(INDEX('Policy Characteristics'!L:L,MATCH($C133,'Policy Characteristics'!$C:$C,0))),"",INDEX('Policy Characteristics'!L:L,MATCH($C133,'Policy Characteristics'!$C:$C,0)))</f>
        <v>building-energy-efficiency-standards.html</v>
      </c>
    </row>
    <row r="134" s="384" customFormat="1" customHeight="1" spans="1:18">
      <c r="A134" s="394" t="str">
        <f>IF(ISBLANK(INDEX('Policy Characteristics'!A:A,MATCH($C134,'Policy Characteristics'!$C:$C,0))),"",INDEX('Policy Characteristics'!A:A,MATCH($C134,'Policy Characteristics'!$C:$C,0)))</f>
        <v>Buildings and Appliances</v>
      </c>
      <c r="B134" s="395" t="str">
        <f>IF(ISBLANK(INDEX('Policy Characteristics'!B:B,MATCH($C134,'Policy Characteristics'!$C:$C,0))),"",INDEX('Policy Characteristics'!B:B,MATCH($C134,'Policy Characteristics'!$C:$C,0)))</f>
        <v>Building Energy Efficiency Standards</v>
      </c>
      <c r="C134" s="394" t="str">
        <f t="shared" si="11"/>
        <v>Reduction in E Use Allowed by Component Eff Std</v>
      </c>
      <c r="D134" s="399" t="s">
        <v>691</v>
      </c>
      <c r="E134" s="399" t="s">
        <v>684</v>
      </c>
      <c r="F134" s="399" t="s">
        <v>692</v>
      </c>
      <c r="G134" s="399" t="s">
        <v>686</v>
      </c>
      <c r="H134" s="377">
        <v>17</v>
      </c>
      <c r="I134" s="396" t="s">
        <v>648</v>
      </c>
      <c r="J134" s="397" t="str">
        <f>IF(ISBLANK(INDEX('Policy Characteristics'!D:D,MATCH($C134,'Policy Characteristics'!$C:$C,0))),"",INDEX('Policy Characteristics'!D:D,MATCH($C134,'Policy Characteristics'!$C:$C,0)))</f>
        <v>Building Energy Efficiency Standards</v>
      </c>
      <c r="K134" s="394" t="str">
        <f>IF(ISBLANK(INDEX('Policy Characteristics'!E:E,MATCH($C134,'Policy Characteristics'!$C:$C,0))),"",INDEX('Policy Characteristics'!E:E,MATCH($C134,'Policy Characteristics'!$C:$C,0)))</f>
        <v>bldgs efficiency standards</v>
      </c>
      <c r="L134" s="398">
        <f>IF(ISBLANK(INDEX('Policy Characteristics'!F:F,MATCH($C134,'Policy Characteristics'!$C:$C,0))),"",INDEX('Policy Characteristics'!F:F,MATCH($C134,'Policy Characteristics'!$C:$C,0)))</f>
        <v>0</v>
      </c>
      <c r="M134" s="398">
        <f>IF(ISBLANK(INDEX('Policy Characteristics'!G:G,MATCH($C134,'Policy Characteristics'!$C:$C,0))),"",INDEX('Policy Characteristics'!G:G,MATCH($C134,'Policy Characteristics'!$C:$C,0)))</f>
        <v>1</v>
      </c>
      <c r="N134" s="398">
        <f>IF(ISBLANK(INDEX('Policy Characteristics'!H:H,MATCH($C134,'Policy Characteristics'!$C:$C,0))),"",INDEX('Policy Characteristics'!H:H,MATCH($C134,'Policy Characteristics'!$C:$C,0)))</f>
        <v>0.01</v>
      </c>
      <c r="O134" s="394" t="str">
        <f>IF(ISBLANK(INDEX('Policy Characteristics'!I:I,MATCH($C134,'Policy Characteristics'!$C:$C,0))),"",INDEX('Policy Characteristics'!I:I,MATCH($C134,'Policy Characteristics'!$C:$C,0)))</f>
        <v>% reduction in energy use</v>
      </c>
      <c r="P134" s="394" t="str">
        <f>IF(ISBLANK(INDEX('Policy Characteristics'!J:J,MATCH($C134,'Policy Characteristics'!$C:$C,0))),"",INDEX('Policy Characteristics'!J:J,MATCH($C134,'Policy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4" s="394" t="str">
        <f>IF(ISBLANK(INDEX('Policy Characteristics'!K:K,MATCH($C134,'Policy Characteristics'!$C:$C,0))),"",INDEX('Policy Characteristics'!K:K,MATCH($C134,'Policy Characteristics'!$C:$C,0)))</f>
        <v>buildings-sector-main.html#eff-stds</v>
      </c>
      <c r="R134" s="394" t="str">
        <f>IF(ISBLANK(INDEX('Policy Characteristics'!L:L,MATCH($C134,'Policy Characteristics'!$C:$C,0))),"",INDEX('Policy Characteristics'!L:L,MATCH($C134,'Policy Characteristics'!$C:$C,0)))</f>
        <v>building-energy-efficiency-standards.html</v>
      </c>
    </row>
    <row r="135" s="384" customFormat="1" customHeight="1" spans="1:18">
      <c r="A135" s="394" t="str">
        <f>IF(ISBLANK(INDEX('Policy Characteristics'!A:A,MATCH($C135,'Policy Characteristics'!$C:$C,0))),"",INDEX('Policy Characteristics'!A:A,MATCH($C135,'Policy Characteristics'!$C:$C,0)))</f>
        <v>Buildings and Appliances</v>
      </c>
      <c r="B135" s="395" t="str">
        <f>IF(ISBLANK(INDEX('Policy Characteristics'!B:B,MATCH($C135,'Policy Characteristics'!$C:$C,0))),"",INDEX('Policy Characteristics'!B:B,MATCH($C135,'Policy Characteristics'!$C:$C,0)))</f>
        <v>Building Energy Efficiency Standards</v>
      </c>
      <c r="C135" s="394" t="str">
        <f t="shared" si="11"/>
        <v>Reduction in E Use Allowed by Component Eff Std</v>
      </c>
      <c r="D135" s="399" t="s">
        <v>693</v>
      </c>
      <c r="E135" s="399" t="s">
        <v>684</v>
      </c>
      <c r="F135" s="399" t="s">
        <v>694</v>
      </c>
      <c r="G135" s="399" t="s">
        <v>686</v>
      </c>
      <c r="H135" s="377">
        <v>18</v>
      </c>
      <c r="I135" s="396" t="s">
        <v>648</v>
      </c>
      <c r="J135" s="397" t="str">
        <f>IF(ISBLANK(INDEX('Policy Characteristics'!D:D,MATCH($C135,'Policy Characteristics'!$C:$C,0))),"",INDEX('Policy Characteristics'!D:D,MATCH($C135,'Policy Characteristics'!$C:$C,0)))</f>
        <v>Building Energy Efficiency Standards</v>
      </c>
      <c r="K135" s="394" t="str">
        <f>IF(ISBLANK(INDEX('Policy Characteristics'!E:E,MATCH($C135,'Policy Characteristics'!$C:$C,0))),"",INDEX('Policy Characteristics'!E:E,MATCH($C135,'Policy Characteristics'!$C:$C,0)))</f>
        <v>bldgs efficiency standards</v>
      </c>
      <c r="L135" s="398">
        <f>IF(ISBLANK(INDEX('Policy Characteristics'!F:F,MATCH($C135,'Policy Characteristics'!$C:$C,0))),"",INDEX('Policy Characteristics'!F:F,MATCH($C135,'Policy Characteristics'!$C:$C,0)))</f>
        <v>0</v>
      </c>
      <c r="M135" s="398">
        <f>IF(ISBLANK(INDEX('Policy Characteristics'!G:G,MATCH($C135,'Policy Characteristics'!$C:$C,0))),"",INDEX('Policy Characteristics'!G:G,MATCH($C135,'Policy Characteristics'!$C:$C,0)))</f>
        <v>1</v>
      </c>
      <c r="N135" s="398">
        <f>IF(ISBLANK(INDEX('Policy Characteristics'!H:H,MATCH($C135,'Policy Characteristics'!$C:$C,0))),"",INDEX('Policy Characteristics'!H:H,MATCH($C135,'Policy Characteristics'!$C:$C,0)))</f>
        <v>0.01</v>
      </c>
      <c r="O135" s="394" t="str">
        <f>IF(ISBLANK(INDEX('Policy Characteristics'!I:I,MATCH($C135,'Policy Characteristics'!$C:$C,0))),"",INDEX('Policy Characteristics'!I:I,MATCH($C135,'Policy Characteristics'!$C:$C,0)))</f>
        <v>% reduction in energy use</v>
      </c>
      <c r="P135" s="394" t="str">
        <f>IF(ISBLANK(INDEX('Policy Characteristics'!J:J,MATCH($C135,'Policy Characteristics'!$C:$C,0))),"",INDEX('Policy Characteristics'!J:J,MATCH($C135,'Policy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5" s="394" t="str">
        <f>IF(ISBLANK(INDEX('Policy Characteristics'!K:K,MATCH($C135,'Policy Characteristics'!$C:$C,0))),"",INDEX('Policy Characteristics'!K:K,MATCH($C135,'Policy Characteristics'!$C:$C,0)))</f>
        <v>buildings-sector-main.html#eff-stds</v>
      </c>
      <c r="R135" s="394" t="str">
        <f>IF(ISBLANK(INDEX('Policy Characteristics'!L:L,MATCH($C135,'Policy Characteristics'!$C:$C,0))),"",INDEX('Policy Characteristics'!L:L,MATCH($C135,'Policy Characteristics'!$C:$C,0)))</f>
        <v>building-energy-efficiency-standards.html</v>
      </c>
    </row>
    <row r="136" s="384" customFormat="1" customHeight="1" spans="1:18">
      <c r="A136" s="394" t="str">
        <f>IF(ISBLANK(INDEX('Policy Characteristics'!A:A,MATCH($C136,'Policy Characteristics'!$C:$C,0))),"",INDEX('Policy Characteristics'!A:A,MATCH($C136,'Policy Characteristics'!$C:$C,0)))</f>
        <v>Buildings and Appliances</v>
      </c>
      <c r="B136" s="395" t="str">
        <f>IF(ISBLANK(INDEX('Policy Characteristics'!B:B,MATCH($C136,'Policy Characteristics'!$C:$C,0))),"",INDEX('Policy Characteristics'!B:B,MATCH($C136,'Policy Characteristics'!$C:$C,0)))</f>
        <v>Building Energy Efficiency Standards</v>
      </c>
      <c r="C136" s="394" t="str">
        <f t="shared" si="11"/>
        <v>Reduction in E Use Allowed by Component Eff Std</v>
      </c>
      <c r="D136" s="399" t="s">
        <v>683</v>
      </c>
      <c r="E136" s="399" t="s">
        <v>695</v>
      </c>
      <c r="F136" s="399" t="s">
        <v>685</v>
      </c>
      <c r="G136" s="399" t="s">
        <v>696</v>
      </c>
      <c r="H136" s="377">
        <v>150</v>
      </c>
      <c r="I136" s="396" t="s">
        <v>648</v>
      </c>
      <c r="J136" s="397" t="str">
        <f>IF(ISBLANK(INDEX('Policy Characteristics'!D:D,MATCH($C136,'Policy Characteristics'!$C:$C,0))),"",INDEX('Policy Characteristics'!D:D,MATCH($C136,'Policy Characteristics'!$C:$C,0)))</f>
        <v>Building Energy Efficiency Standards</v>
      </c>
      <c r="K136" s="394" t="str">
        <f>IF(ISBLANK(INDEX('Policy Characteristics'!E:E,MATCH($C136,'Policy Characteristics'!$C:$C,0))),"",INDEX('Policy Characteristics'!E:E,MATCH($C136,'Policy Characteristics'!$C:$C,0)))</f>
        <v>bldgs efficiency standards</v>
      </c>
      <c r="L136" s="398">
        <f>IF(ISBLANK(INDEX('Policy Characteristics'!F:F,MATCH($C136,'Policy Characteristics'!$C:$C,0))),"",INDEX('Policy Characteristics'!F:F,MATCH($C136,'Policy Characteristics'!$C:$C,0)))</f>
        <v>0</v>
      </c>
      <c r="M136" s="398">
        <f>IF(ISBLANK(INDEX('Policy Characteristics'!G:G,MATCH($C136,'Policy Characteristics'!$C:$C,0))),"",INDEX('Policy Characteristics'!G:G,MATCH($C136,'Policy Characteristics'!$C:$C,0)))</f>
        <v>1</v>
      </c>
      <c r="N136" s="398">
        <f>IF(ISBLANK(INDEX('Policy Characteristics'!H:H,MATCH($C136,'Policy Characteristics'!$C:$C,0))),"",INDEX('Policy Characteristics'!H:H,MATCH($C136,'Policy Characteristics'!$C:$C,0)))</f>
        <v>0.01</v>
      </c>
      <c r="O136" s="394" t="str">
        <f>IF(ISBLANK(INDEX('Policy Characteristics'!I:I,MATCH($C136,'Policy Characteristics'!$C:$C,0))),"",INDEX('Policy Characteristics'!I:I,MATCH($C136,'Policy Characteristics'!$C:$C,0)))</f>
        <v>% reduction in energy use</v>
      </c>
      <c r="P136" s="394" t="str">
        <f>IF(ISBLANK(INDEX('Policy Characteristics'!J:J,MATCH($C136,'Policy Characteristics'!$C:$C,0))),"",INDEX('Policy Characteristics'!J:J,MATCH($C136,'Policy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6" s="394" t="str">
        <f>IF(ISBLANK(INDEX('Policy Characteristics'!K:K,MATCH($C136,'Policy Characteristics'!$C:$C,0))),"",INDEX('Policy Characteristics'!K:K,MATCH($C136,'Policy Characteristics'!$C:$C,0)))</f>
        <v>buildings-sector-main.html#eff-stds</v>
      </c>
      <c r="R136" s="394" t="str">
        <f>IF(ISBLANK(INDEX('Policy Characteristics'!L:L,MATCH($C136,'Policy Characteristics'!$C:$C,0))),"",INDEX('Policy Characteristics'!L:L,MATCH($C136,'Policy Characteristics'!$C:$C,0)))</f>
        <v>building-energy-efficiency-standards.html</v>
      </c>
    </row>
    <row r="137" s="384" customFormat="1" customHeight="1" spans="1:18">
      <c r="A137" s="394" t="str">
        <f>IF(ISBLANK(INDEX('Policy Characteristics'!A:A,MATCH($C137,'Policy Characteristics'!$C:$C,0))),"",INDEX('Policy Characteristics'!A:A,MATCH($C137,'Policy Characteristics'!$C:$C,0)))</f>
        <v>Buildings and Appliances</v>
      </c>
      <c r="B137" s="395" t="str">
        <f>IF(ISBLANK(INDEX('Policy Characteristics'!B:B,MATCH($C137,'Policy Characteristics'!$C:$C,0))),"",INDEX('Policy Characteristics'!B:B,MATCH($C137,'Policy Characteristics'!$C:$C,0)))</f>
        <v>Building Energy Efficiency Standards</v>
      </c>
      <c r="C137" s="394" t="str">
        <f t="shared" si="11"/>
        <v>Reduction in E Use Allowed by Component Eff Std</v>
      </c>
      <c r="D137" s="399" t="s">
        <v>687</v>
      </c>
      <c r="E137" s="399" t="s">
        <v>695</v>
      </c>
      <c r="F137" s="399" t="s">
        <v>688</v>
      </c>
      <c r="G137" s="399" t="s">
        <v>696</v>
      </c>
      <c r="H137" s="377">
        <v>151</v>
      </c>
      <c r="I137" s="396" t="s">
        <v>648</v>
      </c>
      <c r="J137" s="397" t="str">
        <f>IF(ISBLANK(INDEX('Policy Characteristics'!D:D,MATCH($C137,'Policy Characteristics'!$C:$C,0))),"",INDEX('Policy Characteristics'!D:D,MATCH($C137,'Policy Characteristics'!$C:$C,0)))</f>
        <v>Building Energy Efficiency Standards</v>
      </c>
      <c r="K137" s="394" t="str">
        <f>IF(ISBLANK(INDEX('Policy Characteristics'!E:E,MATCH($C137,'Policy Characteristics'!$C:$C,0))),"",INDEX('Policy Characteristics'!E:E,MATCH($C137,'Policy Characteristics'!$C:$C,0)))</f>
        <v>bldgs efficiency standards</v>
      </c>
      <c r="L137" s="398">
        <f>IF(ISBLANK(INDEX('Policy Characteristics'!F:F,MATCH($C137,'Policy Characteristics'!$C:$C,0))),"",INDEX('Policy Characteristics'!F:F,MATCH($C137,'Policy Characteristics'!$C:$C,0)))</f>
        <v>0</v>
      </c>
      <c r="M137" s="398">
        <f>IF(ISBLANK(INDEX('Policy Characteristics'!G:G,MATCH($C137,'Policy Characteristics'!$C:$C,0))),"",INDEX('Policy Characteristics'!G:G,MATCH($C137,'Policy Characteristics'!$C:$C,0)))</f>
        <v>1</v>
      </c>
      <c r="N137" s="398">
        <f>IF(ISBLANK(INDEX('Policy Characteristics'!H:H,MATCH($C137,'Policy Characteristics'!$C:$C,0))),"",INDEX('Policy Characteristics'!H:H,MATCH($C137,'Policy Characteristics'!$C:$C,0)))</f>
        <v>0.01</v>
      </c>
      <c r="O137" s="394" t="str">
        <f>IF(ISBLANK(INDEX('Policy Characteristics'!I:I,MATCH($C137,'Policy Characteristics'!$C:$C,0))),"",INDEX('Policy Characteristics'!I:I,MATCH($C137,'Policy Characteristics'!$C:$C,0)))</f>
        <v>% reduction in energy use</v>
      </c>
      <c r="P137" s="394" t="str">
        <f>IF(ISBLANK(INDEX('Policy Characteristics'!J:J,MATCH($C137,'Policy Characteristics'!$C:$C,0))),"",INDEX('Policy Characteristics'!J:J,MATCH($C137,'Policy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7" s="394" t="str">
        <f>IF(ISBLANK(INDEX('Policy Characteristics'!K:K,MATCH($C137,'Policy Characteristics'!$C:$C,0))),"",INDEX('Policy Characteristics'!K:K,MATCH($C137,'Policy Characteristics'!$C:$C,0)))</f>
        <v>buildings-sector-main.html#eff-stds</v>
      </c>
      <c r="R137" s="394" t="str">
        <f>IF(ISBLANK(INDEX('Policy Characteristics'!L:L,MATCH($C137,'Policy Characteristics'!$C:$C,0))),"",INDEX('Policy Characteristics'!L:L,MATCH($C137,'Policy Characteristics'!$C:$C,0)))</f>
        <v>building-energy-efficiency-standards.html</v>
      </c>
    </row>
    <row r="138" s="384" customFormat="1" customHeight="1" spans="1:18">
      <c r="A138" s="394" t="str">
        <f>IF(ISBLANK(INDEX('Policy Characteristics'!A:A,MATCH($C138,'Policy Characteristics'!$C:$C,0))),"",INDEX('Policy Characteristics'!A:A,MATCH($C138,'Policy Characteristics'!$C:$C,0)))</f>
        <v>Buildings and Appliances</v>
      </c>
      <c r="B138" s="395" t="str">
        <f>IF(ISBLANK(INDEX('Policy Characteristics'!B:B,MATCH($C138,'Policy Characteristics'!$C:$C,0))),"",INDEX('Policy Characteristics'!B:B,MATCH($C138,'Policy Characteristics'!$C:$C,0)))</f>
        <v>Building Energy Efficiency Standards</v>
      </c>
      <c r="C138" s="394" t="str">
        <f t="shared" si="11"/>
        <v>Reduction in E Use Allowed by Component Eff Std</v>
      </c>
      <c r="D138" s="399" t="s">
        <v>699</v>
      </c>
      <c r="E138" s="399" t="s">
        <v>695</v>
      </c>
      <c r="F138" s="399" t="s">
        <v>700</v>
      </c>
      <c r="G138" s="399" t="s">
        <v>696</v>
      </c>
      <c r="H138" s="377">
        <v>152</v>
      </c>
      <c r="I138" s="396" t="s">
        <v>648</v>
      </c>
      <c r="J138" s="397" t="str">
        <f>IF(ISBLANK(INDEX('Policy Characteristics'!D:D,MATCH($C138,'Policy Characteristics'!$C:$C,0))),"",INDEX('Policy Characteristics'!D:D,MATCH($C138,'Policy Characteristics'!$C:$C,0)))</f>
        <v>Building Energy Efficiency Standards</v>
      </c>
      <c r="K138" s="394" t="str">
        <f>IF(ISBLANK(INDEX('Policy Characteristics'!E:E,MATCH($C138,'Policy Characteristics'!$C:$C,0))),"",INDEX('Policy Characteristics'!E:E,MATCH($C138,'Policy Characteristics'!$C:$C,0)))</f>
        <v>bldgs efficiency standards</v>
      </c>
      <c r="L138" s="398">
        <f>IF(ISBLANK(INDEX('Policy Characteristics'!F:F,MATCH($C138,'Policy Characteristics'!$C:$C,0))),"",INDEX('Policy Characteristics'!F:F,MATCH($C138,'Policy Characteristics'!$C:$C,0)))</f>
        <v>0</v>
      </c>
      <c r="M138" s="398">
        <f>IF(ISBLANK(INDEX('Policy Characteristics'!G:G,MATCH($C138,'Policy Characteristics'!$C:$C,0))),"",INDEX('Policy Characteristics'!G:G,MATCH($C138,'Policy Characteristics'!$C:$C,0)))</f>
        <v>1</v>
      </c>
      <c r="N138" s="398">
        <f>IF(ISBLANK(INDEX('Policy Characteristics'!H:H,MATCH($C138,'Policy Characteristics'!$C:$C,0))),"",INDEX('Policy Characteristics'!H:H,MATCH($C138,'Policy Characteristics'!$C:$C,0)))</f>
        <v>0.01</v>
      </c>
      <c r="O138" s="394" t="str">
        <f>IF(ISBLANK(INDEX('Policy Characteristics'!I:I,MATCH($C138,'Policy Characteristics'!$C:$C,0))),"",INDEX('Policy Characteristics'!I:I,MATCH($C138,'Policy Characteristics'!$C:$C,0)))</f>
        <v>% reduction in energy use</v>
      </c>
      <c r="P138" s="394" t="str">
        <f>IF(ISBLANK(INDEX('Policy Characteristics'!J:J,MATCH($C138,'Policy Characteristics'!$C:$C,0))),"",INDEX('Policy Characteristics'!J:J,MATCH($C138,'Policy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8" s="394" t="str">
        <f>IF(ISBLANK(INDEX('Policy Characteristics'!K:K,MATCH($C138,'Policy Characteristics'!$C:$C,0))),"",INDEX('Policy Characteristics'!K:K,MATCH($C138,'Policy Characteristics'!$C:$C,0)))</f>
        <v>buildings-sector-main.html#eff-stds</v>
      </c>
      <c r="R138" s="394" t="str">
        <f>IF(ISBLANK(INDEX('Policy Characteristics'!L:L,MATCH($C138,'Policy Characteristics'!$C:$C,0))),"",INDEX('Policy Characteristics'!L:L,MATCH($C138,'Policy Characteristics'!$C:$C,0)))</f>
        <v>building-energy-efficiency-standards.html</v>
      </c>
    </row>
    <row r="139" s="384" customFormat="1" customHeight="1" spans="1:18">
      <c r="A139" s="394" t="str">
        <f>IF(ISBLANK(INDEX('Policy Characteristics'!A:A,MATCH($C139,'Policy Characteristics'!$C:$C,0))),"",INDEX('Policy Characteristics'!A:A,MATCH($C139,'Policy Characteristics'!$C:$C,0)))</f>
        <v>Buildings and Appliances</v>
      </c>
      <c r="B139" s="395" t="str">
        <f>IF(ISBLANK(INDEX('Policy Characteristics'!B:B,MATCH($C139,'Policy Characteristics'!$C:$C,0))),"",INDEX('Policy Characteristics'!B:B,MATCH($C139,'Policy Characteristics'!$C:$C,0)))</f>
        <v>Building Energy Efficiency Standards</v>
      </c>
      <c r="C139" s="394" t="str">
        <f t="shared" si="11"/>
        <v>Reduction in E Use Allowed by Component Eff Std</v>
      </c>
      <c r="D139" s="399" t="s">
        <v>689</v>
      </c>
      <c r="E139" s="399" t="s">
        <v>695</v>
      </c>
      <c r="F139" s="399" t="s">
        <v>690</v>
      </c>
      <c r="G139" s="399" t="s">
        <v>696</v>
      </c>
      <c r="H139" s="377">
        <v>153</v>
      </c>
      <c r="I139" s="396" t="s">
        <v>648</v>
      </c>
      <c r="J139" s="397" t="str">
        <f>IF(ISBLANK(INDEX('Policy Characteristics'!D:D,MATCH($C139,'Policy Characteristics'!$C:$C,0))),"",INDEX('Policy Characteristics'!D:D,MATCH($C139,'Policy Characteristics'!$C:$C,0)))</f>
        <v>Building Energy Efficiency Standards</v>
      </c>
      <c r="K139" s="394" t="str">
        <f>IF(ISBLANK(INDEX('Policy Characteristics'!E:E,MATCH($C139,'Policy Characteristics'!$C:$C,0))),"",INDEX('Policy Characteristics'!E:E,MATCH($C139,'Policy Characteristics'!$C:$C,0)))</f>
        <v>bldgs efficiency standards</v>
      </c>
      <c r="L139" s="398">
        <f>IF(ISBLANK(INDEX('Policy Characteristics'!F:F,MATCH($C139,'Policy Characteristics'!$C:$C,0))),"",INDEX('Policy Characteristics'!F:F,MATCH($C139,'Policy Characteristics'!$C:$C,0)))</f>
        <v>0</v>
      </c>
      <c r="M139" s="398">
        <f>IF(ISBLANK(INDEX('Policy Characteristics'!G:G,MATCH($C139,'Policy Characteristics'!$C:$C,0))),"",INDEX('Policy Characteristics'!G:G,MATCH($C139,'Policy Characteristics'!$C:$C,0)))</f>
        <v>1</v>
      </c>
      <c r="N139" s="398">
        <f>IF(ISBLANK(INDEX('Policy Characteristics'!H:H,MATCH($C139,'Policy Characteristics'!$C:$C,0))),"",INDEX('Policy Characteristics'!H:H,MATCH($C139,'Policy Characteristics'!$C:$C,0)))</f>
        <v>0.01</v>
      </c>
      <c r="O139" s="394" t="str">
        <f>IF(ISBLANK(INDEX('Policy Characteristics'!I:I,MATCH($C139,'Policy Characteristics'!$C:$C,0))),"",INDEX('Policy Characteristics'!I:I,MATCH($C139,'Policy Characteristics'!$C:$C,0)))</f>
        <v>% reduction in energy use</v>
      </c>
      <c r="P139" s="394" t="str">
        <f>IF(ISBLANK(INDEX('Policy Characteristics'!J:J,MATCH($C139,'Policy Characteristics'!$C:$C,0))),"",INDEX('Policy Characteristics'!J:J,MATCH($C139,'Policy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9" s="394" t="str">
        <f>IF(ISBLANK(INDEX('Policy Characteristics'!K:K,MATCH($C139,'Policy Characteristics'!$C:$C,0))),"",INDEX('Policy Characteristics'!K:K,MATCH($C139,'Policy Characteristics'!$C:$C,0)))</f>
        <v>buildings-sector-main.html#eff-stds</v>
      </c>
      <c r="R139" s="394" t="str">
        <f>IF(ISBLANK(INDEX('Policy Characteristics'!L:L,MATCH($C139,'Policy Characteristics'!$C:$C,0))),"",INDEX('Policy Characteristics'!L:L,MATCH($C139,'Policy Characteristics'!$C:$C,0)))</f>
        <v>building-energy-efficiency-standards.html</v>
      </c>
    </row>
    <row r="140" s="384" customFormat="1" customHeight="1" spans="1:18">
      <c r="A140" s="394" t="str">
        <f>IF(ISBLANK(INDEX('Policy Characteristics'!A:A,MATCH($C140,'Policy Characteristics'!$C:$C,0))),"",INDEX('Policy Characteristics'!A:A,MATCH($C140,'Policy Characteristics'!$C:$C,0)))</f>
        <v>Buildings and Appliances</v>
      </c>
      <c r="B140" s="395" t="str">
        <f>IF(ISBLANK(INDEX('Policy Characteristics'!B:B,MATCH($C140,'Policy Characteristics'!$C:$C,0))),"",INDEX('Policy Characteristics'!B:B,MATCH($C140,'Policy Characteristics'!$C:$C,0)))</f>
        <v>Building Energy Efficiency Standards</v>
      </c>
      <c r="C140" s="394" t="str">
        <f t="shared" si="11"/>
        <v>Reduction in E Use Allowed by Component Eff Std</v>
      </c>
      <c r="D140" s="399" t="s">
        <v>691</v>
      </c>
      <c r="E140" s="399" t="s">
        <v>695</v>
      </c>
      <c r="F140" s="399" t="s">
        <v>692</v>
      </c>
      <c r="G140" s="399" t="s">
        <v>696</v>
      </c>
      <c r="H140" s="377">
        <v>154</v>
      </c>
      <c r="I140" s="396" t="s">
        <v>648</v>
      </c>
      <c r="J140" s="397" t="str">
        <f>IF(ISBLANK(INDEX('Policy Characteristics'!D:D,MATCH($C140,'Policy Characteristics'!$C:$C,0))),"",INDEX('Policy Characteristics'!D:D,MATCH($C140,'Policy Characteristics'!$C:$C,0)))</f>
        <v>Building Energy Efficiency Standards</v>
      </c>
      <c r="K140" s="394" t="str">
        <f>IF(ISBLANK(INDEX('Policy Characteristics'!E:E,MATCH($C140,'Policy Characteristics'!$C:$C,0))),"",INDEX('Policy Characteristics'!E:E,MATCH($C140,'Policy Characteristics'!$C:$C,0)))</f>
        <v>bldgs efficiency standards</v>
      </c>
      <c r="L140" s="398">
        <f>IF(ISBLANK(INDEX('Policy Characteristics'!F:F,MATCH($C140,'Policy Characteristics'!$C:$C,0))),"",INDEX('Policy Characteristics'!F:F,MATCH($C140,'Policy Characteristics'!$C:$C,0)))</f>
        <v>0</v>
      </c>
      <c r="M140" s="398">
        <f>IF(ISBLANK(INDEX('Policy Characteristics'!G:G,MATCH($C140,'Policy Characteristics'!$C:$C,0))),"",INDEX('Policy Characteristics'!G:G,MATCH($C140,'Policy Characteristics'!$C:$C,0)))</f>
        <v>1</v>
      </c>
      <c r="N140" s="398">
        <f>IF(ISBLANK(INDEX('Policy Characteristics'!H:H,MATCH($C140,'Policy Characteristics'!$C:$C,0))),"",INDEX('Policy Characteristics'!H:H,MATCH($C140,'Policy Characteristics'!$C:$C,0)))</f>
        <v>0.01</v>
      </c>
      <c r="O140" s="394" t="str">
        <f>IF(ISBLANK(INDEX('Policy Characteristics'!I:I,MATCH($C140,'Policy Characteristics'!$C:$C,0))),"",INDEX('Policy Characteristics'!I:I,MATCH($C140,'Policy Characteristics'!$C:$C,0)))</f>
        <v>% reduction in energy use</v>
      </c>
      <c r="P140" s="394" t="str">
        <f>IF(ISBLANK(INDEX('Policy Characteristics'!J:J,MATCH($C140,'Policy Characteristics'!$C:$C,0))),"",INDEX('Policy Characteristics'!J:J,MATCH($C140,'Policy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0" s="394" t="str">
        <f>IF(ISBLANK(INDEX('Policy Characteristics'!K:K,MATCH($C140,'Policy Characteristics'!$C:$C,0))),"",INDEX('Policy Characteristics'!K:K,MATCH($C140,'Policy Characteristics'!$C:$C,0)))</f>
        <v>buildings-sector-main.html#eff-stds</v>
      </c>
      <c r="R140" s="394" t="str">
        <f>IF(ISBLANK(INDEX('Policy Characteristics'!L:L,MATCH($C140,'Policy Characteristics'!$C:$C,0))),"",INDEX('Policy Characteristics'!L:L,MATCH($C140,'Policy Characteristics'!$C:$C,0)))</f>
        <v>building-energy-efficiency-standards.html</v>
      </c>
    </row>
    <row r="141" s="384" customFormat="1" customHeight="1" spans="1:18">
      <c r="A141" s="394" t="str">
        <f>IF(ISBLANK(INDEX('Policy Characteristics'!A:A,MATCH($C141,'Policy Characteristics'!$C:$C,0))),"",INDEX('Policy Characteristics'!A:A,MATCH($C141,'Policy Characteristics'!$C:$C,0)))</f>
        <v>Buildings and Appliances</v>
      </c>
      <c r="B141" s="395" t="str">
        <f>IF(ISBLANK(INDEX('Policy Characteristics'!B:B,MATCH($C141,'Policy Characteristics'!$C:$C,0))),"",INDEX('Policy Characteristics'!B:B,MATCH($C141,'Policy Characteristics'!$C:$C,0)))</f>
        <v>Building Energy Efficiency Standards</v>
      </c>
      <c r="C141" s="394" t="str">
        <f t="shared" si="11"/>
        <v>Reduction in E Use Allowed by Component Eff Std</v>
      </c>
      <c r="D141" s="399" t="s">
        <v>693</v>
      </c>
      <c r="E141" s="399" t="s">
        <v>695</v>
      </c>
      <c r="F141" s="399" t="s">
        <v>694</v>
      </c>
      <c r="G141" s="399" t="s">
        <v>696</v>
      </c>
      <c r="H141" s="377">
        <v>155</v>
      </c>
      <c r="I141" s="396" t="s">
        <v>648</v>
      </c>
      <c r="J141" s="397" t="str">
        <f>IF(ISBLANK(INDEX('Policy Characteristics'!D:D,MATCH($C141,'Policy Characteristics'!$C:$C,0))),"",INDEX('Policy Characteristics'!D:D,MATCH($C141,'Policy Characteristics'!$C:$C,0)))</f>
        <v>Building Energy Efficiency Standards</v>
      </c>
      <c r="K141" s="394" t="str">
        <f>IF(ISBLANK(INDEX('Policy Characteristics'!E:E,MATCH($C141,'Policy Characteristics'!$C:$C,0))),"",INDEX('Policy Characteristics'!E:E,MATCH($C141,'Policy Characteristics'!$C:$C,0)))</f>
        <v>bldgs efficiency standards</v>
      </c>
      <c r="L141" s="398">
        <f>IF(ISBLANK(INDEX('Policy Characteristics'!F:F,MATCH($C141,'Policy Characteristics'!$C:$C,0))),"",INDEX('Policy Characteristics'!F:F,MATCH($C141,'Policy Characteristics'!$C:$C,0)))</f>
        <v>0</v>
      </c>
      <c r="M141" s="398">
        <f>IF(ISBLANK(INDEX('Policy Characteristics'!G:G,MATCH($C141,'Policy Characteristics'!$C:$C,0))),"",INDEX('Policy Characteristics'!G:G,MATCH($C141,'Policy Characteristics'!$C:$C,0)))</f>
        <v>1</v>
      </c>
      <c r="N141" s="398">
        <f>IF(ISBLANK(INDEX('Policy Characteristics'!H:H,MATCH($C141,'Policy Characteristics'!$C:$C,0))),"",INDEX('Policy Characteristics'!H:H,MATCH($C141,'Policy Characteristics'!$C:$C,0)))</f>
        <v>0.01</v>
      </c>
      <c r="O141" s="394" t="str">
        <f>IF(ISBLANK(INDEX('Policy Characteristics'!I:I,MATCH($C141,'Policy Characteristics'!$C:$C,0))),"",INDEX('Policy Characteristics'!I:I,MATCH($C141,'Policy Characteristics'!$C:$C,0)))</f>
        <v>% reduction in energy use</v>
      </c>
      <c r="P141" s="394" t="str">
        <f>IF(ISBLANK(INDEX('Policy Characteristics'!J:J,MATCH($C141,'Policy Characteristics'!$C:$C,0))),"",INDEX('Policy Characteristics'!J:J,MATCH($C141,'Policy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1" s="394" t="str">
        <f>IF(ISBLANK(INDEX('Policy Characteristics'!K:K,MATCH($C141,'Policy Characteristics'!$C:$C,0))),"",INDEX('Policy Characteristics'!K:K,MATCH($C141,'Policy Characteristics'!$C:$C,0)))</f>
        <v>buildings-sector-main.html#eff-stds</v>
      </c>
      <c r="R141" s="394" t="str">
        <f>IF(ISBLANK(INDEX('Policy Characteristics'!L:L,MATCH($C141,'Policy Characteristics'!$C:$C,0))),"",INDEX('Policy Characteristics'!L:L,MATCH($C141,'Policy Characteristics'!$C:$C,0)))</f>
        <v>building-energy-efficiency-standards.html</v>
      </c>
    </row>
    <row r="142" s="384" customFormat="1" customHeight="1" spans="1:18">
      <c r="A142" s="394" t="str">
        <f>IF(ISBLANK(INDEX('Policy Characteristics'!A:A,MATCH($C142,'Policy Characteristics'!$C:$C,0))),"",INDEX('Policy Characteristics'!A:A,MATCH($C142,'Policy Characteristics'!$C:$C,0)))</f>
        <v>Buildings and Appliances</v>
      </c>
      <c r="B142" s="395" t="str">
        <f>IF(ISBLANK(INDEX('Policy Characteristics'!B:B,MATCH($C142,'Policy Characteristics'!$C:$C,0))),"",INDEX('Policy Characteristics'!B:B,MATCH($C142,'Policy Characteristics'!$C:$C,0)))</f>
        <v>Building Energy Efficiency Standards</v>
      </c>
      <c r="C142" s="394" t="str">
        <f t="shared" si="11"/>
        <v>Reduction in E Use Allowed by Component Eff Std</v>
      </c>
      <c r="D142" s="399" t="s">
        <v>683</v>
      </c>
      <c r="E142" s="399" t="s">
        <v>697</v>
      </c>
      <c r="F142" s="399" t="s">
        <v>685</v>
      </c>
      <c r="G142" s="399" t="s">
        <v>698</v>
      </c>
      <c r="H142" s="377">
        <v>156</v>
      </c>
      <c r="I142" s="396" t="s">
        <v>648</v>
      </c>
      <c r="J142" s="397" t="str">
        <f>IF(ISBLANK(INDEX('Policy Characteristics'!D:D,MATCH($C142,'Policy Characteristics'!$C:$C,0))),"",INDEX('Policy Characteristics'!D:D,MATCH($C142,'Policy Characteristics'!$C:$C,0)))</f>
        <v>Building Energy Efficiency Standards</v>
      </c>
      <c r="K142" s="394" t="str">
        <f>IF(ISBLANK(INDEX('Policy Characteristics'!E:E,MATCH($C142,'Policy Characteristics'!$C:$C,0))),"",INDEX('Policy Characteristics'!E:E,MATCH($C142,'Policy Characteristics'!$C:$C,0)))</f>
        <v>bldgs efficiency standards</v>
      </c>
      <c r="L142" s="398">
        <f>IF(ISBLANK(INDEX('Policy Characteristics'!F:F,MATCH($C142,'Policy Characteristics'!$C:$C,0))),"",INDEX('Policy Characteristics'!F:F,MATCH($C142,'Policy Characteristics'!$C:$C,0)))</f>
        <v>0</v>
      </c>
      <c r="M142" s="398">
        <f>IF(ISBLANK(INDEX('Policy Characteristics'!G:G,MATCH($C142,'Policy Characteristics'!$C:$C,0))),"",INDEX('Policy Characteristics'!G:G,MATCH($C142,'Policy Characteristics'!$C:$C,0)))</f>
        <v>1</v>
      </c>
      <c r="N142" s="398">
        <f>IF(ISBLANK(INDEX('Policy Characteristics'!H:H,MATCH($C142,'Policy Characteristics'!$C:$C,0))),"",INDEX('Policy Characteristics'!H:H,MATCH($C142,'Policy Characteristics'!$C:$C,0)))</f>
        <v>0.01</v>
      </c>
      <c r="O142" s="394" t="str">
        <f>IF(ISBLANK(INDEX('Policy Characteristics'!I:I,MATCH($C142,'Policy Characteristics'!$C:$C,0))),"",INDEX('Policy Characteristics'!I:I,MATCH($C142,'Policy Characteristics'!$C:$C,0)))</f>
        <v>% reduction in energy use</v>
      </c>
      <c r="P142" s="394" t="str">
        <f>IF(ISBLANK(INDEX('Policy Characteristics'!J:J,MATCH($C142,'Policy Characteristics'!$C:$C,0))),"",INDEX('Policy Characteristics'!J:J,MATCH($C142,'Policy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2" s="394" t="str">
        <f>IF(ISBLANK(INDEX('Policy Characteristics'!K:K,MATCH($C142,'Policy Characteristics'!$C:$C,0))),"",INDEX('Policy Characteristics'!K:K,MATCH($C142,'Policy Characteristics'!$C:$C,0)))</f>
        <v>buildings-sector-main.html#eff-stds</v>
      </c>
      <c r="R142" s="394" t="str">
        <f>IF(ISBLANK(INDEX('Policy Characteristics'!L:L,MATCH($C142,'Policy Characteristics'!$C:$C,0))),"",INDEX('Policy Characteristics'!L:L,MATCH($C142,'Policy Characteristics'!$C:$C,0)))</f>
        <v>building-energy-efficiency-standards.html</v>
      </c>
    </row>
    <row r="143" s="384" customFormat="1" customHeight="1" spans="1:18">
      <c r="A143" s="394" t="str">
        <f>IF(ISBLANK(INDEX('Policy Characteristics'!A:A,MATCH($C143,'Policy Characteristics'!$C:$C,0))),"",INDEX('Policy Characteristics'!A:A,MATCH($C143,'Policy Characteristics'!$C:$C,0)))</f>
        <v>Buildings and Appliances</v>
      </c>
      <c r="B143" s="395" t="str">
        <f>IF(ISBLANK(INDEX('Policy Characteristics'!B:B,MATCH($C143,'Policy Characteristics'!$C:$C,0))),"",INDEX('Policy Characteristics'!B:B,MATCH($C143,'Policy Characteristics'!$C:$C,0)))</f>
        <v>Building Energy Efficiency Standards</v>
      </c>
      <c r="C143" s="394" t="str">
        <f t="shared" si="11"/>
        <v>Reduction in E Use Allowed by Component Eff Std</v>
      </c>
      <c r="D143" s="399" t="s">
        <v>687</v>
      </c>
      <c r="E143" s="399" t="s">
        <v>697</v>
      </c>
      <c r="F143" s="399" t="s">
        <v>688</v>
      </c>
      <c r="G143" s="399" t="s">
        <v>698</v>
      </c>
      <c r="H143" s="377">
        <v>157</v>
      </c>
      <c r="I143" s="396" t="s">
        <v>648</v>
      </c>
      <c r="J143" s="397" t="str">
        <f>IF(ISBLANK(INDEX('Policy Characteristics'!D:D,MATCH($C143,'Policy Characteristics'!$C:$C,0))),"",INDEX('Policy Characteristics'!D:D,MATCH($C143,'Policy Characteristics'!$C:$C,0)))</f>
        <v>Building Energy Efficiency Standards</v>
      </c>
      <c r="K143" s="394" t="str">
        <f>IF(ISBLANK(INDEX('Policy Characteristics'!E:E,MATCH($C143,'Policy Characteristics'!$C:$C,0))),"",INDEX('Policy Characteristics'!E:E,MATCH($C143,'Policy Characteristics'!$C:$C,0)))</f>
        <v>bldgs efficiency standards</v>
      </c>
      <c r="L143" s="398">
        <f>IF(ISBLANK(INDEX('Policy Characteristics'!F:F,MATCH($C143,'Policy Characteristics'!$C:$C,0))),"",INDEX('Policy Characteristics'!F:F,MATCH($C143,'Policy Characteristics'!$C:$C,0)))</f>
        <v>0</v>
      </c>
      <c r="M143" s="398">
        <f>IF(ISBLANK(INDEX('Policy Characteristics'!G:G,MATCH($C143,'Policy Characteristics'!$C:$C,0))),"",INDEX('Policy Characteristics'!G:G,MATCH($C143,'Policy Characteristics'!$C:$C,0)))</f>
        <v>1</v>
      </c>
      <c r="N143" s="398">
        <f>IF(ISBLANK(INDEX('Policy Characteristics'!H:H,MATCH($C143,'Policy Characteristics'!$C:$C,0))),"",INDEX('Policy Characteristics'!H:H,MATCH($C143,'Policy Characteristics'!$C:$C,0)))</f>
        <v>0.01</v>
      </c>
      <c r="O143" s="394" t="str">
        <f>IF(ISBLANK(INDEX('Policy Characteristics'!I:I,MATCH($C143,'Policy Characteristics'!$C:$C,0))),"",INDEX('Policy Characteristics'!I:I,MATCH($C143,'Policy Characteristics'!$C:$C,0)))</f>
        <v>% reduction in energy use</v>
      </c>
      <c r="P143" s="394" t="str">
        <f>IF(ISBLANK(INDEX('Policy Characteristics'!J:J,MATCH($C143,'Policy Characteristics'!$C:$C,0))),"",INDEX('Policy Characteristics'!J:J,MATCH($C143,'Policy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3" s="394" t="str">
        <f>IF(ISBLANK(INDEX('Policy Characteristics'!K:K,MATCH($C143,'Policy Characteristics'!$C:$C,0))),"",INDEX('Policy Characteristics'!K:K,MATCH($C143,'Policy Characteristics'!$C:$C,0)))</f>
        <v>buildings-sector-main.html#eff-stds</v>
      </c>
      <c r="R143" s="394" t="str">
        <f>IF(ISBLANK(INDEX('Policy Characteristics'!L:L,MATCH($C143,'Policy Characteristics'!$C:$C,0))),"",INDEX('Policy Characteristics'!L:L,MATCH($C143,'Policy Characteristics'!$C:$C,0)))</f>
        <v>building-energy-efficiency-standards.html</v>
      </c>
    </row>
    <row r="144" s="384" customFormat="1" customHeight="1" spans="1:18">
      <c r="A144" s="394" t="str">
        <f>IF(ISBLANK(INDEX('Policy Characteristics'!A:A,MATCH($C144,'Policy Characteristics'!$C:$C,0))),"",INDEX('Policy Characteristics'!A:A,MATCH($C144,'Policy Characteristics'!$C:$C,0)))</f>
        <v>Buildings and Appliances</v>
      </c>
      <c r="B144" s="395" t="str">
        <f>IF(ISBLANK(INDEX('Policy Characteristics'!B:B,MATCH($C144,'Policy Characteristics'!$C:$C,0))),"",INDEX('Policy Characteristics'!B:B,MATCH($C144,'Policy Characteristics'!$C:$C,0)))</f>
        <v>Building Energy Efficiency Standards</v>
      </c>
      <c r="C144" s="394" t="str">
        <f t="shared" si="11"/>
        <v>Reduction in E Use Allowed by Component Eff Std</v>
      </c>
      <c r="D144" s="399" t="s">
        <v>699</v>
      </c>
      <c r="E144" s="399" t="s">
        <v>697</v>
      </c>
      <c r="F144" s="399" t="s">
        <v>700</v>
      </c>
      <c r="G144" s="399" t="s">
        <v>698</v>
      </c>
      <c r="H144" s="377">
        <v>158</v>
      </c>
      <c r="I144" s="396" t="s">
        <v>648</v>
      </c>
      <c r="J144" s="397" t="str">
        <f>IF(ISBLANK(INDEX('Policy Characteristics'!D:D,MATCH($C144,'Policy Characteristics'!$C:$C,0))),"",INDEX('Policy Characteristics'!D:D,MATCH($C144,'Policy Characteristics'!$C:$C,0)))</f>
        <v>Building Energy Efficiency Standards</v>
      </c>
      <c r="K144" s="394" t="str">
        <f>IF(ISBLANK(INDEX('Policy Characteristics'!E:E,MATCH($C144,'Policy Characteristics'!$C:$C,0))),"",INDEX('Policy Characteristics'!E:E,MATCH($C144,'Policy Characteristics'!$C:$C,0)))</f>
        <v>bldgs efficiency standards</v>
      </c>
      <c r="L144" s="398">
        <f>IF(ISBLANK(INDEX('Policy Characteristics'!F:F,MATCH($C144,'Policy Characteristics'!$C:$C,0))),"",INDEX('Policy Characteristics'!F:F,MATCH($C144,'Policy Characteristics'!$C:$C,0)))</f>
        <v>0</v>
      </c>
      <c r="M144" s="398">
        <f>IF(ISBLANK(INDEX('Policy Characteristics'!G:G,MATCH($C144,'Policy Characteristics'!$C:$C,0))),"",INDEX('Policy Characteristics'!G:G,MATCH($C144,'Policy Characteristics'!$C:$C,0)))</f>
        <v>1</v>
      </c>
      <c r="N144" s="398">
        <f>IF(ISBLANK(INDEX('Policy Characteristics'!H:H,MATCH($C144,'Policy Characteristics'!$C:$C,0))),"",INDEX('Policy Characteristics'!H:H,MATCH($C144,'Policy Characteristics'!$C:$C,0)))</f>
        <v>0.01</v>
      </c>
      <c r="O144" s="394" t="str">
        <f>IF(ISBLANK(INDEX('Policy Characteristics'!I:I,MATCH($C144,'Policy Characteristics'!$C:$C,0))),"",INDEX('Policy Characteristics'!I:I,MATCH($C144,'Policy Characteristics'!$C:$C,0)))</f>
        <v>% reduction in energy use</v>
      </c>
      <c r="P144" s="394" t="str">
        <f>IF(ISBLANK(INDEX('Policy Characteristics'!J:J,MATCH($C144,'Policy Characteristics'!$C:$C,0))),"",INDEX('Policy Characteristics'!J:J,MATCH($C144,'Policy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4" s="394" t="str">
        <f>IF(ISBLANK(INDEX('Policy Characteristics'!K:K,MATCH($C144,'Policy Characteristics'!$C:$C,0))),"",INDEX('Policy Characteristics'!K:K,MATCH($C144,'Policy Characteristics'!$C:$C,0)))</f>
        <v>buildings-sector-main.html#eff-stds</v>
      </c>
      <c r="R144" s="394" t="str">
        <f>IF(ISBLANK(INDEX('Policy Characteristics'!L:L,MATCH($C144,'Policy Characteristics'!$C:$C,0))),"",INDEX('Policy Characteristics'!L:L,MATCH($C144,'Policy Characteristics'!$C:$C,0)))</f>
        <v>building-energy-efficiency-standards.html</v>
      </c>
    </row>
    <row r="145" s="384" customFormat="1" customHeight="1" spans="1:18">
      <c r="A145" s="394" t="str">
        <f>IF(ISBLANK(INDEX('Policy Characteristics'!A:A,MATCH($C145,'Policy Characteristics'!$C:$C,0))),"",INDEX('Policy Characteristics'!A:A,MATCH($C145,'Policy Characteristics'!$C:$C,0)))</f>
        <v>Buildings and Appliances</v>
      </c>
      <c r="B145" s="395" t="str">
        <f>IF(ISBLANK(INDEX('Policy Characteristics'!B:B,MATCH($C145,'Policy Characteristics'!$C:$C,0))),"",INDEX('Policy Characteristics'!B:B,MATCH($C145,'Policy Characteristics'!$C:$C,0)))</f>
        <v>Building Energy Efficiency Standards</v>
      </c>
      <c r="C145" s="394" t="str">
        <f t="shared" si="11"/>
        <v>Reduction in E Use Allowed by Component Eff Std</v>
      </c>
      <c r="D145" s="399" t="s">
        <v>689</v>
      </c>
      <c r="E145" s="399" t="s">
        <v>697</v>
      </c>
      <c r="F145" s="399" t="s">
        <v>690</v>
      </c>
      <c r="G145" s="399" t="s">
        <v>698</v>
      </c>
      <c r="H145" s="377">
        <v>159</v>
      </c>
      <c r="I145" s="396" t="s">
        <v>648</v>
      </c>
      <c r="J145" s="397" t="str">
        <f>IF(ISBLANK(INDEX('Policy Characteristics'!D:D,MATCH($C145,'Policy Characteristics'!$C:$C,0))),"",INDEX('Policy Characteristics'!D:D,MATCH($C145,'Policy Characteristics'!$C:$C,0)))</f>
        <v>Building Energy Efficiency Standards</v>
      </c>
      <c r="K145" s="394" t="str">
        <f>IF(ISBLANK(INDEX('Policy Characteristics'!E:E,MATCH($C145,'Policy Characteristics'!$C:$C,0))),"",INDEX('Policy Characteristics'!E:E,MATCH($C145,'Policy Characteristics'!$C:$C,0)))</f>
        <v>bldgs efficiency standards</v>
      </c>
      <c r="L145" s="398">
        <f>IF(ISBLANK(INDEX('Policy Characteristics'!F:F,MATCH($C145,'Policy Characteristics'!$C:$C,0))),"",INDEX('Policy Characteristics'!F:F,MATCH($C145,'Policy Characteristics'!$C:$C,0)))</f>
        <v>0</v>
      </c>
      <c r="M145" s="398">
        <f>IF(ISBLANK(INDEX('Policy Characteristics'!G:G,MATCH($C145,'Policy Characteristics'!$C:$C,0))),"",INDEX('Policy Characteristics'!G:G,MATCH($C145,'Policy Characteristics'!$C:$C,0)))</f>
        <v>1</v>
      </c>
      <c r="N145" s="398">
        <f>IF(ISBLANK(INDEX('Policy Characteristics'!H:H,MATCH($C145,'Policy Characteristics'!$C:$C,0))),"",INDEX('Policy Characteristics'!H:H,MATCH($C145,'Policy Characteristics'!$C:$C,0)))</f>
        <v>0.01</v>
      </c>
      <c r="O145" s="394" t="str">
        <f>IF(ISBLANK(INDEX('Policy Characteristics'!I:I,MATCH($C145,'Policy Characteristics'!$C:$C,0))),"",INDEX('Policy Characteristics'!I:I,MATCH($C145,'Policy Characteristics'!$C:$C,0)))</f>
        <v>% reduction in energy use</v>
      </c>
      <c r="P145" s="394" t="str">
        <f>IF(ISBLANK(INDEX('Policy Characteristics'!J:J,MATCH($C145,'Policy Characteristics'!$C:$C,0))),"",INDEX('Policy Characteristics'!J:J,MATCH($C145,'Policy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5" s="394" t="str">
        <f>IF(ISBLANK(INDEX('Policy Characteristics'!K:K,MATCH($C145,'Policy Characteristics'!$C:$C,0))),"",INDEX('Policy Characteristics'!K:K,MATCH($C145,'Policy Characteristics'!$C:$C,0)))</f>
        <v>buildings-sector-main.html#eff-stds</v>
      </c>
      <c r="R145" s="394" t="str">
        <f>IF(ISBLANK(INDEX('Policy Characteristics'!L:L,MATCH($C145,'Policy Characteristics'!$C:$C,0))),"",INDEX('Policy Characteristics'!L:L,MATCH($C145,'Policy Characteristics'!$C:$C,0)))</f>
        <v>building-energy-efficiency-standards.html</v>
      </c>
    </row>
    <row r="146" s="384" customFormat="1" customHeight="1" spans="1:18">
      <c r="A146" s="394" t="str">
        <f>IF(ISBLANK(INDEX('Policy Characteristics'!A:A,MATCH($C146,'Policy Characteristics'!$C:$C,0))),"",INDEX('Policy Characteristics'!A:A,MATCH($C146,'Policy Characteristics'!$C:$C,0)))</f>
        <v>Buildings and Appliances</v>
      </c>
      <c r="B146" s="395" t="str">
        <f>IF(ISBLANK(INDEX('Policy Characteristics'!B:B,MATCH($C146,'Policy Characteristics'!$C:$C,0))),"",INDEX('Policy Characteristics'!B:B,MATCH($C146,'Policy Characteristics'!$C:$C,0)))</f>
        <v>Building Energy Efficiency Standards</v>
      </c>
      <c r="C146" s="394" t="str">
        <f t="shared" si="11"/>
        <v>Reduction in E Use Allowed by Component Eff Std</v>
      </c>
      <c r="D146" s="399" t="s">
        <v>691</v>
      </c>
      <c r="E146" s="399" t="s">
        <v>697</v>
      </c>
      <c r="F146" s="399" t="s">
        <v>692</v>
      </c>
      <c r="G146" s="399" t="s">
        <v>698</v>
      </c>
      <c r="H146" s="377">
        <v>160</v>
      </c>
      <c r="I146" s="396" t="s">
        <v>648</v>
      </c>
      <c r="J146" s="397" t="str">
        <f>IF(ISBLANK(INDEX('Policy Characteristics'!D:D,MATCH($C146,'Policy Characteristics'!$C:$C,0))),"",INDEX('Policy Characteristics'!D:D,MATCH($C146,'Policy Characteristics'!$C:$C,0)))</f>
        <v>Building Energy Efficiency Standards</v>
      </c>
      <c r="K146" s="394" t="str">
        <f>IF(ISBLANK(INDEX('Policy Characteristics'!E:E,MATCH($C146,'Policy Characteristics'!$C:$C,0))),"",INDEX('Policy Characteristics'!E:E,MATCH($C146,'Policy Characteristics'!$C:$C,0)))</f>
        <v>bldgs efficiency standards</v>
      </c>
      <c r="L146" s="398">
        <f>IF(ISBLANK(INDEX('Policy Characteristics'!F:F,MATCH($C146,'Policy Characteristics'!$C:$C,0))),"",INDEX('Policy Characteristics'!F:F,MATCH($C146,'Policy Characteristics'!$C:$C,0)))</f>
        <v>0</v>
      </c>
      <c r="M146" s="398">
        <f>IF(ISBLANK(INDEX('Policy Characteristics'!G:G,MATCH($C146,'Policy Characteristics'!$C:$C,0))),"",INDEX('Policy Characteristics'!G:G,MATCH($C146,'Policy Characteristics'!$C:$C,0)))</f>
        <v>1</v>
      </c>
      <c r="N146" s="398">
        <f>IF(ISBLANK(INDEX('Policy Characteristics'!H:H,MATCH($C146,'Policy Characteristics'!$C:$C,0))),"",INDEX('Policy Characteristics'!H:H,MATCH($C146,'Policy Characteristics'!$C:$C,0)))</f>
        <v>0.01</v>
      </c>
      <c r="O146" s="394" t="str">
        <f>IF(ISBLANK(INDEX('Policy Characteristics'!I:I,MATCH($C146,'Policy Characteristics'!$C:$C,0))),"",INDEX('Policy Characteristics'!I:I,MATCH($C146,'Policy Characteristics'!$C:$C,0)))</f>
        <v>% reduction in energy use</v>
      </c>
      <c r="P146" s="394" t="str">
        <f>IF(ISBLANK(INDEX('Policy Characteristics'!J:J,MATCH($C146,'Policy Characteristics'!$C:$C,0))),"",INDEX('Policy Characteristics'!J:J,MATCH($C146,'Policy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6" s="394" t="str">
        <f>IF(ISBLANK(INDEX('Policy Characteristics'!K:K,MATCH($C146,'Policy Characteristics'!$C:$C,0))),"",INDEX('Policy Characteristics'!K:K,MATCH($C146,'Policy Characteristics'!$C:$C,0)))</f>
        <v>buildings-sector-main.html#eff-stds</v>
      </c>
      <c r="R146" s="394" t="str">
        <f>IF(ISBLANK(INDEX('Policy Characteristics'!L:L,MATCH($C146,'Policy Characteristics'!$C:$C,0))),"",INDEX('Policy Characteristics'!L:L,MATCH($C146,'Policy Characteristics'!$C:$C,0)))</f>
        <v>building-energy-efficiency-standards.html</v>
      </c>
    </row>
    <row r="147" s="384" customFormat="1" customHeight="1" spans="1:18">
      <c r="A147" s="394" t="str">
        <f>IF(ISBLANK(INDEX('Policy Characteristics'!A:A,MATCH($C147,'Policy Characteristics'!$C:$C,0))),"",INDEX('Policy Characteristics'!A:A,MATCH($C147,'Policy Characteristics'!$C:$C,0)))</f>
        <v>Buildings and Appliances</v>
      </c>
      <c r="B147" s="395" t="str">
        <f>IF(ISBLANK(INDEX('Policy Characteristics'!B:B,MATCH($C147,'Policy Characteristics'!$C:$C,0))),"",INDEX('Policy Characteristics'!B:B,MATCH($C147,'Policy Characteristics'!$C:$C,0)))</f>
        <v>Building Energy Efficiency Standards</v>
      </c>
      <c r="C147" s="394" t="str">
        <f t="shared" ref="C147" si="12">C$130</f>
        <v>Reduction in E Use Allowed by Component Eff Std</v>
      </c>
      <c r="D147" s="399" t="s">
        <v>693</v>
      </c>
      <c r="E147" s="399" t="s">
        <v>697</v>
      </c>
      <c r="F147" s="399" t="s">
        <v>694</v>
      </c>
      <c r="G147" s="399" t="s">
        <v>698</v>
      </c>
      <c r="H147" s="377">
        <v>161</v>
      </c>
      <c r="I147" s="396" t="s">
        <v>648</v>
      </c>
      <c r="J147" s="397" t="str">
        <f>IF(ISBLANK(INDEX('Policy Characteristics'!D:D,MATCH($C147,'Policy Characteristics'!$C:$C,0))),"",INDEX('Policy Characteristics'!D:D,MATCH($C147,'Policy Characteristics'!$C:$C,0)))</f>
        <v>Building Energy Efficiency Standards</v>
      </c>
      <c r="K147" s="394" t="str">
        <f>IF(ISBLANK(INDEX('Policy Characteristics'!E:E,MATCH($C147,'Policy Characteristics'!$C:$C,0))),"",INDEX('Policy Characteristics'!E:E,MATCH($C147,'Policy Characteristics'!$C:$C,0)))</f>
        <v>bldgs efficiency standards</v>
      </c>
      <c r="L147" s="398">
        <f>IF(ISBLANK(INDEX('Policy Characteristics'!F:F,MATCH($C147,'Policy Characteristics'!$C:$C,0))),"",INDEX('Policy Characteristics'!F:F,MATCH($C147,'Policy Characteristics'!$C:$C,0)))</f>
        <v>0</v>
      </c>
      <c r="M147" s="398">
        <f>IF(ISBLANK(INDEX('Policy Characteristics'!G:G,MATCH($C147,'Policy Characteristics'!$C:$C,0))),"",INDEX('Policy Characteristics'!G:G,MATCH($C147,'Policy Characteristics'!$C:$C,0)))</f>
        <v>1</v>
      </c>
      <c r="N147" s="398">
        <f>IF(ISBLANK(INDEX('Policy Characteristics'!H:H,MATCH($C147,'Policy Characteristics'!$C:$C,0))),"",INDEX('Policy Characteristics'!H:H,MATCH($C147,'Policy Characteristics'!$C:$C,0)))</f>
        <v>0.01</v>
      </c>
      <c r="O147" s="394" t="str">
        <f>IF(ISBLANK(INDEX('Policy Characteristics'!I:I,MATCH($C147,'Policy Characteristics'!$C:$C,0))),"",INDEX('Policy Characteristics'!I:I,MATCH($C147,'Policy Characteristics'!$C:$C,0)))</f>
        <v>% reduction in energy use</v>
      </c>
      <c r="P147" s="394" t="str">
        <f>IF(ISBLANK(INDEX('Policy Characteristics'!J:J,MATCH($C147,'Policy Characteristics'!$C:$C,0))),"",INDEX('Policy Characteristics'!J:J,MATCH($C147,'Policy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7" s="394" t="str">
        <f>IF(ISBLANK(INDEX('Policy Characteristics'!K:K,MATCH($C147,'Policy Characteristics'!$C:$C,0))),"",INDEX('Policy Characteristics'!K:K,MATCH($C147,'Policy Characteristics'!$C:$C,0)))</f>
        <v>buildings-sector-main.html#eff-stds</v>
      </c>
      <c r="R147" s="394" t="str">
        <f>IF(ISBLANK(INDEX('Policy Characteristics'!L:L,MATCH($C147,'Policy Characteristics'!$C:$C,0))),"",INDEX('Policy Characteristics'!L:L,MATCH($C147,'Policy Characteristics'!$C:$C,0)))</f>
        <v>building-energy-efficiency-standards.html</v>
      </c>
    </row>
    <row r="148" s="384" customFormat="1" customHeight="1" spans="1:18">
      <c r="A148" s="394" t="str">
        <f>IF(ISBLANK(INDEX('Policy Characteristics'!A:A,MATCH($C148,'Policy Characteristics'!$C:$C,0))),"",INDEX('Policy Characteristics'!A:A,MATCH($C148,'Policy Characteristics'!$C:$C,0)))</f>
        <v>Buildings and Appliances</v>
      </c>
      <c r="B148" s="395" t="str">
        <f>IF(ISBLANK(INDEX('Policy Characteristics'!B:B,MATCH($C148,'Policy Characteristics'!$C:$C,0))),"",INDEX('Policy Characteristics'!B:B,MATCH($C148,'Policy Characteristics'!$C:$C,0)))</f>
        <v>Contractor Training</v>
      </c>
      <c r="C148" t="s">
        <v>159</v>
      </c>
      <c r="D148" s="399"/>
      <c r="E148" s="399"/>
      <c r="F148" s="399"/>
      <c r="G148" s="399"/>
      <c r="H148" s="377">
        <v>19</v>
      </c>
      <c r="I148" s="396" t="s">
        <v>648</v>
      </c>
      <c r="J148" s="397" t="str">
        <f>IF(ISBLANK(INDEX('Policy Characteristics'!D:D,MATCH($C148,'Policy Characteristics'!$C:$C,0))),"",INDEX('Policy Characteristics'!D:D,MATCH($C148,'Policy Characteristics'!$C:$C,0)))</f>
        <v>Contractor Training</v>
      </c>
      <c r="K148" s="394" t="str">
        <f>IF(ISBLANK(INDEX('Policy Characteristics'!E:E,MATCH($C148,'Policy Characteristics'!$C:$C,0))),"",INDEX('Policy Characteristics'!E:E,MATCH($C148,'Policy Characteristics'!$C:$C,0)))</f>
        <v>bldgs contractor training</v>
      </c>
      <c r="L148" s="394">
        <f>IF(ISBLANK(INDEX('Policy Characteristics'!F:F,MATCH($C148,'Policy Characteristics'!$C:$C,0))),"",INDEX('Policy Characteristics'!F:F,MATCH($C148,'Policy Characteristics'!$C:$C,0)))</f>
        <v>0</v>
      </c>
      <c r="M148" s="394">
        <f>IF(ISBLANK(INDEX('Policy Characteristics'!G:G,MATCH($C148,'Policy Characteristics'!$C:$C,0))),"",INDEX('Policy Characteristics'!G:G,MATCH($C148,'Policy Characteristics'!$C:$C,0)))</f>
        <v>1</v>
      </c>
      <c r="N148" s="394">
        <f>IF(ISBLANK(INDEX('Policy Characteristics'!H:H,MATCH($C148,'Policy Characteristics'!$C:$C,0))),"",INDEX('Policy Characteristics'!H:H,MATCH($C148,'Policy Characteristics'!$C:$C,0)))</f>
        <v>1</v>
      </c>
      <c r="O148" s="394" t="str">
        <f>IF(ISBLANK(INDEX('Policy Characteristics'!I:I,MATCH($C148,'Policy Characteristics'!$C:$C,0))),"",INDEX('Policy Characteristics'!I:I,MATCH($C148,'Policy Characteristics'!$C:$C,0)))</f>
        <v>on/off</v>
      </c>
      <c r="P148" s="394" t="str">
        <f>IF(ISBLANK(INDEX('Policy Characteristics'!J:J,MATCH($C148,'Policy Characteristics'!$C:$C,0))),"",INDEX('Policy Characteristics'!J:J,MATCH($C148,'Policy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148" s="394" t="str">
        <f>IF(ISBLANK(INDEX('Policy Characteristics'!K:K,MATCH($C148,'Policy Characteristics'!$C:$C,0))),"",INDEX('Policy Characteristics'!K:K,MATCH($C148,'Policy Characteristics'!$C:$C,0)))</f>
        <v>buildings-sector-main.html#contractor-ed</v>
      </c>
      <c r="R148" s="394" t="str">
        <f>IF(ISBLANK(INDEX('Policy Characteristics'!L:L,MATCH($C148,'Policy Characteristics'!$C:$C,0))),"",INDEX('Policy Characteristics'!L:L,MATCH($C148,'Policy Characteristics'!$C:$C,0)))</f>
        <v>contractor-training.html</v>
      </c>
    </row>
    <row r="149" s="384" customFormat="1" customHeight="1" spans="1:18">
      <c r="A149" s="394" t="str">
        <f>IF(ISBLANK(INDEX('Policy Characteristics'!A:A,MATCH($C149,'Policy Characteristics'!$C:$C,0))),"",INDEX('Policy Characteristics'!A:A,MATCH($C149,'Policy Characteristics'!$C:$C,0)))</f>
        <v>Buildings and Appliances</v>
      </c>
      <c r="B149" s="395" t="str">
        <f>IF(ISBLANK(INDEX('Policy Characteristics'!B:B,MATCH($C149,'Policy Characteristics'!$C:$C,0))),"",INDEX('Policy Characteristics'!B:B,MATCH($C149,'Policy Characteristics'!$C:$C,0)))</f>
        <v>Distributed Solar Carve-Out</v>
      </c>
      <c r="C149" t="s">
        <v>165</v>
      </c>
      <c r="D149" s="399"/>
      <c r="E149" s="399"/>
      <c r="F149" s="399"/>
      <c r="G149" s="399"/>
      <c r="H149" s="377">
        <v>146</v>
      </c>
      <c r="I149" s="396" t="s">
        <v>648</v>
      </c>
      <c r="J149" s="397" t="str">
        <f>IF(ISBLANK(INDEX('Policy Characteristics'!D:D,MATCH($C149,'Policy Characteristics'!$C:$C,0))),"",INDEX('Policy Characteristics'!D:D,MATCH($C149,'Policy Characteristics'!$C:$C,0)))</f>
        <v>Distributed Solar Promotion</v>
      </c>
      <c r="K149" s="394" t="str">
        <f>IF(ISBLANK(INDEX('Policy Characteristics'!E:E,MATCH($C149,'Policy Characteristics'!$C:$C,0))),"",INDEX('Policy Characteristics'!E:E,MATCH($C149,'Policy Characteristics'!$C:$C,0)))</f>
        <v>bldgs min fraction distributed solar</v>
      </c>
      <c r="L149" s="398">
        <f>IF(ISBLANK(INDEX('Policy Characteristics'!F:F,MATCH($C149,'Policy Characteristics'!$C:$C,0))),"",INDEX('Policy Characteristics'!F:F,MATCH($C149,'Policy Characteristics'!$C:$C,0)))</f>
        <v>0</v>
      </c>
      <c r="M149" s="398">
        <f>IF(ISBLANK(INDEX('Policy Characteristics'!G:G,MATCH($C149,'Policy Characteristics'!$C:$C,0))),"",INDEX('Policy Characteristics'!G:G,MATCH($C149,'Policy Characteristics'!$C:$C,0)))</f>
        <v>0.24</v>
      </c>
      <c r="N149" s="398">
        <f>IF(ISBLANK(INDEX('Policy Characteristics'!H:H,MATCH($C149,'Policy Characteristics'!$C:$C,0))),"",INDEX('Policy Characteristics'!H:H,MATCH($C149,'Policy Characteristics'!$C:$C,0)))</f>
        <v>0.005</v>
      </c>
      <c r="O149" s="394" t="str">
        <f>IF(ISBLANK(INDEX('Policy Characteristics'!I:I,MATCH($C149,'Policy Characteristics'!$C:$C,0))),"",INDEX('Policy Characteristics'!I:I,MATCH($C149,'Policy Characteristics'!$C:$C,0)))</f>
        <v>minimum % elec from solar</v>
      </c>
      <c r="P149" s="394" t="str">
        <f>IF(ISBLANK(INDEX('Policy Characteristics'!J:J,MATCH($C149,'Policy Characteristics'!$C:$C,0))),"",INDEX('Policy Characteristics'!J:J,MATCH($C149,'Policy Characteristics'!$C:$C,0)))</f>
        <v>**Description:** This policy requires at least the specified percentage of total retail electricity demand to be generated by residential and commercial buildings' distributed solar systems (typically rooftop PV). // **Guidance for setting values:**The proportion of electricity from rooftop PV in the total electricity consumption.</v>
      </c>
      <c r="Q149" s="394" t="str">
        <f>IF(ISBLANK(INDEX('Policy Characteristics'!K:K,MATCH($C149,'Policy Characteristics'!$C:$C,0))),"",INDEX('Policy Characteristics'!K:K,MATCH($C149,'Policy Characteristics'!$C:$C,0)))</f>
        <v>buildings-sector-main.html#solar-carve-out</v>
      </c>
      <c r="R149" s="394" t="str">
        <f>IF(ISBLANK(INDEX('Policy Characteristics'!L:L,MATCH($C149,'Policy Characteristics'!$C:$C,0))),"",INDEX('Policy Characteristics'!L:L,MATCH($C149,'Policy Characteristics'!$C:$C,0)))</f>
        <v>solar-carve-out.html</v>
      </c>
    </row>
    <row r="150" s="384" customFormat="1" customHeight="1" spans="1:18">
      <c r="A150" s="394" t="str">
        <f>IF(ISBLANK(INDEX('Policy Characteristics'!A:A,MATCH($C150,'Policy Characteristics'!$C:$C,0))),"",INDEX('Policy Characteristics'!A:A,MATCH($C150,'Policy Characteristics'!$C:$C,0)))</f>
        <v>Buildings and Appliances</v>
      </c>
      <c r="B150" s="395" t="str">
        <f>IF(ISBLANK(INDEX('Policy Characteristics'!B:B,MATCH($C150,'Policy Characteristics'!$C:$C,0))),"",INDEX('Policy Characteristics'!B:B,MATCH($C150,'Policy Characteristics'!$C:$C,0)))</f>
        <v>Distributed Solar Subsidy</v>
      </c>
      <c r="C150" t="s">
        <v>175</v>
      </c>
      <c r="D150" s="399"/>
      <c r="E150" s="399"/>
      <c r="F150" s="399"/>
      <c r="G150" s="399"/>
      <c r="H150" s="377">
        <v>147</v>
      </c>
      <c r="I150" s="396" t="s">
        <v>648</v>
      </c>
      <c r="J150" s="397" t="str">
        <f>IF(ISBLANK(INDEX('Policy Characteristics'!D:D,MATCH($C150,'Policy Characteristics'!$C:$C,0))),"",INDEX('Policy Characteristics'!D:D,MATCH($C150,'Policy Characteristics'!$C:$C,0)))</f>
        <v>Distributed Solar Promotion</v>
      </c>
      <c r="K150" s="394" t="str">
        <f>IF(ISBLANK(INDEX('Policy Characteristics'!E:E,MATCH($C150,'Policy Characteristics'!$C:$C,0))),"",INDEX('Policy Characteristics'!E:E,MATCH($C150,'Policy Characteristics'!$C:$C,0)))</f>
        <v>bldgs distributed solar subsidy</v>
      </c>
      <c r="L150" s="398">
        <f>IF(ISBLANK(INDEX('Policy Characteristics'!F:F,MATCH($C150,'Policy Characteristics'!$C:$C,0))),"",INDEX('Policy Characteristics'!F:F,MATCH($C150,'Policy Characteristics'!$C:$C,0)))</f>
        <v>0</v>
      </c>
      <c r="M150" s="398">
        <f>IF(ISBLANK(INDEX('Policy Characteristics'!G:G,MATCH($C150,'Policy Characteristics'!$C:$C,0))),"",INDEX('Policy Characteristics'!G:G,MATCH($C150,'Policy Characteristics'!$C:$C,0)))</f>
        <v>0.5</v>
      </c>
      <c r="N150" s="398">
        <f>IF(ISBLANK(INDEX('Policy Characteristics'!H:H,MATCH($C150,'Policy Characteristics'!$C:$C,0))),"",INDEX('Policy Characteristics'!H:H,MATCH($C150,'Policy Characteristics'!$C:$C,0)))</f>
        <v>0.01</v>
      </c>
      <c r="O150" s="394" t="str">
        <f>IF(ISBLANK(INDEX('Policy Characteristics'!I:I,MATCH($C150,'Policy Characteristics'!$C:$C,0))),"",INDEX('Policy Characteristics'!I:I,MATCH($C150,'Policy Characteristics'!$C:$C,0)))</f>
        <v>% of PV system cost</v>
      </c>
      <c r="P150" s="394" t="str">
        <f>IF(ISBLANK(INDEX('Policy Characteristics'!J:J,MATCH($C150,'Policy Characteristics'!$C:$C,0))),"",INDEX('Policy Characteristics'!J:J,MATCH($C150,'Policy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50" s="394" t="str">
        <f>IF(ISBLANK(INDEX('Policy Characteristics'!K:K,MATCH($C150,'Policy Characteristics'!$C:$C,0))),"",INDEX('Policy Characteristics'!K:K,MATCH($C150,'Policy Characteristics'!$C:$C,0)))</f>
        <v>buildings-sector-main.html#distributed-solar-subsidy</v>
      </c>
      <c r="R150" s="394" t="str">
        <f>IF(ISBLANK(INDEX('Policy Characteristics'!L:L,MATCH($C150,'Policy Characteristics'!$C:$C,0))),"",INDEX('Policy Characteristics'!L:L,MATCH($C150,'Policy Characteristics'!$C:$C,0)))</f>
        <v>distributed-solar-subsidy.html</v>
      </c>
    </row>
    <row r="151" s="384" customFormat="1" customHeight="1" spans="1:18">
      <c r="A151" s="394" t="str">
        <f>IF(ISBLANK(INDEX('Policy Characteristics'!A:A,MATCH($C151,'Policy Characteristics'!$C:$C,0))),"",INDEX('Policy Characteristics'!A:A,MATCH($C151,'Policy Characteristics'!$C:$C,0)))</f>
        <v>Buildings and Appliances</v>
      </c>
      <c r="B151" s="395" t="str">
        <f>IF(ISBLANK(INDEX('Policy Characteristics'!B:B,MATCH($C151,'Policy Characteristics'!$C:$C,0))),"",INDEX('Policy Characteristics'!B:B,MATCH($C151,'Policy Characteristics'!$C:$C,0)))</f>
        <v>Improved Labeling</v>
      </c>
      <c r="C151" t="s">
        <v>183</v>
      </c>
      <c r="D151" s="399"/>
      <c r="E151" s="399"/>
      <c r="F151" s="399"/>
      <c r="G151" s="399"/>
      <c r="H151" s="377">
        <v>20</v>
      </c>
      <c r="I151" s="396" t="s">
        <v>658</v>
      </c>
      <c r="J151" s="397" t="str">
        <f>IF(ISBLANK(INDEX('Policy Characteristics'!D:D,MATCH($C151,'Policy Characteristics'!$C:$C,0))),"",INDEX('Policy Characteristics'!D:D,MATCH($C151,'Policy Characteristics'!$C:$C,0)))</f>
        <v>Improved Labeling</v>
      </c>
      <c r="K151" s="394" t="str">
        <f>IF(ISBLANK(INDEX('Policy Characteristics'!E:E,MATCH($C151,'Policy Characteristics'!$C:$C,0))),"",INDEX('Policy Characteristics'!E:E,MATCH($C151,'Policy Characteristics'!$C:$C,0)))</f>
        <v>bldgs device labeling</v>
      </c>
      <c r="L151" s="394">
        <f>IF(ISBLANK(INDEX('Policy Characteristics'!F:F,MATCH($C151,'Policy Characteristics'!$C:$C,0))),"",INDEX('Policy Characteristics'!F:F,MATCH($C151,'Policy Characteristics'!$C:$C,0)))</f>
        <v>0</v>
      </c>
      <c r="M151" s="394">
        <f>IF(ISBLANK(INDEX('Policy Characteristics'!G:G,MATCH($C151,'Policy Characteristics'!$C:$C,0))),"",INDEX('Policy Characteristics'!G:G,MATCH($C151,'Policy Characteristics'!$C:$C,0)))</f>
        <v>1</v>
      </c>
      <c r="N151" s="394">
        <f>IF(ISBLANK(INDEX('Policy Characteristics'!H:H,MATCH($C151,'Policy Characteristics'!$C:$C,0))),"",INDEX('Policy Characteristics'!H:H,MATCH($C151,'Policy Characteristics'!$C:$C,0)))</f>
        <v>1</v>
      </c>
      <c r="O151" s="394" t="str">
        <f>IF(ISBLANK(INDEX('Policy Characteristics'!I:I,MATCH($C151,'Policy Characteristics'!$C:$C,0))),"",INDEX('Policy Characteristics'!I:I,MATCH($C151,'Policy Characteristics'!$C:$C,0)))</f>
        <v>on/off</v>
      </c>
      <c r="P151" s="394" t="str">
        <f>IF(ISBLANK(INDEX('Policy Characteristics'!J:J,MATCH($C151,'Policy Characteristics'!$C:$C,0))),"",INDEX('Policy Characteristics'!J:J,MATCH($C151,'Policy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 **Guidance for setting values:**  China has implemented the "Energy Efficiency Labeling Management Measures" since 2016.</v>
      </c>
      <c r="Q151" s="394" t="str">
        <f>IF(ISBLANK(INDEX('Policy Characteristics'!K:K,MATCH($C151,'Policy Characteristics'!$C:$C,0))),"",INDEX('Policy Characteristics'!K:K,MATCH($C151,'Policy Characteristics'!$C:$C,0)))</f>
        <v>buildings-sector-main.html#device-labeling</v>
      </c>
      <c r="R151" s="394" t="str">
        <f>IF(ISBLANK(INDEX('Policy Characteristics'!L:L,MATCH($C151,'Policy Characteristics'!$C:$C,0))),"",INDEX('Policy Characteristics'!L:L,MATCH($C151,'Policy Characteristics'!$C:$C,0)))</f>
        <v>improved-labeling.html</v>
      </c>
    </row>
    <row r="152" s="384" customFormat="1" customHeight="1" spans="1:18">
      <c r="A152" s="394" t="str">
        <f>IF(ISBLANK(INDEX('Policy Characteristics'!A:A,MATCH($C152,'Policy Characteristics'!$C:$C,0))),"",INDEX('Policy Characteristics'!A:A,MATCH($C152,'Policy Characteristics'!$C:$C,0)))</f>
        <v>Buildings and Appliances</v>
      </c>
      <c r="B152" s="395" t="str">
        <f>IF(ISBLANK(INDEX('Policy Characteristics'!B:B,MATCH($C152,'Policy Characteristics'!$C:$C,0))),"",INDEX('Policy Characteristics'!B:B,MATCH($C152,'Policy Characteristics'!$C:$C,0)))</f>
        <v>Retrofit Existing Buildings</v>
      </c>
      <c r="C152" t="s">
        <v>190</v>
      </c>
      <c r="D152" s="399" t="s">
        <v>684</v>
      </c>
      <c r="E152" s="399"/>
      <c r="F152" s="399" t="s">
        <v>686</v>
      </c>
      <c r="G152" s="399"/>
      <c r="H152" s="377">
        <v>378</v>
      </c>
      <c r="I152" s="396" t="s">
        <v>648</v>
      </c>
      <c r="J152" s="397" t="str">
        <f>IF(ISBLANK(INDEX('Policy Characteristics'!D:D,MATCH($C152,'Policy Characteristics'!$C:$C,0))),"",INDEX('Policy Characteristics'!D:D,MATCH($C152,'Policy Characteristics'!$C:$C,0)))</f>
        <v>Increased Retrofitting</v>
      </c>
      <c r="K152" s="394" t="str">
        <f>IF(ISBLANK(INDEX('Policy Characteristics'!E:E,MATCH($C152,'Policy Characteristics'!$C:$C,0))),"",INDEX('Policy Characteristics'!E:E,MATCH($C152,'Policy Characteristics'!$C:$C,0)))</f>
        <v>bldgs retrofitting</v>
      </c>
      <c r="L152" s="398">
        <f>IF(ISBLANK(INDEX('Policy Characteristics'!F:F,MATCH($C152,'Policy Characteristics'!$C:$C,0))),"",INDEX('Policy Characteristics'!F:F,MATCH($C152,'Policy Characteristics'!$C:$C,0)))</f>
        <v>0</v>
      </c>
      <c r="M152" s="398">
        <f>IF(ISBLANK(INDEX('Policy Characteristics'!G:G,MATCH($C152,'Policy Characteristics'!$C:$C,0))),"",INDEX('Policy Characteristics'!G:G,MATCH($C152,'Policy Characteristics'!$C:$C,0)))</f>
        <v>0.5</v>
      </c>
      <c r="N152" s="398">
        <f>IF(ISBLANK(INDEX('Policy Characteristics'!H:H,MATCH($C152,'Policy Characteristics'!$C:$C,0))),"",INDEX('Policy Characteristics'!H:H,MATCH($C152,'Policy Characteristics'!$C:$C,0)))</f>
        <v>0.01</v>
      </c>
      <c r="O152" s="394" t="str">
        <f>IF(ISBLANK(INDEX('Policy Characteristics'!I:I,MATCH($C152,'Policy Characteristics'!$C:$C,0))),"",INDEX('Policy Characteristics'!I:I,MATCH($C152,'Policy Characteristics'!$C:$C,0)))</f>
        <v>% of existing buildings</v>
      </c>
      <c r="P152" s="394" t="str">
        <f>IF(ISBLANK(INDEX('Policy Characteristics'!J:J,MATCH($C152,'Policy Characteristics'!$C:$C,0))),"",INDEX('Policy Characteristics'!J:J,MATCH($C152,'Policy Characteristics'!$C:$C,0)))</f>
        <v>**Description:**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v>
      </c>
      <c r="Q152" s="394" t="str">
        <f>IF(ISBLANK(INDEX('Policy Characteristics'!K:K,MATCH($C152,'Policy Characteristics'!$C:$C,0))),"",INDEX('Policy Characteristics'!K:K,MATCH($C152,'Policy Characteristics'!$C:$C,0)))</f>
        <v>buildings-sector-main.html#retrofitting</v>
      </c>
      <c r="R152" s="394" t="str">
        <f>IF(ISBLANK(INDEX('Policy Characteristics'!L:L,MATCH($C152,'Policy Characteristics'!$C:$C,0))),"",INDEX('Policy Characteristics'!L:L,MATCH($C152,'Policy Characteristics'!$C:$C,0)))</f>
        <v>increased-retrofitting.html</v>
      </c>
    </row>
    <row r="153" s="384" customFormat="1" customHeight="1" spans="1:18">
      <c r="A153" s="394" t="str">
        <f>IF(ISBLANK(INDEX('Policy Characteristics'!A:A,MATCH($C153,'Policy Characteristics'!$C:$C,0))),"",INDEX('Policy Characteristics'!A:A,MATCH($C153,'Policy Characteristics'!$C:$C,0)))</f>
        <v>Buildings and Appliances</v>
      </c>
      <c r="B153" s="395" t="str">
        <f>IF(ISBLANK(INDEX('Policy Characteristics'!B:B,MATCH($C153,'Policy Characteristics'!$C:$C,0))),"",INDEX('Policy Characteristics'!B:B,MATCH($C153,'Policy Characteristics'!$C:$C,0)))</f>
        <v>Retrofit Existing Buildings</v>
      </c>
      <c r="C153" s="394" t="str">
        <f t="shared" ref="C153:C154" si="13">C$152</f>
        <v>Share of Preexisting Buildings Subject to Retrofitting</v>
      </c>
      <c r="D153" s="399" t="s">
        <v>695</v>
      </c>
      <c r="E153" s="399"/>
      <c r="F153" s="399" t="s">
        <v>696</v>
      </c>
      <c r="G153" s="399"/>
      <c r="H153" s="377">
        <v>379</v>
      </c>
      <c r="I153" s="396" t="s">
        <v>648</v>
      </c>
      <c r="J153" s="397" t="str">
        <f>IF(ISBLANK(INDEX('Policy Characteristics'!D:D,MATCH($C153,'Policy Characteristics'!$C:$C,0))),"",INDEX('Policy Characteristics'!D:D,MATCH($C153,'Policy Characteristics'!$C:$C,0)))</f>
        <v>Increased Retrofitting</v>
      </c>
      <c r="K153" s="394" t="str">
        <f>IF(ISBLANK(INDEX('Policy Characteristics'!E:E,MATCH($C153,'Policy Characteristics'!$C:$C,0))),"",INDEX('Policy Characteristics'!E:E,MATCH($C153,'Policy Characteristics'!$C:$C,0)))</f>
        <v>bldgs retrofitting</v>
      </c>
      <c r="L153" s="398">
        <f>IF(ISBLANK(INDEX('Policy Characteristics'!F:F,MATCH($C153,'Policy Characteristics'!$C:$C,0))),"",INDEX('Policy Characteristics'!F:F,MATCH($C153,'Policy Characteristics'!$C:$C,0)))</f>
        <v>0</v>
      </c>
      <c r="M153" s="398">
        <f>IF(ISBLANK(INDEX('Policy Characteristics'!G:G,MATCH($C153,'Policy Characteristics'!$C:$C,0))),"",INDEX('Policy Characteristics'!G:G,MATCH($C153,'Policy Characteristics'!$C:$C,0)))</f>
        <v>0.5</v>
      </c>
      <c r="N153" s="398">
        <f>IF(ISBLANK(INDEX('Policy Characteristics'!H:H,MATCH($C153,'Policy Characteristics'!$C:$C,0))),"",INDEX('Policy Characteristics'!H:H,MATCH($C153,'Policy Characteristics'!$C:$C,0)))</f>
        <v>0.01</v>
      </c>
      <c r="O153" s="394" t="str">
        <f>IF(ISBLANK(INDEX('Policy Characteristics'!I:I,MATCH($C153,'Policy Characteristics'!$C:$C,0))),"",INDEX('Policy Characteristics'!I:I,MATCH($C153,'Policy Characteristics'!$C:$C,0)))</f>
        <v>% of existing buildings</v>
      </c>
      <c r="P153" s="394" t="str">
        <f>IF(ISBLANK(INDEX('Policy Characteristics'!J:J,MATCH($C153,'Policy Characteristics'!$C:$C,0))),"",INDEX('Policy Characteristics'!J:J,MATCH($C153,'Policy Characteristics'!$C:$C,0)))</f>
        <v>**Description:**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v>
      </c>
      <c r="Q153" s="394" t="str">
        <f>IF(ISBLANK(INDEX('Policy Characteristics'!K:K,MATCH($C153,'Policy Characteristics'!$C:$C,0))),"",INDEX('Policy Characteristics'!K:K,MATCH($C153,'Policy Characteristics'!$C:$C,0)))</f>
        <v>buildings-sector-main.html#retrofitting</v>
      </c>
      <c r="R153" s="394" t="str">
        <f>IF(ISBLANK(INDEX('Policy Characteristics'!L:L,MATCH($C153,'Policy Characteristics'!$C:$C,0))),"",INDEX('Policy Characteristics'!L:L,MATCH($C153,'Policy Characteristics'!$C:$C,0)))</f>
        <v>increased-retrofitting.html</v>
      </c>
    </row>
    <row r="154" s="384" customFormat="1" customHeight="1" spans="1:18">
      <c r="A154" s="394" t="str">
        <f>IF(ISBLANK(INDEX('Policy Characteristics'!A:A,MATCH($C154,'Policy Characteristics'!$C:$C,0))),"",INDEX('Policy Characteristics'!A:A,MATCH($C154,'Policy Characteristics'!$C:$C,0)))</f>
        <v>Buildings and Appliances</v>
      </c>
      <c r="B154" s="395" t="str">
        <f>IF(ISBLANK(INDEX('Policy Characteristics'!B:B,MATCH($C154,'Policy Characteristics'!$C:$C,0))),"",INDEX('Policy Characteristics'!B:B,MATCH($C154,'Policy Characteristics'!$C:$C,0)))</f>
        <v>Retrofit Existing Buildings</v>
      </c>
      <c r="C154" s="394" t="str">
        <f t="shared" si="13"/>
        <v>Share of Preexisting Buildings Subject to Retrofitting</v>
      </c>
      <c r="D154" s="399" t="s">
        <v>697</v>
      </c>
      <c r="E154" s="399"/>
      <c r="F154" s="399" t="s">
        <v>698</v>
      </c>
      <c r="G154" s="399"/>
      <c r="H154" s="377">
        <v>380</v>
      </c>
      <c r="I154" s="396" t="s">
        <v>648</v>
      </c>
      <c r="J154" s="397" t="str">
        <f>IF(ISBLANK(INDEX('Policy Characteristics'!D:D,MATCH($C154,'Policy Characteristics'!$C:$C,0))),"",INDEX('Policy Characteristics'!D:D,MATCH($C154,'Policy Characteristics'!$C:$C,0)))</f>
        <v>Increased Retrofitting</v>
      </c>
      <c r="K154" s="394" t="str">
        <f>IF(ISBLANK(INDEX('Policy Characteristics'!E:E,MATCH($C154,'Policy Characteristics'!$C:$C,0))),"",INDEX('Policy Characteristics'!E:E,MATCH($C154,'Policy Characteristics'!$C:$C,0)))</f>
        <v>bldgs retrofitting</v>
      </c>
      <c r="L154" s="398">
        <f>IF(ISBLANK(INDEX('Policy Characteristics'!F:F,MATCH($C154,'Policy Characteristics'!$C:$C,0))),"",INDEX('Policy Characteristics'!F:F,MATCH($C154,'Policy Characteristics'!$C:$C,0)))</f>
        <v>0</v>
      </c>
      <c r="M154" s="398">
        <f>IF(ISBLANK(INDEX('Policy Characteristics'!G:G,MATCH($C154,'Policy Characteristics'!$C:$C,0))),"",INDEX('Policy Characteristics'!G:G,MATCH($C154,'Policy Characteristics'!$C:$C,0)))</f>
        <v>0.5</v>
      </c>
      <c r="N154" s="398">
        <f>IF(ISBLANK(INDEX('Policy Characteristics'!H:H,MATCH($C154,'Policy Characteristics'!$C:$C,0))),"",INDEX('Policy Characteristics'!H:H,MATCH($C154,'Policy Characteristics'!$C:$C,0)))</f>
        <v>0.01</v>
      </c>
      <c r="O154" s="394" t="str">
        <f>IF(ISBLANK(INDEX('Policy Characteristics'!I:I,MATCH($C154,'Policy Characteristics'!$C:$C,0))),"",INDEX('Policy Characteristics'!I:I,MATCH($C154,'Policy Characteristics'!$C:$C,0)))</f>
        <v>% of existing buildings</v>
      </c>
      <c r="P154" s="394" t="str">
        <f>IF(ISBLANK(INDEX('Policy Characteristics'!J:J,MATCH($C154,'Policy Characteristics'!$C:$C,0))),"",INDEX('Policy Characteristics'!J:J,MATCH($C154,'Policy Characteristics'!$C:$C,0)))</f>
        <v>**Description:**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v>
      </c>
      <c r="Q154" s="394" t="str">
        <f>IF(ISBLANK(INDEX('Policy Characteristics'!K:K,MATCH($C154,'Policy Characteristics'!$C:$C,0))),"",INDEX('Policy Characteristics'!K:K,MATCH($C154,'Policy Characteristics'!$C:$C,0)))</f>
        <v>buildings-sector-main.html#retrofitting</v>
      </c>
      <c r="R154" s="394" t="str">
        <f>IF(ISBLANK(INDEX('Policy Characteristics'!L:L,MATCH($C154,'Policy Characteristics'!$C:$C,0))),"",INDEX('Policy Characteristics'!L:L,MATCH($C154,'Policy Characteristics'!$C:$C,0)))</f>
        <v>increased-retrofitting.html</v>
      </c>
    </row>
    <row r="155" s="384" customFormat="1" customHeight="1" spans="1:18">
      <c r="A155" s="394" t="str">
        <f>IF(ISBLANK(INDEX('Policy Characteristics'!A:A,MATCH($C155,'Policy Characteristics'!$C:$C,0))),"",INDEX('Policy Characteristics'!A:A,MATCH($C155,'Policy Characteristics'!$C:$C,0)))</f>
        <v>Buildings and Appliances</v>
      </c>
      <c r="B155" s="395" t="str">
        <f>IF(ISBLANK(INDEX('Policy Characteristics'!B:B,MATCH($C155,'Policy Characteristics'!$C:$C,0))),"",INDEX('Policy Characteristics'!B:B,MATCH($C155,'Policy Characteristics'!$C:$C,0)))</f>
        <v>Rebate for Efficient Products</v>
      </c>
      <c r="C155" t="s">
        <v>199</v>
      </c>
      <c r="D155" s="399" t="s">
        <v>683</v>
      </c>
      <c r="E155" s="399"/>
      <c r="F155" s="399" t="s">
        <v>685</v>
      </c>
      <c r="G155" s="399"/>
      <c r="H155" s="377">
        <v>27</v>
      </c>
      <c r="I155" s="396" t="s">
        <v>648</v>
      </c>
      <c r="J155" s="397" t="str">
        <f>IF(ISBLANK(INDEX('Policy Characteristics'!D:D,MATCH($C155,'Policy Characteristics'!$C:$C,0))),"",INDEX('Policy Characteristics'!D:D,MATCH($C155,'Policy Characteristics'!$C:$C,0)))</f>
        <v>Rebate for Efficient Products</v>
      </c>
      <c r="K155" s="394" t="str">
        <f>IF(ISBLANK(INDEX('Policy Characteristics'!E:E,MATCH($C155,'Policy Characteristics'!$C:$C,0))),"",INDEX('Policy Characteristics'!E:E,MATCH($C155,'Policy Characteristics'!$C:$C,0)))</f>
        <v>bldgs rebate</v>
      </c>
      <c r="L155" s="394">
        <f>IF(ISBLANK(INDEX('Policy Characteristics'!F:F,MATCH($C155,'Policy Characteristics'!$C:$C,0))),"",INDEX('Policy Characteristics'!F:F,MATCH($C155,'Policy Characteristics'!$C:$C,0)))</f>
        <v>0</v>
      </c>
      <c r="M155" s="394">
        <f>IF(ISBLANK(INDEX('Policy Characteristics'!G:G,MATCH($C155,'Policy Characteristics'!$C:$C,0))),"",INDEX('Policy Characteristics'!G:G,MATCH($C155,'Policy Characteristics'!$C:$C,0)))</f>
        <v>1</v>
      </c>
      <c r="N155" s="394">
        <f>IF(ISBLANK(INDEX('Policy Characteristics'!H:H,MATCH($C155,'Policy Characteristics'!$C:$C,0))),"",INDEX('Policy Characteristics'!H:H,MATCH($C155,'Policy Characteristics'!$C:$C,0)))</f>
        <v>1</v>
      </c>
      <c r="O155" s="394" t="str">
        <f>IF(ISBLANK(INDEX('Policy Characteristics'!I:I,MATCH($C155,'Policy Characteristics'!$C:$C,0))),"",INDEX('Policy Characteristics'!I:I,MATCH($C155,'Policy Characteristics'!$C:$C,0)))</f>
        <v>on/off</v>
      </c>
      <c r="P155" s="394" t="str">
        <f>IF(ISBLANK(INDEX('Policy Characteristics'!J:J,MATCH($C155,'Policy Characteristics'!$C:$C,0))),"",INDEX('Policy Characteristics'!J:J,MATCH($C155,'Policy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5" s="394" t="str">
        <f>IF(ISBLANK(INDEX('Policy Characteristics'!K:K,MATCH($C155,'Policy Characteristics'!$C:$C,0))),"",INDEX('Policy Characteristics'!K:K,MATCH($C155,'Policy Characteristics'!$C:$C,0)))</f>
        <v>buildings-sector-main.html#rebate</v>
      </c>
      <c r="R155" s="394" t="str">
        <f>IF(ISBLANK(INDEX('Policy Characteristics'!L:L,MATCH($C155,'Policy Characteristics'!$C:$C,0))),"",INDEX('Policy Characteristics'!L:L,MATCH($C155,'Policy Characteristics'!$C:$C,0)))</f>
        <v>rebate-for-efficient-products.html</v>
      </c>
    </row>
    <row r="156" s="384" customFormat="1" customHeight="1" spans="1:18">
      <c r="A156" s="394" t="str">
        <f>IF(ISBLANK(INDEX('Policy Characteristics'!A:A,MATCH($C156,'Policy Characteristics'!$C:$C,0))),"",INDEX('Policy Characteristics'!A:A,MATCH($C156,'Policy Characteristics'!$C:$C,0)))</f>
        <v>Buildings and Appliances</v>
      </c>
      <c r="B156" s="395" t="str">
        <f>IF(ISBLANK(INDEX('Policy Characteristics'!B:B,MATCH($C156,'Policy Characteristics'!$C:$C,0))),"",INDEX('Policy Characteristics'!B:B,MATCH($C156,'Policy Characteristics'!$C:$C,0)))</f>
        <v>Rebate for Efficient Products</v>
      </c>
      <c r="C156" s="394" t="str">
        <f t="shared" ref="C156:C160" si="14">C$155</f>
        <v>Boolean Rebate Program for Efficient Components</v>
      </c>
      <c r="D156" s="399" t="s">
        <v>687</v>
      </c>
      <c r="E156" s="399"/>
      <c r="F156" s="399" t="s">
        <v>688</v>
      </c>
      <c r="G156" s="399"/>
      <c r="H156" s="377">
        <v>28</v>
      </c>
      <c r="I156" s="396" t="s">
        <v>648</v>
      </c>
      <c r="J156" s="397" t="str">
        <f>IF(ISBLANK(INDEX('Policy Characteristics'!D:D,MATCH($C156,'Policy Characteristics'!$C:$C,0))),"",INDEX('Policy Characteristics'!D:D,MATCH($C156,'Policy Characteristics'!$C:$C,0)))</f>
        <v>Rebate for Efficient Products</v>
      </c>
      <c r="K156" s="394" t="str">
        <f>IF(ISBLANK(INDEX('Policy Characteristics'!E:E,MATCH($C156,'Policy Characteristics'!$C:$C,0))),"",INDEX('Policy Characteristics'!E:E,MATCH($C156,'Policy Characteristics'!$C:$C,0)))</f>
        <v>bldgs rebate</v>
      </c>
      <c r="L156" s="394">
        <f>IF(ISBLANK(INDEX('Policy Characteristics'!F:F,MATCH($C156,'Policy Characteristics'!$C:$C,0))),"",INDEX('Policy Characteristics'!F:F,MATCH($C156,'Policy Characteristics'!$C:$C,0)))</f>
        <v>0</v>
      </c>
      <c r="M156" s="394">
        <f>IF(ISBLANK(INDEX('Policy Characteristics'!G:G,MATCH($C156,'Policy Characteristics'!$C:$C,0))),"",INDEX('Policy Characteristics'!G:G,MATCH($C156,'Policy Characteristics'!$C:$C,0)))</f>
        <v>1</v>
      </c>
      <c r="N156" s="394">
        <f>IF(ISBLANK(INDEX('Policy Characteristics'!H:H,MATCH($C156,'Policy Characteristics'!$C:$C,0))),"",INDEX('Policy Characteristics'!H:H,MATCH($C156,'Policy Characteristics'!$C:$C,0)))</f>
        <v>1</v>
      </c>
      <c r="O156" s="394" t="str">
        <f>IF(ISBLANK(INDEX('Policy Characteristics'!I:I,MATCH($C156,'Policy Characteristics'!$C:$C,0))),"",INDEX('Policy Characteristics'!I:I,MATCH($C156,'Policy Characteristics'!$C:$C,0)))</f>
        <v>on/off</v>
      </c>
      <c r="P156" s="394" t="str">
        <f>IF(ISBLANK(INDEX('Policy Characteristics'!J:J,MATCH($C156,'Policy Characteristics'!$C:$C,0))),"",INDEX('Policy Characteristics'!J:J,MATCH($C156,'Policy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6" s="394" t="str">
        <f>IF(ISBLANK(INDEX('Policy Characteristics'!K:K,MATCH($C156,'Policy Characteristics'!$C:$C,0))),"",INDEX('Policy Characteristics'!K:K,MATCH($C156,'Policy Characteristics'!$C:$C,0)))</f>
        <v>buildings-sector-main.html#rebate</v>
      </c>
      <c r="R156" s="394" t="str">
        <f>IF(ISBLANK(INDEX('Policy Characteristics'!L:L,MATCH($C156,'Policy Characteristics'!$C:$C,0))),"",INDEX('Policy Characteristics'!L:L,MATCH($C156,'Policy Characteristics'!$C:$C,0)))</f>
        <v>rebate-for-efficient-products.html</v>
      </c>
    </row>
    <row r="157" s="384" customFormat="1" customHeight="1" spans="1:18">
      <c r="A157" s="394" t="str">
        <f>IF(ISBLANK(INDEX('Policy Characteristics'!A:A,MATCH($C157,'Policy Characteristics'!$C:$C,0))),"",INDEX('Policy Characteristics'!A:A,MATCH($C157,'Policy Characteristics'!$C:$C,0)))</f>
        <v>Buildings and Appliances</v>
      </c>
      <c r="B157" s="395" t="str">
        <f>IF(ISBLANK(INDEX('Policy Characteristics'!B:B,MATCH($C157,'Policy Characteristics'!$C:$C,0))),"",INDEX('Policy Characteristics'!B:B,MATCH($C157,'Policy Characteristics'!$C:$C,0)))</f>
        <v>Rebate for Efficient Products</v>
      </c>
      <c r="C157" s="394" t="str">
        <f t="shared" si="14"/>
        <v>Boolean Rebate Program for Efficient Components</v>
      </c>
      <c r="D157" s="399" t="s">
        <v>699</v>
      </c>
      <c r="E157" s="399"/>
      <c r="F157" s="399" t="s">
        <v>700</v>
      </c>
      <c r="G157" s="399"/>
      <c r="H157" s="377">
        <v>605</v>
      </c>
      <c r="I157" s="396" t="s">
        <v>658</v>
      </c>
      <c r="J157" s="397" t="str">
        <f>IF(ISBLANK(INDEX('Policy Characteristics'!D:D,MATCH($C157,'Policy Characteristics'!$C:$C,0))),"",INDEX('Policy Characteristics'!D:D,MATCH($C157,'Policy Characteristics'!$C:$C,0)))</f>
        <v>Rebate for Efficient Products</v>
      </c>
      <c r="K157" s="394" t="str">
        <f>IF(ISBLANK(INDEX('Policy Characteristics'!E:E,MATCH($C157,'Policy Characteristics'!$C:$C,0))),"",INDEX('Policy Characteristics'!E:E,MATCH($C157,'Policy Characteristics'!$C:$C,0)))</f>
        <v>bldgs rebate</v>
      </c>
      <c r="L157" s="394">
        <f>IF(ISBLANK(INDEX('Policy Characteristics'!F:F,MATCH($C157,'Policy Characteristics'!$C:$C,0))),"",INDEX('Policy Characteristics'!F:F,MATCH($C157,'Policy Characteristics'!$C:$C,0)))</f>
        <v>0</v>
      </c>
      <c r="M157" s="394">
        <f>IF(ISBLANK(INDEX('Policy Characteristics'!G:G,MATCH($C157,'Policy Characteristics'!$C:$C,0))),"",INDEX('Policy Characteristics'!G:G,MATCH($C157,'Policy Characteristics'!$C:$C,0)))</f>
        <v>1</v>
      </c>
      <c r="N157" s="394">
        <f>IF(ISBLANK(INDEX('Policy Characteristics'!H:H,MATCH($C157,'Policy Characteristics'!$C:$C,0))),"",INDEX('Policy Characteristics'!H:H,MATCH($C157,'Policy Characteristics'!$C:$C,0)))</f>
        <v>1</v>
      </c>
      <c r="O157" s="394" t="str">
        <f>IF(ISBLANK(INDEX('Policy Characteristics'!I:I,MATCH($C157,'Policy Characteristics'!$C:$C,0))),"",INDEX('Policy Characteristics'!I:I,MATCH($C157,'Policy Characteristics'!$C:$C,0)))</f>
        <v>on/off</v>
      </c>
      <c r="P157" s="394" t="str">
        <f>IF(ISBLANK(INDEX('Policy Characteristics'!J:J,MATCH($C157,'Policy Characteristics'!$C:$C,0))),"",INDEX('Policy Characteristics'!J:J,MATCH($C157,'Policy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7" s="394" t="str">
        <f>IF(ISBLANK(INDEX('Policy Characteristics'!K:K,MATCH($C157,'Policy Characteristics'!$C:$C,0))),"",INDEX('Policy Characteristics'!K:K,MATCH($C157,'Policy Characteristics'!$C:$C,0)))</f>
        <v>buildings-sector-main.html#rebate</v>
      </c>
      <c r="R157" s="394" t="str">
        <f>IF(ISBLANK(INDEX('Policy Characteristics'!L:L,MATCH($C157,'Policy Characteristics'!$C:$C,0))),"",INDEX('Policy Characteristics'!L:L,MATCH($C157,'Policy Characteristics'!$C:$C,0)))</f>
        <v>rebate-for-efficient-products.html</v>
      </c>
    </row>
    <row r="158" s="384" customFormat="1" customHeight="1" spans="1:18">
      <c r="A158" s="394" t="str">
        <f>IF(ISBLANK(INDEX('Policy Characteristics'!A:A,MATCH($C158,'Policy Characteristics'!$C:$C,0))),"",INDEX('Policy Characteristics'!A:A,MATCH($C158,'Policy Characteristics'!$C:$C,0)))</f>
        <v>Buildings and Appliances</v>
      </c>
      <c r="B158" s="395" t="str">
        <f>IF(ISBLANK(INDEX('Policy Characteristics'!B:B,MATCH($C158,'Policy Characteristics'!$C:$C,0))),"",INDEX('Policy Characteristics'!B:B,MATCH($C158,'Policy Characteristics'!$C:$C,0)))</f>
        <v>Rebate for Efficient Products</v>
      </c>
      <c r="C158" s="394" t="str">
        <f t="shared" si="14"/>
        <v>Boolean Rebate Program for Efficient Components</v>
      </c>
      <c r="D158" s="399" t="s">
        <v>689</v>
      </c>
      <c r="E158" s="399"/>
      <c r="F158" s="399" t="s">
        <v>690</v>
      </c>
      <c r="G158" s="399"/>
      <c r="H158" s="377">
        <v>606</v>
      </c>
      <c r="I158" s="396" t="s">
        <v>658</v>
      </c>
      <c r="J158" s="397" t="str">
        <f>IF(ISBLANK(INDEX('Policy Characteristics'!D:D,MATCH($C158,'Policy Characteristics'!$C:$C,0))),"",INDEX('Policy Characteristics'!D:D,MATCH($C158,'Policy Characteristics'!$C:$C,0)))</f>
        <v>Rebate for Efficient Products</v>
      </c>
      <c r="K158" s="394" t="str">
        <f>IF(ISBLANK(INDEX('Policy Characteristics'!E:E,MATCH($C158,'Policy Characteristics'!$C:$C,0))),"",INDEX('Policy Characteristics'!E:E,MATCH($C158,'Policy Characteristics'!$C:$C,0)))</f>
        <v>bldgs rebate</v>
      </c>
      <c r="L158" s="394">
        <f>IF(ISBLANK(INDEX('Policy Characteristics'!F:F,MATCH($C158,'Policy Characteristics'!$C:$C,0))),"",INDEX('Policy Characteristics'!F:F,MATCH($C158,'Policy Characteristics'!$C:$C,0)))</f>
        <v>0</v>
      </c>
      <c r="M158" s="394">
        <f>IF(ISBLANK(INDEX('Policy Characteristics'!G:G,MATCH($C158,'Policy Characteristics'!$C:$C,0))),"",INDEX('Policy Characteristics'!G:G,MATCH($C158,'Policy Characteristics'!$C:$C,0)))</f>
        <v>1</v>
      </c>
      <c r="N158" s="394">
        <f>IF(ISBLANK(INDEX('Policy Characteristics'!H:H,MATCH($C158,'Policy Characteristics'!$C:$C,0))),"",INDEX('Policy Characteristics'!H:H,MATCH($C158,'Policy Characteristics'!$C:$C,0)))</f>
        <v>1</v>
      </c>
      <c r="O158" s="394" t="str">
        <f>IF(ISBLANK(INDEX('Policy Characteristics'!I:I,MATCH($C158,'Policy Characteristics'!$C:$C,0))),"",INDEX('Policy Characteristics'!I:I,MATCH($C158,'Policy Characteristics'!$C:$C,0)))</f>
        <v>on/off</v>
      </c>
      <c r="P158" s="394" t="str">
        <f>IF(ISBLANK(INDEX('Policy Characteristics'!J:J,MATCH($C158,'Policy Characteristics'!$C:$C,0))),"",INDEX('Policy Characteristics'!J:J,MATCH($C158,'Policy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8" s="394" t="str">
        <f>IF(ISBLANK(INDEX('Policy Characteristics'!K:K,MATCH($C158,'Policy Characteristics'!$C:$C,0))),"",INDEX('Policy Characteristics'!K:K,MATCH($C158,'Policy Characteristics'!$C:$C,0)))</f>
        <v>buildings-sector-main.html#rebate</v>
      </c>
      <c r="R158" s="394" t="str">
        <f>IF(ISBLANK(INDEX('Policy Characteristics'!L:L,MATCH($C158,'Policy Characteristics'!$C:$C,0))),"",INDEX('Policy Characteristics'!L:L,MATCH($C158,'Policy Characteristics'!$C:$C,0)))</f>
        <v>rebate-for-efficient-products.html</v>
      </c>
    </row>
    <row r="159" s="384" customFormat="1" customHeight="1" spans="1:18">
      <c r="A159" s="394" t="str">
        <f>IF(ISBLANK(INDEX('Policy Characteristics'!A:A,MATCH($C159,'Policy Characteristics'!$C:$C,0))),"",INDEX('Policy Characteristics'!A:A,MATCH($C159,'Policy Characteristics'!$C:$C,0)))</f>
        <v>Buildings and Appliances</v>
      </c>
      <c r="B159" s="395" t="str">
        <f>IF(ISBLANK(INDEX('Policy Characteristics'!B:B,MATCH($C159,'Policy Characteristics'!$C:$C,0))),"",INDEX('Policy Characteristics'!B:B,MATCH($C159,'Policy Characteristics'!$C:$C,0)))</f>
        <v>Rebate for Efficient Products</v>
      </c>
      <c r="C159" s="394" t="str">
        <f t="shared" si="14"/>
        <v>Boolean Rebate Program for Efficient Components</v>
      </c>
      <c r="D159" s="399" t="s">
        <v>691</v>
      </c>
      <c r="E159" s="399"/>
      <c r="F159" s="399" t="s">
        <v>692</v>
      </c>
      <c r="G159" s="399"/>
      <c r="H159" s="377">
        <v>29</v>
      </c>
      <c r="I159" s="396" t="s">
        <v>648</v>
      </c>
      <c r="J159" s="397" t="str">
        <f>IF(ISBLANK(INDEX('Policy Characteristics'!D:D,MATCH($C159,'Policy Characteristics'!$C:$C,0))),"",INDEX('Policy Characteristics'!D:D,MATCH($C159,'Policy Characteristics'!$C:$C,0)))</f>
        <v>Rebate for Efficient Products</v>
      </c>
      <c r="K159" s="394" t="str">
        <f>IF(ISBLANK(INDEX('Policy Characteristics'!E:E,MATCH($C159,'Policy Characteristics'!$C:$C,0))),"",INDEX('Policy Characteristics'!E:E,MATCH($C159,'Policy Characteristics'!$C:$C,0)))</f>
        <v>bldgs rebate</v>
      </c>
      <c r="L159" s="394">
        <f>IF(ISBLANK(INDEX('Policy Characteristics'!F:F,MATCH($C159,'Policy Characteristics'!$C:$C,0))),"",INDEX('Policy Characteristics'!F:F,MATCH($C159,'Policy Characteristics'!$C:$C,0)))</f>
        <v>0</v>
      </c>
      <c r="M159" s="394">
        <f>IF(ISBLANK(INDEX('Policy Characteristics'!G:G,MATCH($C159,'Policy Characteristics'!$C:$C,0))),"",INDEX('Policy Characteristics'!G:G,MATCH($C159,'Policy Characteristics'!$C:$C,0)))</f>
        <v>1</v>
      </c>
      <c r="N159" s="394">
        <f>IF(ISBLANK(INDEX('Policy Characteristics'!H:H,MATCH($C159,'Policy Characteristics'!$C:$C,0))),"",INDEX('Policy Characteristics'!H:H,MATCH($C159,'Policy Characteristics'!$C:$C,0)))</f>
        <v>1</v>
      </c>
      <c r="O159" s="394" t="str">
        <f>IF(ISBLANK(INDEX('Policy Characteristics'!I:I,MATCH($C159,'Policy Characteristics'!$C:$C,0))),"",INDEX('Policy Characteristics'!I:I,MATCH($C159,'Policy Characteristics'!$C:$C,0)))</f>
        <v>on/off</v>
      </c>
      <c r="P159" s="394" t="str">
        <f>IF(ISBLANK(INDEX('Policy Characteristics'!J:J,MATCH($C159,'Policy Characteristics'!$C:$C,0))),"",INDEX('Policy Characteristics'!J:J,MATCH($C159,'Policy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9" s="394" t="str">
        <f>IF(ISBLANK(INDEX('Policy Characteristics'!K:K,MATCH($C159,'Policy Characteristics'!$C:$C,0))),"",INDEX('Policy Characteristics'!K:K,MATCH($C159,'Policy Characteristics'!$C:$C,0)))</f>
        <v>buildings-sector-main.html#rebate</v>
      </c>
      <c r="R159" s="394" t="str">
        <f>IF(ISBLANK(INDEX('Policy Characteristics'!L:L,MATCH($C159,'Policy Characteristics'!$C:$C,0))),"",INDEX('Policy Characteristics'!L:L,MATCH($C159,'Policy Characteristics'!$C:$C,0)))</f>
        <v>rebate-for-efficient-products.html</v>
      </c>
    </row>
    <row r="160" s="384" customFormat="1" customHeight="1" spans="1:18">
      <c r="A160" s="394" t="str">
        <f>IF(ISBLANK(INDEX('Policy Characteristics'!A:A,MATCH($C160,'Policy Characteristics'!$C:$C,0))),"",INDEX('Policy Characteristics'!A:A,MATCH($C160,'Policy Characteristics'!$C:$C,0)))</f>
        <v>Buildings and Appliances</v>
      </c>
      <c r="B160" s="395" t="str">
        <f>IF(ISBLANK(INDEX('Policy Characteristics'!B:B,MATCH($C160,'Policy Characteristics'!$C:$C,0))),"",INDEX('Policy Characteristics'!B:B,MATCH($C160,'Policy Characteristics'!$C:$C,0)))</f>
        <v>Rebate for Efficient Products</v>
      </c>
      <c r="C160" s="394" t="str">
        <f t="shared" si="14"/>
        <v>Boolean Rebate Program for Efficient Components</v>
      </c>
      <c r="D160" s="399" t="s">
        <v>693</v>
      </c>
      <c r="E160" s="399"/>
      <c r="F160" s="399" t="s">
        <v>694</v>
      </c>
      <c r="G160" s="399"/>
      <c r="H160" s="377">
        <v>607</v>
      </c>
      <c r="I160" s="396" t="s">
        <v>658</v>
      </c>
      <c r="J160" s="397" t="str">
        <f>IF(ISBLANK(INDEX('Policy Characteristics'!D:D,MATCH($C160,'Policy Characteristics'!$C:$C,0))),"",INDEX('Policy Characteristics'!D:D,MATCH($C160,'Policy Characteristics'!$C:$C,0)))</f>
        <v>Rebate for Efficient Products</v>
      </c>
      <c r="K160" s="394" t="str">
        <f>IF(ISBLANK(INDEX('Policy Characteristics'!E:E,MATCH($C160,'Policy Characteristics'!$C:$C,0))),"",INDEX('Policy Characteristics'!E:E,MATCH($C160,'Policy Characteristics'!$C:$C,0)))</f>
        <v>bldgs rebate</v>
      </c>
      <c r="L160" s="394">
        <f>IF(ISBLANK(INDEX('Policy Characteristics'!F:F,MATCH($C160,'Policy Characteristics'!$C:$C,0))),"",INDEX('Policy Characteristics'!F:F,MATCH($C160,'Policy Characteristics'!$C:$C,0)))</f>
        <v>0</v>
      </c>
      <c r="M160" s="394">
        <f>IF(ISBLANK(INDEX('Policy Characteristics'!G:G,MATCH($C160,'Policy Characteristics'!$C:$C,0))),"",INDEX('Policy Characteristics'!G:G,MATCH($C160,'Policy Characteristics'!$C:$C,0)))</f>
        <v>1</v>
      </c>
      <c r="N160" s="394">
        <f>IF(ISBLANK(INDEX('Policy Characteristics'!H:H,MATCH($C160,'Policy Characteristics'!$C:$C,0))),"",INDEX('Policy Characteristics'!H:H,MATCH($C160,'Policy Characteristics'!$C:$C,0)))</f>
        <v>1</v>
      </c>
      <c r="O160" s="394" t="str">
        <f>IF(ISBLANK(INDEX('Policy Characteristics'!I:I,MATCH($C160,'Policy Characteristics'!$C:$C,0))),"",INDEX('Policy Characteristics'!I:I,MATCH($C160,'Policy Characteristics'!$C:$C,0)))</f>
        <v>on/off</v>
      </c>
      <c r="P160" s="394" t="str">
        <f>IF(ISBLANK(INDEX('Policy Characteristics'!J:J,MATCH($C160,'Policy Characteristics'!$C:$C,0))),"",INDEX('Policy Characteristics'!J:J,MATCH($C160,'Policy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60" s="394" t="str">
        <f>IF(ISBLANK(INDEX('Policy Characteristics'!K:K,MATCH($C160,'Policy Characteristics'!$C:$C,0))),"",INDEX('Policy Characteristics'!K:K,MATCH($C160,'Policy Characteristics'!$C:$C,0)))</f>
        <v>buildings-sector-main.html#rebate</v>
      </c>
      <c r="R160" s="394" t="str">
        <f>IF(ISBLANK(INDEX('Policy Characteristics'!L:L,MATCH($C160,'Policy Characteristics'!$C:$C,0))),"",INDEX('Policy Characteristics'!L:L,MATCH($C160,'Policy Characteristics'!$C:$C,0)))</f>
        <v>rebate-for-efficient-products.html</v>
      </c>
    </row>
    <row r="161" customHeight="1" spans="1:18">
      <c r="A161" s="394" t="str">
        <f>IF(ISBLANK(INDEX('Policy Characteristics'!A:A,MATCH($C161,'Policy Characteristics'!$C:$C,0))),"",INDEX('Policy Characteristics'!A:A,MATCH($C161,'Policy Characteristics'!$C:$C,0)))</f>
        <v>Electricity Supply</v>
      </c>
      <c r="B161" s="395" t="str">
        <f>IF(ISBLANK(INDEX('Policy Characteristics'!B:B,MATCH($C161,'Policy Characteristics'!$C:$C,0))),"",INDEX('Policy Characteristics'!B:B,MATCH($C161,'Policy Characteristics'!$C:$C,0)))</f>
        <v>Ban New Power Plants</v>
      </c>
      <c r="C161" t="s">
        <v>206</v>
      </c>
      <c r="D161" s="399" t="s">
        <v>701</v>
      </c>
      <c r="E161" s="399"/>
      <c r="F161" s="399" t="s">
        <v>702</v>
      </c>
      <c r="G161" s="399"/>
      <c r="H161" s="377">
        <v>167</v>
      </c>
      <c r="I161" s="396" t="s">
        <v>648</v>
      </c>
      <c r="J161" s="397" t="str">
        <f>IF(ISBLANK(INDEX('Policy Characteristics'!D:D,MATCH($C161,'Policy Characteristics'!$C:$C,0))),"",INDEX('Policy Characteristics'!D:D,MATCH($C161,'Policy Characteristics'!$C:$C,0)))</f>
        <v>Ban New Power Plants</v>
      </c>
      <c r="K161" s="394" t="str">
        <f>IF(ISBLANK(INDEX('Policy Characteristics'!E:E,MATCH($C161,'Policy Characteristics'!$C:$C,0))),"",INDEX('Policy Characteristics'!E:E,MATCH($C161,'Policy Characteristics'!$C:$C,0)))</f>
        <v>elec ban new power plants</v>
      </c>
      <c r="L161" s="394">
        <f>IF(ISBLANK(INDEX('Policy Characteristics'!F:F,MATCH($C161,'Policy Characteristics'!$C:$C,0))),"",INDEX('Policy Characteristics'!F:F,MATCH($C161,'Policy Characteristics'!$C:$C,0)))</f>
        <v>0</v>
      </c>
      <c r="M161" s="394">
        <f>IF(ISBLANK(INDEX('Policy Characteristics'!G:G,MATCH($C161,'Policy Characteristics'!$C:$C,0))),"",INDEX('Policy Characteristics'!G:G,MATCH($C161,'Policy Characteristics'!$C:$C,0)))</f>
        <v>1</v>
      </c>
      <c r="N161" s="394">
        <f>IF(ISBLANK(INDEX('Policy Characteristics'!H:H,MATCH($C161,'Policy Characteristics'!$C:$C,0))),"",INDEX('Policy Characteristics'!H:H,MATCH($C161,'Policy Characteristics'!$C:$C,0)))</f>
        <v>1</v>
      </c>
      <c r="O161" s="394" t="str">
        <f>IF(ISBLANK(INDEX('Policy Characteristics'!I:I,MATCH($C161,'Policy Characteristics'!$C:$C,0))),"",INDEX('Policy Characteristics'!I:I,MATCH($C161,'Policy Characteristics'!$C:$C,0)))</f>
        <v>on/off</v>
      </c>
      <c r="P161" s="394" t="str">
        <f>IF(ISBLANK(INDEX('Policy Characteristics'!J:J,MATCH($C161,'Policy Characteristics'!$C:$C,0))),"",INDEX('Policy Characteristics'!J:J,MATCH($C161,'Policy Characteristics'!$C:$C,0)))</f>
        <v>**Description:** This policy prevents new capacity of the selected type(s) from being built or deployed.</v>
      </c>
      <c r="Q161" s="394" t="str">
        <f>IF(ISBLANK(INDEX('Policy Characteristics'!K:K,MATCH($C161,'Policy Characteristics'!$C:$C,0))),"",INDEX('Policy Characteristics'!K:K,MATCH($C161,'Policy Characteristics'!$C:$C,0)))</f>
        <v>electricity-sector-main.html#ban</v>
      </c>
      <c r="R161" s="394" t="str">
        <f>IF(ISBLANK(INDEX('Policy Characteristics'!L:L,MATCH($C161,'Policy Characteristics'!$C:$C,0))),"",INDEX('Policy Characteristics'!L:L,MATCH($C161,'Policy Characteristics'!$C:$C,0)))</f>
        <v>ban-new-capacity.html</v>
      </c>
    </row>
    <row r="162" s="384" customFormat="1" customHeight="1" spans="1:18">
      <c r="A162" s="394" t="str">
        <f>IF(ISBLANK(INDEX('Policy Characteristics'!A:A,MATCH($C162,'Policy Characteristics'!$C:$C,0))),"",INDEX('Policy Characteristics'!A:A,MATCH($C162,'Policy Characteristics'!$C:$C,0)))</f>
        <v>Electricity Supply</v>
      </c>
      <c r="B162" s="395" t="str">
        <f>IF(ISBLANK(INDEX('Policy Characteristics'!B:B,MATCH($C162,'Policy Characteristics'!$C:$C,0))),"",INDEX('Policy Characteristics'!B:B,MATCH($C162,'Policy Characteristics'!$C:$C,0)))</f>
        <v>Ban New Power Plants</v>
      </c>
      <c r="C162" s="394" t="str">
        <f t="shared" ref="C162:C172" si="15">C$161</f>
        <v>Boolean Ban New Power Plants</v>
      </c>
      <c r="D162" s="399" t="s">
        <v>703</v>
      </c>
      <c r="E162" s="399"/>
      <c r="F162" s="399" t="s">
        <v>704</v>
      </c>
      <c r="G162" s="399"/>
      <c r="H162" s="377">
        <v>168</v>
      </c>
      <c r="I162" s="396" t="s">
        <v>648</v>
      </c>
      <c r="J162" s="397" t="str">
        <f>IF(ISBLANK(INDEX('Policy Characteristics'!D:D,MATCH($C162,'Policy Characteristics'!$C:$C,0))),"",INDEX('Policy Characteristics'!D:D,MATCH($C162,'Policy Characteristics'!$C:$C,0)))</f>
        <v>Ban New Power Plants</v>
      </c>
      <c r="K162" s="394" t="str">
        <f>IF(ISBLANK(INDEX('Policy Characteristics'!E:E,MATCH($C162,'Policy Characteristics'!$C:$C,0))),"",INDEX('Policy Characteristics'!E:E,MATCH($C162,'Policy Characteristics'!$C:$C,0)))</f>
        <v>elec ban new power plants</v>
      </c>
      <c r="L162" s="394">
        <f>IF(ISBLANK(INDEX('Policy Characteristics'!F:F,MATCH($C162,'Policy Characteristics'!$C:$C,0))),"",INDEX('Policy Characteristics'!F:F,MATCH($C162,'Policy Characteristics'!$C:$C,0)))</f>
        <v>0</v>
      </c>
      <c r="M162" s="394">
        <f>IF(ISBLANK(INDEX('Policy Characteristics'!G:G,MATCH($C162,'Policy Characteristics'!$C:$C,0))),"",INDEX('Policy Characteristics'!G:G,MATCH($C162,'Policy Characteristics'!$C:$C,0)))</f>
        <v>1</v>
      </c>
      <c r="N162" s="394">
        <f>IF(ISBLANK(INDEX('Policy Characteristics'!H:H,MATCH($C162,'Policy Characteristics'!$C:$C,0))),"",INDEX('Policy Characteristics'!H:H,MATCH($C162,'Policy Characteristics'!$C:$C,0)))</f>
        <v>1</v>
      </c>
      <c r="O162" s="394" t="str">
        <f>IF(ISBLANK(INDEX('Policy Characteristics'!I:I,MATCH($C162,'Policy Characteristics'!$C:$C,0))),"",INDEX('Policy Characteristics'!I:I,MATCH($C162,'Policy Characteristics'!$C:$C,0)))</f>
        <v>on/off</v>
      </c>
      <c r="P162" s="394" t="str">
        <f>IF(ISBLANK(INDEX('Policy Characteristics'!J:J,MATCH($C162,'Policy Characteristics'!$C:$C,0))),"",INDEX('Policy Characteristics'!J:J,MATCH($C162,'Policy Characteristics'!$C:$C,0)))</f>
        <v>**Description:** This policy prevents new capacity of the selected type(s) from being built or deployed.</v>
      </c>
      <c r="Q162" s="394" t="str">
        <f>IF(ISBLANK(INDEX('Policy Characteristics'!K:K,MATCH($C162,'Policy Characteristics'!$C:$C,0))),"",INDEX('Policy Characteristics'!K:K,MATCH($C162,'Policy Characteristics'!$C:$C,0)))</f>
        <v>electricity-sector-main.html#ban</v>
      </c>
      <c r="R162" s="394" t="str">
        <f>IF(ISBLANK(INDEX('Policy Characteristics'!L:L,MATCH($C162,'Policy Characteristics'!$C:$C,0))),"",INDEX('Policy Characteristics'!L:L,MATCH($C162,'Policy Characteristics'!$C:$C,0)))</f>
        <v>ban-new-capacity.html</v>
      </c>
    </row>
    <row r="163" s="384" customFormat="1" customHeight="1" spans="1:18">
      <c r="A163" s="394" t="str">
        <f>IF(ISBLANK(INDEX('Policy Characteristics'!A:A,MATCH($C163,'Policy Characteristics'!$C:$C,0))),"",INDEX('Policy Characteristics'!A:A,MATCH($C163,'Policy Characteristics'!$C:$C,0)))</f>
        <v>Electricity Supply</v>
      </c>
      <c r="B163" s="395" t="str">
        <f>IF(ISBLANK(INDEX('Policy Characteristics'!B:B,MATCH($C163,'Policy Characteristics'!$C:$C,0))),"",INDEX('Policy Characteristics'!B:B,MATCH($C163,'Policy Characteristics'!$C:$C,0)))</f>
        <v>Ban New Power Plants</v>
      </c>
      <c r="C163" s="394" t="str">
        <f t="shared" si="15"/>
        <v>Boolean Ban New Power Plants</v>
      </c>
      <c r="D163" s="399" t="s">
        <v>705</v>
      </c>
      <c r="E163" s="399"/>
      <c r="F163" s="399" t="s">
        <v>706</v>
      </c>
      <c r="G163" s="399"/>
      <c r="H163" s="377">
        <v>169</v>
      </c>
      <c r="I163" s="396" t="s">
        <v>648</v>
      </c>
      <c r="J163" s="397" t="str">
        <f>IF(ISBLANK(INDEX('Policy Characteristics'!D:D,MATCH($C163,'Policy Characteristics'!$C:$C,0))),"",INDEX('Policy Characteristics'!D:D,MATCH($C163,'Policy Characteristics'!$C:$C,0)))</f>
        <v>Ban New Power Plants</v>
      </c>
      <c r="K163" s="394" t="str">
        <f>IF(ISBLANK(INDEX('Policy Characteristics'!E:E,MATCH($C163,'Policy Characteristics'!$C:$C,0))),"",INDEX('Policy Characteristics'!E:E,MATCH($C163,'Policy Characteristics'!$C:$C,0)))</f>
        <v>elec ban new power plants</v>
      </c>
      <c r="L163" s="394">
        <f>IF(ISBLANK(INDEX('Policy Characteristics'!F:F,MATCH($C163,'Policy Characteristics'!$C:$C,0))),"",INDEX('Policy Characteristics'!F:F,MATCH($C163,'Policy Characteristics'!$C:$C,0)))</f>
        <v>0</v>
      </c>
      <c r="M163" s="394">
        <f>IF(ISBLANK(INDEX('Policy Characteristics'!G:G,MATCH($C163,'Policy Characteristics'!$C:$C,0))),"",INDEX('Policy Characteristics'!G:G,MATCH($C163,'Policy Characteristics'!$C:$C,0)))</f>
        <v>1</v>
      </c>
      <c r="N163" s="394">
        <f>IF(ISBLANK(INDEX('Policy Characteristics'!H:H,MATCH($C163,'Policy Characteristics'!$C:$C,0))),"",INDEX('Policy Characteristics'!H:H,MATCH($C163,'Policy Characteristics'!$C:$C,0)))</f>
        <v>1</v>
      </c>
      <c r="O163" s="394" t="str">
        <f>IF(ISBLANK(INDEX('Policy Characteristics'!I:I,MATCH($C163,'Policy Characteristics'!$C:$C,0))),"",INDEX('Policy Characteristics'!I:I,MATCH($C163,'Policy Characteristics'!$C:$C,0)))</f>
        <v>on/off</v>
      </c>
      <c r="P163" s="394" t="str">
        <f>IF(ISBLANK(INDEX('Policy Characteristics'!J:J,MATCH($C163,'Policy Characteristics'!$C:$C,0))),"",INDEX('Policy Characteristics'!J:J,MATCH($C163,'Policy Characteristics'!$C:$C,0)))</f>
        <v>**Description:** This policy prevents new capacity of the selected type(s) from being built or deployed.</v>
      </c>
      <c r="Q163" s="394" t="str">
        <f>IF(ISBLANK(INDEX('Policy Characteristics'!K:K,MATCH($C163,'Policy Characteristics'!$C:$C,0))),"",INDEX('Policy Characteristics'!K:K,MATCH($C163,'Policy Characteristics'!$C:$C,0)))</f>
        <v>electricity-sector-main.html#ban</v>
      </c>
      <c r="R163" s="394" t="str">
        <f>IF(ISBLANK(INDEX('Policy Characteristics'!L:L,MATCH($C163,'Policy Characteristics'!$C:$C,0))),"",INDEX('Policy Characteristics'!L:L,MATCH($C163,'Policy Characteristics'!$C:$C,0)))</f>
        <v>ban-new-capacity.html</v>
      </c>
    </row>
    <row r="164" s="384" customFormat="1" customHeight="1" spans="1:18">
      <c r="A164" s="394" t="str">
        <f>IF(ISBLANK(INDEX('Policy Characteristics'!A:A,MATCH($C164,'Policy Characteristics'!$C:$C,0))),"",INDEX('Policy Characteristics'!A:A,MATCH($C164,'Policy Characteristics'!$C:$C,0)))</f>
        <v>Electricity Supply</v>
      </c>
      <c r="B164" s="395" t="str">
        <f>IF(ISBLANK(INDEX('Policy Characteristics'!B:B,MATCH($C164,'Policy Characteristics'!$C:$C,0))),"",INDEX('Policy Characteristics'!B:B,MATCH($C164,'Policy Characteristics'!$C:$C,0)))</f>
        <v>Ban New Power Plants</v>
      </c>
      <c r="C164" s="394" t="str">
        <f t="shared" si="15"/>
        <v>Boolean Ban New Power Plants</v>
      </c>
      <c r="D164" s="399" t="s">
        <v>707</v>
      </c>
      <c r="E164" s="399"/>
      <c r="F164" s="399" t="s">
        <v>708</v>
      </c>
      <c r="G164" s="399"/>
      <c r="H164" s="377">
        <v>170</v>
      </c>
      <c r="I164" s="396" t="s">
        <v>648</v>
      </c>
      <c r="J164" s="397" t="str">
        <f>IF(ISBLANK(INDEX('Policy Characteristics'!D:D,MATCH($C164,'Policy Characteristics'!$C:$C,0))),"",INDEX('Policy Characteristics'!D:D,MATCH($C164,'Policy Characteristics'!$C:$C,0)))</f>
        <v>Ban New Power Plants</v>
      </c>
      <c r="K164" s="394" t="str">
        <f>IF(ISBLANK(INDEX('Policy Characteristics'!E:E,MATCH($C164,'Policy Characteristics'!$C:$C,0))),"",INDEX('Policy Characteristics'!E:E,MATCH($C164,'Policy Characteristics'!$C:$C,0)))</f>
        <v>elec ban new power plants</v>
      </c>
      <c r="L164" s="394">
        <f>IF(ISBLANK(INDEX('Policy Characteristics'!F:F,MATCH($C164,'Policy Characteristics'!$C:$C,0))),"",INDEX('Policy Characteristics'!F:F,MATCH($C164,'Policy Characteristics'!$C:$C,0)))</f>
        <v>0</v>
      </c>
      <c r="M164" s="394">
        <f>IF(ISBLANK(INDEX('Policy Characteristics'!G:G,MATCH($C164,'Policy Characteristics'!$C:$C,0))),"",INDEX('Policy Characteristics'!G:G,MATCH($C164,'Policy Characteristics'!$C:$C,0)))</f>
        <v>1</v>
      </c>
      <c r="N164" s="394">
        <f>IF(ISBLANK(INDEX('Policy Characteristics'!H:H,MATCH($C164,'Policy Characteristics'!$C:$C,0))),"",INDEX('Policy Characteristics'!H:H,MATCH($C164,'Policy Characteristics'!$C:$C,0)))</f>
        <v>1</v>
      </c>
      <c r="O164" s="394" t="str">
        <f>IF(ISBLANK(INDEX('Policy Characteristics'!I:I,MATCH($C164,'Policy Characteristics'!$C:$C,0))),"",INDEX('Policy Characteristics'!I:I,MATCH($C164,'Policy Characteristics'!$C:$C,0)))</f>
        <v>on/off</v>
      </c>
      <c r="P164" s="394" t="str">
        <f>IF(ISBLANK(INDEX('Policy Characteristics'!J:J,MATCH($C164,'Policy Characteristics'!$C:$C,0))),"",INDEX('Policy Characteristics'!J:J,MATCH($C164,'Policy Characteristics'!$C:$C,0)))</f>
        <v>**Description:** This policy prevents new capacity of the selected type(s) from being built or deployed.</v>
      </c>
      <c r="Q164" s="394" t="str">
        <f>IF(ISBLANK(INDEX('Policy Characteristics'!K:K,MATCH($C164,'Policy Characteristics'!$C:$C,0))),"",INDEX('Policy Characteristics'!K:K,MATCH($C164,'Policy Characteristics'!$C:$C,0)))</f>
        <v>electricity-sector-main.html#ban</v>
      </c>
      <c r="R164" s="394" t="str">
        <f>IF(ISBLANK(INDEX('Policy Characteristics'!L:L,MATCH($C164,'Policy Characteristics'!$C:$C,0))),"",INDEX('Policy Characteristics'!L:L,MATCH($C164,'Policy Characteristics'!$C:$C,0)))</f>
        <v>ban-new-capacity.html</v>
      </c>
    </row>
    <row r="165" s="384" customFormat="1" customHeight="1" spans="1:18">
      <c r="A165" s="394" t="str">
        <f>IF(ISBLANK(INDEX('Policy Characteristics'!A:A,MATCH($C165,'Policy Characteristics'!$C:$C,0))),"",INDEX('Policy Characteristics'!A:A,MATCH($C165,'Policy Characteristics'!$C:$C,0)))</f>
        <v>Electricity Supply</v>
      </c>
      <c r="B165" s="395" t="str">
        <f>IF(ISBLANK(INDEX('Policy Characteristics'!B:B,MATCH($C165,'Policy Characteristics'!$C:$C,0))),"",INDEX('Policy Characteristics'!B:B,MATCH($C165,'Policy Characteristics'!$C:$C,0)))</f>
        <v>Ban New Power Plants</v>
      </c>
      <c r="C165" s="394" t="str">
        <f t="shared" si="15"/>
        <v>Boolean Ban New Power Plants</v>
      </c>
      <c r="D165" s="399" t="s">
        <v>709</v>
      </c>
      <c r="E165" s="399"/>
      <c r="F165" s="399" t="s">
        <v>710</v>
      </c>
      <c r="G165" s="399"/>
      <c r="H165" s="377">
        <v>608</v>
      </c>
      <c r="I165" s="396" t="s">
        <v>658</v>
      </c>
      <c r="J165" s="397" t="str">
        <f>IF(ISBLANK(INDEX('Policy Characteristics'!D:D,MATCH($C165,'Policy Characteristics'!$C:$C,0))),"",INDEX('Policy Characteristics'!D:D,MATCH($C165,'Policy Characteristics'!$C:$C,0)))</f>
        <v>Ban New Power Plants</v>
      </c>
      <c r="K165" s="394" t="str">
        <f>IF(ISBLANK(INDEX('Policy Characteristics'!E:E,MATCH($C165,'Policy Characteristics'!$C:$C,0))),"",INDEX('Policy Characteristics'!E:E,MATCH($C165,'Policy Characteristics'!$C:$C,0)))</f>
        <v>elec ban new power plants</v>
      </c>
      <c r="L165" s="394">
        <f>IF(ISBLANK(INDEX('Policy Characteristics'!F:F,MATCH($C165,'Policy Characteristics'!$C:$C,0))),"",INDEX('Policy Characteristics'!F:F,MATCH($C165,'Policy Characteristics'!$C:$C,0)))</f>
        <v>0</v>
      </c>
      <c r="M165" s="394">
        <f>IF(ISBLANK(INDEX('Policy Characteristics'!G:G,MATCH($C165,'Policy Characteristics'!$C:$C,0))),"",INDEX('Policy Characteristics'!G:G,MATCH($C165,'Policy Characteristics'!$C:$C,0)))</f>
        <v>1</v>
      </c>
      <c r="N165" s="394">
        <f>IF(ISBLANK(INDEX('Policy Characteristics'!H:H,MATCH($C165,'Policy Characteristics'!$C:$C,0))),"",INDEX('Policy Characteristics'!H:H,MATCH($C165,'Policy Characteristics'!$C:$C,0)))</f>
        <v>1</v>
      </c>
      <c r="O165" s="394" t="str">
        <f>IF(ISBLANK(INDEX('Policy Characteristics'!I:I,MATCH($C165,'Policy Characteristics'!$C:$C,0))),"",INDEX('Policy Characteristics'!I:I,MATCH($C165,'Policy Characteristics'!$C:$C,0)))</f>
        <v>on/off</v>
      </c>
      <c r="P165" s="394" t="str">
        <f>IF(ISBLANK(INDEX('Policy Characteristics'!J:J,MATCH($C165,'Policy Characteristics'!$C:$C,0))),"",INDEX('Policy Characteristics'!J:J,MATCH($C165,'Policy Characteristics'!$C:$C,0)))</f>
        <v>**Description:** This policy prevents new capacity of the selected type(s) from being built or deployed.</v>
      </c>
      <c r="Q165" s="394" t="str">
        <f>IF(ISBLANK(INDEX('Policy Characteristics'!K:K,MATCH($C165,'Policy Characteristics'!$C:$C,0))),"",INDEX('Policy Characteristics'!K:K,MATCH($C165,'Policy Characteristics'!$C:$C,0)))</f>
        <v>electricity-sector-main.html#ban</v>
      </c>
      <c r="R165" s="394" t="str">
        <f>IF(ISBLANK(INDEX('Policy Characteristics'!L:L,MATCH($C165,'Policy Characteristics'!$C:$C,0))),"",INDEX('Policy Characteristics'!L:L,MATCH($C165,'Policy Characteristics'!$C:$C,0)))</f>
        <v>ban-new-capacity.html</v>
      </c>
    </row>
    <row r="166" s="384" customFormat="1" customHeight="1" spans="1:18">
      <c r="A166" s="394" t="str">
        <f>IF(ISBLANK(INDEX('Policy Characteristics'!A:A,MATCH($C166,'Policy Characteristics'!$C:$C,0))),"",INDEX('Policy Characteristics'!A:A,MATCH($C166,'Policy Characteristics'!$C:$C,0)))</f>
        <v>Electricity Supply</v>
      </c>
      <c r="B166" s="395" t="str">
        <f>IF(ISBLANK(INDEX('Policy Characteristics'!B:B,MATCH($C166,'Policy Characteristics'!$C:$C,0))),"",INDEX('Policy Characteristics'!B:B,MATCH($C166,'Policy Characteristics'!$C:$C,0)))</f>
        <v>Ban New Power Plants</v>
      </c>
      <c r="C166" s="394" t="str">
        <f t="shared" si="15"/>
        <v>Boolean Ban New Power Plants</v>
      </c>
      <c r="D166" s="399" t="s">
        <v>711</v>
      </c>
      <c r="E166" s="399"/>
      <c r="F166" s="399" t="s">
        <v>712</v>
      </c>
      <c r="G166" s="399"/>
      <c r="H166" s="377">
        <v>609</v>
      </c>
      <c r="I166" s="396" t="s">
        <v>658</v>
      </c>
      <c r="J166" s="397" t="str">
        <f>IF(ISBLANK(INDEX('Policy Characteristics'!D:D,MATCH($C166,'Policy Characteristics'!$C:$C,0))),"",INDEX('Policy Characteristics'!D:D,MATCH($C166,'Policy Characteristics'!$C:$C,0)))</f>
        <v>Ban New Power Plants</v>
      </c>
      <c r="K166" s="394" t="str">
        <f>IF(ISBLANK(INDEX('Policy Characteristics'!E:E,MATCH($C166,'Policy Characteristics'!$C:$C,0))),"",INDEX('Policy Characteristics'!E:E,MATCH($C166,'Policy Characteristics'!$C:$C,0)))</f>
        <v>elec ban new power plants</v>
      </c>
      <c r="L166" s="394">
        <f>IF(ISBLANK(INDEX('Policy Characteristics'!F:F,MATCH($C166,'Policy Characteristics'!$C:$C,0))),"",INDEX('Policy Characteristics'!F:F,MATCH($C166,'Policy Characteristics'!$C:$C,0)))</f>
        <v>0</v>
      </c>
      <c r="M166" s="394">
        <f>IF(ISBLANK(INDEX('Policy Characteristics'!G:G,MATCH($C166,'Policy Characteristics'!$C:$C,0))),"",INDEX('Policy Characteristics'!G:G,MATCH($C166,'Policy Characteristics'!$C:$C,0)))</f>
        <v>1</v>
      </c>
      <c r="N166" s="394">
        <f>IF(ISBLANK(INDEX('Policy Characteristics'!H:H,MATCH($C166,'Policy Characteristics'!$C:$C,0))),"",INDEX('Policy Characteristics'!H:H,MATCH($C166,'Policy Characteristics'!$C:$C,0)))</f>
        <v>1</v>
      </c>
      <c r="O166" s="394" t="str">
        <f>IF(ISBLANK(INDEX('Policy Characteristics'!I:I,MATCH($C166,'Policy Characteristics'!$C:$C,0))),"",INDEX('Policy Characteristics'!I:I,MATCH($C166,'Policy Characteristics'!$C:$C,0)))</f>
        <v>on/off</v>
      </c>
      <c r="P166" s="394" t="str">
        <f>IF(ISBLANK(INDEX('Policy Characteristics'!J:J,MATCH($C166,'Policy Characteristics'!$C:$C,0))),"",INDEX('Policy Characteristics'!J:J,MATCH($C166,'Policy Characteristics'!$C:$C,0)))</f>
        <v>**Description:** This policy prevents new capacity of the selected type(s) from being built or deployed.</v>
      </c>
      <c r="Q166" s="394" t="str">
        <f>IF(ISBLANK(INDEX('Policy Characteristics'!K:K,MATCH($C166,'Policy Characteristics'!$C:$C,0))),"",INDEX('Policy Characteristics'!K:K,MATCH($C166,'Policy Characteristics'!$C:$C,0)))</f>
        <v>electricity-sector-main.html#ban</v>
      </c>
      <c r="R166" s="394" t="str">
        <f>IF(ISBLANK(INDEX('Policy Characteristics'!L:L,MATCH($C166,'Policy Characteristics'!$C:$C,0))),"",INDEX('Policy Characteristics'!L:L,MATCH($C166,'Policy Characteristics'!$C:$C,0)))</f>
        <v>ban-new-capacity.html</v>
      </c>
    </row>
    <row r="167" s="384" customFormat="1" customHeight="1" spans="1:18">
      <c r="A167" s="394" t="str">
        <f>IF(ISBLANK(INDEX('Policy Characteristics'!A:A,MATCH($C167,'Policy Characteristics'!$C:$C,0))),"",INDEX('Policy Characteristics'!A:A,MATCH($C167,'Policy Characteristics'!$C:$C,0)))</f>
        <v>Electricity Supply</v>
      </c>
      <c r="B167" s="395" t="str">
        <f>IF(ISBLANK(INDEX('Policy Characteristics'!B:B,MATCH($C167,'Policy Characteristics'!$C:$C,0))),"",INDEX('Policy Characteristics'!B:B,MATCH($C167,'Policy Characteristics'!$C:$C,0)))</f>
        <v>Ban New Power Plants</v>
      </c>
      <c r="C167" s="394" t="str">
        <f t="shared" si="15"/>
        <v>Boolean Ban New Power Plants</v>
      </c>
      <c r="D167" s="399" t="s">
        <v>713</v>
      </c>
      <c r="E167" s="399"/>
      <c r="F167" s="399" t="s">
        <v>714</v>
      </c>
      <c r="G167" s="399"/>
      <c r="H167" s="377">
        <v>610</v>
      </c>
      <c r="I167" s="396" t="s">
        <v>658</v>
      </c>
      <c r="J167" s="397" t="str">
        <f>IF(ISBLANK(INDEX('Policy Characteristics'!D:D,MATCH($C167,'Policy Characteristics'!$C:$C,0))),"",INDEX('Policy Characteristics'!D:D,MATCH($C167,'Policy Characteristics'!$C:$C,0)))</f>
        <v>Ban New Power Plants</v>
      </c>
      <c r="K167" s="394" t="str">
        <f>IF(ISBLANK(INDEX('Policy Characteristics'!E:E,MATCH($C167,'Policy Characteristics'!$C:$C,0))),"",INDEX('Policy Characteristics'!E:E,MATCH($C167,'Policy Characteristics'!$C:$C,0)))</f>
        <v>elec ban new power plants</v>
      </c>
      <c r="L167" s="394">
        <f>IF(ISBLANK(INDEX('Policy Characteristics'!F:F,MATCH($C167,'Policy Characteristics'!$C:$C,0))),"",INDEX('Policy Characteristics'!F:F,MATCH($C167,'Policy Characteristics'!$C:$C,0)))</f>
        <v>0</v>
      </c>
      <c r="M167" s="394">
        <f>IF(ISBLANK(INDEX('Policy Characteristics'!G:G,MATCH($C167,'Policy Characteristics'!$C:$C,0))),"",INDEX('Policy Characteristics'!G:G,MATCH($C167,'Policy Characteristics'!$C:$C,0)))</f>
        <v>1</v>
      </c>
      <c r="N167" s="394">
        <f>IF(ISBLANK(INDEX('Policy Characteristics'!H:H,MATCH($C167,'Policy Characteristics'!$C:$C,0))),"",INDEX('Policy Characteristics'!H:H,MATCH($C167,'Policy Characteristics'!$C:$C,0)))</f>
        <v>1</v>
      </c>
      <c r="O167" s="394" t="str">
        <f>IF(ISBLANK(INDEX('Policy Characteristics'!I:I,MATCH($C167,'Policy Characteristics'!$C:$C,0))),"",INDEX('Policy Characteristics'!I:I,MATCH($C167,'Policy Characteristics'!$C:$C,0)))</f>
        <v>on/off</v>
      </c>
      <c r="P167" s="394" t="str">
        <f>IF(ISBLANK(INDEX('Policy Characteristics'!J:J,MATCH($C167,'Policy Characteristics'!$C:$C,0))),"",INDEX('Policy Characteristics'!J:J,MATCH($C167,'Policy Characteristics'!$C:$C,0)))</f>
        <v>**Description:** This policy prevents new capacity of the selected type(s) from being built or deployed.</v>
      </c>
      <c r="Q167" s="394" t="str">
        <f>IF(ISBLANK(INDEX('Policy Characteristics'!K:K,MATCH($C167,'Policy Characteristics'!$C:$C,0))),"",INDEX('Policy Characteristics'!K:K,MATCH($C167,'Policy Characteristics'!$C:$C,0)))</f>
        <v>electricity-sector-main.html#ban</v>
      </c>
      <c r="R167" s="394" t="str">
        <f>IF(ISBLANK(INDEX('Policy Characteristics'!L:L,MATCH($C167,'Policy Characteristics'!$C:$C,0))),"",INDEX('Policy Characteristics'!L:L,MATCH($C167,'Policy Characteristics'!$C:$C,0)))</f>
        <v>ban-new-capacity.html</v>
      </c>
    </row>
    <row r="168" s="384" customFormat="1" customHeight="1" spans="1:18">
      <c r="A168" s="394" t="str">
        <f>IF(ISBLANK(INDEX('Policy Characteristics'!A:A,MATCH($C168,'Policy Characteristics'!$C:$C,0))),"",INDEX('Policy Characteristics'!A:A,MATCH($C168,'Policy Characteristics'!$C:$C,0)))</f>
        <v>Electricity Supply</v>
      </c>
      <c r="B168" s="395" t="str">
        <f>IF(ISBLANK(INDEX('Policy Characteristics'!B:B,MATCH($C168,'Policy Characteristics'!$C:$C,0))),"",INDEX('Policy Characteristics'!B:B,MATCH($C168,'Policy Characteristics'!$C:$C,0)))</f>
        <v>Ban New Power Plants</v>
      </c>
      <c r="C168" s="394" t="str">
        <f t="shared" si="15"/>
        <v>Boolean Ban New Power Plants</v>
      </c>
      <c r="D168" s="399" t="s">
        <v>715</v>
      </c>
      <c r="E168" s="399"/>
      <c r="F168" s="399" t="s">
        <v>716</v>
      </c>
      <c r="G168" s="399"/>
      <c r="H168" s="377">
        <v>611</v>
      </c>
      <c r="I168" s="396" t="s">
        <v>658</v>
      </c>
      <c r="J168" s="397" t="str">
        <f>IF(ISBLANK(INDEX('Policy Characteristics'!D:D,MATCH($C168,'Policy Characteristics'!$C:$C,0))),"",INDEX('Policy Characteristics'!D:D,MATCH($C168,'Policy Characteristics'!$C:$C,0)))</f>
        <v>Ban New Power Plants</v>
      </c>
      <c r="K168" s="394" t="str">
        <f>IF(ISBLANK(INDEX('Policy Characteristics'!E:E,MATCH($C168,'Policy Characteristics'!$C:$C,0))),"",INDEX('Policy Characteristics'!E:E,MATCH($C168,'Policy Characteristics'!$C:$C,0)))</f>
        <v>elec ban new power plants</v>
      </c>
      <c r="L168" s="394">
        <f>IF(ISBLANK(INDEX('Policy Characteristics'!F:F,MATCH($C168,'Policy Characteristics'!$C:$C,0))),"",INDEX('Policy Characteristics'!F:F,MATCH($C168,'Policy Characteristics'!$C:$C,0)))</f>
        <v>0</v>
      </c>
      <c r="M168" s="394">
        <f>IF(ISBLANK(INDEX('Policy Characteristics'!G:G,MATCH($C168,'Policy Characteristics'!$C:$C,0))),"",INDEX('Policy Characteristics'!G:G,MATCH($C168,'Policy Characteristics'!$C:$C,0)))</f>
        <v>1</v>
      </c>
      <c r="N168" s="394">
        <f>IF(ISBLANK(INDEX('Policy Characteristics'!H:H,MATCH($C168,'Policy Characteristics'!$C:$C,0))),"",INDEX('Policy Characteristics'!H:H,MATCH($C168,'Policy Characteristics'!$C:$C,0)))</f>
        <v>1</v>
      </c>
      <c r="O168" s="394" t="str">
        <f>IF(ISBLANK(INDEX('Policy Characteristics'!I:I,MATCH($C168,'Policy Characteristics'!$C:$C,0))),"",INDEX('Policy Characteristics'!I:I,MATCH($C168,'Policy Characteristics'!$C:$C,0)))</f>
        <v>on/off</v>
      </c>
      <c r="P168" s="394" t="str">
        <f>IF(ISBLANK(INDEX('Policy Characteristics'!J:J,MATCH($C168,'Policy Characteristics'!$C:$C,0))),"",INDEX('Policy Characteristics'!J:J,MATCH($C168,'Policy Characteristics'!$C:$C,0)))</f>
        <v>**Description:** This policy prevents new capacity of the selected type(s) from being built or deployed.</v>
      </c>
      <c r="Q168" s="394" t="str">
        <f>IF(ISBLANK(INDEX('Policy Characteristics'!K:K,MATCH($C168,'Policy Characteristics'!$C:$C,0))),"",INDEX('Policy Characteristics'!K:K,MATCH($C168,'Policy Characteristics'!$C:$C,0)))</f>
        <v>electricity-sector-main.html#ban</v>
      </c>
      <c r="R168" s="394" t="str">
        <f>IF(ISBLANK(INDEX('Policy Characteristics'!L:L,MATCH($C168,'Policy Characteristics'!$C:$C,0))),"",INDEX('Policy Characteristics'!L:L,MATCH($C168,'Policy Characteristics'!$C:$C,0)))</f>
        <v>ban-new-capacity.html</v>
      </c>
    </row>
    <row r="169" s="384" customFormat="1" customHeight="1" spans="1:18">
      <c r="A169" s="394" t="str">
        <f>IF(ISBLANK(INDEX('Policy Characteristics'!A:A,MATCH($C169,'Policy Characteristics'!$C:$C,0))),"",INDEX('Policy Characteristics'!A:A,MATCH($C169,'Policy Characteristics'!$C:$C,0)))</f>
        <v>Electricity Supply</v>
      </c>
      <c r="B169" s="395" t="str">
        <f>IF(ISBLANK(INDEX('Policy Characteristics'!B:B,MATCH($C169,'Policy Characteristics'!$C:$C,0))),"",INDEX('Policy Characteristics'!B:B,MATCH($C169,'Policy Characteristics'!$C:$C,0)))</f>
        <v>Ban New Power Plants</v>
      </c>
      <c r="C169" s="394" t="str">
        <f t="shared" ref="C169:C176" si="16">C$161</f>
        <v>Boolean Ban New Power Plants</v>
      </c>
      <c r="D169" s="399" t="s">
        <v>717</v>
      </c>
      <c r="E169" s="399"/>
      <c r="F169" s="399" t="s">
        <v>718</v>
      </c>
      <c r="G169" s="399"/>
      <c r="H169" s="377">
        <v>612</v>
      </c>
      <c r="I169" s="396" t="s">
        <v>648</v>
      </c>
      <c r="J169" s="397" t="str">
        <f>IF(ISBLANK(INDEX('Policy Characteristics'!D:D,MATCH($C169,'Policy Characteristics'!$C:$C,0))),"",INDEX('Policy Characteristics'!D:D,MATCH($C169,'Policy Characteristics'!$C:$C,0)))</f>
        <v>Ban New Power Plants</v>
      </c>
      <c r="K169" s="394" t="str">
        <f>IF(ISBLANK(INDEX('Policy Characteristics'!E:E,MATCH($C169,'Policy Characteristics'!$C:$C,0))),"",INDEX('Policy Characteristics'!E:E,MATCH($C169,'Policy Characteristics'!$C:$C,0)))</f>
        <v>elec ban new power plants</v>
      </c>
      <c r="L169" s="394">
        <f>IF(ISBLANK(INDEX('Policy Characteristics'!F:F,MATCH($C169,'Policy Characteristics'!$C:$C,0))),"",INDEX('Policy Characteristics'!F:F,MATCH($C169,'Policy Characteristics'!$C:$C,0)))</f>
        <v>0</v>
      </c>
      <c r="M169" s="394">
        <f>IF(ISBLANK(INDEX('Policy Characteristics'!G:G,MATCH($C169,'Policy Characteristics'!$C:$C,0))),"",INDEX('Policy Characteristics'!G:G,MATCH($C169,'Policy Characteristics'!$C:$C,0)))</f>
        <v>1</v>
      </c>
      <c r="N169" s="394">
        <f>IF(ISBLANK(INDEX('Policy Characteristics'!H:H,MATCH($C169,'Policy Characteristics'!$C:$C,0))),"",INDEX('Policy Characteristics'!H:H,MATCH($C169,'Policy Characteristics'!$C:$C,0)))</f>
        <v>1</v>
      </c>
      <c r="O169" s="394" t="str">
        <f>IF(ISBLANK(INDEX('Policy Characteristics'!I:I,MATCH($C169,'Policy Characteristics'!$C:$C,0))),"",INDEX('Policy Characteristics'!I:I,MATCH($C169,'Policy Characteristics'!$C:$C,0)))</f>
        <v>on/off</v>
      </c>
      <c r="P169" s="394" t="str">
        <f>IF(ISBLANK(INDEX('Policy Characteristics'!J:J,MATCH($C169,'Policy Characteristics'!$C:$C,0))),"",INDEX('Policy Characteristics'!J:J,MATCH($C169,'Policy Characteristics'!$C:$C,0)))</f>
        <v>**Description:** This policy prevents new capacity of the selected type(s) from being built or deployed.</v>
      </c>
      <c r="Q169" s="394" t="str">
        <f>IF(ISBLANK(INDEX('Policy Characteristics'!K:K,MATCH($C169,'Policy Characteristics'!$C:$C,0))),"",INDEX('Policy Characteristics'!K:K,MATCH($C169,'Policy Characteristics'!$C:$C,0)))</f>
        <v>electricity-sector-main.html#ban</v>
      </c>
      <c r="R169" s="394" t="str">
        <f>IF(ISBLANK(INDEX('Policy Characteristics'!L:L,MATCH($C169,'Policy Characteristics'!$C:$C,0))),"",INDEX('Policy Characteristics'!L:L,MATCH($C169,'Policy Characteristics'!$C:$C,0)))</f>
        <v>ban-new-capacity.html</v>
      </c>
    </row>
    <row r="170" s="384" customFormat="1" customHeight="1" spans="1:18">
      <c r="A170" s="394" t="str">
        <f>IF(ISBLANK(INDEX('Policy Characteristics'!A:A,MATCH($C170,'Policy Characteristics'!$C:$C,0))),"",INDEX('Policy Characteristics'!A:A,MATCH($C170,'Policy Characteristics'!$C:$C,0)))</f>
        <v>Electricity Supply</v>
      </c>
      <c r="B170" s="395" t="str">
        <f>IF(ISBLANK(INDEX('Policy Characteristics'!B:B,MATCH($C170,'Policy Characteristics'!$C:$C,0))),"",INDEX('Policy Characteristics'!B:B,MATCH($C170,'Policy Characteristics'!$C:$C,0)))</f>
        <v>Ban New Power Plants</v>
      </c>
      <c r="C170" s="394" t="str">
        <f t="shared" si="15"/>
        <v>Boolean Ban New Power Plants</v>
      </c>
      <c r="D170" s="399" t="s">
        <v>719</v>
      </c>
      <c r="E170" s="399"/>
      <c r="F170" s="399" t="s">
        <v>720</v>
      </c>
      <c r="G170" s="399"/>
      <c r="H170" s="377">
        <v>613</v>
      </c>
      <c r="I170" s="396" t="s">
        <v>648</v>
      </c>
      <c r="J170" s="397" t="str">
        <f>IF(ISBLANK(INDEX('Policy Characteristics'!D:D,MATCH($C170,'Policy Characteristics'!$C:$C,0))),"",INDEX('Policy Characteristics'!D:D,MATCH($C170,'Policy Characteristics'!$C:$C,0)))</f>
        <v>Ban New Power Plants</v>
      </c>
      <c r="K170" s="394" t="str">
        <f>IF(ISBLANK(INDEX('Policy Characteristics'!E:E,MATCH($C170,'Policy Characteristics'!$C:$C,0))),"",INDEX('Policy Characteristics'!E:E,MATCH($C170,'Policy Characteristics'!$C:$C,0)))</f>
        <v>elec ban new power plants</v>
      </c>
      <c r="L170" s="394">
        <f>IF(ISBLANK(INDEX('Policy Characteristics'!F:F,MATCH($C170,'Policy Characteristics'!$C:$C,0))),"",INDEX('Policy Characteristics'!F:F,MATCH($C170,'Policy Characteristics'!$C:$C,0)))</f>
        <v>0</v>
      </c>
      <c r="M170" s="394">
        <f>IF(ISBLANK(INDEX('Policy Characteristics'!G:G,MATCH($C170,'Policy Characteristics'!$C:$C,0))),"",INDEX('Policy Characteristics'!G:G,MATCH($C170,'Policy Characteristics'!$C:$C,0)))</f>
        <v>1</v>
      </c>
      <c r="N170" s="394">
        <f>IF(ISBLANK(INDEX('Policy Characteristics'!H:H,MATCH($C170,'Policy Characteristics'!$C:$C,0))),"",INDEX('Policy Characteristics'!H:H,MATCH($C170,'Policy Characteristics'!$C:$C,0)))</f>
        <v>1</v>
      </c>
      <c r="O170" s="394" t="str">
        <f>IF(ISBLANK(INDEX('Policy Characteristics'!I:I,MATCH($C170,'Policy Characteristics'!$C:$C,0))),"",INDEX('Policy Characteristics'!I:I,MATCH($C170,'Policy Characteristics'!$C:$C,0)))</f>
        <v>on/off</v>
      </c>
      <c r="P170" s="394" t="str">
        <f>IF(ISBLANK(INDEX('Policy Characteristics'!J:J,MATCH($C170,'Policy Characteristics'!$C:$C,0))),"",INDEX('Policy Characteristics'!J:J,MATCH($C170,'Policy Characteristics'!$C:$C,0)))</f>
        <v>**Description:** This policy prevents new capacity of the selected type(s) from being built or deployed.</v>
      </c>
      <c r="Q170" s="394" t="str">
        <f>IF(ISBLANK(INDEX('Policy Characteristics'!K:K,MATCH($C170,'Policy Characteristics'!$C:$C,0))),"",INDEX('Policy Characteristics'!K:K,MATCH($C170,'Policy Characteristics'!$C:$C,0)))</f>
        <v>electricity-sector-main.html#ban</v>
      </c>
      <c r="R170" s="394" t="str">
        <f>IF(ISBLANK(INDEX('Policy Characteristics'!L:L,MATCH($C170,'Policy Characteristics'!$C:$C,0))),"",INDEX('Policy Characteristics'!L:L,MATCH($C170,'Policy Characteristics'!$C:$C,0)))</f>
        <v>ban-new-capacity.html</v>
      </c>
    </row>
    <row r="171" s="384" customFormat="1" customHeight="1" spans="1:18">
      <c r="A171" s="394" t="str">
        <f>IF(ISBLANK(INDEX('Policy Characteristics'!A:A,MATCH($C171,'Policy Characteristics'!$C:$C,0))),"",INDEX('Policy Characteristics'!A:A,MATCH($C171,'Policy Characteristics'!$C:$C,0)))</f>
        <v>Electricity Supply</v>
      </c>
      <c r="B171" s="395" t="str">
        <f>IF(ISBLANK(INDEX('Policy Characteristics'!B:B,MATCH($C171,'Policy Characteristics'!$C:$C,0))),"",INDEX('Policy Characteristics'!B:B,MATCH($C171,'Policy Characteristics'!$C:$C,0)))</f>
        <v>Ban New Power Plants</v>
      </c>
      <c r="C171" s="394" t="str">
        <f t="shared" si="15"/>
        <v>Boolean Ban New Power Plants</v>
      </c>
      <c r="D171" s="399" t="s">
        <v>721</v>
      </c>
      <c r="E171" s="399"/>
      <c r="F171" s="399" t="s">
        <v>722</v>
      </c>
      <c r="G171" s="399"/>
      <c r="H171" s="377">
        <v>614</v>
      </c>
      <c r="I171" s="396" t="s">
        <v>658</v>
      </c>
      <c r="J171" s="397" t="str">
        <f>IF(ISBLANK(INDEX('Policy Characteristics'!D:D,MATCH($C171,'Policy Characteristics'!$C:$C,0))),"",INDEX('Policy Characteristics'!D:D,MATCH($C171,'Policy Characteristics'!$C:$C,0)))</f>
        <v>Ban New Power Plants</v>
      </c>
      <c r="K171" s="394" t="str">
        <f>IF(ISBLANK(INDEX('Policy Characteristics'!E:E,MATCH($C171,'Policy Characteristics'!$C:$C,0))),"",INDEX('Policy Characteristics'!E:E,MATCH($C171,'Policy Characteristics'!$C:$C,0)))</f>
        <v>elec ban new power plants</v>
      </c>
      <c r="L171" s="394">
        <f>IF(ISBLANK(INDEX('Policy Characteristics'!F:F,MATCH($C171,'Policy Characteristics'!$C:$C,0))),"",INDEX('Policy Characteristics'!F:F,MATCH($C171,'Policy Characteristics'!$C:$C,0)))</f>
        <v>0</v>
      </c>
      <c r="M171" s="394">
        <f>IF(ISBLANK(INDEX('Policy Characteristics'!G:G,MATCH($C171,'Policy Characteristics'!$C:$C,0))),"",INDEX('Policy Characteristics'!G:G,MATCH($C171,'Policy Characteristics'!$C:$C,0)))</f>
        <v>1</v>
      </c>
      <c r="N171" s="394">
        <f>IF(ISBLANK(INDEX('Policy Characteristics'!H:H,MATCH($C171,'Policy Characteristics'!$C:$C,0))),"",INDEX('Policy Characteristics'!H:H,MATCH($C171,'Policy Characteristics'!$C:$C,0)))</f>
        <v>1</v>
      </c>
      <c r="O171" s="394" t="str">
        <f>IF(ISBLANK(INDEX('Policy Characteristics'!I:I,MATCH($C171,'Policy Characteristics'!$C:$C,0))),"",INDEX('Policy Characteristics'!I:I,MATCH($C171,'Policy Characteristics'!$C:$C,0)))</f>
        <v>on/off</v>
      </c>
      <c r="P171" s="394" t="str">
        <f>IF(ISBLANK(INDEX('Policy Characteristics'!J:J,MATCH($C171,'Policy Characteristics'!$C:$C,0))),"",INDEX('Policy Characteristics'!J:J,MATCH($C171,'Policy Characteristics'!$C:$C,0)))</f>
        <v>**Description:** This policy prevents new capacity of the selected type(s) from being built or deployed.</v>
      </c>
      <c r="Q171" s="394" t="str">
        <f>IF(ISBLANK(INDEX('Policy Characteristics'!K:K,MATCH($C171,'Policy Characteristics'!$C:$C,0))),"",INDEX('Policy Characteristics'!K:K,MATCH($C171,'Policy Characteristics'!$C:$C,0)))</f>
        <v>electricity-sector-main.html#ban</v>
      </c>
      <c r="R171" s="394" t="str">
        <f>IF(ISBLANK(INDEX('Policy Characteristics'!L:L,MATCH($C171,'Policy Characteristics'!$C:$C,0))),"",INDEX('Policy Characteristics'!L:L,MATCH($C171,'Policy Characteristics'!$C:$C,0)))</f>
        <v>ban-new-capacity.html</v>
      </c>
    </row>
    <row r="172" s="384" customFormat="1" customHeight="1" spans="1:18">
      <c r="A172" s="394" t="str">
        <f>IF(ISBLANK(INDEX('Policy Characteristics'!A:A,MATCH($C172,'Policy Characteristics'!$C:$C,0))),"",INDEX('Policy Characteristics'!A:A,MATCH($C172,'Policy Characteristics'!$C:$C,0)))</f>
        <v>Electricity Supply</v>
      </c>
      <c r="B172" s="395" t="str">
        <f>IF(ISBLANK(INDEX('Policy Characteristics'!B:B,MATCH($C172,'Policy Characteristics'!$C:$C,0))),"",INDEX('Policy Characteristics'!B:B,MATCH($C172,'Policy Characteristics'!$C:$C,0)))</f>
        <v>Ban New Power Plants</v>
      </c>
      <c r="C172" s="394" t="str">
        <f t="shared" si="15"/>
        <v>Boolean Ban New Power Plants</v>
      </c>
      <c r="D172" s="399" t="s">
        <v>723</v>
      </c>
      <c r="E172" s="399"/>
      <c r="F172" s="400" t="s">
        <v>724</v>
      </c>
      <c r="G172" s="399"/>
      <c r="H172" s="377">
        <v>116</v>
      </c>
      <c r="I172" s="396" t="s">
        <v>648</v>
      </c>
      <c r="J172" s="397" t="str">
        <f>IF(ISBLANK(INDEX('Policy Characteristics'!D:D,MATCH($C172,'Policy Characteristics'!$C:$C,0))),"",INDEX('Policy Characteristics'!D:D,MATCH($C172,'Policy Characteristics'!$C:$C,0)))</f>
        <v>Ban New Power Plants</v>
      </c>
      <c r="K172" s="394" t="str">
        <f>IF(ISBLANK(INDEX('Policy Characteristics'!E:E,MATCH($C172,'Policy Characteristics'!$C:$C,0))),"",INDEX('Policy Characteristics'!E:E,MATCH($C172,'Policy Characteristics'!$C:$C,0)))</f>
        <v>elec ban new power plants</v>
      </c>
      <c r="L172" s="394">
        <f>IF(ISBLANK(INDEX('Policy Characteristics'!F:F,MATCH($C172,'Policy Characteristics'!$C:$C,0))),"",INDEX('Policy Characteristics'!F:F,MATCH($C172,'Policy Characteristics'!$C:$C,0)))</f>
        <v>0</v>
      </c>
      <c r="M172" s="394">
        <f>IF(ISBLANK(INDEX('Policy Characteristics'!G:G,MATCH($C172,'Policy Characteristics'!$C:$C,0))),"",INDEX('Policy Characteristics'!G:G,MATCH($C172,'Policy Characteristics'!$C:$C,0)))</f>
        <v>1</v>
      </c>
      <c r="N172" s="394">
        <f>IF(ISBLANK(INDEX('Policy Characteristics'!H:H,MATCH($C172,'Policy Characteristics'!$C:$C,0))),"",INDEX('Policy Characteristics'!H:H,MATCH($C172,'Policy Characteristics'!$C:$C,0)))</f>
        <v>1</v>
      </c>
      <c r="O172" s="394" t="str">
        <f>IF(ISBLANK(INDEX('Policy Characteristics'!I:I,MATCH($C172,'Policy Characteristics'!$C:$C,0))),"",INDEX('Policy Characteristics'!I:I,MATCH($C172,'Policy Characteristics'!$C:$C,0)))</f>
        <v>on/off</v>
      </c>
      <c r="P172" s="394" t="str">
        <f>IF(ISBLANK(INDEX('Policy Characteristics'!J:J,MATCH($C172,'Policy Characteristics'!$C:$C,0))),"",INDEX('Policy Characteristics'!J:J,MATCH($C172,'Policy Characteristics'!$C:$C,0)))</f>
        <v>**Description:** This policy prevents new capacity of the selected type(s) from being built or deployed.</v>
      </c>
      <c r="Q172" s="394" t="str">
        <f>IF(ISBLANK(INDEX('Policy Characteristics'!K:K,MATCH($C172,'Policy Characteristics'!$C:$C,0))),"",INDEX('Policy Characteristics'!K:K,MATCH($C172,'Policy Characteristics'!$C:$C,0)))</f>
        <v>electricity-sector-main.html#ban</v>
      </c>
      <c r="R172" s="394" t="str">
        <f>IF(ISBLANK(INDEX('Policy Characteristics'!L:L,MATCH($C172,'Policy Characteristics'!$C:$C,0))),"",INDEX('Policy Characteristics'!L:L,MATCH($C172,'Policy Characteristics'!$C:$C,0)))</f>
        <v>ban-new-capacity.html</v>
      </c>
    </row>
    <row r="173" s="384" customFormat="1" customHeight="1" spans="1:18">
      <c r="A173" s="394" t="str">
        <f>IF(ISBLANK(INDEX('Policy Characteristics'!A:A,MATCH($C173,'Policy Characteristics'!$C:$C,0))),"",INDEX('Policy Characteristics'!A:A,MATCH($C173,'Policy Characteristics'!$C:$C,0)))</f>
        <v>Electricity Supply</v>
      </c>
      <c r="B173" s="395" t="str">
        <f>IF(ISBLANK(INDEX('Policy Characteristics'!B:B,MATCH($C173,'Policy Characteristics'!$C:$C,0))),"",INDEX('Policy Characteristics'!B:B,MATCH($C173,'Policy Characteristics'!$C:$C,0)))</f>
        <v>Ban New Power Plants</v>
      </c>
      <c r="C173" s="394" t="str">
        <f t="shared" si="16"/>
        <v>Boolean Ban New Power Plants</v>
      </c>
      <c r="D173" s="399" t="s">
        <v>725</v>
      </c>
      <c r="E173" s="399"/>
      <c r="F173" s="399" t="s">
        <v>726</v>
      </c>
      <c r="G173" s="399"/>
      <c r="H173" s="377">
        <v>615</v>
      </c>
      <c r="I173" s="396" t="s">
        <v>658</v>
      </c>
      <c r="J173" s="397" t="str">
        <f>IF(ISBLANK(INDEX('Policy Characteristics'!D:D,MATCH($C173,'Policy Characteristics'!$C:$C,0))),"",INDEX('Policy Characteristics'!D:D,MATCH($C173,'Policy Characteristics'!$C:$C,0)))</f>
        <v>Ban New Power Plants</v>
      </c>
      <c r="K173" s="394" t="str">
        <f>IF(ISBLANK(INDEX('Policy Characteristics'!E:E,MATCH($C173,'Policy Characteristics'!$C:$C,0))),"",INDEX('Policy Characteristics'!E:E,MATCH($C173,'Policy Characteristics'!$C:$C,0)))</f>
        <v>elec ban new power plants</v>
      </c>
      <c r="L173" s="394">
        <f>IF(ISBLANK(INDEX('Policy Characteristics'!F:F,MATCH($C173,'Policy Characteristics'!$C:$C,0))),"",INDEX('Policy Characteristics'!F:F,MATCH($C173,'Policy Characteristics'!$C:$C,0)))</f>
        <v>0</v>
      </c>
      <c r="M173" s="394">
        <f>IF(ISBLANK(INDEX('Policy Characteristics'!G:G,MATCH($C173,'Policy Characteristics'!$C:$C,0))),"",INDEX('Policy Characteristics'!G:G,MATCH($C173,'Policy Characteristics'!$C:$C,0)))</f>
        <v>1</v>
      </c>
      <c r="N173" s="394">
        <f>IF(ISBLANK(INDEX('Policy Characteristics'!H:H,MATCH($C173,'Policy Characteristics'!$C:$C,0))),"",INDEX('Policy Characteristics'!H:H,MATCH($C173,'Policy Characteristics'!$C:$C,0)))</f>
        <v>1</v>
      </c>
      <c r="O173" s="394" t="str">
        <f>IF(ISBLANK(INDEX('Policy Characteristics'!I:I,MATCH($C173,'Policy Characteristics'!$C:$C,0))),"",INDEX('Policy Characteristics'!I:I,MATCH($C173,'Policy Characteristics'!$C:$C,0)))</f>
        <v>on/off</v>
      </c>
      <c r="P173" s="394" t="str">
        <f>IF(ISBLANK(INDEX('Policy Characteristics'!J:J,MATCH($C173,'Policy Characteristics'!$C:$C,0))),"",INDEX('Policy Characteristics'!J:J,MATCH($C173,'Policy Characteristics'!$C:$C,0)))</f>
        <v>**Description:** This policy prevents new capacity of the selected type(s) from being built or deployed.</v>
      </c>
      <c r="Q173" s="394" t="str">
        <f>IF(ISBLANK(INDEX('Policy Characteristics'!K:K,MATCH($C173,'Policy Characteristics'!$C:$C,0))),"",INDEX('Policy Characteristics'!K:K,MATCH($C173,'Policy Characteristics'!$C:$C,0)))</f>
        <v>electricity-sector-main.html#ban</v>
      </c>
      <c r="R173" s="394" t="str">
        <f>IF(ISBLANK(INDEX('Policy Characteristics'!L:L,MATCH($C173,'Policy Characteristics'!$C:$C,0))),"",INDEX('Policy Characteristics'!L:L,MATCH($C173,'Policy Characteristics'!$C:$C,0)))</f>
        <v>ban-new-capacity.html</v>
      </c>
    </row>
    <row r="174" s="384" customFormat="1" customHeight="1" spans="1:18">
      <c r="A174" s="394" t="str">
        <f>IF(ISBLANK(INDEX('Policy Characteristics'!A:A,MATCH($C174,'Policy Characteristics'!$C:$C,0))),"",INDEX('Policy Characteristics'!A:A,MATCH($C174,'Policy Characteristics'!$C:$C,0)))</f>
        <v>Electricity Supply</v>
      </c>
      <c r="B174" s="395" t="str">
        <f>IF(ISBLANK(INDEX('Policy Characteristics'!B:B,MATCH($C174,'Policy Characteristics'!$C:$C,0))),"",INDEX('Policy Characteristics'!B:B,MATCH($C174,'Policy Characteristics'!$C:$C,0)))</f>
        <v>Ban New Power Plants</v>
      </c>
      <c r="C174" s="394" t="str">
        <f t="shared" si="16"/>
        <v>Boolean Ban New Power Plants</v>
      </c>
      <c r="D174" s="399" t="s">
        <v>727</v>
      </c>
      <c r="E174" s="399"/>
      <c r="F174" s="399" t="s">
        <v>728</v>
      </c>
      <c r="G174" s="399"/>
      <c r="H174" s="377">
        <v>616</v>
      </c>
      <c r="I174" s="396" t="s">
        <v>648</v>
      </c>
      <c r="J174" s="397" t="str">
        <f>IF(ISBLANK(INDEX('Policy Characteristics'!D:D,MATCH($C174,'Policy Characteristics'!$C:$C,0))),"",INDEX('Policy Characteristics'!D:D,MATCH($C174,'Policy Characteristics'!$C:$C,0)))</f>
        <v>Ban New Power Plants</v>
      </c>
      <c r="K174" s="394" t="str">
        <f>IF(ISBLANK(INDEX('Policy Characteristics'!E:E,MATCH($C174,'Policy Characteristics'!$C:$C,0))),"",INDEX('Policy Characteristics'!E:E,MATCH($C174,'Policy Characteristics'!$C:$C,0)))</f>
        <v>elec ban new power plants</v>
      </c>
      <c r="L174" s="394">
        <f>IF(ISBLANK(INDEX('Policy Characteristics'!F:F,MATCH($C174,'Policy Characteristics'!$C:$C,0))),"",INDEX('Policy Characteristics'!F:F,MATCH($C174,'Policy Characteristics'!$C:$C,0)))</f>
        <v>0</v>
      </c>
      <c r="M174" s="394">
        <f>IF(ISBLANK(INDEX('Policy Characteristics'!G:G,MATCH($C174,'Policy Characteristics'!$C:$C,0))),"",INDEX('Policy Characteristics'!G:G,MATCH($C174,'Policy Characteristics'!$C:$C,0)))</f>
        <v>1</v>
      </c>
      <c r="N174" s="394">
        <f>IF(ISBLANK(INDEX('Policy Characteristics'!H:H,MATCH($C174,'Policy Characteristics'!$C:$C,0))),"",INDEX('Policy Characteristics'!H:H,MATCH($C174,'Policy Characteristics'!$C:$C,0)))</f>
        <v>1</v>
      </c>
      <c r="O174" s="394" t="str">
        <f>IF(ISBLANK(INDEX('Policy Characteristics'!I:I,MATCH($C174,'Policy Characteristics'!$C:$C,0))),"",INDEX('Policy Characteristics'!I:I,MATCH($C174,'Policy Characteristics'!$C:$C,0)))</f>
        <v>on/off</v>
      </c>
      <c r="P174" s="394" t="str">
        <f>IF(ISBLANK(INDEX('Policy Characteristics'!J:J,MATCH($C174,'Policy Characteristics'!$C:$C,0))),"",INDEX('Policy Characteristics'!J:J,MATCH($C174,'Policy Characteristics'!$C:$C,0)))</f>
        <v>**Description:** This policy prevents new capacity of the selected type(s) from being built or deployed.</v>
      </c>
      <c r="Q174" s="394" t="str">
        <f>IF(ISBLANK(INDEX('Policy Characteristics'!K:K,MATCH($C174,'Policy Characteristics'!$C:$C,0))),"",INDEX('Policy Characteristics'!K:K,MATCH($C174,'Policy Characteristics'!$C:$C,0)))</f>
        <v>electricity-sector-main.html#ban</v>
      </c>
      <c r="R174" s="394" t="str">
        <f>IF(ISBLANK(INDEX('Policy Characteristics'!L:L,MATCH($C174,'Policy Characteristics'!$C:$C,0))),"",INDEX('Policy Characteristics'!L:L,MATCH($C174,'Policy Characteristics'!$C:$C,0)))</f>
        <v>ban-new-capacity.html</v>
      </c>
    </row>
    <row r="175" s="384" customFormat="1" customHeight="1" spans="1:18">
      <c r="A175" s="394" t="str">
        <f>IF(ISBLANK(INDEX('Policy Characteristics'!A:A,MATCH($C175,'Policy Characteristics'!$C:$C,0))),"",INDEX('Policy Characteristics'!A:A,MATCH($C175,'Policy Characteristics'!$C:$C,0)))</f>
        <v>Electricity Supply</v>
      </c>
      <c r="B175" s="395" t="str">
        <f>IF(ISBLANK(INDEX('Policy Characteristics'!B:B,MATCH($C175,'Policy Characteristics'!$C:$C,0))),"",INDEX('Policy Characteristics'!B:B,MATCH($C175,'Policy Characteristics'!$C:$C,0)))</f>
        <v>Ban New Power Plants</v>
      </c>
      <c r="C175" s="394" t="str">
        <f t="shared" si="16"/>
        <v>Boolean Ban New Power Plants</v>
      </c>
      <c r="D175" s="399" t="s">
        <v>729</v>
      </c>
      <c r="E175" s="399"/>
      <c r="F175" s="399" t="s">
        <v>730</v>
      </c>
      <c r="G175" s="399"/>
      <c r="H175" s="377">
        <v>617</v>
      </c>
      <c r="I175" s="396" t="s">
        <v>648</v>
      </c>
      <c r="J175" s="397" t="str">
        <f>IF(ISBLANK(INDEX('Policy Characteristics'!D:D,MATCH($C175,'Policy Characteristics'!$C:$C,0))),"",INDEX('Policy Characteristics'!D:D,MATCH($C175,'Policy Characteristics'!$C:$C,0)))</f>
        <v>Ban New Power Plants</v>
      </c>
      <c r="K175" s="394" t="str">
        <f>IF(ISBLANK(INDEX('Policy Characteristics'!E:E,MATCH($C175,'Policy Characteristics'!$C:$C,0))),"",INDEX('Policy Characteristics'!E:E,MATCH($C175,'Policy Characteristics'!$C:$C,0)))</f>
        <v>elec ban new power plants</v>
      </c>
      <c r="L175" s="394">
        <f>IF(ISBLANK(INDEX('Policy Characteristics'!F:F,MATCH($C175,'Policy Characteristics'!$C:$C,0))),"",INDEX('Policy Characteristics'!F:F,MATCH($C175,'Policy Characteristics'!$C:$C,0)))</f>
        <v>0</v>
      </c>
      <c r="M175" s="394">
        <f>IF(ISBLANK(INDEX('Policy Characteristics'!G:G,MATCH($C175,'Policy Characteristics'!$C:$C,0))),"",INDEX('Policy Characteristics'!G:G,MATCH($C175,'Policy Characteristics'!$C:$C,0)))</f>
        <v>1</v>
      </c>
      <c r="N175" s="394">
        <f>IF(ISBLANK(INDEX('Policy Characteristics'!H:H,MATCH($C175,'Policy Characteristics'!$C:$C,0))),"",INDEX('Policy Characteristics'!H:H,MATCH($C175,'Policy Characteristics'!$C:$C,0)))</f>
        <v>1</v>
      </c>
      <c r="O175" s="394" t="str">
        <f>IF(ISBLANK(INDEX('Policy Characteristics'!I:I,MATCH($C175,'Policy Characteristics'!$C:$C,0))),"",INDEX('Policy Characteristics'!I:I,MATCH($C175,'Policy Characteristics'!$C:$C,0)))</f>
        <v>on/off</v>
      </c>
      <c r="P175" s="394" t="str">
        <f>IF(ISBLANK(INDEX('Policy Characteristics'!J:J,MATCH($C175,'Policy Characteristics'!$C:$C,0))),"",INDEX('Policy Characteristics'!J:J,MATCH($C175,'Policy Characteristics'!$C:$C,0)))</f>
        <v>**Description:** This policy prevents new capacity of the selected type(s) from being built or deployed.</v>
      </c>
      <c r="Q175" s="394" t="str">
        <f>IF(ISBLANK(INDEX('Policy Characteristics'!K:K,MATCH($C175,'Policy Characteristics'!$C:$C,0))),"",INDEX('Policy Characteristics'!K:K,MATCH($C175,'Policy Characteristics'!$C:$C,0)))</f>
        <v>electricity-sector-main.html#ban</v>
      </c>
      <c r="R175" s="394" t="str">
        <f>IF(ISBLANK(INDEX('Policy Characteristics'!L:L,MATCH($C175,'Policy Characteristics'!$C:$C,0))),"",INDEX('Policy Characteristics'!L:L,MATCH($C175,'Policy Characteristics'!$C:$C,0)))</f>
        <v>ban-new-capacity.html</v>
      </c>
    </row>
    <row r="176" s="384" customFormat="1" customHeight="1" spans="1:18">
      <c r="A176" s="394" t="str">
        <f>IF(ISBLANK(INDEX('Policy Characteristics'!A:A,MATCH($C176,'Policy Characteristics'!$C:$C,0))),"",INDEX('Policy Characteristics'!A:A,MATCH($C176,'Policy Characteristics'!$C:$C,0)))</f>
        <v>Electricity Supply</v>
      </c>
      <c r="B176" s="395" t="str">
        <f>IF(ISBLANK(INDEX('Policy Characteristics'!B:B,MATCH($C176,'Policy Characteristics'!$C:$C,0))),"",INDEX('Policy Characteristics'!B:B,MATCH($C176,'Policy Characteristics'!$C:$C,0)))</f>
        <v>Ban New Power Plants</v>
      </c>
      <c r="C176" s="394" t="str">
        <f t="shared" si="16"/>
        <v>Boolean Ban New Power Plants</v>
      </c>
      <c r="D176" s="399" t="s">
        <v>731</v>
      </c>
      <c r="E176" s="399"/>
      <c r="F176" s="399" t="s">
        <v>732</v>
      </c>
      <c r="G176" s="399"/>
      <c r="H176" s="377">
        <v>618</v>
      </c>
      <c r="I176" s="396" t="s">
        <v>658</v>
      </c>
      <c r="J176" s="397" t="str">
        <f>IF(ISBLANK(INDEX('Policy Characteristics'!D:D,MATCH($C176,'Policy Characteristics'!$C:$C,0))),"",INDEX('Policy Characteristics'!D:D,MATCH($C176,'Policy Characteristics'!$C:$C,0)))</f>
        <v>Ban New Power Plants</v>
      </c>
      <c r="K176" s="394" t="str">
        <f>IF(ISBLANK(INDEX('Policy Characteristics'!E:E,MATCH($C176,'Policy Characteristics'!$C:$C,0))),"",INDEX('Policy Characteristics'!E:E,MATCH($C176,'Policy Characteristics'!$C:$C,0)))</f>
        <v>elec ban new power plants</v>
      </c>
      <c r="L176" s="394">
        <f>IF(ISBLANK(INDEX('Policy Characteristics'!F:F,MATCH($C176,'Policy Characteristics'!$C:$C,0))),"",INDEX('Policy Characteristics'!F:F,MATCH($C176,'Policy Characteristics'!$C:$C,0)))</f>
        <v>0</v>
      </c>
      <c r="M176" s="394">
        <f>IF(ISBLANK(INDEX('Policy Characteristics'!G:G,MATCH($C176,'Policy Characteristics'!$C:$C,0))),"",INDEX('Policy Characteristics'!G:G,MATCH($C176,'Policy Characteristics'!$C:$C,0)))</f>
        <v>1</v>
      </c>
      <c r="N176" s="394">
        <f>IF(ISBLANK(INDEX('Policy Characteristics'!H:H,MATCH($C176,'Policy Characteristics'!$C:$C,0))),"",INDEX('Policy Characteristics'!H:H,MATCH($C176,'Policy Characteristics'!$C:$C,0)))</f>
        <v>1</v>
      </c>
      <c r="O176" s="394" t="str">
        <f>IF(ISBLANK(INDEX('Policy Characteristics'!I:I,MATCH($C176,'Policy Characteristics'!$C:$C,0))),"",INDEX('Policy Characteristics'!I:I,MATCH($C176,'Policy Characteristics'!$C:$C,0)))</f>
        <v>on/off</v>
      </c>
      <c r="P176" s="394" t="str">
        <f>IF(ISBLANK(INDEX('Policy Characteristics'!J:J,MATCH($C176,'Policy Characteristics'!$C:$C,0))),"",INDEX('Policy Characteristics'!J:J,MATCH($C176,'Policy Characteristics'!$C:$C,0)))</f>
        <v>**Description:** This policy prevents new capacity of the selected type(s) from being built or deployed.</v>
      </c>
      <c r="Q176" s="394" t="str">
        <f>IF(ISBLANK(INDEX('Policy Characteristics'!K:K,MATCH($C176,'Policy Characteristics'!$C:$C,0))),"",INDEX('Policy Characteristics'!K:K,MATCH($C176,'Policy Characteristics'!$C:$C,0)))</f>
        <v>electricity-sector-main.html#ban</v>
      </c>
      <c r="R176" s="394" t="str">
        <f>IF(ISBLANK(INDEX('Policy Characteristics'!L:L,MATCH($C176,'Policy Characteristics'!$C:$C,0))),"",INDEX('Policy Characteristics'!L:L,MATCH($C176,'Policy Characteristics'!$C:$C,0)))</f>
        <v>ban-new-capacity.html</v>
      </c>
    </row>
    <row r="177" customHeight="1" spans="1:18">
      <c r="A177" s="394" t="str">
        <f>IF(ISBLANK(INDEX('Policy Characteristics'!A:A,MATCH($C177,'Policy Characteristics'!$C:$C,0))),"",INDEX('Policy Characteristics'!A:A,MATCH($C177,'Policy Characteristics'!$C:$C,0)))</f>
        <v>Electricity Supply</v>
      </c>
      <c r="B177" s="395" t="str">
        <f>IF(ISBLANK(INDEX('Policy Characteristics'!B:B,MATCH($C177,'Policy Characteristics'!$C:$C,0))),"",INDEX('Policy Characteristics'!B:B,MATCH($C177,'Policy Characteristics'!$C:$C,0)))</f>
        <v>Carbon Capture and Sequestration</v>
      </c>
      <c r="C177" t="s">
        <v>212</v>
      </c>
      <c r="D177" s="399" t="s">
        <v>701</v>
      </c>
      <c r="E177" s="399"/>
      <c r="F177" s="399" t="s">
        <v>702</v>
      </c>
      <c r="G177" s="399"/>
      <c r="H177" s="377">
        <v>876</v>
      </c>
      <c r="I177" s="396" t="s">
        <v>648</v>
      </c>
      <c r="J177" s="397" t="str">
        <f>IF(ISBLANK(INDEX('Policy Characteristics'!D:D,MATCH($C177,'Policy Characteristics'!$C:$C,0))),"",INDEX('Policy Characteristics'!D:D,MATCH($C177,'Policy Characteristics'!$C:$C,0)))</f>
        <v>Clean Electricity Standard</v>
      </c>
      <c r="K177" s="394" t="str">
        <f>IF(ISBLANK(INDEX('Policy Characteristics'!E:E,MATCH($C177,'Policy Characteristics'!$C:$C,0))),"",INDEX('Policy Characteristics'!E:E,MATCH($C177,'Policy Characteristics'!$C:$C,0)))</f>
        <v>elec CCS</v>
      </c>
      <c r="L177" s="398">
        <f>IF(ISBLANK(INDEX('Policy Characteristics'!F:F,MATCH($C177,'Policy Characteristics'!$C:$C,0))),"",INDEX('Policy Characteristics'!F:F,MATCH($C177,'Policy Characteristics'!$C:$C,0)))</f>
        <v>0</v>
      </c>
      <c r="M177" s="398">
        <f>IF(ISBLANK(INDEX('Policy Characteristics'!G:G,MATCH($C177,'Policy Characteristics'!$C:$C,0))),"",INDEX('Policy Characteristics'!G:G,MATCH($C177,'Policy Characteristics'!$C:$C,0)))</f>
        <v>1</v>
      </c>
      <c r="N177" s="398">
        <f>IF(ISBLANK(INDEX('Policy Characteristics'!H:H,MATCH($C177,'Policy Characteristics'!$C:$C,0))),"",INDEX('Policy Characteristics'!H:H,MATCH($C177,'Policy Characteristics'!$C:$C,0)))</f>
        <v>0.01</v>
      </c>
      <c r="O177" s="394" t="str">
        <f>IF(ISBLANK(INDEX('Policy Characteristics'!I:I,MATCH($C177,'Policy Characteristics'!$C:$C,0))),"",INDEX('Policy Characteristics'!I:I,MATCH($C177,'Policy Characteristics'!$C:$C,0)))</f>
        <v>% of CO2 captured</v>
      </c>
      <c r="P177" s="394" t="str">
        <f>IF(ISBLANK(INDEX('Policy Characteristics'!J:J,MATCH($C177,'Policy Characteristics'!$C:$C,0))),"",INDEX('Policy Characteristics'!J:J,MATCH($C177,'Policy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77" s="394" t="str">
        <f>IF(ISBLANK(INDEX('Policy Characteristics'!K:K,MATCH($C177,'Policy Characteristics'!$C:$C,0))),"",INDEX('Policy Characteristics'!K:K,MATCH($C177,'Policy Characteristics'!$C:$C,0)))</f>
        <v>ccs.html#ccs</v>
      </c>
      <c r="R177" s="394" t="str">
        <f>IF(ISBLANK(INDEX('Policy Characteristics'!L:L,MATCH($C177,'Policy Characteristics'!$C:$C,0))),"",INDEX('Policy Characteristics'!L:L,MATCH($C177,'Policy Characteristics'!$C:$C,0)))</f>
        <v>carbon-capture-and-sequestration.html</v>
      </c>
    </row>
    <row r="178" s="384" customFormat="1" customHeight="1" spans="1:18">
      <c r="A178" s="394" t="str">
        <f>IF(ISBLANK(INDEX('Policy Characteristics'!A:A,MATCH($C178,'Policy Characteristics'!$C:$C,0))),"",INDEX('Policy Characteristics'!A:A,MATCH($C178,'Policy Characteristics'!$C:$C,0)))</f>
        <v>Electricity Supply</v>
      </c>
      <c r="B178" s="395" t="str">
        <f>IF(ISBLANK(INDEX('Policy Characteristics'!B:B,MATCH($C178,'Policy Characteristics'!$C:$C,0))),"",INDEX('Policy Characteristics'!B:B,MATCH($C178,'Policy Characteristics'!$C:$C,0)))</f>
        <v>Carbon Capture and Sequestration</v>
      </c>
      <c r="C178" s="394" t="str">
        <f t="shared" ref="C178:C192" si="17">C$177</f>
        <v>Electricity Sector Fraction of Potential Additional CCS Achieved</v>
      </c>
      <c r="D178" s="399" t="s">
        <v>703</v>
      </c>
      <c r="E178" s="399"/>
      <c r="F178" s="399" t="s">
        <v>704</v>
      </c>
      <c r="G178" s="399"/>
      <c r="H178" s="377">
        <v>877</v>
      </c>
      <c r="I178" s="396" t="s">
        <v>648</v>
      </c>
      <c r="J178" s="397" t="str">
        <f>IF(ISBLANK(INDEX('Policy Characteristics'!D:D,MATCH($C178,'Policy Characteristics'!$C:$C,0))),"",INDEX('Policy Characteristics'!D:D,MATCH($C178,'Policy Characteristics'!$C:$C,0)))</f>
        <v>Clean Electricity Standard</v>
      </c>
      <c r="K178" s="394" t="str">
        <f>IF(ISBLANK(INDEX('Policy Characteristics'!E:E,MATCH($C178,'Policy Characteristics'!$C:$C,0))),"",INDEX('Policy Characteristics'!E:E,MATCH($C178,'Policy Characteristics'!$C:$C,0)))</f>
        <v>elec CCS</v>
      </c>
      <c r="L178" s="398">
        <f>IF(ISBLANK(INDEX('Policy Characteristics'!F:F,MATCH($C178,'Policy Characteristics'!$C:$C,0))),"",INDEX('Policy Characteristics'!F:F,MATCH($C178,'Policy Characteristics'!$C:$C,0)))</f>
        <v>0</v>
      </c>
      <c r="M178" s="398">
        <f>IF(ISBLANK(INDEX('Policy Characteristics'!G:G,MATCH($C178,'Policy Characteristics'!$C:$C,0))),"",INDEX('Policy Characteristics'!G:G,MATCH($C178,'Policy Characteristics'!$C:$C,0)))</f>
        <v>1</v>
      </c>
      <c r="N178" s="398">
        <f>IF(ISBLANK(INDEX('Policy Characteristics'!H:H,MATCH($C178,'Policy Characteristics'!$C:$C,0))),"",INDEX('Policy Characteristics'!H:H,MATCH($C178,'Policy Characteristics'!$C:$C,0)))</f>
        <v>0.01</v>
      </c>
      <c r="O178" s="394" t="str">
        <f>IF(ISBLANK(INDEX('Policy Characteristics'!I:I,MATCH($C178,'Policy Characteristics'!$C:$C,0))),"",INDEX('Policy Characteristics'!I:I,MATCH($C178,'Policy Characteristics'!$C:$C,0)))</f>
        <v>% of CO2 captured</v>
      </c>
      <c r="P178" s="394" t="str">
        <f>IF(ISBLANK(INDEX('Policy Characteristics'!J:J,MATCH($C178,'Policy Characteristics'!$C:$C,0))),"",INDEX('Policy Characteristics'!J:J,MATCH($C178,'Policy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78" s="394" t="str">
        <f>IF(ISBLANK(INDEX('Policy Characteristics'!K:K,MATCH($C178,'Policy Characteristics'!$C:$C,0))),"",INDEX('Policy Characteristics'!K:K,MATCH($C178,'Policy Characteristics'!$C:$C,0)))</f>
        <v>ccs.html#ccs</v>
      </c>
      <c r="R178" s="394" t="str">
        <f>IF(ISBLANK(INDEX('Policy Characteristics'!L:L,MATCH($C178,'Policy Characteristics'!$C:$C,0))),"",INDEX('Policy Characteristics'!L:L,MATCH($C178,'Policy Characteristics'!$C:$C,0)))</f>
        <v>carbon-capture-and-sequestration.html</v>
      </c>
    </row>
    <row r="179" s="384" customFormat="1" customHeight="1" spans="1:18">
      <c r="A179" s="394" t="str">
        <f>IF(ISBLANK(INDEX('Policy Characteristics'!A:A,MATCH($C179,'Policy Characteristics'!$C:$C,0))),"",INDEX('Policy Characteristics'!A:A,MATCH($C179,'Policy Characteristics'!$C:$C,0)))</f>
        <v>Electricity Supply</v>
      </c>
      <c r="B179" s="395" t="str">
        <f>IF(ISBLANK(INDEX('Policy Characteristics'!B:B,MATCH($C179,'Policy Characteristics'!$C:$C,0))),"",INDEX('Policy Characteristics'!B:B,MATCH($C179,'Policy Characteristics'!$C:$C,0)))</f>
        <v>Carbon Capture and Sequestration</v>
      </c>
      <c r="C179" s="394" t="str">
        <f t="shared" si="17"/>
        <v>Electricity Sector Fraction of Potential Additional CCS Achieved</v>
      </c>
      <c r="D179" s="399" t="s">
        <v>705</v>
      </c>
      <c r="E179" s="399"/>
      <c r="F179" s="399" t="s">
        <v>706</v>
      </c>
      <c r="G179" s="399"/>
      <c r="H179" s="377">
        <v>878</v>
      </c>
      <c r="I179" s="396" t="s">
        <v>658</v>
      </c>
      <c r="J179" s="397" t="str">
        <f>IF(ISBLANK(INDEX('Policy Characteristics'!D:D,MATCH($C179,'Policy Characteristics'!$C:$C,0))),"",INDEX('Policy Characteristics'!D:D,MATCH($C179,'Policy Characteristics'!$C:$C,0)))</f>
        <v>Clean Electricity Standard</v>
      </c>
      <c r="K179" s="394" t="str">
        <f>IF(ISBLANK(INDEX('Policy Characteristics'!E:E,MATCH($C179,'Policy Characteristics'!$C:$C,0))),"",INDEX('Policy Characteristics'!E:E,MATCH($C179,'Policy Characteristics'!$C:$C,0)))</f>
        <v>elec CCS</v>
      </c>
      <c r="L179" s="398">
        <f>IF(ISBLANK(INDEX('Policy Characteristics'!F:F,MATCH($C179,'Policy Characteristics'!$C:$C,0))),"",INDEX('Policy Characteristics'!F:F,MATCH($C179,'Policy Characteristics'!$C:$C,0)))</f>
        <v>0</v>
      </c>
      <c r="M179" s="398">
        <f>IF(ISBLANK(INDEX('Policy Characteristics'!G:G,MATCH($C179,'Policy Characteristics'!$C:$C,0))),"",INDEX('Policy Characteristics'!G:G,MATCH($C179,'Policy Characteristics'!$C:$C,0)))</f>
        <v>1</v>
      </c>
      <c r="N179" s="398">
        <f>IF(ISBLANK(INDEX('Policy Characteristics'!H:H,MATCH($C179,'Policy Characteristics'!$C:$C,0))),"",INDEX('Policy Characteristics'!H:H,MATCH($C179,'Policy Characteristics'!$C:$C,0)))</f>
        <v>0.01</v>
      </c>
      <c r="O179" s="394" t="str">
        <f>IF(ISBLANK(INDEX('Policy Characteristics'!I:I,MATCH($C179,'Policy Characteristics'!$C:$C,0))),"",INDEX('Policy Characteristics'!I:I,MATCH($C179,'Policy Characteristics'!$C:$C,0)))</f>
        <v>% of CO2 captured</v>
      </c>
      <c r="P179" s="394" t="str">
        <f>IF(ISBLANK(INDEX('Policy Characteristics'!J:J,MATCH($C179,'Policy Characteristics'!$C:$C,0))),"",INDEX('Policy Characteristics'!J:J,MATCH($C179,'Policy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79" s="394" t="str">
        <f>IF(ISBLANK(INDEX('Policy Characteristics'!K:K,MATCH($C179,'Policy Characteristics'!$C:$C,0))),"",INDEX('Policy Characteristics'!K:K,MATCH($C179,'Policy Characteristics'!$C:$C,0)))</f>
        <v>ccs.html#ccs</v>
      </c>
      <c r="R179" s="394" t="str">
        <f>IF(ISBLANK(INDEX('Policy Characteristics'!L:L,MATCH($C179,'Policy Characteristics'!$C:$C,0))),"",INDEX('Policy Characteristics'!L:L,MATCH($C179,'Policy Characteristics'!$C:$C,0)))</f>
        <v>carbon-capture-and-sequestration.html</v>
      </c>
    </row>
    <row r="180" s="384" customFormat="1" customHeight="1" spans="1:18">
      <c r="A180" s="394" t="str">
        <f>IF(ISBLANK(INDEX('Policy Characteristics'!A:A,MATCH($C180,'Policy Characteristics'!$C:$C,0))),"",INDEX('Policy Characteristics'!A:A,MATCH($C180,'Policy Characteristics'!$C:$C,0)))</f>
        <v>Electricity Supply</v>
      </c>
      <c r="B180" s="395" t="str">
        <f>IF(ISBLANK(INDEX('Policy Characteristics'!B:B,MATCH($C180,'Policy Characteristics'!$C:$C,0))),"",INDEX('Policy Characteristics'!B:B,MATCH($C180,'Policy Characteristics'!$C:$C,0)))</f>
        <v>Carbon Capture and Sequestration</v>
      </c>
      <c r="C180" s="394" t="str">
        <f t="shared" si="17"/>
        <v>Electricity Sector Fraction of Potential Additional CCS Achieved</v>
      </c>
      <c r="D180" s="399" t="s">
        <v>707</v>
      </c>
      <c r="E180" s="399"/>
      <c r="F180" s="399" t="s">
        <v>708</v>
      </c>
      <c r="G180" s="399"/>
      <c r="H180" s="377">
        <v>879</v>
      </c>
      <c r="I180" s="396" t="s">
        <v>658</v>
      </c>
      <c r="J180" s="397" t="str">
        <f>IF(ISBLANK(INDEX('Policy Characteristics'!D:D,MATCH($C180,'Policy Characteristics'!$C:$C,0))),"",INDEX('Policy Characteristics'!D:D,MATCH($C180,'Policy Characteristics'!$C:$C,0)))</f>
        <v>Clean Electricity Standard</v>
      </c>
      <c r="K180" s="394" t="str">
        <f>IF(ISBLANK(INDEX('Policy Characteristics'!E:E,MATCH($C180,'Policy Characteristics'!$C:$C,0))),"",INDEX('Policy Characteristics'!E:E,MATCH($C180,'Policy Characteristics'!$C:$C,0)))</f>
        <v>elec CCS</v>
      </c>
      <c r="L180" s="398">
        <f>IF(ISBLANK(INDEX('Policy Characteristics'!F:F,MATCH($C180,'Policy Characteristics'!$C:$C,0))),"",INDEX('Policy Characteristics'!F:F,MATCH($C180,'Policy Characteristics'!$C:$C,0)))</f>
        <v>0</v>
      </c>
      <c r="M180" s="398">
        <f>IF(ISBLANK(INDEX('Policy Characteristics'!G:G,MATCH($C180,'Policy Characteristics'!$C:$C,0))),"",INDEX('Policy Characteristics'!G:G,MATCH($C180,'Policy Characteristics'!$C:$C,0)))</f>
        <v>1</v>
      </c>
      <c r="N180" s="398">
        <f>IF(ISBLANK(INDEX('Policy Characteristics'!H:H,MATCH($C180,'Policy Characteristics'!$C:$C,0))),"",INDEX('Policy Characteristics'!H:H,MATCH($C180,'Policy Characteristics'!$C:$C,0)))</f>
        <v>0.01</v>
      </c>
      <c r="O180" s="394" t="str">
        <f>IF(ISBLANK(INDEX('Policy Characteristics'!I:I,MATCH($C180,'Policy Characteristics'!$C:$C,0))),"",INDEX('Policy Characteristics'!I:I,MATCH($C180,'Policy Characteristics'!$C:$C,0)))</f>
        <v>% of CO2 captured</v>
      </c>
      <c r="P180" s="394" t="str">
        <f>IF(ISBLANK(INDEX('Policy Characteristics'!J:J,MATCH($C180,'Policy Characteristics'!$C:$C,0))),"",INDEX('Policy Characteristics'!J:J,MATCH($C180,'Policy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0" s="394" t="str">
        <f>IF(ISBLANK(INDEX('Policy Characteristics'!K:K,MATCH($C180,'Policy Characteristics'!$C:$C,0))),"",INDEX('Policy Characteristics'!K:K,MATCH($C180,'Policy Characteristics'!$C:$C,0)))</f>
        <v>ccs.html#ccs</v>
      </c>
      <c r="R180" s="394" t="str">
        <f>IF(ISBLANK(INDEX('Policy Characteristics'!L:L,MATCH($C180,'Policy Characteristics'!$C:$C,0))),"",INDEX('Policy Characteristics'!L:L,MATCH($C180,'Policy Characteristics'!$C:$C,0)))</f>
        <v>carbon-capture-and-sequestration.html</v>
      </c>
    </row>
    <row r="181" s="384" customFormat="1" customHeight="1" spans="1:18">
      <c r="A181" s="394" t="str">
        <f>IF(ISBLANK(INDEX('Policy Characteristics'!A:A,MATCH($C181,'Policy Characteristics'!$C:$C,0))),"",INDEX('Policy Characteristics'!A:A,MATCH($C181,'Policy Characteristics'!$C:$C,0)))</f>
        <v>Electricity Supply</v>
      </c>
      <c r="B181" s="395" t="str">
        <f>IF(ISBLANK(INDEX('Policy Characteristics'!B:B,MATCH($C181,'Policy Characteristics'!$C:$C,0))),"",INDEX('Policy Characteristics'!B:B,MATCH($C181,'Policy Characteristics'!$C:$C,0)))</f>
        <v>Carbon Capture and Sequestration</v>
      </c>
      <c r="C181" s="394" t="str">
        <f t="shared" si="17"/>
        <v>Electricity Sector Fraction of Potential Additional CCS Achieved</v>
      </c>
      <c r="D181" s="399" t="s">
        <v>709</v>
      </c>
      <c r="E181" s="399"/>
      <c r="F181" s="399" t="s">
        <v>710</v>
      </c>
      <c r="G181" s="399"/>
      <c r="H181" s="377">
        <v>880</v>
      </c>
      <c r="I181" s="396" t="s">
        <v>658</v>
      </c>
      <c r="J181" s="397" t="str">
        <f>IF(ISBLANK(INDEX('Policy Characteristics'!D:D,MATCH($C181,'Policy Characteristics'!$C:$C,0))),"",INDEX('Policy Characteristics'!D:D,MATCH($C181,'Policy Characteristics'!$C:$C,0)))</f>
        <v>Clean Electricity Standard</v>
      </c>
      <c r="K181" s="394" t="str">
        <f>IF(ISBLANK(INDEX('Policy Characteristics'!E:E,MATCH($C181,'Policy Characteristics'!$C:$C,0))),"",INDEX('Policy Characteristics'!E:E,MATCH($C181,'Policy Characteristics'!$C:$C,0)))</f>
        <v>elec CCS</v>
      </c>
      <c r="L181" s="398">
        <f>IF(ISBLANK(INDEX('Policy Characteristics'!F:F,MATCH($C181,'Policy Characteristics'!$C:$C,0))),"",INDEX('Policy Characteristics'!F:F,MATCH($C181,'Policy Characteristics'!$C:$C,0)))</f>
        <v>0</v>
      </c>
      <c r="M181" s="398">
        <f>IF(ISBLANK(INDEX('Policy Characteristics'!G:G,MATCH($C181,'Policy Characteristics'!$C:$C,0))),"",INDEX('Policy Characteristics'!G:G,MATCH($C181,'Policy Characteristics'!$C:$C,0)))</f>
        <v>1</v>
      </c>
      <c r="N181" s="398">
        <f>IF(ISBLANK(INDEX('Policy Characteristics'!H:H,MATCH($C181,'Policy Characteristics'!$C:$C,0))),"",INDEX('Policy Characteristics'!H:H,MATCH($C181,'Policy Characteristics'!$C:$C,0)))</f>
        <v>0.01</v>
      </c>
      <c r="O181" s="394" t="str">
        <f>IF(ISBLANK(INDEX('Policy Characteristics'!I:I,MATCH($C181,'Policy Characteristics'!$C:$C,0))),"",INDEX('Policy Characteristics'!I:I,MATCH($C181,'Policy Characteristics'!$C:$C,0)))</f>
        <v>% of CO2 captured</v>
      </c>
      <c r="P181" s="394" t="str">
        <f>IF(ISBLANK(INDEX('Policy Characteristics'!J:J,MATCH($C181,'Policy Characteristics'!$C:$C,0))),"",INDEX('Policy Characteristics'!J:J,MATCH($C181,'Policy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1" s="394" t="str">
        <f>IF(ISBLANK(INDEX('Policy Characteristics'!K:K,MATCH($C181,'Policy Characteristics'!$C:$C,0))),"",INDEX('Policy Characteristics'!K:K,MATCH($C181,'Policy Characteristics'!$C:$C,0)))</f>
        <v>ccs.html#ccs</v>
      </c>
      <c r="R181" s="394" t="str">
        <f>IF(ISBLANK(INDEX('Policy Characteristics'!L:L,MATCH($C181,'Policy Characteristics'!$C:$C,0))),"",INDEX('Policy Characteristics'!L:L,MATCH($C181,'Policy Characteristics'!$C:$C,0)))</f>
        <v>carbon-capture-and-sequestration.html</v>
      </c>
    </row>
    <row r="182" s="384" customFormat="1" customHeight="1" spans="1:18">
      <c r="A182" s="394" t="str">
        <f>IF(ISBLANK(INDEX('Policy Characteristics'!A:A,MATCH($C182,'Policy Characteristics'!$C:$C,0))),"",INDEX('Policy Characteristics'!A:A,MATCH($C182,'Policy Characteristics'!$C:$C,0)))</f>
        <v>Electricity Supply</v>
      </c>
      <c r="B182" s="395" t="str">
        <f>IF(ISBLANK(INDEX('Policy Characteristics'!B:B,MATCH($C182,'Policy Characteristics'!$C:$C,0))),"",INDEX('Policy Characteristics'!B:B,MATCH($C182,'Policy Characteristics'!$C:$C,0)))</f>
        <v>Carbon Capture and Sequestration</v>
      </c>
      <c r="C182" s="394" t="str">
        <f t="shared" si="17"/>
        <v>Electricity Sector Fraction of Potential Additional CCS Achieved</v>
      </c>
      <c r="D182" s="399" t="s">
        <v>711</v>
      </c>
      <c r="E182" s="399"/>
      <c r="F182" s="399" t="s">
        <v>712</v>
      </c>
      <c r="G182" s="399"/>
      <c r="H182" s="377">
        <v>881</v>
      </c>
      <c r="I182" s="396" t="s">
        <v>658</v>
      </c>
      <c r="J182" s="397" t="str">
        <f>IF(ISBLANK(INDEX('Policy Characteristics'!D:D,MATCH($C182,'Policy Characteristics'!$C:$C,0))),"",INDEX('Policy Characteristics'!D:D,MATCH($C182,'Policy Characteristics'!$C:$C,0)))</f>
        <v>Clean Electricity Standard</v>
      </c>
      <c r="K182" s="394" t="str">
        <f>IF(ISBLANK(INDEX('Policy Characteristics'!E:E,MATCH($C182,'Policy Characteristics'!$C:$C,0))),"",INDEX('Policy Characteristics'!E:E,MATCH($C182,'Policy Characteristics'!$C:$C,0)))</f>
        <v>elec CCS</v>
      </c>
      <c r="L182" s="398">
        <f>IF(ISBLANK(INDEX('Policy Characteristics'!F:F,MATCH($C182,'Policy Characteristics'!$C:$C,0))),"",INDEX('Policy Characteristics'!F:F,MATCH($C182,'Policy Characteristics'!$C:$C,0)))</f>
        <v>0</v>
      </c>
      <c r="M182" s="398">
        <f>IF(ISBLANK(INDEX('Policy Characteristics'!G:G,MATCH($C182,'Policy Characteristics'!$C:$C,0))),"",INDEX('Policy Characteristics'!G:G,MATCH($C182,'Policy Characteristics'!$C:$C,0)))</f>
        <v>1</v>
      </c>
      <c r="N182" s="398">
        <f>IF(ISBLANK(INDEX('Policy Characteristics'!H:H,MATCH($C182,'Policy Characteristics'!$C:$C,0))),"",INDEX('Policy Characteristics'!H:H,MATCH($C182,'Policy Characteristics'!$C:$C,0)))</f>
        <v>0.01</v>
      </c>
      <c r="O182" s="394" t="str">
        <f>IF(ISBLANK(INDEX('Policy Characteristics'!I:I,MATCH($C182,'Policy Characteristics'!$C:$C,0))),"",INDEX('Policy Characteristics'!I:I,MATCH($C182,'Policy Characteristics'!$C:$C,0)))</f>
        <v>% of CO2 captured</v>
      </c>
      <c r="P182" s="394" t="str">
        <f>IF(ISBLANK(INDEX('Policy Characteristics'!J:J,MATCH($C182,'Policy Characteristics'!$C:$C,0))),"",INDEX('Policy Characteristics'!J:J,MATCH($C182,'Policy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2" s="394" t="str">
        <f>IF(ISBLANK(INDEX('Policy Characteristics'!K:K,MATCH($C182,'Policy Characteristics'!$C:$C,0))),"",INDEX('Policy Characteristics'!K:K,MATCH($C182,'Policy Characteristics'!$C:$C,0)))</f>
        <v>ccs.html#ccs</v>
      </c>
      <c r="R182" s="394" t="str">
        <f>IF(ISBLANK(INDEX('Policy Characteristics'!L:L,MATCH($C182,'Policy Characteristics'!$C:$C,0))),"",INDEX('Policy Characteristics'!L:L,MATCH($C182,'Policy Characteristics'!$C:$C,0)))</f>
        <v>carbon-capture-and-sequestration.html</v>
      </c>
    </row>
    <row r="183" s="384" customFormat="1" customHeight="1" spans="1:18">
      <c r="A183" s="394" t="str">
        <f>IF(ISBLANK(INDEX('Policy Characteristics'!A:A,MATCH($C183,'Policy Characteristics'!$C:$C,0))),"",INDEX('Policy Characteristics'!A:A,MATCH($C183,'Policy Characteristics'!$C:$C,0)))</f>
        <v>Electricity Supply</v>
      </c>
      <c r="B183" s="395" t="str">
        <f>IF(ISBLANK(INDEX('Policy Characteristics'!B:B,MATCH($C183,'Policy Characteristics'!$C:$C,0))),"",INDEX('Policy Characteristics'!B:B,MATCH($C183,'Policy Characteristics'!$C:$C,0)))</f>
        <v>Carbon Capture and Sequestration</v>
      </c>
      <c r="C183" s="394" t="str">
        <f t="shared" si="17"/>
        <v>Electricity Sector Fraction of Potential Additional CCS Achieved</v>
      </c>
      <c r="D183" s="399" t="s">
        <v>713</v>
      </c>
      <c r="E183" s="399"/>
      <c r="F183" s="399" t="s">
        <v>714</v>
      </c>
      <c r="G183" s="399"/>
      <c r="H183" s="377">
        <v>882</v>
      </c>
      <c r="I183" s="396" t="s">
        <v>658</v>
      </c>
      <c r="J183" s="397" t="str">
        <f>IF(ISBLANK(INDEX('Policy Characteristics'!D:D,MATCH($C183,'Policy Characteristics'!$C:$C,0))),"",INDEX('Policy Characteristics'!D:D,MATCH($C183,'Policy Characteristics'!$C:$C,0)))</f>
        <v>Clean Electricity Standard</v>
      </c>
      <c r="K183" s="394" t="str">
        <f>IF(ISBLANK(INDEX('Policy Characteristics'!E:E,MATCH($C183,'Policy Characteristics'!$C:$C,0))),"",INDEX('Policy Characteristics'!E:E,MATCH($C183,'Policy Characteristics'!$C:$C,0)))</f>
        <v>elec CCS</v>
      </c>
      <c r="L183" s="398">
        <f>IF(ISBLANK(INDEX('Policy Characteristics'!F:F,MATCH($C183,'Policy Characteristics'!$C:$C,0))),"",INDEX('Policy Characteristics'!F:F,MATCH($C183,'Policy Characteristics'!$C:$C,0)))</f>
        <v>0</v>
      </c>
      <c r="M183" s="398">
        <f>IF(ISBLANK(INDEX('Policy Characteristics'!G:G,MATCH($C183,'Policy Characteristics'!$C:$C,0))),"",INDEX('Policy Characteristics'!G:G,MATCH($C183,'Policy Characteristics'!$C:$C,0)))</f>
        <v>1</v>
      </c>
      <c r="N183" s="398">
        <f>IF(ISBLANK(INDEX('Policy Characteristics'!H:H,MATCH($C183,'Policy Characteristics'!$C:$C,0))),"",INDEX('Policy Characteristics'!H:H,MATCH($C183,'Policy Characteristics'!$C:$C,0)))</f>
        <v>0.01</v>
      </c>
      <c r="O183" s="394" t="str">
        <f>IF(ISBLANK(INDEX('Policy Characteristics'!I:I,MATCH($C183,'Policy Characteristics'!$C:$C,0))),"",INDEX('Policy Characteristics'!I:I,MATCH($C183,'Policy Characteristics'!$C:$C,0)))</f>
        <v>% of CO2 captured</v>
      </c>
      <c r="P183" s="394" t="str">
        <f>IF(ISBLANK(INDEX('Policy Characteristics'!J:J,MATCH($C183,'Policy Characteristics'!$C:$C,0))),"",INDEX('Policy Characteristics'!J:J,MATCH($C183,'Policy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3" s="394" t="str">
        <f>IF(ISBLANK(INDEX('Policy Characteristics'!K:K,MATCH($C183,'Policy Characteristics'!$C:$C,0))),"",INDEX('Policy Characteristics'!K:K,MATCH($C183,'Policy Characteristics'!$C:$C,0)))</f>
        <v>ccs.html#ccs</v>
      </c>
      <c r="R183" s="394" t="str">
        <f>IF(ISBLANK(INDEX('Policy Characteristics'!L:L,MATCH($C183,'Policy Characteristics'!$C:$C,0))),"",INDEX('Policy Characteristics'!L:L,MATCH($C183,'Policy Characteristics'!$C:$C,0)))</f>
        <v>carbon-capture-and-sequestration.html</v>
      </c>
    </row>
    <row r="184" s="384" customFormat="1" customHeight="1" spans="1:18">
      <c r="A184" s="394" t="str">
        <f>IF(ISBLANK(INDEX('Policy Characteristics'!A:A,MATCH($C184,'Policy Characteristics'!$C:$C,0))),"",INDEX('Policy Characteristics'!A:A,MATCH($C184,'Policy Characteristics'!$C:$C,0)))</f>
        <v>Electricity Supply</v>
      </c>
      <c r="B184" s="395" t="str">
        <f>IF(ISBLANK(INDEX('Policy Characteristics'!B:B,MATCH($C184,'Policy Characteristics'!$C:$C,0))),"",INDEX('Policy Characteristics'!B:B,MATCH($C184,'Policy Characteristics'!$C:$C,0)))</f>
        <v>Carbon Capture and Sequestration</v>
      </c>
      <c r="C184" s="394" t="str">
        <f t="shared" si="17"/>
        <v>Electricity Sector Fraction of Potential Additional CCS Achieved</v>
      </c>
      <c r="D184" s="399" t="s">
        <v>715</v>
      </c>
      <c r="E184" s="399"/>
      <c r="F184" s="399" t="s">
        <v>716</v>
      </c>
      <c r="G184" s="399"/>
      <c r="H184" s="377">
        <v>883</v>
      </c>
      <c r="I184" s="396" t="s">
        <v>648</v>
      </c>
      <c r="J184" s="397" t="str">
        <f>IF(ISBLANK(INDEX('Policy Characteristics'!D:D,MATCH($C184,'Policy Characteristics'!$C:$C,0))),"",INDEX('Policy Characteristics'!D:D,MATCH($C184,'Policy Characteristics'!$C:$C,0)))</f>
        <v>Clean Electricity Standard</v>
      </c>
      <c r="K184" s="394" t="str">
        <f>IF(ISBLANK(INDEX('Policy Characteristics'!E:E,MATCH($C184,'Policy Characteristics'!$C:$C,0))),"",INDEX('Policy Characteristics'!E:E,MATCH($C184,'Policy Characteristics'!$C:$C,0)))</f>
        <v>elec CCS</v>
      </c>
      <c r="L184" s="398">
        <f>IF(ISBLANK(INDEX('Policy Characteristics'!F:F,MATCH($C184,'Policy Characteristics'!$C:$C,0))),"",INDEX('Policy Characteristics'!F:F,MATCH($C184,'Policy Characteristics'!$C:$C,0)))</f>
        <v>0</v>
      </c>
      <c r="M184" s="398">
        <f>IF(ISBLANK(INDEX('Policy Characteristics'!G:G,MATCH($C184,'Policy Characteristics'!$C:$C,0))),"",INDEX('Policy Characteristics'!G:G,MATCH($C184,'Policy Characteristics'!$C:$C,0)))</f>
        <v>1</v>
      </c>
      <c r="N184" s="398">
        <f>IF(ISBLANK(INDEX('Policy Characteristics'!H:H,MATCH($C184,'Policy Characteristics'!$C:$C,0))),"",INDEX('Policy Characteristics'!H:H,MATCH($C184,'Policy Characteristics'!$C:$C,0)))</f>
        <v>0.01</v>
      </c>
      <c r="O184" s="394" t="str">
        <f>IF(ISBLANK(INDEX('Policy Characteristics'!I:I,MATCH($C184,'Policy Characteristics'!$C:$C,0))),"",INDEX('Policy Characteristics'!I:I,MATCH($C184,'Policy Characteristics'!$C:$C,0)))</f>
        <v>% of CO2 captured</v>
      </c>
      <c r="P184" s="394" t="str">
        <f>IF(ISBLANK(INDEX('Policy Characteristics'!J:J,MATCH($C184,'Policy Characteristics'!$C:$C,0))),"",INDEX('Policy Characteristics'!J:J,MATCH($C184,'Policy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4" s="394" t="str">
        <f>IF(ISBLANK(INDEX('Policy Characteristics'!K:K,MATCH($C184,'Policy Characteristics'!$C:$C,0))),"",INDEX('Policy Characteristics'!K:K,MATCH($C184,'Policy Characteristics'!$C:$C,0)))</f>
        <v>ccs.html#ccs</v>
      </c>
      <c r="R184" s="394" t="str">
        <f>IF(ISBLANK(INDEX('Policy Characteristics'!L:L,MATCH($C184,'Policy Characteristics'!$C:$C,0))),"",INDEX('Policy Characteristics'!L:L,MATCH($C184,'Policy Characteristics'!$C:$C,0)))</f>
        <v>carbon-capture-and-sequestration.html</v>
      </c>
    </row>
    <row r="185" s="384" customFormat="1" customHeight="1" spans="1:18">
      <c r="A185" s="394" t="str">
        <f>IF(ISBLANK(INDEX('Policy Characteristics'!A:A,MATCH($C185,'Policy Characteristics'!$C:$C,0))),"",INDEX('Policy Characteristics'!A:A,MATCH($C185,'Policy Characteristics'!$C:$C,0)))</f>
        <v>Electricity Supply</v>
      </c>
      <c r="B185" s="395" t="str">
        <f>IF(ISBLANK(INDEX('Policy Characteristics'!B:B,MATCH($C185,'Policy Characteristics'!$C:$C,0))),"",INDEX('Policy Characteristics'!B:B,MATCH($C185,'Policy Characteristics'!$C:$C,0)))</f>
        <v>Carbon Capture and Sequestration</v>
      </c>
      <c r="C185" s="394" t="str">
        <f t="shared" si="17"/>
        <v>Electricity Sector Fraction of Potential Additional CCS Achieved</v>
      </c>
      <c r="D185" s="399" t="s">
        <v>717</v>
      </c>
      <c r="E185" s="399"/>
      <c r="F185" s="399" t="s">
        <v>718</v>
      </c>
      <c r="G185" s="399"/>
      <c r="H185" s="377">
        <v>884</v>
      </c>
      <c r="I185" s="396" t="s">
        <v>658</v>
      </c>
      <c r="J185" s="397" t="str">
        <f>IF(ISBLANK(INDEX('Policy Characteristics'!D:D,MATCH($C185,'Policy Characteristics'!$C:$C,0))),"",INDEX('Policy Characteristics'!D:D,MATCH($C185,'Policy Characteristics'!$C:$C,0)))</f>
        <v>Clean Electricity Standard</v>
      </c>
      <c r="K185" s="394" t="str">
        <f>IF(ISBLANK(INDEX('Policy Characteristics'!E:E,MATCH($C185,'Policy Characteristics'!$C:$C,0))),"",INDEX('Policy Characteristics'!E:E,MATCH($C185,'Policy Characteristics'!$C:$C,0)))</f>
        <v>elec CCS</v>
      </c>
      <c r="L185" s="398">
        <f>IF(ISBLANK(INDEX('Policy Characteristics'!F:F,MATCH($C185,'Policy Characteristics'!$C:$C,0))),"",INDEX('Policy Characteristics'!F:F,MATCH($C185,'Policy Characteristics'!$C:$C,0)))</f>
        <v>0</v>
      </c>
      <c r="M185" s="398">
        <f>IF(ISBLANK(INDEX('Policy Characteristics'!G:G,MATCH($C185,'Policy Characteristics'!$C:$C,0))),"",INDEX('Policy Characteristics'!G:G,MATCH($C185,'Policy Characteristics'!$C:$C,0)))</f>
        <v>1</v>
      </c>
      <c r="N185" s="398">
        <f>IF(ISBLANK(INDEX('Policy Characteristics'!H:H,MATCH($C185,'Policy Characteristics'!$C:$C,0))),"",INDEX('Policy Characteristics'!H:H,MATCH($C185,'Policy Characteristics'!$C:$C,0)))</f>
        <v>0.01</v>
      </c>
      <c r="O185" s="394" t="str">
        <f>IF(ISBLANK(INDEX('Policy Characteristics'!I:I,MATCH($C185,'Policy Characteristics'!$C:$C,0))),"",INDEX('Policy Characteristics'!I:I,MATCH($C185,'Policy Characteristics'!$C:$C,0)))</f>
        <v>% of CO2 captured</v>
      </c>
      <c r="P185" s="394" t="str">
        <f>IF(ISBLANK(INDEX('Policy Characteristics'!J:J,MATCH($C185,'Policy Characteristics'!$C:$C,0))),"",INDEX('Policy Characteristics'!J:J,MATCH($C185,'Policy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5" s="394" t="str">
        <f>IF(ISBLANK(INDEX('Policy Characteristics'!K:K,MATCH($C185,'Policy Characteristics'!$C:$C,0))),"",INDEX('Policy Characteristics'!K:K,MATCH($C185,'Policy Characteristics'!$C:$C,0)))</f>
        <v>ccs.html#ccs</v>
      </c>
      <c r="R185" s="394" t="str">
        <f>IF(ISBLANK(INDEX('Policy Characteristics'!L:L,MATCH($C185,'Policy Characteristics'!$C:$C,0))),"",INDEX('Policy Characteristics'!L:L,MATCH($C185,'Policy Characteristics'!$C:$C,0)))</f>
        <v>carbon-capture-and-sequestration.html</v>
      </c>
    </row>
    <row r="186" s="384" customFormat="1" customHeight="1" spans="1:18">
      <c r="A186" s="394" t="str">
        <f>IF(ISBLANK(INDEX('Policy Characteristics'!A:A,MATCH($C186,'Policy Characteristics'!$C:$C,0))),"",INDEX('Policy Characteristics'!A:A,MATCH($C186,'Policy Characteristics'!$C:$C,0)))</f>
        <v>Electricity Supply</v>
      </c>
      <c r="B186" s="395" t="str">
        <f>IF(ISBLANK(INDEX('Policy Characteristics'!B:B,MATCH($C186,'Policy Characteristics'!$C:$C,0))),"",INDEX('Policy Characteristics'!B:B,MATCH($C186,'Policy Characteristics'!$C:$C,0)))</f>
        <v>Carbon Capture and Sequestration</v>
      </c>
      <c r="C186" s="394" t="str">
        <f t="shared" si="17"/>
        <v>Electricity Sector Fraction of Potential Additional CCS Achieved</v>
      </c>
      <c r="D186" s="399" t="s">
        <v>719</v>
      </c>
      <c r="E186" s="399"/>
      <c r="F186" s="399" t="s">
        <v>720</v>
      </c>
      <c r="G186" s="399"/>
      <c r="H186" s="377">
        <v>885</v>
      </c>
      <c r="I186" s="396" t="s">
        <v>648</v>
      </c>
      <c r="J186" s="397" t="str">
        <f>IF(ISBLANK(INDEX('Policy Characteristics'!D:D,MATCH($C186,'Policy Characteristics'!$C:$C,0))),"",INDEX('Policy Characteristics'!D:D,MATCH($C186,'Policy Characteristics'!$C:$C,0)))</f>
        <v>Clean Electricity Standard</v>
      </c>
      <c r="K186" s="394" t="str">
        <f>IF(ISBLANK(INDEX('Policy Characteristics'!E:E,MATCH($C186,'Policy Characteristics'!$C:$C,0))),"",INDEX('Policy Characteristics'!E:E,MATCH($C186,'Policy Characteristics'!$C:$C,0)))</f>
        <v>elec CCS</v>
      </c>
      <c r="L186" s="398">
        <f>IF(ISBLANK(INDEX('Policy Characteristics'!F:F,MATCH($C186,'Policy Characteristics'!$C:$C,0))),"",INDEX('Policy Characteristics'!F:F,MATCH($C186,'Policy Characteristics'!$C:$C,0)))</f>
        <v>0</v>
      </c>
      <c r="M186" s="398">
        <f>IF(ISBLANK(INDEX('Policy Characteristics'!G:G,MATCH($C186,'Policy Characteristics'!$C:$C,0))),"",INDEX('Policy Characteristics'!G:G,MATCH($C186,'Policy Characteristics'!$C:$C,0)))</f>
        <v>1</v>
      </c>
      <c r="N186" s="398">
        <f>IF(ISBLANK(INDEX('Policy Characteristics'!H:H,MATCH($C186,'Policy Characteristics'!$C:$C,0))),"",INDEX('Policy Characteristics'!H:H,MATCH($C186,'Policy Characteristics'!$C:$C,0)))</f>
        <v>0.01</v>
      </c>
      <c r="O186" s="394" t="str">
        <f>IF(ISBLANK(INDEX('Policy Characteristics'!I:I,MATCH($C186,'Policy Characteristics'!$C:$C,0))),"",INDEX('Policy Characteristics'!I:I,MATCH($C186,'Policy Characteristics'!$C:$C,0)))</f>
        <v>% of CO2 captured</v>
      </c>
      <c r="P186" s="394" t="str">
        <f>IF(ISBLANK(INDEX('Policy Characteristics'!J:J,MATCH($C186,'Policy Characteristics'!$C:$C,0))),"",INDEX('Policy Characteristics'!J:J,MATCH($C186,'Policy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6" s="394" t="str">
        <f>IF(ISBLANK(INDEX('Policy Characteristics'!K:K,MATCH($C186,'Policy Characteristics'!$C:$C,0))),"",INDEX('Policy Characteristics'!K:K,MATCH($C186,'Policy Characteristics'!$C:$C,0)))</f>
        <v>ccs.html#ccs</v>
      </c>
      <c r="R186" s="394" t="str">
        <f>IF(ISBLANK(INDEX('Policy Characteristics'!L:L,MATCH($C186,'Policy Characteristics'!$C:$C,0))),"",INDEX('Policy Characteristics'!L:L,MATCH($C186,'Policy Characteristics'!$C:$C,0)))</f>
        <v>carbon-capture-and-sequestration.html</v>
      </c>
    </row>
    <row r="187" s="384" customFormat="1" customHeight="1" spans="1:18">
      <c r="A187" s="394" t="str">
        <f>IF(ISBLANK(INDEX('Policy Characteristics'!A:A,MATCH($C187,'Policy Characteristics'!$C:$C,0))),"",INDEX('Policy Characteristics'!A:A,MATCH($C187,'Policy Characteristics'!$C:$C,0)))</f>
        <v>Electricity Supply</v>
      </c>
      <c r="B187" s="395" t="str">
        <f>IF(ISBLANK(INDEX('Policy Characteristics'!B:B,MATCH($C187,'Policy Characteristics'!$C:$C,0))),"",INDEX('Policy Characteristics'!B:B,MATCH($C187,'Policy Characteristics'!$C:$C,0)))</f>
        <v>Carbon Capture and Sequestration</v>
      </c>
      <c r="C187" s="394" t="str">
        <f t="shared" si="17"/>
        <v>Electricity Sector Fraction of Potential Additional CCS Achieved</v>
      </c>
      <c r="D187" s="399" t="s">
        <v>721</v>
      </c>
      <c r="E187" s="399"/>
      <c r="F187" s="399" t="s">
        <v>722</v>
      </c>
      <c r="G187" s="399"/>
      <c r="H187" s="377">
        <v>886</v>
      </c>
      <c r="I187" s="396" t="s">
        <v>648</v>
      </c>
      <c r="J187" s="397" t="str">
        <f>IF(ISBLANK(INDEX('Policy Characteristics'!D:D,MATCH($C187,'Policy Characteristics'!$C:$C,0))),"",INDEX('Policy Characteristics'!D:D,MATCH($C187,'Policy Characteristics'!$C:$C,0)))</f>
        <v>Clean Electricity Standard</v>
      </c>
      <c r="K187" s="394" t="str">
        <f>IF(ISBLANK(INDEX('Policy Characteristics'!E:E,MATCH($C187,'Policy Characteristics'!$C:$C,0))),"",INDEX('Policy Characteristics'!E:E,MATCH($C187,'Policy Characteristics'!$C:$C,0)))</f>
        <v>elec CCS</v>
      </c>
      <c r="L187" s="398">
        <f>IF(ISBLANK(INDEX('Policy Characteristics'!F:F,MATCH($C187,'Policy Characteristics'!$C:$C,0))),"",INDEX('Policy Characteristics'!F:F,MATCH($C187,'Policy Characteristics'!$C:$C,0)))</f>
        <v>0</v>
      </c>
      <c r="M187" s="398">
        <f>IF(ISBLANK(INDEX('Policy Characteristics'!G:G,MATCH($C187,'Policy Characteristics'!$C:$C,0))),"",INDEX('Policy Characteristics'!G:G,MATCH($C187,'Policy Characteristics'!$C:$C,0)))</f>
        <v>1</v>
      </c>
      <c r="N187" s="398">
        <f>IF(ISBLANK(INDEX('Policy Characteristics'!H:H,MATCH($C187,'Policy Characteristics'!$C:$C,0))),"",INDEX('Policy Characteristics'!H:H,MATCH($C187,'Policy Characteristics'!$C:$C,0)))</f>
        <v>0.01</v>
      </c>
      <c r="O187" s="394" t="str">
        <f>IF(ISBLANK(INDEX('Policy Characteristics'!I:I,MATCH($C187,'Policy Characteristics'!$C:$C,0))),"",INDEX('Policy Characteristics'!I:I,MATCH($C187,'Policy Characteristics'!$C:$C,0)))</f>
        <v>% of CO2 captured</v>
      </c>
      <c r="P187" s="394" t="str">
        <f>IF(ISBLANK(INDEX('Policy Characteristics'!J:J,MATCH($C187,'Policy Characteristics'!$C:$C,0))),"",INDEX('Policy Characteristics'!J:J,MATCH($C187,'Policy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7" s="394" t="str">
        <f>IF(ISBLANK(INDEX('Policy Characteristics'!K:K,MATCH($C187,'Policy Characteristics'!$C:$C,0))),"",INDEX('Policy Characteristics'!K:K,MATCH($C187,'Policy Characteristics'!$C:$C,0)))</f>
        <v>ccs.html#ccs</v>
      </c>
      <c r="R187" s="394" t="str">
        <f>IF(ISBLANK(INDEX('Policy Characteristics'!L:L,MATCH($C187,'Policy Characteristics'!$C:$C,0))),"",INDEX('Policy Characteristics'!L:L,MATCH($C187,'Policy Characteristics'!$C:$C,0)))</f>
        <v>carbon-capture-and-sequestration.html</v>
      </c>
    </row>
    <row r="188" s="384" customFormat="1" customHeight="1" spans="1:18">
      <c r="A188" s="394" t="str">
        <f>IF(ISBLANK(INDEX('Policy Characteristics'!A:A,MATCH($C188,'Policy Characteristics'!$C:$C,0))),"",INDEX('Policy Characteristics'!A:A,MATCH($C188,'Policy Characteristics'!$C:$C,0)))</f>
        <v>Electricity Supply</v>
      </c>
      <c r="B188" s="395" t="str">
        <f>IF(ISBLANK(INDEX('Policy Characteristics'!B:B,MATCH($C188,'Policy Characteristics'!$C:$C,0))),"",INDEX('Policy Characteristics'!B:B,MATCH($C188,'Policy Characteristics'!$C:$C,0)))</f>
        <v>Carbon Capture and Sequestration</v>
      </c>
      <c r="C188" s="394" t="str">
        <f t="shared" si="17"/>
        <v>Electricity Sector Fraction of Potential Additional CCS Achieved</v>
      </c>
      <c r="D188" s="399" t="s">
        <v>723</v>
      </c>
      <c r="E188" s="399"/>
      <c r="F188" s="400" t="s">
        <v>724</v>
      </c>
      <c r="G188" s="399"/>
      <c r="H188" s="377">
        <v>887</v>
      </c>
      <c r="I188" s="396" t="s">
        <v>648</v>
      </c>
      <c r="J188" s="397" t="str">
        <f>IF(ISBLANK(INDEX('Policy Characteristics'!D:D,MATCH($C188,'Policy Characteristics'!$C:$C,0))),"",INDEX('Policy Characteristics'!D:D,MATCH($C188,'Policy Characteristics'!$C:$C,0)))</f>
        <v>Clean Electricity Standard</v>
      </c>
      <c r="K188" s="394" t="str">
        <f>IF(ISBLANK(INDEX('Policy Characteristics'!E:E,MATCH($C188,'Policy Characteristics'!$C:$C,0))),"",INDEX('Policy Characteristics'!E:E,MATCH($C188,'Policy Characteristics'!$C:$C,0)))</f>
        <v>elec CCS</v>
      </c>
      <c r="L188" s="398">
        <f>IF(ISBLANK(INDEX('Policy Characteristics'!F:F,MATCH($C188,'Policy Characteristics'!$C:$C,0))),"",INDEX('Policy Characteristics'!F:F,MATCH($C188,'Policy Characteristics'!$C:$C,0)))</f>
        <v>0</v>
      </c>
      <c r="M188" s="398">
        <f>IF(ISBLANK(INDEX('Policy Characteristics'!G:G,MATCH($C188,'Policy Characteristics'!$C:$C,0))),"",INDEX('Policy Characteristics'!G:G,MATCH($C188,'Policy Characteristics'!$C:$C,0)))</f>
        <v>1</v>
      </c>
      <c r="N188" s="398">
        <f>IF(ISBLANK(INDEX('Policy Characteristics'!H:H,MATCH($C188,'Policy Characteristics'!$C:$C,0))),"",INDEX('Policy Characteristics'!H:H,MATCH($C188,'Policy Characteristics'!$C:$C,0)))</f>
        <v>0.01</v>
      </c>
      <c r="O188" s="394" t="str">
        <f>IF(ISBLANK(INDEX('Policy Characteristics'!I:I,MATCH($C188,'Policy Characteristics'!$C:$C,0))),"",INDEX('Policy Characteristics'!I:I,MATCH($C188,'Policy Characteristics'!$C:$C,0)))</f>
        <v>% of CO2 captured</v>
      </c>
      <c r="P188" s="394" t="str">
        <f>IF(ISBLANK(INDEX('Policy Characteristics'!J:J,MATCH($C188,'Policy Characteristics'!$C:$C,0))),"",INDEX('Policy Characteristics'!J:J,MATCH($C188,'Policy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8" s="394" t="str">
        <f>IF(ISBLANK(INDEX('Policy Characteristics'!K:K,MATCH($C188,'Policy Characteristics'!$C:$C,0))),"",INDEX('Policy Characteristics'!K:K,MATCH($C188,'Policy Characteristics'!$C:$C,0)))</f>
        <v>ccs.html#ccs</v>
      </c>
      <c r="R188" s="394" t="str">
        <f>IF(ISBLANK(INDEX('Policy Characteristics'!L:L,MATCH($C188,'Policy Characteristics'!$C:$C,0))),"",INDEX('Policy Characteristics'!L:L,MATCH($C188,'Policy Characteristics'!$C:$C,0)))</f>
        <v>carbon-capture-and-sequestration.html</v>
      </c>
    </row>
    <row r="189" s="384" customFormat="1" customHeight="1" spans="1:18">
      <c r="A189" s="394" t="str">
        <f>IF(ISBLANK(INDEX('Policy Characteristics'!A:A,MATCH($C189,'Policy Characteristics'!$C:$C,0))),"",INDEX('Policy Characteristics'!A:A,MATCH($C189,'Policy Characteristics'!$C:$C,0)))</f>
        <v>Electricity Supply</v>
      </c>
      <c r="B189" s="395" t="str">
        <f>IF(ISBLANK(INDEX('Policy Characteristics'!B:B,MATCH($C189,'Policy Characteristics'!$C:$C,0))),"",INDEX('Policy Characteristics'!B:B,MATCH($C189,'Policy Characteristics'!$C:$C,0)))</f>
        <v>Carbon Capture and Sequestration</v>
      </c>
      <c r="C189" s="394" t="str">
        <f t="shared" si="17"/>
        <v>Electricity Sector Fraction of Potential Additional CCS Achieved</v>
      </c>
      <c r="D189" s="399" t="s">
        <v>725</v>
      </c>
      <c r="E189" s="399"/>
      <c r="F189" s="399" t="s">
        <v>726</v>
      </c>
      <c r="G189" s="399"/>
      <c r="H189" s="377">
        <v>888</v>
      </c>
      <c r="I189" s="396" t="s">
        <v>658</v>
      </c>
      <c r="J189" s="397" t="str">
        <f>IF(ISBLANK(INDEX('Policy Characteristics'!D:D,MATCH($C189,'Policy Characteristics'!$C:$C,0))),"",INDEX('Policy Characteristics'!D:D,MATCH($C189,'Policy Characteristics'!$C:$C,0)))</f>
        <v>Clean Electricity Standard</v>
      </c>
      <c r="K189" s="394" t="str">
        <f>IF(ISBLANK(INDEX('Policy Characteristics'!E:E,MATCH($C189,'Policy Characteristics'!$C:$C,0))),"",INDEX('Policy Characteristics'!E:E,MATCH($C189,'Policy Characteristics'!$C:$C,0)))</f>
        <v>elec CCS</v>
      </c>
      <c r="L189" s="398">
        <f>IF(ISBLANK(INDEX('Policy Characteristics'!F:F,MATCH($C189,'Policy Characteristics'!$C:$C,0))),"",INDEX('Policy Characteristics'!F:F,MATCH($C189,'Policy Characteristics'!$C:$C,0)))</f>
        <v>0</v>
      </c>
      <c r="M189" s="398">
        <f>IF(ISBLANK(INDEX('Policy Characteristics'!G:G,MATCH($C189,'Policy Characteristics'!$C:$C,0))),"",INDEX('Policy Characteristics'!G:G,MATCH($C189,'Policy Characteristics'!$C:$C,0)))</f>
        <v>1</v>
      </c>
      <c r="N189" s="398">
        <f>IF(ISBLANK(INDEX('Policy Characteristics'!H:H,MATCH($C189,'Policy Characteristics'!$C:$C,0))),"",INDEX('Policy Characteristics'!H:H,MATCH($C189,'Policy Characteristics'!$C:$C,0)))</f>
        <v>0.01</v>
      </c>
      <c r="O189" s="394" t="str">
        <f>IF(ISBLANK(INDEX('Policy Characteristics'!I:I,MATCH($C189,'Policy Characteristics'!$C:$C,0))),"",INDEX('Policy Characteristics'!I:I,MATCH($C189,'Policy Characteristics'!$C:$C,0)))</f>
        <v>% of CO2 captured</v>
      </c>
      <c r="P189" s="394" t="str">
        <f>IF(ISBLANK(INDEX('Policy Characteristics'!J:J,MATCH($C189,'Policy Characteristics'!$C:$C,0))),"",INDEX('Policy Characteristics'!J:J,MATCH($C189,'Policy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9" s="394" t="str">
        <f>IF(ISBLANK(INDEX('Policy Characteristics'!K:K,MATCH($C189,'Policy Characteristics'!$C:$C,0))),"",INDEX('Policy Characteristics'!K:K,MATCH($C189,'Policy Characteristics'!$C:$C,0)))</f>
        <v>ccs.html#ccs</v>
      </c>
      <c r="R189" s="394" t="str">
        <f>IF(ISBLANK(INDEX('Policy Characteristics'!L:L,MATCH($C189,'Policy Characteristics'!$C:$C,0))),"",INDEX('Policy Characteristics'!L:L,MATCH($C189,'Policy Characteristics'!$C:$C,0)))</f>
        <v>carbon-capture-and-sequestration.html</v>
      </c>
    </row>
    <row r="190" s="384" customFormat="1" customHeight="1" spans="1:18">
      <c r="A190" s="394" t="str">
        <f>IF(ISBLANK(INDEX('Policy Characteristics'!A:A,MATCH($C190,'Policy Characteristics'!$C:$C,0))),"",INDEX('Policy Characteristics'!A:A,MATCH($C190,'Policy Characteristics'!$C:$C,0)))</f>
        <v>Electricity Supply</v>
      </c>
      <c r="B190" s="395" t="str">
        <f>IF(ISBLANK(INDEX('Policy Characteristics'!B:B,MATCH($C190,'Policy Characteristics'!$C:$C,0))),"",INDEX('Policy Characteristics'!B:B,MATCH($C190,'Policy Characteristics'!$C:$C,0)))</f>
        <v>Carbon Capture and Sequestration</v>
      </c>
      <c r="C190" s="394" t="str">
        <f t="shared" si="17"/>
        <v>Electricity Sector Fraction of Potential Additional CCS Achieved</v>
      </c>
      <c r="D190" s="399" t="s">
        <v>727</v>
      </c>
      <c r="E190" s="399"/>
      <c r="F190" s="399" t="s">
        <v>728</v>
      </c>
      <c r="G190" s="399"/>
      <c r="H190" s="377">
        <v>889</v>
      </c>
      <c r="I190" s="396" t="s">
        <v>658</v>
      </c>
      <c r="J190" s="397" t="str">
        <f>IF(ISBLANK(INDEX('Policy Characteristics'!D:D,MATCH($C190,'Policy Characteristics'!$C:$C,0))),"",INDEX('Policy Characteristics'!D:D,MATCH($C190,'Policy Characteristics'!$C:$C,0)))</f>
        <v>Clean Electricity Standard</v>
      </c>
      <c r="K190" s="394" t="str">
        <f>IF(ISBLANK(INDEX('Policy Characteristics'!E:E,MATCH($C190,'Policy Characteristics'!$C:$C,0))),"",INDEX('Policy Characteristics'!E:E,MATCH($C190,'Policy Characteristics'!$C:$C,0)))</f>
        <v>elec CCS</v>
      </c>
      <c r="L190" s="398">
        <f>IF(ISBLANK(INDEX('Policy Characteristics'!F:F,MATCH($C190,'Policy Characteristics'!$C:$C,0))),"",INDEX('Policy Characteristics'!F:F,MATCH($C190,'Policy Characteristics'!$C:$C,0)))</f>
        <v>0</v>
      </c>
      <c r="M190" s="398">
        <f>IF(ISBLANK(INDEX('Policy Characteristics'!G:G,MATCH($C190,'Policy Characteristics'!$C:$C,0))),"",INDEX('Policy Characteristics'!G:G,MATCH($C190,'Policy Characteristics'!$C:$C,0)))</f>
        <v>1</v>
      </c>
      <c r="N190" s="398">
        <f>IF(ISBLANK(INDEX('Policy Characteristics'!H:H,MATCH($C190,'Policy Characteristics'!$C:$C,0))),"",INDEX('Policy Characteristics'!H:H,MATCH($C190,'Policy Characteristics'!$C:$C,0)))</f>
        <v>0.01</v>
      </c>
      <c r="O190" s="394" t="str">
        <f>IF(ISBLANK(INDEX('Policy Characteristics'!I:I,MATCH($C190,'Policy Characteristics'!$C:$C,0))),"",INDEX('Policy Characteristics'!I:I,MATCH($C190,'Policy Characteristics'!$C:$C,0)))</f>
        <v>% of CO2 captured</v>
      </c>
      <c r="P190" s="394" t="str">
        <f>IF(ISBLANK(INDEX('Policy Characteristics'!J:J,MATCH($C190,'Policy Characteristics'!$C:$C,0))),"",INDEX('Policy Characteristics'!J:J,MATCH($C190,'Policy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0" s="394" t="str">
        <f>IF(ISBLANK(INDEX('Policy Characteristics'!K:K,MATCH($C190,'Policy Characteristics'!$C:$C,0))),"",INDEX('Policy Characteristics'!K:K,MATCH($C190,'Policy Characteristics'!$C:$C,0)))</f>
        <v>ccs.html#ccs</v>
      </c>
      <c r="R190" s="394" t="str">
        <f>IF(ISBLANK(INDEX('Policy Characteristics'!L:L,MATCH($C190,'Policy Characteristics'!$C:$C,0))),"",INDEX('Policy Characteristics'!L:L,MATCH($C190,'Policy Characteristics'!$C:$C,0)))</f>
        <v>carbon-capture-and-sequestration.html</v>
      </c>
    </row>
    <row r="191" s="384" customFormat="1" customHeight="1" spans="1:18">
      <c r="A191" s="394" t="str">
        <f>IF(ISBLANK(INDEX('Policy Characteristics'!A:A,MATCH($C191,'Policy Characteristics'!$C:$C,0))),"",INDEX('Policy Characteristics'!A:A,MATCH($C191,'Policy Characteristics'!$C:$C,0)))</f>
        <v>Electricity Supply</v>
      </c>
      <c r="B191" s="395" t="str">
        <f>IF(ISBLANK(INDEX('Policy Characteristics'!B:B,MATCH($C191,'Policy Characteristics'!$C:$C,0))),"",INDEX('Policy Characteristics'!B:B,MATCH($C191,'Policy Characteristics'!$C:$C,0)))</f>
        <v>Carbon Capture and Sequestration</v>
      </c>
      <c r="C191" s="394" t="str">
        <f t="shared" si="17"/>
        <v>Electricity Sector Fraction of Potential Additional CCS Achieved</v>
      </c>
      <c r="D191" s="399" t="s">
        <v>729</v>
      </c>
      <c r="E191" s="399"/>
      <c r="F191" s="399" t="s">
        <v>730</v>
      </c>
      <c r="G191" s="399"/>
      <c r="H191" s="377">
        <v>890</v>
      </c>
      <c r="I191" s="396" t="s">
        <v>658</v>
      </c>
      <c r="J191" s="397" t="str">
        <f>IF(ISBLANK(INDEX('Policy Characteristics'!D:D,MATCH($C191,'Policy Characteristics'!$C:$C,0))),"",INDEX('Policy Characteristics'!D:D,MATCH($C191,'Policy Characteristics'!$C:$C,0)))</f>
        <v>Clean Electricity Standard</v>
      </c>
      <c r="K191" s="394" t="str">
        <f>IF(ISBLANK(INDEX('Policy Characteristics'!E:E,MATCH($C191,'Policy Characteristics'!$C:$C,0))),"",INDEX('Policy Characteristics'!E:E,MATCH($C191,'Policy Characteristics'!$C:$C,0)))</f>
        <v>elec CCS</v>
      </c>
      <c r="L191" s="398">
        <f>IF(ISBLANK(INDEX('Policy Characteristics'!F:F,MATCH($C191,'Policy Characteristics'!$C:$C,0))),"",INDEX('Policy Characteristics'!F:F,MATCH($C191,'Policy Characteristics'!$C:$C,0)))</f>
        <v>0</v>
      </c>
      <c r="M191" s="398">
        <f>IF(ISBLANK(INDEX('Policy Characteristics'!G:G,MATCH($C191,'Policy Characteristics'!$C:$C,0))),"",INDEX('Policy Characteristics'!G:G,MATCH($C191,'Policy Characteristics'!$C:$C,0)))</f>
        <v>1</v>
      </c>
      <c r="N191" s="398">
        <f>IF(ISBLANK(INDEX('Policy Characteristics'!H:H,MATCH($C191,'Policy Characteristics'!$C:$C,0))),"",INDEX('Policy Characteristics'!H:H,MATCH($C191,'Policy Characteristics'!$C:$C,0)))</f>
        <v>0.01</v>
      </c>
      <c r="O191" s="394" t="str">
        <f>IF(ISBLANK(INDEX('Policy Characteristics'!I:I,MATCH($C191,'Policy Characteristics'!$C:$C,0))),"",INDEX('Policy Characteristics'!I:I,MATCH($C191,'Policy Characteristics'!$C:$C,0)))</f>
        <v>% of CO2 captured</v>
      </c>
      <c r="P191" s="394" t="str">
        <f>IF(ISBLANK(INDEX('Policy Characteristics'!J:J,MATCH($C191,'Policy Characteristics'!$C:$C,0))),"",INDEX('Policy Characteristics'!J:J,MATCH($C191,'Policy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1" s="394" t="str">
        <f>IF(ISBLANK(INDEX('Policy Characteristics'!K:K,MATCH($C191,'Policy Characteristics'!$C:$C,0))),"",INDEX('Policy Characteristics'!K:K,MATCH($C191,'Policy Characteristics'!$C:$C,0)))</f>
        <v>ccs.html#ccs</v>
      </c>
      <c r="R191" s="394" t="str">
        <f>IF(ISBLANK(INDEX('Policy Characteristics'!L:L,MATCH($C191,'Policy Characteristics'!$C:$C,0))),"",INDEX('Policy Characteristics'!L:L,MATCH($C191,'Policy Characteristics'!$C:$C,0)))</f>
        <v>carbon-capture-and-sequestration.html</v>
      </c>
    </row>
    <row r="192" s="384" customFormat="1" customHeight="1" spans="1:18">
      <c r="A192" s="394" t="str">
        <f>IF(ISBLANK(INDEX('Policy Characteristics'!A:A,MATCH($C192,'Policy Characteristics'!$C:$C,0))),"",INDEX('Policy Characteristics'!A:A,MATCH($C192,'Policy Characteristics'!$C:$C,0)))</f>
        <v>Electricity Supply</v>
      </c>
      <c r="B192" s="395" t="str">
        <f>IF(ISBLANK(INDEX('Policy Characteristics'!B:B,MATCH($C192,'Policy Characteristics'!$C:$C,0))),"",INDEX('Policy Characteristics'!B:B,MATCH($C192,'Policy Characteristics'!$C:$C,0)))</f>
        <v>Carbon Capture and Sequestration</v>
      </c>
      <c r="C192" s="394" t="str">
        <f t="shared" si="17"/>
        <v>Electricity Sector Fraction of Potential Additional CCS Achieved</v>
      </c>
      <c r="D192" s="399" t="s">
        <v>731</v>
      </c>
      <c r="E192" s="399"/>
      <c r="F192" s="399" t="s">
        <v>732</v>
      </c>
      <c r="G192" s="399"/>
      <c r="H192" s="377">
        <v>891</v>
      </c>
      <c r="I192" s="396" t="s">
        <v>648</v>
      </c>
      <c r="J192" s="397" t="str">
        <f>IF(ISBLANK(INDEX('Policy Characteristics'!D:D,MATCH($C192,'Policy Characteristics'!$C:$C,0))),"",INDEX('Policy Characteristics'!D:D,MATCH($C192,'Policy Characteristics'!$C:$C,0)))</f>
        <v>Clean Electricity Standard</v>
      </c>
      <c r="K192" s="394" t="str">
        <f>IF(ISBLANK(INDEX('Policy Characteristics'!E:E,MATCH($C192,'Policy Characteristics'!$C:$C,0))),"",INDEX('Policy Characteristics'!E:E,MATCH($C192,'Policy Characteristics'!$C:$C,0)))</f>
        <v>elec CCS</v>
      </c>
      <c r="L192" s="398">
        <f>IF(ISBLANK(INDEX('Policy Characteristics'!F:F,MATCH($C192,'Policy Characteristics'!$C:$C,0))),"",INDEX('Policy Characteristics'!F:F,MATCH($C192,'Policy Characteristics'!$C:$C,0)))</f>
        <v>0</v>
      </c>
      <c r="M192" s="398">
        <f>IF(ISBLANK(INDEX('Policy Characteristics'!G:G,MATCH($C192,'Policy Characteristics'!$C:$C,0))),"",INDEX('Policy Characteristics'!G:G,MATCH($C192,'Policy Characteristics'!$C:$C,0)))</f>
        <v>1</v>
      </c>
      <c r="N192" s="398">
        <f>IF(ISBLANK(INDEX('Policy Characteristics'!H:H,MATCH($C192,'Policy Characteristics'!$C:$C,0))),"",INDEX('Policy Characteristics'!H:H,MATCH($C192,'Policy Characteristics'!$C:$C,0)))</f>
        <v>0.01</v>
      </c>
      <c r="O192" s="394" t="str">
        <f>IF(ISBLANK(INDEX('Policy Characteristics'!I:I,MATCH($C192,'Policy Characteristics'!$C:$C,0))),"",INDEX('Policy Characteristics'!I:I,MATCH($C192,'Policy Characteristics'!$C:$C,0)))</f>
        <v>% of CO2 captured</v>
      </c>
      <c r="P192" s="394" t="str">
        <f>IF(ISBLANK(INDEX('Policy Characteristics'!J:J,MATCH($C192,'Policy Characteristics'!$C:$C,0))),"",INDEX('Policy Characteristics'!J:J,MATCH($C192,'Policy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2" s="394" t="str">
        <f>IF(ISBLANK(INDEX('Policy Characteristics'!K:K,MATCH($C192,'Policy Characteristics'!$C:$C,0))),"",INDEX('Policy Characteristics'!K:K,MATCH($C192,'Policy Characteristics'!$C:$C,0)))</f>
        <v>ccs.html#ccs</v>
      </c>
      <c r="R192" s="394" t="str">
        <f>IF(ISBLANK(INDEX('Policy Characteristics'!L:L,MATCH($C192,'Policy Characteristics'!$C:$C,0))),"",INDEX('Policy Characteristics'!L:L,MATCH($C192,'Policy Characteristics'!$C:$C,0)))</f>
        <v>carbon-capture-and-sequestration.html</v>
      </c>
    </row>
    <row r="193" s="384" customFormat="1" customHeight="1" spans="1:18">
      <c r="A193" s="394" t="str">
        <f>IF(ISBLANK(INDEX('Policy Characteristics'!A:A,MATCH($C193,'Policy Characteristics'!$C:$C,0))),"",INDEX('Policy Characteristics'!A:A,MATCH($C193,'Policy Characteristics'!$C:$C,0)))</f>
        <v>Electricity Supply</v>
      </c>
      <c r="B193" s="395" t="str">
        <f>IF(ISBLANK(INDEX('Policy Characteristics'!B:B,MATCH($C193,'Policy Characteristics'!$C:$C,0))),"",INDEX('Policy Characteristics'!B:B,MATCH($C193,'Policy Characteristics'!$C:$C,0)))</f>
        <v>Renewable Energy</v>
      </c>
      <c r="C193" t="s">
        <v>220</v>
      </c>
      <c r="D193" s="399"/>
      <c r="E193" s="399"/>
      <c r="F193" s="399"/>
      <c r="G193" s="399"/>
      <c r="H193" s="377">
        <v>508</v>
      </c>
      <c r="I193" s="396" t="s">
        <v>648</v>
      </c>
      <c r="J193" s="397" t="str">
        <f>IF(ISBLANK(INDEX('Policy Characteristics'!D:D,MATCH($C193,'Policy Characteristics'!$C:$C,0))),"",INDEX('Policy Characteristics'!D:D,MATCH($C193,'Policy Characteristics'!$C:$C,0)))</f>
        <v>Renewable Energy</v>
      </c>
      <c r="K193" s="394" t="str">
        <f>IF(ISBLANK(INDEX('Policy Characteristics'!E:E,MATCH($C193,'Policy Characteristics'!$C:$C,0))),"",INDEX('Policy Characteristics'!E:E,MATCH($C193,'Policy Characteristics'!$C:$C,0)))</f>
        <v>elec renewable portfolio standards</v>
      </c>
      <c r="L193" s="398">
        <f>IF(ISBLANK(INDEX('Policy Characteristics'!F:F,MATCH($C193,'Policy Characteristics'!$C:$C,0))),"",INDEX('Policy Characteristics'!F:F,MATCH($C193,'Policy Characteristics'!$C:$C,0)))</f>
        <v>0</v>
      </c>
      <c r="M193" s="398">
        <f>IF(ISBLANK(INDEX('Policy Characteristics'!G:G,MATCH($C193,'Policy Characteristics'!$C:$C,0))),"",INDEX('Policy Characteristics'!G:G,MATCH($C193,'Policy Characteristics'!$C:$C,0)))</f>
        <v>1</v>
      </c>
      <c r="N193" s="398">
        <f>IF(ISBLANK(INDEX('Policy Characteristics'!H:H,MATCH($C193,'Policy Characteristics'!$C:$C,0))),"",INDEX('Policy Characteristics'!H:H,MATCH($C193,'Policy Characteristics'!$C:$C,0)))</f>
        <v>0.01</v>
      </c>
      <c r="O193" s="394" t="str">
        <f>IF(ISBLANK(INDEX('Policy Characteristics'!I:I,MATCH($C193,'Policy Characteristics'!$C:$C,0))),"",INDEX('Policy Characteristics'!I:I,MATCH($C193,'Policy Characteristics'!$C:$C,0)))</f>
        <v>% of electricity generation</v>
      </c>
      <c r="P193" s="394" t="str">
        <f>IF(ISBLANK(INDEX('Policy Characteristics'!J:J,MATCH($C193,'Policy Characteristics'!$C:$C,0))),"",INDEX('Policy Characteristics'!J:J,MATCH($C193,'Policy Characteristics'!$C:$C,0)))</f>
        <v>**Description:** This policy specifies an increase in the fraction of electricity generation that must come from qualifying carbon-free sources (wind, solar, biomass, nuclear, hydro, and geothermal) in 2060.  This policy has no effect until the user-set value exceeds the existing fraction of carbon-free electricity and any carbon-free electricity standards reflected in BAU.  // **Guidance for setting values:** China came out with new RPS policies to reach about 33% in 2025. A request for public opinion, a goal of 40% for all provinces except Tibet in 2030 was proposed. Inner Mongolia's Energy 14th FYP declared the that share of non-fossil power generation will rise from 17.3% in 2020, to 30% by 2035.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v>
      </c>
      <c r="Q193" s="394" t="str">
        <f>IF(ISBLANK(INDEX('Policy Characteristics'!K:K,MATCH($C193,'Policy Characteristics'!$C:$C,0))),"",INDEX('Policy Characteristics'!K:K,MATCH($C193,'Policy Characteristics'!$C:$C,0)))</f>
        <v>electricity-sector-main.html#ces</v>
      </c>
      <c r="R193" s="394" t="str">
        <f>IF(ISBLANK(INDEX('Policy Characteristics'!L:L,MATCH($C193,'Policy Characteristics'!$C:$C,0))),"",INDEX('Policy Characteristics'!L:L,MATCH($C193,'Policy Characteristics'!$C:$C,0)))</f>
        <v>clean-energy-standard.html</v>
      </c>
    </row>
    <row r="194" customHeight="1" spans="1:18">
      <c r="A194" s="394" t="str">
        <f>IF(ISBLANK(INDEX('Policy Characteristics'!A:A,MATCH($C194,'Policy Characteristics'!$C:$C,0))),"",INDEX('Policy Characteristics'!A:A,MATCH($C194,'Policy Characteristics'!$C:$C,0)))</f>
        <v>Electricity Supply</v>
      </c>
      <c r="B194" s="395" t="str">
        <f>IF(ISBLANK(INDEX('Policy Characteristics'!B:B,MATCH($C194,'Policy Characteristics'!$C:$C,0))),"",INDEX('Policy Characteristics'!B:B,MATCH($C194,'Policy Characteristics'!$C:$C,0)))</f>
        <v>Change Electricity Exports</v>
      </c>
      <c r="C194" t="s">
        <v>228</v>
      </c>
      <c r="D194" s="399"/>
      <c r="E194" s="399"/>
      <c r="F194" s="399"/>
      <c r="G194" s="399"/>
      <c r="H194" s="377">
        <v>148</v>
      </c>
      <c r="I194" s="396" t="s">
        <v>648</v>
      </c>
      <c r="J194" s="397" t="str">
        <f>IF(ISBLANK(INDEX('Policy Characteristics'!D:D,MATCH($C194,'Policy Characteristics'!$C:$C,0))),"",INDEX('Policy Characteristics'!D:D,MATCH($C194,'Policy Characteristics'!$C:$C,0)))</f>
        <v>Electricity Imports and Exports</v>
      </c>
      <c r="K194" s="394" t="str">
        <f>IF(ISBLANK(INDEX('Policy Characteristics'!E:E,MATCH($C194,'Policy Characteristics'!$C:$C,0))),"",INDEX('Policy Characteristics'!E:E,MATCH($C194,'Policy Characteristics'!$C:$C,0)))</f>
        <v>elec change exports</v>
      </c>
      <c r="L194" s="398">
        <f>IF(ISBLANK(INDEX('Policy Characteristics'!F:F,MATCH($C194,'Policy Characteristics'!$C:$C,0))),"",INDEX('Policy Characteristics'!F:F,MATCH($C194,'Policy Characteristics'!$C:$C,0)))</f>
        <v>-0.5</v>
      </c>
      <c r="M194" s="398">
        <f>IF(ISBLANK(INDEX('Policy Characteristics'!G:G,MATCH($C194,'Policy Characteristics'!$C:$C,0))),"",INDEX('Policy Characteristics'!G:G,MATCH($C194,'Policy Characteristics'!$C:$C,0)))</f>
        <v>1</v>
      </c>
      <c r="N194" s="398">
        <f>IF(ISBLANK(INDEX('Policy Characteristics'!H:H,MATCH($C194,'Policy Characteristics'!$C:$C,0))),"",INDEX('Policy Characteristics'!H:H,MATCH($C194,'Policy Characteristics'!$C:$C,0)))</f>
        <v>0.02</v>
      </c>
      <c r="O194" s="394" t="str">
        <f>IF(ISBLANK(INDEX('Policy Characteristics'!I:I,MATCH($C194,'Policy Characteristics'!$C:$C,0))),"",INDEX('Policy Characteristics'!I:I,MATCH($C194,'Policy Characteristics'!$C:$C,0)))</f>
        <v>% change in exports</v>
      </c>
      <c r="P194" s="394" t="str">
        <f>IF(ISBLANK(INDEX('Policy Characteristics'!J:J,MATCH($C194,'Policy Characteristics'!$C:$C,0))),"",INDEX('Policy Characteristics'!J:J,MATCH($C194,'Policy Characteristics'!$C:$C,0)))</f>
        <v>**Description:** This policy increases or decreases the amount of electricity exported from Shandong.  It does not cause the construction or removal of transmission lines linking the province. // **Guidance for setting values:** Thanks to its vast land area, great solar and wind resource, and abundant coal reserve. Inner Mongolia has always been a major power provider in China, the construction of new export powerline enhances its capability to export. Between 2017 and 2021, Inner Mongolia's annual electricity export has increased from 156TWh to 247TWh, and is seeking to continuely increase its capacity to export renewable energy.</v>
      </c>
      <c r="Q194" s="394" t="str">
        <f>IF(ISBLANK(INDEX('Policy Characteristics'!K:K,MATCH($C194,'Policy Characteristics'!$C:$C,0))),"",INDEX('Policy Characteristics'!K:K,MATCH($C194,'Policy Characteristics'!$C:$C,0)))</f>
        <v>electricity-sector-main.html#elec-exports</v>
      </c>
      <c r="R194" s="394" t="str">
        <f>IF(ISBLANK(INDEX('Policy Characteristics'!L:L,MATCH($C194,'Policy Characteristics'!$C:$C,0))),"",INDEX('Policy Characteristics'!L:L,MATCH($C194,'Policy Characteristics'!$C:$C,0)))</f>
        <v>electricity-imports-exports.html</v>
      </c>
    </row>
    <row r="195" customHeight="1" spans="1:18">
      <c r="A195" s="394" t="str">
        <f>IF(ISBLANK(INDEX('Policy Characteristics'!A:A,MATCH($C195,'Policy Characteristics'!$C:$C,0))),"",INDEX('Policy Characteristics'!A:A,MATCH($C195,'Policy Characteristics'!$C:$C,0)))</f>
        <v>Electricity Supply</v>
      </c>
      <c r="B195" s="395" t="str">
        <f>IF(ISBLANK(INDEX('Policy Characteristics'!B:B,MATCH($C195,'Policy Characteristics'!$C:$C,0))),"",INDEX('Policy Characteristics'!B:B,MATCH($C195,'Policy Characteristics'!$C:$C,0)))</f>
        <v>Change Electricity Imports</v>
      </c>
      <c r="C195" t="s">
        <v>237</v>
      </c>
      <c r="D195" s="399" t="s">
        <v>701</v>
      </c>
      <c r="E195" s="399"/>
      <c r="F195" s="399" t="s">
        <v>702</v>
      </c>
      <c r="G195" s="399"/>
      <c r="H195" s="377">
        <v>149</v>
      </c>
      <c r="I195" s="396" t="s">
        <v>648</v>
      </c>
      <c r="J195" s="397" t="str">
        <f>IF(ISBLANK(INDEX('Policy Characteristics'!D:D,MATCH($C195,'Policy Characteristics'!$C:$C,0))),"",INDEX('Policy Characteristics'!D:D,MATCH($C195,'Policy Characteristics'!$C:$C,0)))</f>
        <v>Electricity Imports and Exports</v>
      </c>
      <c r="K195" s="394" t="str">
        <f>IF(ISBLANK(INDEX('Policy Characteristics'!E:E,MATCH($C195,'Policy Characteristics'!$C:$C,0))),"",INDEX('Policy Characteristics'!E:E,MATCH($C195,'Policy Characteristics'!$C:$C,0)))</f>
        <v>elec change imports</v>
      </c>
      <c r="L195" s="398">
        <f>IF(ISBLANK(INDEX('Policy Characteristics'!F:F,MATCH($C195,'Policy Characteristics'!$C:$C,0))),"",INDEX('Policy Characteristics'!F:F,MATCH($C195,'Policy Characteristics'!$C:$C,0)))</f>
        <v>-0.5</v>
      </c>
      <c r="M195" s="398">
        <f>IF(ISBLANK(INDEX('Policy Characteristics'!G:G,MATCH($C195,'Policy Characteristics'!$C:$C,0))),"",INDEX('Policy Characteristics'!G:G,MATCH($C195,'Policy Characteristics'!$C:$C,0)))</f>
        <v>1</v>
      </c>
      <c r="N195" s="398">
        <f>IF(ISBLANK(INDEX('Policy Characteristics'!H:H,MATCH($C195,'Policy Characteristics'!$C:$C,0))),"",INDEX('Policy Characteristics'!H:H,MATCH($C195,'Policy Characteristics'!$C:$C,0)))</f>
        <v>0.02</v>
      </c>
      <c r="O195" s="394" t="str">
        <f>IF(ISBLANK(INDEX('Policy Characteristics'!I:I,MATCH($C195,'Policy Characteristics'!$C:$C,0))),"",INDEX('Policy Characteristics'!I:I,MATCH($C195,'Policy Characteristics'!$C:$C,0)))</f>
        <v>% change in imports</v>
      </c>
      <c r="P195" s="394" t="str">
        <f>IF(ISBLANK(INDEX('Policy Characteristics'!J:J,MATCH($C195,'Policy Characteristics'!$C:$C,0))),"",INDEX('Policy Characteristics'!J:J,MATCH($C195,'Policy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5" s="394" t="str">
        <f>IF(ISBLANK(INDEX('Policy Characteristics'!K:K,MATCH($C195,'Policy Characteristics'!$C:$C,0))),"",INDEX('Policy Characteristics'!K:K,MATCH($C195,'Policy Characteristics'!$C:$C,0)))</f>
        <v>electricity-sector-main.html#elec-imports</v>
      </c>
      <c r="R195" s="394" t="str">
        <f>IF(ISBLANK(INDEX('Policy Characteristics'!L:L,MATCH($C195,'Policy Characteristics'!$C:$C,0))),"",INDEX('Policy Characteristics'!L:L,MATCH($C195,'Policy Characteristics'!$C:$C,0)))</f>
        <v>electricity-imports-exports.html</v>
      </c>
    </row>
    <row r="196" customHeight="1" spans="1:18">
      <c r="A196" s="394" t="str">
        <f>IF(ISBLANK(INDEX('Policy Characteristics'!A:A,MATCH($C196,'Policy Characteristics'!$C:$C,0))),"",INDEX('Policy Characteristics'!A:A,MATCH($C196,'Policy Characteristics'!$C:$C,0)))</f>
        <v>Electricity Supply</v>
      </c>
      <c r="B196" s="395" t="str">
        <f>IF(ISBLANK(INDEX('Policy Characteristics'!B:B,MATCH($C196,'Policy Characteristics'!$C:$C,0))),"",INDEX('Policy Characteristics'!B:B,MATCH($C196,'Policy Characteristics'!$C:$C,0)))</f>
        <v>Change Electricity Imports</v>
      </c>
      <c r="C196" s="394" t="str">
        <f t="shared" ref="C196:C210" si="18">C$195</f>
        <v>Percent Change in Electricity Imports</v>
      </c>
      <c r="D196" s="399" t="s">
        <v>703</v>
      </c>
      <c r="E196" s="399"/>
      <c r="F196" s="399" t="s">
        <v>704</v>
      </c>
      <c r="G196" s="399"/>
      <c r="H196" s="377">
        <v>526</v>
      </c>
      <c r="I196" s="396" t="s">
        <v>648</v>
      </c>
      <c r="J196" s="397" t="str">
        <f>IF(ISBLANK(INDEX('Policy Characteristics'!D:D,MATCH($C196,'Policy Characteristics'!$C:$C,0))),"",INDEX('Policy Characteristics'!D:D,MATCH($C196,'Policy Characteristics'!$C:$C,0)))</f>
        <v>Electricity Imports and Exports</v>
      </c>
      <c r="K196" s="394" t="str">
        <f>IF(ISBLANK(INDEX('Policy Characteristics'!E:E,MATCH($C196,'Policy Characteristics'!$C:$C,0))),"",INDEX('Policy Characteristics'!E:E,MATCH($C196,'Policy Characteristics'!$C:$C,0)))</f>
        <v>elec change imports</v>
      </c>
      <c r="L196" s="398">
        <f>IF(ISBLANK(INDEX('Policy Characteristics'!F:F,MATCH($C196,'Policy Characteristics'!$C:$C,0))),"",INDEX('Policy Characteristics'!F:F,MATCH($C196,'Policy Characteristics'!$C:$C,0)))</f>
        <v>-0.5</v>
      </c>
      <c r="M196" s="398">
        <f>IF(ISBLANK(INDEX('Policy Characteristics'!G:G,MATCH($C196,'Policy Characteristics'!$C:$C,0))),"",INDEX('Policy Characteristics'!G:G,MATCH($C196,'Policy Characteristics'!$C:$C,0)))</f>
        <v>1</v>
      </c>
      <c r="N196" s="398">
        <f>IF(ISBLANK(INDEX('Policy Characteristics'!H:H,MATCH($C196,'Policy Characteristics'!$C:$C,0))),"",INDEX('Policy Characteristics'!H:H,MATCH($C196,'Policy Characteristics'!$C:$C,0)))</f>
        <v>0.02</v>
      </c>
      <c r="O196" s="394" t="str">
        <f>IF(ISBLANK(INDEX('Policy Characteristics'!I:I,MATCH($C196,'Policy Characteristics'!$C:$C,0))),"",INDEX('Policy Characteristics'!I:I,MATCH($C196,'Policy Characteristics'!$C:$C,0)))</f>
        <v>% change in imports</v>
      </c>
      <c r="P196" s="394" t="str">
        <f>IF(ISBLANK(INDEX('Policy Characteristics'!J:J,MATCH($C196,'Policy Characteristics'!$C:$C,0))),"",INDEX('Policy Characteristics'!J:J,MATCH($C196,'Policy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6" s="394" t="str">
        <f>IF(ISBLANK(INDEX('Policy Characteristics'!K:K,MATCH($C196,'Policy Characteristics'!$C:$C,0))),"",INDEX('Policy Characteristics'!K:K,MATCH($C196,'Policy Characteristics'!$C:$C,0)))</f>
        <v>electricity-sector-main.html#elec-imports</v>
      </c>
      <c r="R196" s="394" t="str">
        <f>IF(ISBLANK(INDEX('Policy Characteristics'!L:L,MATCH($C196,'Policy Characteristics'!$C:$C,0))),"",INDEX('Policy Characteristics'!L:L,MATCH($C196,'Policy Characteristics'!$C:$C,0)))</f>
        <v>electricity-imports-exports.html</v>
      </c>
    </row>
    <row r="197" customHeight="1" spans="1:18">
      <c r="A197" s="394" t="str">
        <f>IF(ISBLANK(INDEX('Policy Characteristics'!A:A,MATCH($C197,'Policy Characteristics'!$C:$C,0))),"",INDEX('Policy Characteristics'!A:A,MATCH($C197,'Policy Characteristics'!$C:$C,0)))</f>
        <v>Electricity Supply</v>
      </c>
      <c r="B197" s="395" t="str">
        <f>IF(ISBLANK(INDEX('Policy Characteristics'!B:B,MATCH($C197,'Policy Characteristics'!$C:$C,0))),"",INDEX('Policy Characteristics'!B:B,MATCH($C197,'Policy Characteristics'!$C:$C,0)))</f>
        <v>Change Electricity Imports</v>
      </c>
      <c r="C197" s="394" t="str">
        <f t="shared" si="18"/>
        <v>Percent Change in Electricity Imports</v>
      </c>
      <c r="D197" s="399" t="s">
        <v>705</v>
      </c>
      <c r="E197" s="399"/>
      <c r="F197" s="399" t="s">
        <v>706</v>
      </c>
      <c r="G197" s="399"/>
      <c r="H197" s="377">
        <v>527</v>
      </c>
      <c r="I197" s="396" t="s">
        <v>648</v>
      </c>
      <c r="J197" s="397" t="str">
        <f>IF(ISBLANK(INDEX('Policy Characteristics'!D:D,MATCH($C197,'Policy Characteristics'!$C:$C,0))),"",INDEX('Policy Characteristics'!D:D,MATCH($C197,'Policy Characteristics'!$C:$C,0)))</f>
        <v>Electricity Imports and Exports</v>
      </c>
      <c r="K197" s="394" t="str">
        <f>IF(ISBLANK(INDEX('Policy Characteristics'!E:E,MATCH($C197,'Policy Characteristics'!$C:$C,0))),"",INDEX('Policy Characteristics'!E:E,MATCH($C197,'Policy Characteristics'!$C:$C,0)))</f>
        <v>elec change imports</v>
      </c>
      <c r="L197" s="398">
        <f>IF(ISBLANK(INDEX('Policy Characteristics'!F:F,MATCH($C197,'Policy Characteristics'!$C:$C,0))),"",INDEX('Policy Characteristics'!F:F,MATCH($C197,'Policy Characteristics'!$C:$C,0)))</f>
        <v>-0.5</v>
      </c>
      <c r="M197" s="398">
        <f>IF(ISBLANK(INDEX('Policy Characteristics'!G:G,MATCH($C197,'Policy Characteristics'!$C:$C,0))),"",INDEX('Policy Characteristics'!G:G,MATCH($C197,'Policy Characteristics'!$C:$C,0)))</f>
        <v>1</v>
      </c>
      <c r="N197" s="398">
        <f>IF(ISBLANK(INDEX('Policy Characteristics'!H:H,MATCH($C197,'Policy Characteristics'!$C:$C,0))),"",INDEX('Policy Characteristics'!H:H,MATCH($C197,'Policy Characteristics'!$C:$C,0)))</f>
        <v>0.02</v>
      </c>
      <c r="O197" s="394" t="str">
        <f>IF(ISBLANK(INDEX('Policy Characteristics'!I:I,MATCH($C197,'Policy Characteristics'!$C:$C,0))),"",INDEX('Policy Characteristics'!I:I,MATCH($C197,'Policy Characteristics'!$C:$C,0)))</f>
        <v>% change in imports</v>
      </c>
      <c r="P197" s="394" t="str">
        <f>IF(ISBLANK(INDEX('Policy Characteristics'!J:J,MATCH($C197,'Policy Characteristics'!$C:$C,0))),"",INDEX('Policy Characteristics'!J:J,MATCH($C197,'Policy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7" s="394" t="str">
        <f>IF(ISBLANK(INDEX('Policy Characteristics'!K:K,MATCH($C197,'Policy Characteristics'!$C:$C,0))),"",INDEX('Policy Characteristics'!K:K,MATCH($C197,'Policy Characteristics'!$C:$C,0)))</f>
        <v>electricity-sector-main.html#elec-imports</v>
      </c>
      <c r="R197" s="394" t="str">
        <f>IF(ISBLANK(INDEX('Policy Characteristics'!L:L,MATCH($C197,'Policy Characteristics'!$C:$C,0))),"",INDEX('Policy Characteristics'!L:L,MATCH($C197,'Policy Characteristics'!$C:$C,0)))</f>
        <v>electricity-imports-exports.html</v>
      </c>
    </row>
    <row r="198" customHeight="1" spans="1:18">
      <c r="A198" s="394" t="str">
        <f>IF(ISBLANK(INDEX('Policy Characteristics'!A:A,MATCH($C198,'Policy Characteristics'!$C:$C,0))),"",INDEX('Policy Characteristics'!A:A,MATCH($C198,'Policy Characteristics'!$C:$C,0)))</f>
        <v>Electricity Supply</v>
      </c>
      <c r="B198" s="395" t="str">
        <f>IF(ISBLANK(INDEX('Policy Characteristics'!B:B,MATCH($C198,'Policy Characteristics'!$C:$C,0))),"",INDEX('Policy Characteristics'!B:B,MATCH($C198,'Policy Characteristics'!$C:$C,0)))</f>
        <v>Change Electricity Imports</v>
      </c>
      <c r="C198" s="394" t="str">
        <f t="shared" si="18"/>
        <v>Percent Change in Electricity Imports</v>
      </c>
      <c r="D198" s="399" t="s">
        <v>707</v>
      </c>
      <c r="E198" s="399"/>
      <c r="F198" s="399" t="s">
        <v>708</v>
      </c>
      <c r="G198" s="399"/>
      <c r="H198" s="377">
        <v>528</v>
      </c>
      <c r="I198" s="396" t="s">
        <v>648</v>
      </c>
      <c r="J198" s="397" t="str">
        <f>IF(ISBLANK(INDEX('Policy Characteristics'!D:D,MATCH($C198,'Policy Characteristics'!$C:$C,0))),"",INDEX('Policy Characteristics'!D:D,MATCH($C198,'Policy Characteristics'!$C:$C,0)))</f>
        <v>Electricity Imports and Exports</v>
      </c>
      <c r="K198" s="394" t="str">
        <f>IF(ISBLANK(INDEX('Policy Characteristics'!E:E,MATCH($C198,'Policy Characteristics'!$C:$C,0))),"",INDEX('Policy Characteristics'!E:E,MATCH($C198,'Policy Characteristics'!$C:$C,0)))</f>
        <v>elec change imports</v>
      </c>
      <c r="L198" s="398">
        <f>IF(ISBLANK(INDEX('Policy Characteristics'!F:F,MATCH($C198,'Policy Characteristics'!$C:$C,0))),"",INDEX('Policy Characteristics'!F:F,MATCH($C198,'Policy Characteristics'!$C:$C,0)))</f>
        <v>-0.5</v>
      </c>
      <c r="M198" s="398">
        <f>IF(ISBLANK(INDEX('Policy Characteristics'!G:G,MATCH($C198,'Policy Characteristics'!$C:$C,0))),"",INDEX('Policy Characteristics'!G:G,MATCH($C198,'Policy Characteristics'!$C:$C,0)))</f>
        <v>1</v>
      </c>
      <c r="N198" s="398">
        <f>IF(ISBLANK(INDEX('Policy Characteristics'!H:H,MATCH($C198,'Policy Characteristics'!$C:$C,0))),"",INDEX('Policy Characteristics'!H:H,MATCH($C198,'Policy Characteristics'!$C:$C,0)))</f>
        <v>0.02</v>
      </c>
      <c r="O198" s="394" t="str">
        <f>IF(ISBLANK(INDEX('Policy Characteristics'!I:I,MATCH($C198,'Policy Characteristics'!$C:$C,0))),"",INDEX('Policy Characteristics'!I:I,MATCH($C198,'Policy Characteristics'!$C:$C,0)))</f>
        <v>% change in imports</v>
      </c>
      <c r="P198" s="394" t="str">
        <f>IF(ISBLANK(INDEX('Policy Characteristics'!J:J,MATCH($C198,'Policy Characteristics'!$C:$C,0))),"",INDEX('Policy Characteristics'!J:J,MATCH($C198,'Policy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8" s="394" t="str">
        <f>IF(ISBLANK(INDEX('Policy Characteristics'!K:K,MATCH($C198,'Policy Characteristics'!$C:$C,0))),"",INDEX('Policy Characteristics'!K:K,MATCH($C198,'Policy Characteristics'!$C:$C,0)))</f>
        <v>electricity-sector-main.html#elec-imports</v>
      </c>
      <c r="R198" s="394" t="str">
        <f>IF(ISBLANK(INDEX('Policy Characteristics'!L:L,MATCH($C198,'Policy Characteristics'!$C:$C,0))),"",INDEX('Policy Characteristics'!L:L,MATCH($C198,'Policy Characteristics'!$C:$C,0)))</f>
        <v>electricity-imports-exports.html</v>
      </c>
    </row>
    <row r="199" customHeight="1" spans="1:18">
      <c r="A199" s="394" t="str">
        <f>IF(ISBLANK(INDEX('Policy Characteristics'!A:A,MATCH($C199,'Policy Characteristics'!$C:$C,0))),"",INDEX('Policy Characteristics'!A:A,MATCH($C199,'Policy Characteristics'!$C:$C,0)))</f>
        <v>Electricity Supply</v>
      </c>
      <c r="B199" s="395" t="str">
        <f>IF(ISBLANK(INDEX('Policy Characteristics'!B:B,MATCH($C199,'Policy Characteristics'!$C:$C,0))),"",INDEX('Policy Characteristics'!B:B,MATCH($C199,'Policy Characteristics'!$C:$C,0)))</f>
        <v>Change Electricity Imports</v>
      </c>
      <c r="C199" s="394" t="str">
        <f t="shared" si="18"/>
        <v>Percent Change in Electricity Imports</v>
      </c>
      <c r="D199" s="399" t="s">
        <v>709</v>
      </c>
      <c r="E199" s="399"/>
      <c r="F199" s="399" t="s">
        <v>710</v>
      </c>
      <c r="G199" s="399"/>
      <c r="H199" s="377">
        <v>529</v>
      </c>
      <c r="I199" s="396" t="s">
        <v>648</v>
      </c>
      <c r="J199" s="397" t="str">
        <f>IF(ISBLANK(INDEX('Policy Characteristics'!D:D,MATCH($C199,'Policy Characteristics'!$C:$C,0))),"",INDEX('Policy Characteristics'!D:D,MATCH($C199,'Policy Characteristics'!$C:$C,0)))</f>
        <v>Electricity Imports and Exports</v>
      </c>
      <c r="K199" s="394" t="str">
        <f>IF(ISBLANK(INDEX('Policy Characteristics'!E:E,MATCH($C199,'Policy Characteristics'!$C:$C,0))),"",INDEX('Policy Characteristics'!E:E,MATCH($C199,'Policy Characteristics'!$C:$C,0)))</f>
        <v>elec change imports</v>
      </c>
      <c r="L199" s="398">
        <f>IF(ISBLANK(INDEX('Policy Characteristics'!F:F,MATCH($C199,'Policy Characteristics'!$C:$C,0))),"",INDEX('Policy Characteristics'!F:F,MATCH($C199,'Policy Characteristics'!$C:$C,0)))</f>
        <v>-0.5</v>
      </c>
      <c r="M199" s="398">
        <f>IF(ISBLANK(INDEX('Policy Characteristics'!G:G,MATCH($C199,'Policy Characteristics'!$C:$C,0))),"",INDEX('Policy Characteristics'!G:G,MATCH($C199,'Policy Characteristics'!$C:$C,0)))</f>
        <v>1</v>
      </c>
      <c r="N199" s="398">
        <f>IF(ISBLANK(INDEX('Policy Characteristics'!H:H,MATCH($C199,'Policy Characteristics'!$C:$C,0))),"",INDEX('Policy Characteristics'!H:H,MATCH($C199,'Policy Characteristics'!$C:$C,0)))</f>
        <v>0.02</v>
      </c>
      <c r="O199" s="394" t="str">
        <f>IF(ISBLANK(INDEX('Policy Characteristics'!I:I,MATCH($C199,'Policy Characteristics'!$C:$C,0))),"",INDEX('Policy Characteristics'!I:I,MATCH($C199,'Policy Characteristics'!$C:$C,0)))</f>
        <v>% change in imports</v>
      </c>
      <c r="P199" s="394" t="str">
        <f>IF(ISBLANK(INDEX('Policy Characteristics'!J:J,MATCH($C199,'Policy Characteristics'!$C:$C,0))),"",INDEX('Policy Characteristics'!J:J,MATCH($C199,'Policy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9" s="394" t="str">
        <f>IF(ISBLANK(INDEX('Policy Characteristics'!K:K,MATCH($C199,'Policy Characteristics'!$C:$C,0))),"",INDEX('Policy Characteristics'!K:K,MATCH($C199,'Policy Characteristics'!$C:$C,0)))</f>
        <v>electricity-sector-main.html#elec-imports</v>
      </c>
      <c r="R199" s="394" t="str">
        <f>IF(ISBLANK(INDEX('Policy Characteristics'!L:L,MATCH($C199,'Policy Characteristics'!$C:$C,0))),"",INDEX('Policy Characteristics'!L:L,MATCH($C199,'Policy Characteristics'!$C:$C,0)))</f>
        <v>electricity-imports-exports.html</v>
      </c>
    </row>
    <row r="200" customHeight="1" spans="1:18">
      <c r="A200" s="394" t="str">
        <f>IF(ISBLANK(INDEX('Policy Characteristics'!A:A,MATCH($C200,'Policy Characteristics'!$C:$C,0))),"",INDEX('Policy Characteristics'!A:A,MATCH($C200,'Policy Characteristics'!$C:$C,0)))</f>
        <v>Electricity Supply</v>
      </c>
      <c r="B200" s="395" t="str">
        <f>IF(ISBLANK(INDEX('Policy Characteristics'!B:B,MATCH($C200,'Policy Characteristics'!$C:$C,0))),"",INDEX('Policy Characteristics'!B:B,MATCH($C200,'Policy Characteristics'!$C:$C,0)))</f>
        <v>Change Electricity Imports</v>
      </c>
      <c r="C200" s="394" t="str">
        <f t="shared" si="18"/>
        <v>Percent Change in Electricity Imports</v>
      </c>
      <c r="D200" s="399" t="s">
        <v>711</v>
      </c>
      <c r="E200" s="399"/>
      <c r="F200" s="399" t="s">
        <v>712</v>
      </c>
      <c r="G200" s="399"/>
      <c r="H200" s="377">
        <v>530</v>
      </c>
      <c r="I200" s="396" t="s">
        <v>648</v>
      </c>
      <c r="J200" s="397" t="str">
        <f>IF(ISBLANK(INDEX('Policy Characteristics'!D:D,MATCH($C200,'Policy Characteristics'!$C:$C,0))),"",INDEX('Policy Characteristics'!D:D,MATCH($C200,'Policy Characteristics'!$C:$C,0)))</f>
        <v>Electricity Imports and Exports</v>
      </c>
      <c r="K200" s="394" t="str">
        <f>IF(ISBLANK(INDEX('Policy Characteristics'!E:E,MATCH($C200,'Policy Characteristics'!$C:$C,0))),"",INDEX('Policy Characteristics'!E:E,MATCH($C200,'Policy Characteristics'!$C:$C,0)))</f>
        <v>elec change imports</v>
      </c>
      <c r="L200" s="398">
        <f>IF(ISBLANK(INDEX('Policy Characteristics'!F:F,MATCH($C200,'Policy Characteristics'!$C:$C,0))),"",INDEX('Policy Characteristics'!F:F,MATCH($C200,'Policy Characteristics'!$C:$C,0)))</f>
        <v>-0.5</v>
      </c>
      <c r="M200" s="398">
        <f>IF(ISBLANK(INDEX('Policy Characteristics'!G:G,MATCH($C200,'Policy Characteristics'!$C:$C,0))),"",INDEX('Policy Characteristics'!G:G,MATCH($C200,'Policy Characteristics'!$C:$C,0)))</f>
        <v>1</v>
      </c>
      <c r="N200" s="398">
        <f>IF(ISBLANK(INDEX('Policy Characteristics'!H:H,MATCH($C200,'Policy Characteristics'!$C:$C,0))),"",INDEX('Policy Characteristics'!H:H,MATCH($C200,'Policy Characteristics'!$C:$C,0)))</f>
        <v>0.02</v>
      </c>
      <c r="O200" s="394" t="str">
        <f>IF(ISBLANK(INDEX('Policy Characteristics'!I:I,MATCH($C200,'Policy Characteristics'!$C:$C,0))),"",INDEX('Policy Characteristics'!I:I,MATCH($C200,'Policy Characteristics'!$C:$C,0)))</f>
        <v>% change in imports</v>
      </c>
      <c r="P200" s="394" t="str">
        <f>IF(ISBLANK(INDEX('Policy Characteristics'!J:J,MATCH($C200,'Policy Characteristics'!$C:$C,0))),"",INDEX('Policy Characteristics'!J:J,MATCH($C200,'Policy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0" s="394" t="str">
        <f>IF(ISBLANK(INDEX('Policy Characteristics'!K:K,MATCH($C200,'Policy Characteristics'!$C:$C,0))),"",INDEX('Policy Characteristics'!K:K,MATCH($C200,'Policy Characteristics'!$C:$C,0)))</f>
        <v>electricity-sector-main.html#elec-imports</v>
      </c>
      <c r="R200" s="394" t="str">
        <f>IF(ISBLANK(INDEX('Policy Characteristics'!L:L,MATCH($C200,'Policy Characteristics'!$C:$C,0))),"",INDEX('Policy Characteristics'!L:L,MATCH($C200,'Policy Characteristics'!$C:$C,0)))</f>
        <v>electricity-imports-exports.html</v>
      </c>
    </row>
    <row r="201" customHeight="1" spans="1:18">
      <c r="A201" s="394" t="str">
        <f>IF(ISBLANK(INDEX('Policy Characteristics'!A:A,MATCH($C201,'Policy Characteristics'!$C:$C,0))),"",INDEX('Policy Characteristics'!A:A,MATCH($C201,'Policy Characteristics'!$C:$C,0)))</f>
        <v>Electricity Supply</v>
      </c>
      <c r="B201" s="395" t="str">
        <f>IF(ISBLANK(INDEX('Policy Characteristics'!B:B,MATCH($C201,'Policy Characteristics'!$C:$C,0))),"",INDEX('Policy Characteristics'!B:B,MATCH($C201,'Policy Characteristics'!$C:$C,0)))</f>
        <v>Change Electricity Imports</v>
      </c>
      <c r="C201" s="394" t="str">
        <f t="shared" si="18"/>
        <v>Percent Change in Electricity Imports</v>
      </c>
      <c r="D201" s="399" t="s">
        <v>713</v>
      </c>
      <c r="E201" s="399"/>
      <c r="F201" s="399" t="s">
        <v>714</v>
      </c>
      <c r="G201" s="399"/>
      <c r="H201" s="377">
        <v>531</v>
      </c>
      <c r="I201" s="396" t="s">
        <v>648</v>
      </c>
      <c r="J201" s="397" t="str">
        <f>IF(ISBLANK(INDEX('Policy Characteristics'!D:D,MATCH($C201,'Policy Characteristics'!$C:$C,0))),"",INDEX('Policy Characteristics'!D:D,MATCH($C201,'Policy Characteristics'!$C:$C,0)))</f>
        <v>Electricity Imports and Exports</v>
      </c>
      <c r="K201" s="394" t="str">
        <f>IF(ISBLANK(INDEX('Policy Characteristics'!E:E,MATCH($C201,'Policy Characteristics'!$C:$C,0))),"",INDEX('Policy Characteristics'!E:E,MATCH($C201,'Policy Characteristics'!$C:$C,0)))</f>
        <v>elec change imports</v>
      </c>
      <c r="L201" s="398">
        <f>IF(ISBLANK(INDEX('Policy Characteristics'!F:F,MATCH($C201,'Policy Characteristics'!$C:$C,0))),"",INDEX('Policy Characteristics'!F:F,MATCH($C201,'Policy Characteristics'!$C:$C,0)))</f>
        <v>-0.5</v>
      </c>
      <c r="M201" s="398">
        <f>IF(ISBLANK(INDEX('Policy Characteristics'!G:G,MATCH($C201,'Policy Characteristics'!$C:$C,0))),"",INDEX('Policy Characteristics'!G:G,MATCH($C201,'Policy Characteristics'!$C:$C,0)))</f>
        <v>1</v>
      </c>
      <c r="N201" s="398">
        <f>IF(ISBLANK(INDEX('Policy Characteristics'!H:H,MATCH($C201,'Policy Characteristics'!$C:$C,0))),"",INDEX('Policy Characteristics'!H:H,MATCH($C201,'Policy Characteristics'!$C:$C,0)))</f>
        <v>0.02</v>
      </c>
      <c r="O201" s="394" t="str">
        <f>IF(ISBLANK(INDEX('Policy Characteristics'!I:I,MATCH($C201,'Policy Characteristics'!$C:$C,0))),"",INDEX('Policy Characteristics'!I:I,MATCH($C201,'Policy Characteristics'!$C:$C,0)))</f>
        <v>% change in imports</v>
      </c>
      <c r="P201" s="394" t="str">
        <f>IF(ISBLANK(INDEX('Policy Characteristics'!J:J,MATCH($C201,'Policy Characteristics'!$C:$C,0))),"",INDEX('Policy Characteristics'!J:J,MATCH($C201,'Policy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1" s="394" t="str">
        <f>IF(ISBLANK(INDEX('Policy Characteristics'!K:K,MATCH($C201,'Policy Characteristics'!$C:$C,0))),"",INDEX('Policy Characteristics'!K:K,MATCH($C201,'Policy Characteristics'!$C:$C,0)))</f>
        <v>electricity-sector-main.html#elec-imports</v>
      </c>
      <c r="R201" s="394" t="str">
        <f>IF(ISBLANK(INDEX('Policy Characteristics'!L:L,MATCH($C201,'Policy Characteristics'!$C:$C,0))),"",INDEX('Policy Characteristics'!L:L,MATCH($C201,'Policy Characteristics'!$C:$C,0)))</f>
        <v>electricity-imports-exports.html</v>
      </c>
    </row>
    <row r="202" customHeight="1" spans="1:18">
      <c r="A202" s="394" t="str">
        <f>IF(ISBLANK(INDEX('Policy Characteristics'!A:A,MATCH($C202,'Policy Characteristics'!$C:$C,0))),"",INDEX('Policy Characteristics'!A:A,MATCH($C202,'Policy Characteristics'!$C:$C,0)))</f>
        <v>Electricity Supply</v>
      </c>
      <c r="B202" s="395" t="str">
        <f>IF(ISBLANK(INDEX('Policy Characteristics'!B:B,MATCH($C202,'Policy Characteristics'!$C:$C,0))),"",INDEX('Policy Characteristics'!B:B,MATCH($C202,'Policy Characteristics'!$C:$C,0)))</f>
        <v>Change Electricity Imports</v>
      </c>
      <c r="C202" s="394" t="str">
        <f t="shared" si="18"/>
        <v>Percent Change in Electricity Imports</v>
      </c>
      <c r="D202" s="399" t="s">
        <v>715</v>
      </c>
      <c r="E202" s="399"/>
      <c r="F202" s="399" t="s">
        <v>716</v>
      </c>
      <c r="G202" s="399"/>
      <c r="H202" s="377">
        <v>532</v>
      </c>
      <c r="I202" s="396" t="s">
        <v>648</v>
      </c>
      <c r="J202" s="397" t="str">
        <f>IF(ISBLANK(INDEX('Policy Characteristics'!D:D,MATCH($C202,'Policy Characteristics'!$C:$C,0))),"",INDEX('Policy Characteristics'!D:D,MATCH($C202,'Policy Characteristics'!$C:$C,0)))</f>
        <v>Electricity Imports and Exports</v>
      </c>
      <c r="K202" s="394" t="str">
        <f>IF(ISBLANK(INDEX('Policy Characteristics'!E:E,MATCH($C202,'Policy Characteristics'!$C:$C,0))),"",INDEX('Policy Characteristics'!E:E,MATCH($C202,'Policy Characteristics'!$C:$C,0)))</f>
        <v>elec change imports</v>
      </c>
      <c r="L202" s="398">
        <f>IF(ISBLANK(INDEX('Policy Characteristics'!F:F,MATCH($C202,'Policy Characteristics'!$C:$C,0))),"",INDEX('Policy Characteristics'!F:F,MATCH($C202,'Policy Characteristics'!$C:$C,0)))</f>
        <v>-0.5</v>
      </c>
      <c r="M202" s="398">
        <f>IF(ISBLANK(INDEX('Policy Characteristics'!G:G,MATCH($C202,'Policy Characteristics'!$C:$C,0))),"",INDEX('Policy Characteristics'!G:G,MATCH($C202,'Policy Characteristics'!$C:$C,0)))</f>
        <v>1</v>
      </c>
      <c r="N202" s="398">
        <f>IF(ISBLANK(INDEX('Policy Characteristics'!H:H,MATCH($C202,'Policy Characteristics'!$C:$C,0))),"",INDEX('Policy Characteristics'!H:H,MATCH($C202,'Policy Characteristics'!$C:$C,0)))</f>
        <v>0.02</v>
      </c>
      <c r="O202" s="394" t="str">
        <f>IF(ISBLANK(INDEX('Policy Characteristics'!I:I,MATCH($C202,'Policy Characteristics'!$C:$C,0))),"",INDEX('Policy Characteristics'!I:I,MATCH($C202,'Policy Characteristics'!$C:$C,0)))</f>
        <v>% change in imports</v>
      </c>
      <c r="P202" s="394" t="str">
        <f>IF(ISBLANK(INDEX('Policy Characteristics'!J:J,MATCH($C202,'Policy Characteristics'!$C:$C,0))),"",INDEX('Policy Characteristics'!J:J,MATCH($C202,'Policy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2" s="394" t="str">
        <f>IF(ISBLANK(INDEX('Policy Characteristics'!K:K,MATCH($C202,'Policy Characteristics'!$C:$C,0))),"",INDEX('Policy Characteristics'!K:K,MATCH($C202,'Policy Characteristics'!$C:$C,0)))</f>
        <v>electricity-sector-main.html#elec-imports</v>
      </c>
      <c r="R202" s="394" t="str">
        <f>IF(ISBLANK(INDEX('Policy Characteristics'!L:L,MATCH($C202,'Policy Characteristics'!$C:$C,0))),"",INDEX('Policy Characteristics'!L:L,MATCH($C202,'Policy Characteristics'!$C:$C,0)))</f>
        <v>electricity-imports-exports.html</v>
      </c>
    </row>
    <row r="203" customHeight="1" spans="1:18">
      <c r="A203" s="394" t="str">
        <f>IF(ISBLANK(INDEX('Policy Characteristics'!A:A,MATCH($C203,'Policy Characteristics'!$C:$C,0))),"",INDEX('Policy Characteristics'!A:A,MATCH($C203,'Policy Characteristics'!$C:$C,0)))</f>
        <v>Electricity Supply</v>
      </c>
      <c r="B203" s="395" t="str">
        <f>IF(ISBLANK(INDEX('Policy Characteristics'!B:B,MATCH($C203,'Policy Characteristics'!$C:$C,0))),"",INDEX('Policy Characteristics'!B:B,MATCH($C203,'Policy Characteristics'!$C:$C,0)))</f>
        <v>Change Electricity Imports</v>
      </c>
      <c r="C203" s="394" t="str">
        <f t="shared" si="18"/>
        <v>Percent Change in Electricity Imports</v>
      </c>
      <c r="D203" s="399" t="s">
        <v>717</v>
      </c>
      <c r="E203" s="399"/>
      <c r="F203" s="399" t="s">
        <v>718</v>
      </c>
      <c r="G203" s="399"/>
      <c r="H203" s="377">
        <v>533</v>
      </c>
      <c r="I203" s="396" t="s">
        <v>648</v>
      </c>
      <c r="J203" s="397" t="str">
        <f>IF(ISBLANK(INDEX('Policy Characteristics'!D:D,MATCH($C203,'Policy Characteristics'!$C:$C,0))),"",INDEX('Policy Characteristics'!D:D,MATCH($C203,'Policy Characteristics'!$C:$C,0)))</f>
        <v>Electricity Imports and Exports</v>
      </c>
      <c r="K203" s="394" t="str">
        <f>IF(ISBLANK(INDEX('Policy Characteristics'!E:E,MATCH($C203,'Policy Characteristics'!$C:$C,0))),"",INDEX('Policy Characteristics'!E:E,MATCH($C203,'Policy Characteristics'!$C:$C,0)))</f>
        <v>elec change imports</v>
      </c>
      <c r="L203" s="398">
        <f>IF(ISBLANK(INDEX('Policy Characteristics'!F:F,MATCH($C203,'Policy Characteristics'!$C:$C,0))),"",INDEX('Policy Characteristics'!F:F,MATCH($C203,'Policy Characteristics'!$C:$C,0)))</f>
        <v>-0.5</v>
      </c>
      <c r="M203" s="398">
        <f>IF(ISBLANK(INDEX('Policy Characteristics'!G:G,MATCH($C203,'Policy Characteristics'!$C:$C,0))),"",INDEX('Policy Characteristics'!G:G,MATCH($C203,'Policy Characteristics'!$C:$C,0)))</f>
        <v>1</v>
      </c>
      <c r="N203" s="398">
        <f>IF(ISBLANK(INDEX('Policy Characteristics'!H:H,MATCH($C203,'Policy Characteristics'!$C:$C,0))),"",INDEX('Policy Characteristics'!H:H,MATCH($C203,'Policy Characteristics'!$C:$C,0)))</f>
        <v>0.02</v>
      </c>
      <c r="O203" s="394" t="str">
        <f>IF(ISBLANK(INDEX('Policy Characteristics'!I:I,MATCH($C203,'Policy Characteristics'!$C:$C,0))),"",INDEX('Policy Characteristics'!I:I,MATCH($C203,'Policy Characteristics'!$C:$C,0)))</f>
        <v>% change in imports</v>
      </c>
      <c r="P203" s="394" t="str">
        <f>IF(ISBLANK(INDEX('Policy Characteristics'!J:J,MATCH($C203,'Policy Characteristics'!$C:$C,0))),"",INDEX('Policy Characteristics'!J:J,MATCH($C203,'Policy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3" s="394" t="str">
        <f>IF(ISBLANK(INDEX('Policy Characteristics'!K:K,MATCH($C203,'Policy Characteristics'!$C:$C,0))),"",INDEX('Policy Characteristics'!K:K,MATCH($C203,'Policy Characteristics'!$C:$C,0)))</f>
        <v>electricity-sector-main.html#elec-imports</v>
      </c>
      <c r="R203" s="394" t="str">
        <f>IF(ISBLANK(INDEX('Policy Characteristics'!L:L,MATCH($C203,'Policy Characteristics'!$C:$C,0))),"",INDEX('Policy Characteristics'!L:L,MATCH($C203,'Policy Characteristics'!$C:$C,0)))</f>
        <v>electricity-imports-exports.html</v>
      </c>
    </row>
    <row r="204" customHeight="1" spans="1:18">
      <c r="A204" s="394" t="str">
        <f>IF(ISBLANK(INDEX('Policy Characteristics'!A:A,MATCH($C204,'Policy Characteristics'!$C:$C,0))),"",INDEX('Policy Characteristics'!A:A,MATCH($C204,'Policy Characteristics'!$C:$C,0)))</f>
        <v>Electricity Supply</v>
      </c>
      <c r="B204" s="395" t="str">
        <f>IF(ISBLANK(INDEX('Policy Characteristics'!B:B,MATCH($C204,'Policy Characteristics'!$C:$C,0))),"",INDEX('Policy Characteristics'!B:B,MATCH($C204,'Policy Characteristics'!$C:$C,0)))</f>
        <v>Change Electricity Imports</v>
      </c>
      <c r="C204" s="394" t="str">
        <f t="shared" si="18"/>
        <v>Percent Change in Electricity Imports</v>
      </c>
      <c r="D204" s="399" t="s">
        <v>719</v>
      </c>
      <c r="E204" s="399"/>
      <c r="F204" s="399" t="s">
        <v>720</v>
      </c>
      <c r="G204" s="399"/>
      <c r="H204" s="377">
        <v>534</v>
      </c>
      <c r="I204" s="396" t="s">
        <v>648</v>
      </c>
      <c r="J204" s="397" t="str">
        <f>IF(ISBLANK(INDEX('Policy Characteristics'!D:D,MATCH($C204,'Policy Characteristics'!$C:$C,0))),"",INDEX('Policy Characteristics'!D:D,MATCH($C204,'Policy Characteristics'!$C:$C,0)))</f>
        <v>Electricity Imports and Exports</v>
      </c>
      <c r="K204" s="394" t="str">
        <f>IF(ISBLANK(INDEX('Policy Characteristics'!E:E,MATCH($C204,'Policy Characteristics'!$C:$C,0))),"",INDEX('Policy Characteristics'!E:E,MATCH($C204,'Policy Characteristics'!$C:$C,0)))</f>
        <v>elec change imports</v>
      </c>
      <c r="L204" s="398">
        <f>IF(ISBLANK(INDEX('Policy Characteristics'!F:F,MATCH($C204,'Policy Characteristics'!$C:$C,0))),"",INDEX('Policy Characteristics'!F:F,MATCH($C204,'Policy Characteristics'!$C:$C,0)))</f>
        <v>-0.5</v>
      </c>
      <c r="M204" s="398">
        <f>IF(ISBLANK(INDEX('Policy Characteristics'!G:G,MATCH($C204,'Policy Characteristics'!$C:$C,0))),"",INDEX('Policy Characteristics'!G:G,MATCH($C204,'Policy Characteristics'!$C:$C,0)))</f>
        <v>1</v>
      </c>
      <c r="N204" s="398">
        <f>IF(ISBLANK(INDEX('Policy Characteristics'!H:H,MATCH($C204,'Policy Characteristics'!$C:$C,0))),"",INDEX('Policy Characteristics'!H:H,MATCH($C204,'Policy Characteristics'!$C:$C,0)))</f>
        <v>0.02</v>
      </c>
      <c r="O204" s="394" t="str">
        <f>IF(ISBLANK(INDEX('Policy Characteristics'!I:I,MATCH($C204,'Policy Characteristics'!$C:$C,0))),"",INDEX('Policy Characteristics'!I:I,MATCH($C204,'Policy Characteristics'!$C:$C,0)))</f>
        <v>% change in imports</v>
      </c>
      <c r="P204" s="394" t="str">
        <f>IF(ISBLANK(INDEX('Policy Characteristics'!J:J,MATCH($C204,'Policy Characteristics'!$C:$C,0))),"",INDEX('Policy Characteristics'!J:J,MATCH($C204,'Policy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4" s="394" t="str">
        <f>IF(ISBLANK(INDEX('Policy Characteristics'!K:K,MATCH($C204,'Policy Characteristics'!$C:$C,0))),"",INDEX('Policy Characteristics'!K:K,MATCH($C204,'Policy Characteristics'!$C:$C,0)))</f>
        <v>electricity-sector-main.html#elec-imports</v>
      </c>
      <c r="R204" s="394" t="str">
        <f>IF(ISBLANK(INDEX('Policy Characteristics'!L:L,MATCH($C204,'Policy Characteristics'!$C:$C,0))),"",INDEX('Policy Characteristics'!L:L,MATCH($C204,'Policy Characteristics'!$C:$C,0)))</f>
        <v>electricity-imports-exports.html</v>
      </c>
    </row>
    <row r="205" customHeight="1" spans="1:18">
      <c r="A205" s="394" t="str">
        <f>IF(ISBLANK(INDEX('Policy Characteristics'!A:A,MATCH($C205,'Policy Characteristics'!$C:$C,0))),"",INDEX('Policy Characteristics'!A:A,MATCH($C205,'Policy Characteristics'!$C:$C,0)))</f>
        <v>Electricity Supply</v>
      </c>
      <c r="B205" s="395" t="str">
        <f>IF(ISBLANK(INDEX('Policy Characteristics'!B:B,MATCH($C205,'Policy Characteristics'!$C:$C,0))),"",INDEX('Policy Characteristics'!B:B,MATCH($C205,'Policy Characteristics'!$C:$C,0)))</f>
        <v>Change Electricity Imports</v>
      </c>
      <c r="C205" s="394" t="str">
        <f t="shared" si="18"/>
        <v>Percent Change in Electricity Imports</v>
      </c>
      <c r="D205" s="399" t="s">
        <v>721</v>
      </c>
      <c r="E205" s="399"/>
      <c r="F205" s="399" t="s">
        <v>722</v>
      </c>
      <c r="G205" s="399"/>
      <c r="H205" s="377">
        <v>535</v>
      </c>
      <c r="I205" s="396" t="s">
        <v>648</v>
      </c>
      <c r="J205" s="397" t="str">
        <f>IF(ISBLANK(INDEX('Policy Characteristics'!D:D,MATCH($C205,'Policy Characteristics'!$C:$C,0))),"",INDEX('Policy Characteristics'!D:D,MATCH($C205,'Policy Characteristics'!$C:$C,0)))</f>
        <v>Electricity Imports and Exports</v>
      </c>
      <c r="K205" s="394" t="str">
        <f>IF(ISBLANK(INDEX('Policy Characteristics'!E:E,MATCH($C205,'Policy Characteristics'!$C:$C,0))),"",INDEX('Policy Characteristics'!E:E,MATCH($C205,'Policy Characteristics'!$C:$C,0)))</f>
        <v>elec change imports</v>
      </c>
      <c r="L205" s="398">
        <f>IF(ISBLANK(INDEX('Policy Characteristics'!F:F,MATCH($C205,'Policy Characteristics'!$C:$C,0))),"",INDEX('Policy Characteristics'!F:F,MATCH($C205,'Policy Characteristics'!$C:$C,0)))</f>
        <v>-0.5</v>
      </c>
      <c r="M205" s="398">
        <f>IF(ISBLANK(INDEX('Policy Characteristics'!G:G,MATCH($C205,'Policy Characteristics'!$C:$C,0))),"",INDEX('Policy Characteristics'!G:G,MATCH($C205,'Policy Characteristics'!$C:$C,0)))</f>
        <v>1</v>
      </c>
      <c r="N205" s="398">
        <f>IF(ISBLANK(INDEX('Policy Characteristics'!H:H,MATCH($C205,'Policy Characteristics'!$C:$C,0))),"",INDEX('Policy Characteristics'!H:H,MATCH($C205,'Policy Characteristics'!$C:$C,0)))</f>
        <v>0.02</v>
      </c>
      <c r="O205" s="394" t="str">
        <f>IF(ISBLANK(INDEX('Policy Characteristics'!I:I,MATCH($C205,'Policy Characteristics'!$C:$C,0))),"",INDEX('Policy Characteristics'!I:I,MATCH($C205,'Policy Characteristics'!$C:$C,0)))</f>
        <v>% change in imports</v>
      </c>
      <c r="P205" s="394" t="str">
        <f>IF(ISBLANK(INDEX('Policy Characteristics'!J:J,MATCH($C205,'Policy Characteristics'!$C:$C,0))),"",INDEX('Policy Characteristics'!J:J,MATCH($C205,'Policy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5" s="394" t="str">
        <f>IF(ISBLANK(INDEX('Policy Characteristics'!K:K,MATCH($C205,'Policy Characteristics'!$C:$C,0))),"",INDEX('Policy Characteristics'!K:K,MATCH($C205,'Policy Characteristics'!$C:$C,0)))</f>
        <v>electricity-sector-main.html#elec-imports</v>
      </c>
      <c r="R205" s="394" t="str">
        <f>IF(ISBLANK(INDEX('Policy Characteristics'!L:L,MATCH($C205,'Policy Characteristics'!$C:$C,0))),"",INDEX('Policy Characteristics'!L:L,MATCH($C205,'Policy Characteristics'!$C:$C,0)))</f>
        <v>electricity-imports-exports.html</v>
      </c>
    </row>
    <row r="206" customHeight="1" spans="1:18">
      <c r="A206" s="394" t="str">
        <f>IF(ISBLANK(INDEX('Policy Characteristics'!A:A,MATCH($C206,'Policy Characteristics'!$C:$C,0))),"",INDEX('Policy Characteristics'!A:A,MATCH($C206,'Policy Characteristics'!$C:$C,0)))</f>
        <v>Electricity Supply</v>
      </c>
      <c r="B206" s="395" t="str">
        <f>IF(ISBLANK(INDEX('Policy Characteristics'!B:B,MATCH($C206,'Policy Characteristics'!$C:$C,0))),"",INDEX('Policy Characteristics'!B:B,MATCH($C206,'Policy Characteristics'!$C:$C,0)))</f>
        <v>Change Electricity Imports</v>
      </c>
      <c r="C206" s="394" t="str">
        <f t="shared" si="18"/>
        <v>Percent Change in Electricity Imports</v>
      </c>
      <c r="D206" s="399" t="s">
        <v>723</v>
      </c>
      <c r="E206" s="399"/>
      <c r="F206" s="400" t="s">
        <v>724</v>
      </c>
      <c r="G206" s="399"/>
      <c r="H206" s="377">
        <v>536</v>
      </c>
      <c r="I206" s="396" t="s">
        <v>648</v>
      </c>
      <c r="J206" s="397" t="str">
        <f>IF(ISBLANK(INDEX('Policy Characteristics'!D:D,MATCH($C206,'Policy Characteristics'!$C:$C,0))),"",INDEX('Policy Characteristics'!D:D,MATCH($C206,'Policy Characteristics'!$C:$C,0)))</f>
        <v>Electricity Imports and Exports</v>
      </c>
      <c r="K206" s="394" t="str">
        <f>IF(ISBLANK(INDEX('Policy Characteristics'!E:E,MATCH($C206,'Policy Characteristics'!$C:$C,0))),"",INDEX('Policy Characteristics'!E:E,MATCH($C206,'Policy Characteristics'!$C:$C,0)))</f>
        <v>elec change imports</v>
      </c>
      <c r="L206" s="398">
        <f>IF(ISBLANK(INDEX('Policy Characteristics'!F:F,MATCH($C206,'Policy Characteristics'!$C:$C,0))),"",INDEX('Policy Characteristics'!F:F,MATCH($C206,'Policy Characteristics'!$C:$C,0)))</f>
        <v>-0.5</v>
      </c>
      <c r="M206" s="398">
        <f>IF(ISBLANK(INDEX('Policy Characteristics'!G:G,MATCH($C206,'Policy Characteristics'!$C:$C,0))),"",INDEX('Policy Characteristics'!G:G,MATCH($C206,'Policy Characteristics'!$C:$C,0)))</f>
        <v>1</v>
      </c>
      <c r="N206" s="398">
        <f>IF(ISBLANK(INDEX('Policy Characteristics'!H:H,MATCH($C206,'Policy Characteristics'!$C:$C,0))),"",INDEX('Policy Characteristics'!H:H,MATCH($C206,'Policy Characteristics'!$C:$C,0)))</f>
        <v>0.02</v>
      </c>
      <c r="O206" s="394" t="str">
        <f>IF(ISBLANK(INDEX('Policy Characteristics'!I:I,MATCH($C206,'Policy Characteristics'!$C:$C,0))),"",INDEX('Policy Characteristics'!I:I,MATCH($C206,'Policy Characteristics'!$C:$C,0)))</f>
        <v>% change in imports</v>
      </c>
      <c r="P206" s="394" t="str">
        <f>IF(ISBLANK(INDEX('Policy Characteristics'!J:J,MATCH($C206,'Policy Characteristics'!$C:$C,0))),"",INDEX('Policy Characteristics'!J:J,MATCH($C206,'Policy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6" s="394" t="str">
        <f>IF(ISBLANK(INDEX('Policy Characteristics'!K:K,MATCH($C206,'Policy Characteristics'!$C:$C,0))),"",INDEX('Policy Characteristics'!K:K,MATCH($C206,'Policy Characteristics'!$C:$C,0)))</f>
        <v>electricity-sector-main.html#elec-imports</v>
      </c>
      <c r="R206" s="394" t="str">
        <f>IF(ISBLANK(INDEX('Policy Characteristics'!L:L,MATCH($C206,'Policy Characteristics'!$C:$C,0))),"",INDEX('Policy Characteristics'!L:L,MATCH($C206,'Policy Characteristics'!$C:$C,0)))</f>
        <v>electricity-imports-exports.html</v>
      </c>
    </row>
    <row r="207" customHeight="1" spans="1:18">
      <c r="A207" s="394" t="str">
        <f>IF(ISBLANK(INDEX('Policy Characteristics'!A:A,MATCH($C207,'Policy Characteristics'!$C:$C,0))),"",INDEX('Policy Characteristics'!A:A,MATCH($C207,'Policy Characteristics'!$C:$C,0)))</f>
        <v>Electricity Supply</v>
      </c>
      <c r="B207" s="395" t="str">
        <f>IF(ISBLANK(INDEX('Policy Characteristics'!B:B,MATCH($C207,'Policy Characteristics'!$C:$C,0))),"",INDEX('Policy Characteristics'!B:B,MATCH($C207,'Policy Characteristics'!$C:$C,0)))</f>
        <v>Change Electricity Imports</v>
      </c>
      <c r="C207" s="394" t="str">
        <f t="shared" si="18"/>
        <v>Percent Change in Electricity Imports</v>
      </c>
      <c r="D207" s="399" t="s">
        <v>725</v>
      </c>
      <c r="E207" s="399"/>
      <c r="F207" s="399" t="s">
        <v>726</v>
      </c>
      <c r="G207" s="399"/>
      <c r="H207" s="377">
        <v>537</v>
      </c>
      <c r="I207" s="396" t="s">
        <v>648</v>
      </c>
      <c r="J207" s="397" t="str">
        <f>IF(ISBLANK(INDEX('Policy Characteristics'!D:D,MATCH($C207,'Policy Characteristics'!$C:$C,0))),"",INDEX('Policy Characteristics'!D:D,MATCH($C207,'Policy Characteristics'!$C:$C,0)))</f>
        <v>Electricity Imports and Exports</v>
      </c>
      <c r="K207" s="394" t="str">
        <f>IF(ISBLANK(INDEX('Policy Characteristics'!E:E,MATCH($C207,'Policy Characteristics'!$C:$C,0))),"",INDEX('Policy Characteristics'!E:E,MATCH($C207,'Policy Characteristics'!$C:$C,0)))</f>
        <v>elec change imports</v>
      </c>
      <c r="L207" s="398">
        <f>IF(ISBLANK(INDEX('Policy Characteristics'!F:F,MATCH($C207,'Policy Characteristics'!$C:$C,0))),"",INDEX('Policy Characteristics'!F:F,MATCH($C207,'Policy Characteristics'!$C:$C,0)))</f>
        <v>-0.5</v>
      </c>
      <c r="M207" s="398">
        <f>IF(ISBLANK(INDEX('Policy Characteristics'!G:G,MATCH($C207,'Policy Characteristics'!$C:$C,0))),"",INDEX('Policy Characteristics'!G:G,MATCH($C207,'Policy Characteristics'!$C:$C,0)))</f>
        <v>1</v>
      </c>
      <c r="N207" s="398">
        <f>IF(ISBLANK(INDEX('Policy Characteristics'!H:H,MATCH($C207,'Policy Characteristics'!$C:$C,0))),"",INDEX('Policy Characteristics'!H:H,MATCH($C207,'Policy Characteristics'!$C:$C,0)))</f>
        <v>0.02</v>
      </c>
      <c r="O207" s="394" t="str">
        <f>IF(ISBLANK(INDEX('Policy Characteristics'!I:I,MATCH($C207,'Policy Characteristics'!$C:$C,0))),"",INDEX('Policy Characteristics'!I:I,MATCH($C207,'Policy Characteristics'!$C:$C,0)))</f>
        <v>% change in imports</v>
      </c>
      <c r="P207" s="394" t="str">
        <f>IF(ISBLANK(INDEX('Policy Characteristics'!J:J,MATCH($C207,'Policy Characteristics'!$C:$C,0))),"",INDEX('Policy Characteristics'!J:J,MATCH($C207,'Policy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7" s="394" t="str">
        <f>IF(ISBLANK(INDEX('Policy Characteristics'!K:K,MATCH($C207,'Policy Characteristics'!$C:$C,0))),"",INDEX('Policy Characteristics'!K:K,MATCH($C207,'Policy Characteristics'!$C:$C,0)))</f>
        <v>electricity-sector-main.html#elec-imports</v>
      </c>
      <c r="R207" s="394" t="str">
        <f>IF(ISBLANK(INDEX('Policy Characteristics'!L:L,MATCH($C207,'Policy Characteristics'!$C:$C,0))),"",INDEX('Policy Characteristics'!L:L,MATCH($C207,'Policy Characteristics'!$C:$C,0)))</f>
        <v>electricity-imports-exports.html</v>
      </c>
    </row>
    <row r="208" customHeight="1" spans="1:18">
      <c r="A208" s="394" t="str">
        <f>IF(ISBLANK(INDEX('Policy Characteristics'!A:A,MATCH($C208,'Policy Characteristics'!$C:$C,0))),"",INDEX('Policy Characteristics'!A:A,MATCH($C208,'Policy Characteristics'!$C:$C,0)))</f>
        <v>Electricity Supply</v>
      </c>
      <c r="B208" s="395" t="str">
        <f>IF(ISBLANK(INDEX('Policy Characteristics'!B:B,MATCH($C208,'Policy Characteristics'!$C:$C,0))),"",INDEX('Policy Characteristics'!B:B,MATCH($C208,'Policy Characteristics'!$C:$C,0)))</f>
        <v>Change Electricity Imports</v>
      </c>
      <c r="C208" s="394" t="str">
        <f t="shared" si="18"/>
        <v>Percent Change in Electricity Imports</v>
      </c>
      <c r="D208" s="399" t="s">
        <v>727</v>
      </c>
      <c r="E208" s="399"/>
      <c r="F208" s="399" t="s">
        <v>728</v>
      </c>
      <c r="G208" s="399"/>
      <c r="H208" s="377">
        <v>538</v>
      </c>
      <c r="I208" s="396" t="s">
        <v>648</v>
      </c>
      <c r="J208" s="397" t="str">
        <f>IF(ISBLANK(INDEX('Policy Characteristics'!D:D,MATCH($C208,'Policy Characteristics'!$C:$C,0))),"",INDEX('Policy Characteristics'!D:D,MATCH($C208,'Policy Characteristics'!$C:$C,0)))</f>
        <v>Electricity Imports and Exports</v>
      </c>
      <c r="K208" s="394" t="str">
        <f>IF(ISBLANK(INDEX('Policy Characteristics'!E:E,MATCH($C208,'Policy Characteristics'!$C:$C,0))),"",INDEX('Policy Characteristics'!E:E,MATCH($C208,'Policy Characteristics'!$C:$C,0)))</f>
        <v>elec change imports</v>
      </c>
      <c r="L208" s="398">
        <f>IF(ISBLANK(INDEX('Policy Characteristics'!F:F,MATCH($C208,'Policy Characteristics'!$C:$C,0))),"",INDEX('Policy Characteristics'!F:F,MATCH($C208,'Policy Characteristics'!$C:$C,0)))</f>
        <v>-0.5</v>
      </c>
      <c r="M208" s="398">
        <f>IF(ISBLANK(INDEX('Policy Characteristics'!G:G,MATCH($C208,'Policy Characteristics'!$C:$C,0))),"",INDEX('Policy Characteristics'!G:G,MATCH($C208,'Policy Characteristics'!$C:$C,0)))</f>
        <v>1</v>
      </c>
      <c r="N208" s="398">
        <f>IF(ISBLANK(INDEX('Policy Characteristics'!H:H,MATCH($C208,'Policy Characteristics'!$C:$C,0))),"",INDEX('Policy Characteristics'!H:H,MATCH($C208,'Policy Characteristics'!$C:$C,0)))</f>
        <v>0.02</v>
      </c>
      <c r="O208" s="394" t="str">
        <f>IF(ISBLANK(INDEX('Policy Characteristics'!I:I,MATCH($C208,'Policy Characteristics'!$C:$C,0))),"",INDEX('Policy Characteristics'!I:I,MATCH($C208,'Policy Characteristics'!$C:$C,0)))</f>
        <v>% change in imports</v>
      </c>
      <c r="P208" s="394" t="str">
        <f>IF(ISBLANK(INDEX('Policy Characteristics'!J:J,MATCH($C208,'Policy Characteristics'!$C:$C,0))),"",INDEX('Policy Characteristics'!J:J,MATCH($C208,'Policy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8" s="394" t="str">
        <f>IF(ISBLANK(INDEX('Policy Characteristics'!K:K,MATCH($C208,'Policy Characteristics'!$C:$C,0))),"",INDEX('Policy Characteristics'!K:K,MATCH($C208,'Policy Characteristics'!$C:$C,0)))</f>
        <v>electricity-sector-main.html#elec-imports</v>
      </c>
      <c r="R208" s="394" t="str">
        <f>IF(ISBLANK(INDEX('Policy Characteristics'!L:L,MATCH($C208,'Policy Characteristics'!$C:$C,0))),"",INDEX('Policy Characteristics'!L:L,MATCH($C208,'Policy Characteristics'!$C:$C,0)))</f>
        <v>electricity-imports-exports.html</v>
      </c>
    </row>
    <row r="209" customHeight="1" spans="1:18">
      <c r="A209" s="394" t="str">
        <f>IF(ISBLANK(INDEX('Policy Characteristics'!A:A,MATCH($C209,'Policy Characteristics'!$C:$C,0))),"",INDEX('Policy Characteristics'!A:A,MATCH($C209,'Policy Characteristics'!$C:$C,0)))</f>
        <v>Electricity Supply</v>
      </c>
      <c r="B209" s="395" t="str">
        <f>IF(ISBLANK(INDEX('Policy Characteristics'!B:B,MATCH($C209,'Policy Characteristics'!$C:$C,0))),"",INDEX('Policy Characteristics'!B:B,MATCH($C209,'Policy Characteristics'!$C:$C,0)))</f>
        <v>Change Electricity Imports</v>
      </c>
      <c r="C209" s="394" t="str">
        <f t="shared" si="18"/>
        <v>Percent Change in Electricity Imports</v>
      </c>
      <c r="D209" s="399" t="s">
        <v>729</v>
      </c>
      <c r="E209" s="399"/>
      <c r="F209" s="399" t="s">
        <v>730</v>
      </c>
      <c r="G209" s="399"/>
      <c r="H209" s="377">
        <v>539</v>
      </c>
      <c r="I209" s="396" t="s">
        <v>648</v>
      </c>
      <c r="J209" s="397" t="str">
        <f>IF(ISBLANK(INDEX('Policy Characteristics'!D:D,MATCH($C209,'Policy Characteristics'!$C:$C,0))),"",INDEX('Policy Characteristics'!D:D,MATCH($C209,'Policy Characteristics'!$C:$C,0)))</f>
        <v>Electricity Imports and Exports</v>
      </c>
      <c r="K209" s="394" t="str">
        <f>IF(ISBLANK(INDEX('Policy Characteristics'!E:E,MATCH($C209,'Policy Characteristics'!$C:$C,0))),"",INDEX('Policy Characteristics'!E:E,MATCH($C209,'Policy Characteristics'!$C:$C,0)))</f>
        <v>elec change imports</v>
      </c>
      <c r="L209" s="398">
        <f>IF(ISBLANK(INDEX('Policy Characteristics'!F:F,MATCH($C209,'Policy Characteristics'!$C:$C,0))),"",INDEX('Policy Characteristics'!F:F,MATCH($C209,'Policy Characteristics'!$C:$C,0)))</f>
        <v>-0.5</v>
      </c>
      <c r="M209" s="398">
        <f>IF(ISBLANK(INDEX('Policy Characteristics'!G:G,MATCH($C209,'Policy Characteristics'!$C:$C,0))),"",INDEX('Policy Characteristics'!G:G,MATCH($C209,'Policy Characteristics'!$C:$C,0)))</f>
        <v>1</v>
      </c>
      <c r="N209" s="398">
        <f>IF(ISBLANK(INDEX('Policy Characteristics'!H:H,MATCH($C209,'Policy Characteristics'!$C:$C,0))),"",INDEX('Policy Characteristics'!H:H,MATCH($C209,'Policy Characteristics'!$C:$C,0)))</f>
        <v>0.02</v>
      </c>
      <c r="O209" s="394" t="str">
        <f>IF(ISBLANK(INDEX('Policy Characteristics'!I:I,MATCH($C209,'Policy Characteristics'!$C:$C,0))),"",INDEX('Policy Characteristics'!I:I,MATCH($C209,'Policy Characteristics'!$C:$C,0)))</f>
        <v>% change in imports</v>
      </c>
      <c r="P209" s="394" t="str">
        <f>IF(ISBLANK(INDEX('Policy Characteristics'!J:J,MATCH($C209,'Policy Characteristics'!$C:$C,0))),"",INDEX('Policy Characteristics'!J:J,MATCH($C209,'Policy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9" s="394" t="str">
        <f>IF(ISBLANK(INDEX('Policy Characteristics'!K:K,MATCH($C209,'Policy Characteristics'!$C:$C,0))),"",INDEX('Policy Characteristics'!K:K,MATCH($C209,'Policy Characteristics'!$C:$C,0)))</f>
        <v>electricity-sector-main.html#elec-imports</v>
      </c>
      <c r="R209" s="394" t="str">
        <f>IF(ISBLANK(INDEX('Policy Characteristics'!L:L,MATCH($C209,'Policy Characteristics'!$C:$C,0))),"",INDEX('Policy Characteristics'!L:L,MATCH($C209,'Policy Characteristics'!$C:$C,0)))</f>
        <v>electricity-imports-exports.html</v>
      </c>
    </row>
    <row r="210" customHeight="1" spans="1:18">
      <c r="A210" s="394" t="str">
        <f>IF(ISBLANK(INDEX('Policy Characteristics'!A:A,MATCH($C210,'Policy Characteristics'!$C:$C,0))),"",INDEX('Policy Characteristics'!A:A,MATCH($C210,'Policy Characteristics'!$C:$C,0)))</f>
        <v>Electricity Supply</v>
      </c>
      <c r="B210" s="395" t="str">
        <f>IF(ISBLANK(INDEX('Policy Characteristics'!B:B,MATCH($C210,'Policy Characteristics'!$C:$C,0))),"",INDEX('Policy Characteristics'!B:B,MATCH($C210,'Policy Characteristics'!$C:$C,0)))</f>
        <v>Change Electricity Imports</v>
      </c>
      <c r="C210" s="394" t="str">
        <f t="shared" si="18"/>
        <v>Percent Change in Electricity Imports</v>
      </c>
      <c r="D210" s="399" t="s">
        <v>731</v>
      </c>
      <c r="E210" s="399"/>
      <c r="F210" s="399" t="s">
        <v>732</v>
      </c>
      <c r="G210" s="399"/>
      <c r="H210" s="377">
        <v>540</v>
      </c>
      <c r="I210" s="396" t="s">
        <v>648</v>
      </c>
      <c r="J210" s="397" t="str">
        <f>IF(ISBLANK(INDEX('Policy Characteristics'!D:D,MATCH($C210,'Policy Characteristics'!$C:$C,0))),"",INDEX('Policy Characteristics'!D:D,MATCH($C210,'Policy Characteristics'!$C:$C,0)))</f>
        <v>Electricity Imports and Exports</v>
      </c>
      <c r="K210" s="394" t="str">
        <f>IF(ISBLANK(INDEX('Policy Characteristics'!E:E,MATCH($C210,'Policy Characteristics'!$C:$C,0))),"",INDEX('Policy Characteristics'!E:E,MATCH($C210,'Policy Characteristics'!$C:$C,0)))</f>
        <v>elec change imports</v>
      </c>
      <c r="L210" s="398">
        <f>IF(ISBLANK(INDEX('Policy Characteristics'!F:F,MATCH($C210,'Policy Characteristics'!$C:$C,0))),"",INDEX('Policy Characteristics'!F:F,MATCH($C210,'Policy Characteristics'!$C:$C,0)))</f>
        <v>-0.5</v>
      </c>
      <c r="M210" s="398">
        <f>IF(ISBLANK(INDEX('Policy Characteristics'!G:G,MATCH($C210,'Policy Characteristics'!$C:$C,0))),"",INDEX('Policy Characteristics'!G:G,MATCH($C210,'Policy Characteristics'!$C:$C,0)))</f>
        <v>1</v>
      </c>
      <c r="N210" s="398">
        <f>IF(ISBLANK(INDEX('Policy Characteristics'!H:H,MATCH($C210,'Policy Characteristics'!$C:$C,0))),"",INDEX('Policy Characteristics'!H:H,MATCH($C210,'Policy Characteristics'!$C:$C,0)))</f>
        <v>0.02</v>
      </c>
      <c r="O210" s="394" t="str">
        <f>IF(ISBLANK(INDEX('Policy Characteristics'!I:I,MATCH($C210,'Policy Characteristics'!$C:$C,0))),"",INDEX('Policy Characteristics'!I:I,MATCH($C210,'Policy Characteristics'!$C:$C,0)))</f>
        <v>% change in imports</v>
      </c>
      <c r="P210" s="394" t="str">
        <f>IF(ISBLANK(INDEX('Policy Characteristics'!J:J,MATCH($C210,'Policy Characteristics'!$C:$C,0))),"",INDEX('Policy Characteristics'!J:J,MATCH($C210,'Policy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10" s="394" t="str">
        <f>IF(ISBLANK(INDEX('Policy Characteristics'!K:K,MATCH($C210,'Policy Characteristics'!$C:$C,0))),"",INDEX('Policy Characteristics'!K:K,MATCH($C210,'Policy Characteristics'!$C:$C,0)))</f>
        <v>electricity-sector-main.html#elec-imports</v>
      </c>
      <c r="R210" s="394" t="str">
        <f>IF(ISBLANK(INDEX('Policy Characteristics'!L:L,MATCH($C210,'Policy Characteristics'!$C:$C,0))),"",INDEX('Policy Characteristics'!L:L,MATCH($C210,'Policy Characteristics'!$C:$C,0)))</f>
        <v>electricity-imports-exports.html</v>
      </c>
    </row>
    <row r="211" customHeight="1" spans="1:18">
      <c r="A211" s="394" t="str">
        <f>IF(ISBLANK(INDEX('Policy Characteristics'!A:A,MATCH($C211,'Policy Characteristics'!$C:$C,0))),"",INDEX('Policy Characteristics'!A:A,MATCH($C211,'Policy Characteristics'!$C:$C,0)))</f>
        <v>Electricity Supply</v>
      </c>
      <c r="B211" s="395" t="str">
        <f>IF(ISBLANK(INDEX('Policy Characteristics'!B:B,MATCH($C211,'Policy Characteristics'!$C:$C,0))),"",INDEX('Policy Characteristics'!B:B,MATCH($C211,'Policy Characteristics'!$C:$C,0)))</f>
        <v>Non BAU Guaranteed Dispatch</v>
      </c>
      <c r="C211" t="s">
        <v>243</v>
      </c>
      <c r="D211" s="399"/>
      <c r="E211" s="399"/>
      <c r="F211" s="399"/>
      <c r="G211" s="399"/>
      <c r="H211" s="377">
        <v>619</v>
      </c>
      <c r="I211" s="396" t="s">
        <v>658</v>
      </c>
      <c r="J211" s="397" t="str">
        <f>IF(ISBLANK(INDEX('Policy Characteristics'!D:D,MATCH($C211,'Policy Characteristics'!$C:$C,0))),"",INDEX('Policy Characteristics'!D:D,MATCH($C211,'Policy Characteristics'!$C:$C,0)))</f>
        <v>Non BAU Guaranteed Dispatch</v>
      </c>
      <c r="K211" s="394" t="str">
        <f>IF(ISBLANK(INDEX('Policy Characteristics'!E:E,MATCH($C211,'Policy Characteristics'!$C:$C,0))),"",INDEX('Policy Characteristics'!E:E,MATCH($C211,'Policy Characteristics'!$C:$C,0)))</f>
        <v>elec non BAU guaranteed dispatch</v>
      </c>
      <c r="L211" s="394">
        <f>IF(ISBLANK(INDEX('Policy Characteristics'!F:F,MATCH($C211,'Policy Characteristics'!$C:$C,0))),"",INDEX('Policy Characteristics'!F:F,MATCH($C211,'Policy Characteristics'!$C:$C,0)))</f>
        <v>0</v>
      </c>
      <c r="M211" s="394">
        <f>IF(ISBLANK(INDEX('Policy Characteristics'!G:G,MATCH($C211,'Policy Characteristics'!$C:$C,0))),"",INDEX('Policy Characteristics'!G:G,MATCH($C211,'Policy Characteristics'!$C:$C,0)))</f>
        <v>1</v>
      </c>
      <c r="N211" s="394">
        <f>IF(ISBLANK(INDEX('Policy Characteristics'!H:H,MATCH($C211,'Policy Characteristics'!$C:$C,0))),"",INDEX('Policy Characteristics'!H:H,MATCH($C211,'Policy Characteristics'!$C:$C,0)))</f>
        <v>1</v>
      </c>
      <c r="O211" s="394" t="str">
        <f>IF(ISBLANK(INDEX('Policy Characteristics'!I:I,MATCH($C211,'Policy Characteristics'!$C:$C,0))),"",INDEX('Policy Characteristics'!I:I,MATCH($C211,'Policy Characteristics'!$C:$C,0)))</f>
        <v>on/off</v>
      </c>
      <c r="P211" s="394" t="str">
        <f>IF(ISBLANK(INDEX('Policy Characteristics'!J:J,MATCH($C211,'Policy Characteristics'!$C:$C,0))),"",INDEX('Policy Characteristics'!J:J,MATCH($C211,'Policy Characteristics'!$C:$C,0)))</f>
        <v>**Description:** This policy uses an alternative garanteed dispatched percentage for each type of generation. //  **Guidance for setting values:** China currently has a garanteed full purchase of renewable generation (wind, solar, biomass, geothermal and tidal energy). However, the policy may not be preferable as renewable penetration continues to grow. An alternative garanteed dispatch percentage is set at 80% for wind and solar, and 50% for all other renewable generation.</v>
      </c>
      <c r="Q211" s="394" t="str">
        <f>IF(ISBLANK(INDEX('Policy Characteristics'!K:K,MATCH($C211,'Policy Characteristics'!$C:$C,0))),"",INDEX('Policy Characteristics'!K:K,MATCH($C211,'Policy Characteristics'!$C:$C,0)))</f>
        <v/>
      </c>
      <c r="R211" s="394" t="str">
        <f>IF(ISBLANK(INDEX('Policy Characteristics'!L:L,MATCH($C211,'Policy Characteristics'!$C:$C,0))),"",INDEX('Policy Characteristics'!L:L,MATCH($C211,'Policy Characteristics'!$C:$C,0)))</f>
        <v/>
      </c>
    </row>
    <row r="212" customHeight="1" spans="1:18">
      <c r="A212" s="394" t="str">
        <f>IF(ISBLANK(INDEX('Policy Characteristics'!A:A,MATCH($C212,'Policy Characteristics'!$C:$C,0))),"",INDEX('Policy Characteristics'!A:A,MATCH($C212,'Policy Characteristics'!$C:$C,0)))</f>
        <v>Electricity Supply</v>
      </c>
      <c r="B212" s="395" t="str">
        <f>IF(ISBLANK(INDEX('Policy Characteristics'!B:B,MATCH($C212,'Policy Characteristics'!$C:$C,0))),"",INDEX('Policy Characteristics'!B:B,MATCH($C212,'Policy Characteristics'!$C:$C,0)))</f>
        <v>Demand Response</v>
      </c>
      <c r="C212" t="s">
        <v>247</v>
      </c>
      <c r="D212" s="399"/>
      <c r="E212" s="399"/>
      <c r="F212" s="399"/>
      <c r="G212" s="399"/>
      <c r="H212" s="377">
        <v>30</v>
      </c>
      <c r="I212" s="396" t="s">
        <v>648</v>
      </c>
      <c r="J212" s="397" t="str">
        <f>IF(ISBLANK(INDEX('Policy Characteristics'!D:D,MATCH($C212,'Policy Characteristics'!$C:$C,0))),"",INDEX('Policy Characteristics'!D:D,MATCH($C212,'Policy Characteristics'!$C:$C,0)))</f>
        <v>Demand Response</v>
      </c>
      <c r="K212" s="394" t="str">
        <f>IF(ISBLANK(INDEX('Policy Characteristics'!E:E,MATCH($C212,'Policy Characteristics'!$C:$C,0))),"",INDEX('Policy Characteristics'!E:E,MATCH($C212,'Policy Characteristics'!$C:$C,0)))</f>
        <v>elec demand response</v>
      </c>
      <c r="L212" s="398">
        <f>IF(ISBLANK(INDEX('Policy Characteristics'!F:F,MATCH($C212,'Policy Characteristics'!$C:$C,0))),"",INDEX('Policy Characteristics'!F:F,MATCH($C212,'Policy Characteristics'!$C:$C,0)))</f>
        <v>0</v>
      </c>
      <c r="M212" s="398">
        <f>IF(ISBLANK(INDEX('Policy Characteristics'!G:G,MATCH($C212,'Policy Characteristics'!$C:$C,0))),"",INDEX('Policy Characteristics'!G:G,MATCH($C212,'Policy Characteristics'!$C:$C,0)))</f>
        <v>1</v>
      </c>
      <c r="N212" s="398">
        <f>IF(ISBLANK(INDEX('Policy Characteristics'!H:H,MATCH($C212,'Policy Characteristics'!$C:$C,0))),"",INDEX('Policy Characteristics'!H:H,MATCH($C212,'Policy Characteristics'!$C:$C,0)))</f>
        <v>0.01</v>
      </c>
      <c r="O212" s="394" t="str">
        <f>IF(ISBLANK(INDEX('Policy Characteristics'!I:I,MATCH($C212,'Policy Characteristics'!$C:$C,0))),"",INDEX('Policy Characteristics'!I:I,MATCH($C212,'Policy Characteristics'!$C:$C,0)))</f>
        <v>% of potential achieved</v>
      </c>
      <c r="P212" s="394" t="str">
        <f>IF(ISBLANK(INDEX('Policy Characteristics'!J:J,MATCH($C212,'Policy Characteristics'!$C:$C,0))),"",INDEX('Policy Characteristics'!J:J,MATCH($C212,'Policy Characteristics'!$C:$C,0)))</f>
        <v>**Description:** This policy represents regulations that cause more demand response (DR) capacity to be added to the electric grid.  Demand response provides flexibility that allows for the integration of more wind and solar PV, if the electricity system is flexibility-constrained. // **Guidance for setting values:** A 100% setting provides will make Inner Mongolia's DR capacity to reach 20% of peak hour demand capacity by 2035, instead of the 3% requirement released in 2016. The announced policy scenario increases the DR capacity to 8% by 2030, as laid out in Western Inner Mongolia New Power System Action Plan.</v>
      </c>
      <c r="Q212" s="394" t="str">
        <f>IF(ISBLANK(INDEX('Policy Characteristics'!K:K,MATCH($C212,'Policy Characteristics'!$C:$C,0))),"",INDEX('Policy Characteristics'!K:K,MATCH($C212,'Policy Characteristics'!$C:$C,0)))</f>
        <v>electricity-sector-main.html#dr</v>
      </c>
      <c r="R212" s="394" t="str">
        <f>IF(ISBLANK(INDEX('Policy Characteristics'!L:L,MATCH($C212,'Policy Characteristics'!$C:$C,0))),"",INDEX('Policy Characteristics'!L:L,MATCH($C212,'Policy Characteristics'!$C:$C,0)))</f>
        <v>demand-response.html</v>
      </c>
    </row>
    <row r="213" customHeight="1" spans="1:18">
      <c r="A213" s="394" t="str">
        <f>IF(ISBLANK(INDEX('Policy Characteristics'!A:A,MATCH($C213,'Policy Characteristics'!$C:$C,0))),"",INDEX('Policy Characteristics'!A:A,MATCH($C213,'Policy Characteristics'!$C:$C,0)))</f>
        <v>Electricity Supply</v>
      </c>
      <c r="B213" s="395" t="str">
        <f>IF(ISBLANK(INDEX('Policy Characteristics'!B:B,MATCH($C213,'Policy Characteristics'!$C:$C,0))),"",INDEX('Policy Characteristics'!B:B,MATCH($C213,'Policy Characteristics'!$C:$C,0)))</f>
        <v>Early Retirement of Power Plants</v>
      </c>
      <c r="C213" t="s">
        <v>254</v>
      </c>
      <c r="D213" s="399" t="s">
        <v>701</v>
      </c>
      <c r="E213" s="399"/>
      <c r="F213" s="399" t="s">
        <v>702</v>
      </c>
      <c r="G213" s="399"/>
      <c r="H213" s="377">
        <v>31</v>
      </c>
      <c r="I213" s="396" t="s">
        <v>648</v>
      </c>
      <c r="J213" s="397" t="str">
        <f>IF(ISBLANK(INDEX('Policy Characteristics'!D:D,MATCH($C213,'Policy Characteristics'!$C:$C,0))),"",INDEX('Policy Characteristics'!D:D,MATCH($C213,'Policy Characteristics'!$C:$C,0)))</f>
        <v>Early Retirement of Power Plants</v>
      </c>
      <c r="K213" s="394" t="str">
        <f>IF(ISBLANK(INDEX('Policy Characteristics'!E:E,MATCH($C213,'Policy Characteristics'!$C:$C,0))),"",INDEX('Policy Characteristics'!E:E,MATCH($C213,'Policy Characteristics'!$C:$C,0)))</f>
        <v>elec early retirement</v>
      </c>
      <c r="L213" s="394">
        <f>IF(ISBLANK(INDEX('Policy Characteristics'!F:F,MATCH($C213,'Policy Characteristics'!$C:$C,0))),"",INDEX('Policy Characteristics'!F:F,MATCH($C213,'Policy Characteristics'!$C:$C,0)))</f>
        <v>0</v>
      </c>
      <c r="M213" s="394">
        <f>IF(ISBLANK(INDEX('Policy Characteristics'!G:G,MATCH($C213,'Policy Characteristics'!$C:$C,0))),"",INDEX('Policy Characteristics'!G:G,MATCH($C213,'Policy Characteristics'!$C:$C,0)))</f>
        <v>25000</v>
      </c>
      <c r="N213" s="394">
        <f>IF(ISBLANK(INDEX('Policy Characteristics'!H:H,MATCH($C213,'Policy Characteristics'!$C:$C,0))),"",INDEX('Policy Characteristics'!H:H,MATCH($C213,'Policy Characteristics'!$C:$C,0)))</f>
        <v>500</v>
      </c>
      <c r="O213" s="394" t="str">
        <f>IF(ISBLANK(INDEX('Policy Characteristics'!I:I,MATCH($C213,'Policy Characteristics'!$C:$C,0))),"",INDEX('Policy Characteristics'!I:I,MATCH($C213,'Policy Characteristics'!$C:$C,0)))</f>
        <v>MW/year</v>
      </c>
      <c r="P213" s="394" t="str">
        <f>IF(ISBLANK(INDEX('Policy Characteristics'!J:J,MATCH($C213,'Policy Characteristics'!$C:$C,0))),"",INDEX('Policy Characteristics'!J:J,MATCH($C213,'Policy Characteristics'!$C:$C,0)))</f>
        <v>**Description:** This policy causes the specified quantity of otherwise non-retiring capacity of the selected type(s) to be retired each year.</v>
      </c>
      <c r="Q213" s="394" t="str">
        <f>IF(ISBLANK(INDEX('Policy Characteristics'!K:K,MATCH($C213,'Policy Characteristics'!$C:$C,0))),"",INDEX('Policy Characteristics'!K:K,MATCH($C213,'Policy Characteristics'!$C:$C,0)))</f>
        <v>electricity-sector-main.html#early-ret</v>
      </c>
      <c r="R213" s="394" t="str">
        <f>IF(ISBLANK(INDEX('Policy Characteristics'!L:L,MATCH($C213,'Policy Characteristics'!$C:$C,0))),"",INDEX('Policy Characteristics'!L:L,MATCH($C213,'Policy Characteristics'!$C:$C,0)))</f>
        <v>early-retirement-of-power-plants.html</v>
      </c>
    </row>
    <row r="214" customHeight="1" spans="1:18">
      <c r="A214" s="394" t="str">
        <f>IF(ISBLANK(INDEX('Policy Characteristics'!A:A,MATCH($C214,'Policy Characteristics'!$C:$C,0))),"",INDEX('Policy Characteristics'!A:A,MATCH($C214,'Policy Characteristics'!$C:$C,0)))</f>
        <v>Electricity Supply</v>
      </c>
      <c r="B214" s="395" t="str">
        <f>IF(ISBLANK(INDEX('Policy Characteristics'!B:B,MATCH($C214,'Policy Characteristics'!$C:$C,0))),"",INDEX('Policy Characteristics'!B:B,MATCH($C214,'Policy Characteristics'!$C:$C,0)))</f>
        <v>Early Retirement of Power Plants</v>
      </c>
      <c r="C214" s="394" t="str">
        <f t="shared" ref="C214:C228" si="19">C$213</f>
        <v>Annual Additional Capacity Retired due to Early Retirement Policy</v>
      </c>
      <c r="D214" s="399" t="s">
        <v>703</v>
      </c>
      <c r="E214" s="399"/>
      <c r="F214" s="399" t="s">
        <v>704</v>
      </c>
      <c r="G214" s="399"/>
      <c r="H214" s="377">
        <v>620</v>
      </c>
      <c r="I214" s="396" t="s">
        <v>648</v>
      </c>
      <c r="J214" s="397" t="str">
        <f>IF(ISBLANK(INDEX('Policy Characteristics'!D:D,MATCH($C214,'Policy Characteristics'!$C:$C,0))),"",INDEX('Policy Characteristics'!D:D,MATCH($C214,'Policy Characteristics'!$C:$C,0)))</f>
        <v>Early Retirement of Power Plants</v>
      </c>
      <c r="K214" s="394" t="str">
        <f>IF(ISBLANK(INDEX('Policy Characteristics'!E:E,MATCH($C214,'Policy Characteristics'!$C:$C,0))),"",INDEX('Policy Characteristics'!E:E,MATCH($C214,'Policy Characteristics'!$C:$C,0)))</f>
        <v>elec early retirement</v>
      </c>
      <c r="L214" s="394">
        <f>IF(ISBLANK(INDEX('Policy Characteristics'!F:F,MATCH($C214,'Policy Characteristics'!$C:$C,0))),"",INDEX('Policy Characteristics'!F:F,MATCH($C214,'Policy Characteristics'!$C:$C,0)))</f>
        <v>0</v>
      </c>
      <c r="M214" s="394">
        <f>IF(ISBLANK(INDEX('Policy Characteristics'!G:G,MATCH($C214,'Policy Characteristics'!$C:$C,0))),"",INDEX('Policy Characteristics'!G:G,MATCH($C214,'Policy Characteristics'!$C:$C,0)))</f>
        <v>25000</v>
      </c>
      <c r="N214" s="394">
        <f>IF(ISBLANK(INDEX('Policy Characteristics'!H:H,MATCH($C214,'Policy Characteristics'!$C:$C,0))),"",INDEX('Policy Characteristics'!H:H,MATCH($C214,'Policy Characteristics'!$C:$C,0)))</f>
        <v>500</v>
      </c>
      <c r="O214" s="394" t="str">
        <f>IF(ISBLANK(INDEX('Policy Characteristics'!I:I,MATCH($C214,'Policy Characteristics'!$C:$C,0))),"",INDEX('Policy Characteristics'!I:I,MATCH($C214,'Policy Characteristics'!$C:$C,0)))</f>
        <v>MW/year</v>
      </c>
      <c r="P214" s="394" t="str">
        <f>IF(ISBLANK(INDEX('Policy Characteristics'!J:J,MATCH($C214,'Policy Characteristics'!$C:$C,0))),"",INDEX('Policy Characteristics'!J:J,MATCH($C214,'Policy Characteristics'!$C:$C,0)))</f>
        <v>**Description:** This policy causes the specified quantity of otherwise non-retiring capacity of the selected type(s) to be retired each year.</v>
      </c>
      <c r="Q214" s="394" t="str">
        <f>IF(ISBLANK(INDEX('Policy Characteristics'!K:K,MATCH($C214,'Policy Characteristics'!$C:$C,0))),"",INDEX('Policy Characteristics'!K:K,MATCH($C214,'Policy Characteristics'!$C:$C,0)))</f>
        <v>electricity-sector-main.html#early-ret</v>
      </c>
      <c r="R214" s="394" t="str">
        <f>IF(ISBLANK(INDEX('Policy Characteristics'!L:L,MATCH($C214,'Policy Characteristics'!$C:$C,0))),"",INDEX('Policy Characteristics'!L:L,MATCH($C214,'Policy Characteristics'!$C:$C,0)))</f>
        <v>early-retirement-of-power-plants.html</v>
      </c>
    </row>
    <row r="215" customHeight="1" spans="1:18">
      <c r="A215" s="394" t="str">
        <f>IF(ISBLANK(INDEX('Policy Characteristics'!A:A,MATCH($C215,'Policy Characteristics'!$C:$C,0))),"",INDEX('Policy Characteristics'!A:A,MATCH($C215,'Policy Characteristics'!$C:$C,0)))</f>
        <v>Electricity Supply</v>
      </c>
      <c r="B215" s="395" t="str">
        <f>IF(ISBLANK(INDEX('Policy Characteristics'!B:B,MATCH($C215,'Policy Characteristics'!$C:$C,0))),"",INDEX('Policy Characteristics'!B:B,MATCH($C215,'Policy Characteristics'!$C:$C,0)))</f>
        <v>Early Retirement of Power Plants</v>
      </c>
      <c r="C215" s="394" t="str">
        <f t="shared" si="19"/>
        <v>Annual Additional Capacity Retired due to Early Retirement Policy</v>
      </c>
      <c r="D215" s="399" t="s">
        <v>705</v>
      </c>
      <c r="E215" s="399"/>
      <c r="F215" s="399" t="s">
        <v>706</v>
      </c>
      <c r="G215" s="399"/>
      <c r="H215" s="377">
        <v>32</v>
      </c>
      <c r="I215" s="396" t="s">
        <v>648</v>
      </c>
      <c r="J215" s="397" t="str">
        <f>IF(ISBLANK(INDEX('Policy Characteristics'!D:D,MATCH($C215,'Policy Characteristics'!$C:$C,0))),"",INDEX('Policy Characteristics'!D:D,MATCH($C215,'Policy Characteristics'!$C:$C,0)))</f>
        <v>Early Retirement of Power Plants</v>
      </c>
      <c r="K215" s="394" t="str">
        <f>IF(ISBLANK(INDEX('Policy Characteristics'!E:E,MATCH($C215,'Policy Characteristics'!$C:$C,0))),"",INDEX('Policy Characteristics'!E:E,MATCH($C215,'Policy Characteristics'!$C:$C,0)))</f>
        <v>elec early retirement</v>
      </c>
      <c r="L215" s="394">
        <f>IF(ISBLANK(INDEX('Policy Characteristics'!F:F,MATCH($C215,'Policy Characteristics'!$C:$C,0))),"",INDEX('Policy Characteristics'!F:F,MATCH($C215,'Policy Characteristics'!$C:$C,0)))</f>
        <v>0</v>
      </c>
      <c r="M215" s="394">
        <f>IF(ISBLANK(INDEX('Policy Characteristics'!G:G,MATCH($C215,'Policy Characteristics'!$C:$C,0))),"",INDEX('Policy Characteristics'!G:G,MATCH($C215,'Policy Characteristics'!$C:$C,0)))</f>
        <v>25000</v>
      </c>
      <c r="N215" s="394">
        <f>IF(ISBLANK(INDEX('Policy Characteristics'!H:H,MATCH($C215,'Policy Characteristics'!$C:$C,0))),"",INDEX('Policy Characteristics'!H:H,MATCH($C215,'Policy Characteristics'!$C:$C,0)))</f>
        <v>500</v>
      </c>
      <c r="O215" s="394" t="str">
        <f>IF(ISBLANK(INDEX('Policy Characteristics'!I:I,MATCH($C215,'Policy Characteristics'!$C:$C,0))),"",INDEX('Policy Characteristics'!I:I,MATCH($C215,'Policy Characteristics'!$C:$C,0)))</f>
        <v>MW/year</v>
      </c>
      <c r="P215" s="394" t="str">
        <f>IF(ISBLANK(INDEX('Policy Characteristics'!J:J,MATCH($C215,'Policy Characteristics'!$C:$C,0))),"",INDEX('Policy Characteristics'!J:J,MATCH($C215,'Policy Characteristics'!$C:$C,0)))</f>
        <v>**Description:** This policy causes the specified quantity of otherwise non-retiring capacity of the selected type(s) to be retired each year.</v>
      </c>
      <c r="Q215" s="394" t="str">
        <f>IF(ISBLANK(INDEX('Policy Characteristics'!K:K,MATCH($C215,'Policy Characteristics'!$C:$C,0))),"",INDEX('Policy Characteristics'!K:K,MATCH($C215,'Policy Characteristics'!$C:$C,0)))</f>
        <v>electricity-sector-main.html#early-ret</v>
      </c>
      <c r="R215" s="394" t="str">
        <f>IF(ISBLANK(INDEX('Policy Characteristics'!L:L,MATCH($C215,'Policy Characteristics'!$C:$C,0))),"",INDEX('Policy Characteristics'!L:L,MATCH($C215,'Policy Characteristics'!$C:$C,0)))</f>
        <v>early-retirement-of-power-plants.html</v>
      </c>
    </row>
    <row r="216" customHeight="1" spans="1:18">
      <c r="A216" s="394" t="str">
        <f>IF(ISBLANK(INDEX('Policy Characteristics'!A:A,MATCH($C216,'Policy Characteristics'!$C:$C,0))),"",INDEX('Policy Characteristics'!A:A,MATCH($C216,'Policy Characteristics'!$C:$C,0)))</f>
        <v>Electricity Supply</v>
      </c>
      <c r="B216" s="395" t="str">
        <f>IF(ISBLANK(INDEX('Policy Characteristics'!B:B,MATCH($C216,'Policy Characteristics'!$C:$C,0))),"",INDEX('Policy Characteristics'!B:B,MATCH($C216,'Policy Characteristics'!$C:$C,0)))</f>
        <v>Early Retirement of Power Plants</v>
      </c>
      <c r="C216" s="394" t="str">
        <f t="shared" si="19"/>
        <v>Annual Additional Capacity Retired due to Early Retirement Policy</v>
      </c>
      <c r="D216" s="399" t="s">
        <v>707</v>
      </c>
      <c r="E216" s="399"/>
      <c r="F216" s="399" t="s">
        <v>708</v>
      </c>
      <c r="G216" s="399"/>
      <c r="H216" s="377">
        <v>621</v>
      </c>
      <c r="I216" s="396" t="s">
        <v>658</v>
      </c>
      <c r="J216" s="397" t="str">
        <f>IF(ISBLANK(INDEX('Policy Characteristics'!D:D,MATCH($C216,'Policy Characteristics'!$C:$C,0))),"",INDEX('Policy Characteristics'!D:D,MATCH($C216,'Policy Characteristics'!$C:$C,0)))</f>
        <v>Early Retirement of Power Plants</v>
      </c>
      <c r="K216" s="394" t="str">
        <f>IF(ISBLANK(INDEX('Policy Characteristics'!E:E,MATCH($C216,'Policy Characteristics'!$C:$C,0))),"",INDEX('Policy Characteristics'!E:E,MATCH($C216,'Policy Characteristics'!$C:$C,0)))</f>
        <v>elec early retirement</v>
      </c>
      <c r="L216" s="394">
        <f>IF(ISBLANK(INDEX('Policy Characteristics'!F:F,MATCH($C216,'Policy Characteristics'!$C:$C,0))),"",INDEX('Policy Characteristics'!F:F,MATCH($C216,'Policy Characteristics'!$C:$C,0)))</f>
        <v>0</v>
      </c>
      <c r="M216" s="394">
        <f>IF(ISBLANK(INDEX('Policy Characteristics'!G:G,MATCH($C216,'Policy Characteristics'!$C:$C,0))),"",INDEX('Policy Characteristics'!G:G,MATCH($C216,'Policy Characteristics'!$C:$C,0)))</f>
        <v>25000</v>
      </c>
      <c r="N216" s="394">
        <f>IF(ISBLANK(INDEX('Policy Characteristics'!H:H,MATCH($C216,'Policy Characteristics'!$C:$C,0))),"",INDEX('Policy Characteristics'!H:H,MATCH($C216,'Policy Characteristics'!$C:$C,0)))</f>
        <v>500</v>
      </c>
      <c r="O216" s="394" t="str">
        <f>IF(ISBLANK(INDEX('Policy Characteristics'!I:I,MATCH($C216,'Policy Characteristics'!$C:$C,0))),"",INDEX('Policy Characteristics'!I:I,MATCH($C216,'Policy Characteristics'!$C:$C,0)))</f>
        <v>MW/year</v>
      </c>
      <c r="P216" s="394" t="str">
        <f>IF(ISBLANK(INDEX('Policy Characteristics'!J:J,MATCH($C216,'Policy Characteristics'!$C:$C,0))),"",INDEX('Policy Characteristics'!J:J,MATCH($C216,'Policy Characteristics'!$C:$C,0)))</f>
        <v>**Description:** This policy causes the specified quantity of otherwise non-retiring capacity of the selected type(s) to be retired each year.</v>
      </c>
      <c r="Q216" s="394" t="str">
        <f>IF(ISBLANK(INDEX('Policy Characteristics'!K:K,MATCH($C216,'Policy Characteristics'!$C:$C,0))),"",INDEX('Policy Characteristics'!K:K,MATCH($C216,'Policy Characteristics'!$C:$C,0)))</f>
        <v>electricity-sector-main.html#early-ret</v>
      </c>
      <c r="R216" s="394" t="str">
        <f>IF(ISBLANK(INDEX('Policy Characteristics'!L:L,MATCH($C216,'Policy Characteristics'!$C:$C,0))),"",INDEX('Policy Characteristics'!L:L,MATCH($C216,'Policy Characteristics'!$C:$C,0)))</f>
        <v>early-retirement-of-power-plants.html</v>
      </c>
    </row>
    <row r="217" customHeight="1" spans="1:18">
      <c r="A217" s="394" t="str">
        <f>IF(ISBLANK(INDEX('Policy Characteristics'!A:A,MATCH($C217,'Policy Characteristics'!$C:$C,0))),"",INDEX('Policy Characteristics'!A:A,MATCH($C217,'Policy Characteristics'!$C:$C,0)))</f>
        <v>Electricity Supply</v>
      </c>
      <c r="B217" s="395" t="str">
        <f>IF(ISBLANK(INDEX('Policy Characteristics'!B:B,MATCH($C217,'Policy Characteristics'!$C:$C,0))),"",INDEX('Policy Characteristics'!B:B,MATCH($C217,'Policy Characteristics'!$C:$C,0)))</f>
        <v>Early Retirement of Power Plants</v>
      </c>
      <c r="C217" s="394" t="str">
        <f t="shared" si="19"/>
        <v>Annual Additional Capacity Retired due to Early Retirement Policy</v>
      </c>
      <c r="D217" s="399" t="s">
        <v>709</v>
      </c>
      <c r="E217" s="399"/>
      <c r="F217" s="399" t="s">
        <v>710</v>
      </c>
      <c r="G217" s="399"/>
      <c r="H217" s="377">
        <v>622</v>
      </c>
      <c r="I217" s="396" t="s">
        <v>658</v>
      </c>
      <c r="J217" s="397" t="str">
        <f>IF(ISBLANK(INDEX('Policy Characteristics'!D:D,MATCH($C217,'Policy Characteristics'!$C:$C,0))),"",INDEX('Policy Characteristics'!D:D,MATCH($C217,'Policy Characteristics'!$C:$C,0)))</f>
        <v>Early Retirement of Power Plants</v>
      </c>
      <c r="K217" s="394" t="str">
        <f>IF(ISBLANK(INDEX('Policy Characteristics'!E:E,MATCH($C217,'Policy Characteristics'!$C:$C,0))),"",INDEX('Policy Characteristics'!E:E,MATCH($C217,'Policy Characteristics'!$C:$C,0)))</f>
        <v>elec early retirement</v>
      </c>
      <c r="L217" s="394">
        <f>IF(ISBLANK(INDEX('Policy Characteristics'!F:F,MATCH($C217,'Policy Characteristics'!$C:$C,0))),"",INDEX('Policy Characteristics'!F:F,MATCH($C217,'Policy Characteristics'!$C:$C,0)))</f>
        <v>0</v>
      </c>
      <c r="M217" s="394">
        <f>IF(ISBLANK(INDEX('Policy Characteristics'!G:G,MATCH($C217,'Policy Characteristics'!$C:$C,0))),"",INDEX('Policy Characteristics'!G:G,MATCH($C217,'Policy Characteristics'!$C:$C,0)))</f>
        <v>25000</v>
      </c>
      <c r="N217" s="394">
        <f>IF(ISBLANK(INDEX('Policy Characteristics'!H:H,MATCH($C217,'Policy Characteristics'!$C:$C,0))),"",INDEX('Policy Characteristics'!H:H,MATCH($C217,'Policy Characteristics'!$C:$C,0)))</f>
        <v>500</v>
      </c>
      <c r="O217" s="394" t="str">
        <f>IF(ISBLANK(INDEX('Policy Characteristics'!I:I,MATCH($C217,'Policy Characteristics'!$C:$C,0))),"",INDEX('Policy Characteristics'!I:I,MATCH($C217,'Policy Characteristics'!$C:$C,0)))</f>
        <v>MW/year</v>
      </c>
      <c r="P217" s="394" t="str">
        <f>IF(ISBLANK(INDEX('Policy Characteristics'!J:J,MATCH($C217,'Policy Characteristics'!$C:$C,0))),"",INDEX('Policy Characteristics'!J:J,MATCH($C217,'Policy Characteristics'!$C:$C,0)))</f>
        <v>**Description:** This policy causes the specified quantity of otherwise non-retiring capacity of the selected type(s) to be retired each year.</v>
      </c>
      <c r="Q217" s="394" t="str">
        <f>IF(ISBLANK(INDEX('Policy Characteristics'!K:K,MATCH($C217,'Policy Characteristics'!$C:$C,0))),"",INDEX('Policy Characteristics'!K:K,MATCH($C217,'Policy Characteristics'!$C:$C,0)))</f>
        <v>electricity-sector-main.html#early-ret</v>
      </c>
      <c r="R217" s="394" t="str">
        <f>IF(ISBLANK(INDEX('Policy Characteristics'!L:L,MATCH($C217,'Policy Characteristics'!$C:$C,0))),"",INDEX('Policy Characteristics'!L:L,MATCH($C217,'Policy Characteristics'!$C:$C,0)))</f>
        <v>early-retirement-of-power-plants.html</v>
      </c>
    </row>
    <row r="218" customHeight="1" spans="1:18">
      <c r="A218" s="394" t="str">
        <f>IF(ISBLANK(INDEX('Policy Characteristics'!A:A,MATCH($C218,'Policy Characteristics'!$C:$C,0))),"",INDEX('Policy Characteristics'!A:A,MATCH($C218,'Policy Characteristics'!$C:$C,0)))</f>
        <v>Electricity Supply</v>
      </c>
      <c r="B218" s="395" t="str">
        <f>IF(ISBLANK(INDEX('Policy Characteristics'!B:B,MATCH($C218,'Policy Characteristics'!$C:$C,0))),"",INDEX('Policy Characteristics'!B:B,MATCH($C218,'Policy Characteristics'!$C:$C,0)))</f>
        <v>Early Retirement of Power Plants</v>
      </c>
      <c r="C218" s="394" t="str">
        <f t="shared" si="19"/>
        <v>Annual Additional Capacity Retired due to Early Retirement Policy</v>
      </c>
      <c r="D218" s="399" t="s">
        <v>711</v>
      </c>
      <c r="E218" s="399"/>
      <c r="F218" s="399" t="s">
        <v>712</v>
      </c>
      <c r="G218" s="399"/>
      <c r="H218" s="377">
        <v>623</v>
      </c>
      <c r="I218" s="396" t="s">
        <v>658</v>
      </c>
      <c r="J218" s="397" t="str">
        <f>IF(ISBLANK(INDEX('Policy Characteristics'!D:D,MATCH($C218,'Policy Characteristics'!$C:$C,0))),"",INDEX('Policy Characteristics'!D:D,MATCH($C218,'Policy Characteristics'!$C:$C,0)))</f>
        <v>Early Retirement of Power Plants</v>
      </c>
      <c r="K218" s="394" t="str">
        <f>IF(ISBLANK(INDEX('Policy Characteristics'!E:E,MATCH($C218,'Policy Characteristics'!$C:$C,0))),"",INDEX('Policy Characteristics'!E:E,MATCH($C218,'Policy Characteristics'!$C:$C,0)))</f>
        <v>elec early retirement</v>
      </c>
      <c r="L218" s="394">
        <f>IF(ISBLANK(INDEX('Policy Characteristics'!F:F,MATCH($C218,'Policy Characteristics'!$C:$C,0))),"",INDEX('Policy Characteristics'!F:F,MATCH($C218,'Policy Characteristics'!$C:$C,0)))</f>
        <v>0</v>
      </c>
      <c r="M218" s="394">
        <f>IF(ISBLANK(INDEX('Policy Characteristics'!G:G,MATCH($C218,'Policy Characteristics'!$C:$C,0))),"",INDEX('Policy Characteristics'!G:G,MATCH($C218,'Policy Characteristics'!$C:$C,0)))</f>
        <v>25000</v>
      </c>
      <c r="N218" s="394">
        <f>IF(ISBLANK(INDEX('Policy Characteristics'!H:H,MATCH($C218,'Policy Characteristics'!$C:$C,0))),"",INDEX('Policy Characteristics'!H:H,MATCH($C218,'Policy Characteristics'!$C:$C,0)))</f>
        <v>500</v>
      </c>
      <c r="O218" s="394" t="str">
        <f>IF(ISBLANK(INDEX('Policy Characteristics'!I:I,MATCH($C218,'Policy Characteristics'!$C:$C,0))),"",INDEX('Policy Characteristics'!I:I,MATCH($C218,'Policy Characteristics'!$C:$C,0)))</f>
        <v>MW/year</v>
      </c>
      <c r="P218" s="394" t="str">
        <f>IF(ISBLANK(INDEX('Policy Characteristics'!J:J,MATCH($C218,'Policy Characteristics'!$C:$C,0))),"",INDEX('Policy Characteristics'!J:J,MATCH($C218,'Policy Characteristics'!$C:$C,0)))</f>
        <v>**Description:** This policy causes the specified quantity of otherwise non-retiring capacity of the selected type(s) to be retired each year.</v>
      </c>
      <c r="Q218" s="394" t="str">
        <f>IF(ISBLANK(INDEX('Policy Characteristics'!K:K,MATCH($C218,'Policy Characteristics'!$C:$C,0))),"",INDEX('Policy Characteristics'!K:K,MATCH($C218,'Policy Characteristics'!$C:$C,0)))</f>
        <v>electricity-sector-main.html#early-ret</v>
      </c>
      <c r="R218" s="394" t="str">
        <f>IF(ISBLANK(INDEX('Policy Characteristics'!L:L,MATCH($C218,'Policy Characteristics'!$C:$C,0))),"",INDEX('Policy Characteristics'!L:L,MATCH($C218,'Policy Characteristics'!$C:$C,0)))</f>
        <v>early-retirement-of-power-plants.html</v>
      </c>
    </row>
    <row r="219" customHeight="1" spans="1:18">
      <c r="A219" s="394" t="str">
        <f>IF(ISBLANK(INDEX('Policy Characteristics'!A:A,MATCH($C219,'Policy Characteristics'!$C:$C,0))),"",INDEX('Policy Characteristics'!A:A,MATCH($C219,'Policy Characteristics'!$C:$C,0)))</f>
        <v>Electricity Supply</v>
      </c>
      <c r="B219" s="395" t="str">
        <f>IF(ISBLANK(INDEX('Policy Characteristics'!B:B,MATCH($C219,'Policy Characteristics'!$C:$C,0))),"",INDEX('Policy Characteristics'!B:B,MATCH($C219,'Policy Characteristics'!$C:$C,0)))</f>
        <v>Early Retirement of Power Plants</v>
      </c>
      <c r="C219" s="394" t="str">
        <f t="shared" si="19"/>
        <v>Annual Additional Capacity Retired due to Early Retirement Policy</v>
      </c>
      <c r="D219" s="399" t="s">
        <v>713</v>
      </c>
      <c r="E219" s="399"/>
      <c r="F219" s="399" t="s">
        <v>714</v>
      </c>
      <c r="G219" s="399"/>
      <c r="H219" s="377">
        <v>624</v>
      </c>
      <c r="I219" s="396" t="s">
        <v>658</v>
      </c>
      <c r="J219" s="397" t="str">
        <f>IF(ISBLANK(INDEX('Policy Characteristics'!D:D,MATCH($C219,'Policy Characteristics'!$C:$C,0))),"",INDEX('Policy Characteristics'!D:D,MATCH($C219,'Policy Characteristics'!$C:$C,0)))</f>
        <v>Early Retirement of Power Plants</v>
      </c>
      <c r="K219" s="394" t="str">
        <f>IF(ISBLANK(INDEX('Policy Characteristics'!E:E,MATCH($C219,'Policy Characteristics'!$C:$C,0))),"",INDEX('Policy Characteristics'!E:E,MATCH($C219,'Policy Characteristics'!$C:$C,0)))</f>
        <v>elec early retirement</v>
      </c>
      <c r="L219" s="394">
        <f>IF(ISBLANK(INDEX('Policy Characteristics'!F:F,MATCH($C219,'Policy Characteristics'!$C:$C,0))),"",INDEX('Policy Characteristics'!F:F,MATCH($C219,'Policy Characteristics'!$C:$C,0)))</f>
        <v>0</v>
      </c>
      <c r="M219" s="394">
        <f>IF(ISBLANK(INDEX('Policy Characteristics'!G:G,MATCH($C219,'Policy Characteristics'!$C:$C,0))),"",INDEX('Policy Characteristics'!G:G,MATCH($C219,'Policy Characteristics'!$C:$C,0)))</f>
        <v>25000</v>
      </c>
      <c r="N219" s="394">
        <f>IF(ISBLANK(INDEX('Policy Characteristics'!H:H,MATCH($C219,'Policy Characteristics'!$C:$C,0))),"",INDEX('Policy Characteristics'!H:H,MATCH($C219,'Policy Characteristics'!$C:$C,0)))</f>
        <v>500</v>
      </c>
      <c r="O219" s="394" t="str">
        <f>IF(ISBLANK(INDEX('Policy Characteristics'!I:I,MATCH($C219,'Policy Characteristics'!$C:$C,0))),"",INDEX('Policy Characteristics'!I:I,MATCH($C219,'Policy Characteristics'!$C:$C,0)))</f>
        <v>MW/year</v>
      </c>
      <c r="P219" s="394" t="str">
        <f>IF(ISBLANK(INDEX('Policy Characteristics'!J:J,MATCH($C219,'Policy Characteristics'!$C:$C,0))),"",INDEX('Policy Characteristics'!J:J,MATCH($C219,'Policy Characteristics'!$C:$C,0)))</f>
        <v>**Description:** This policy causes the specified quantity of otherwise non-retiring capacity of the selected type(s) to be retired each year.</v>
      </c>
      <c r="Q219" s="394" t="str">
        <f>IF(ISBLANK(INDEX('Policy Characteristics'!K:K,MATCH($C219,'Policy Characteristics'!$C:$C,0))),"",INDEX('Policy Characteristics'!K:K,MATCH($C219,'Policy Characteristics'!$C:$C,0)))</f>
        <v>electricity-sector-main.html#early-ret</v>
      </c>
      <c r="R219" s="394" t="str">
        <f>IF(ISBLANK(INDEX('Policy Characteristics'!L:L,MATCH($C219,'Policy Characteristics'!$C:$C,0))),"",INDEX('Policy Characteristics'!L:L,MATCH($C219,'Policy Characteristics'!$C:$C,0)))</f>
        <v>early-retirement-of-power-plants.html</v>
      </c>
    </row>
    <row r="220" customHeight="1" spans="1:18">
      <c r="A220" s="394" t="str">
        <f>IF(ISBLANK(INDEX('Policy Characteristics'!A:A,MATCH($C220,'Policy Characteristics'!$C:$C,0))),"",INDEX('Policy Characteristics'!A:A,MATCH($C220,'Policy Characteristics'!$C:$C,0)))</f>
        <v>Electricity Supply</v>
      </c>
      <c r="B220" s="395" t="str">
        <f>IF(ISBLANK(INDEX('Policy Characteristics'!B:B,MATCH($C220,'Policy Characteristics'!$C:$C,0))),"",INDEX('Policy Characteristics'!B:B,MATCH($C220,'Policy Characteristics'!$C:$C,0)))</f>
        <v>Early Retirement of Power Plants</v>
      </c>
      <c r="C220" s="394" t="str">
        <f t="shared" si="19"/>
        <v>Annual Additional Capacity Retired due to Early Retirement Policy</v>
      </c>
      <c r="D220" s="399" t="s">
        <v>715</v>
      </c>
      <c r="E220" s="399"/>
      <c r="F220" s="399" t="s">
        <v>716</v>
      </c>
      <c r="G220" s="399"/>
      <c r="H220" s="377">
        <v>625</v>
      </c>
      <c r="I220" s="396" t="s">
        <v>658</v>
      </c>
      <c r="J220" s="397" t="str">
        <f>IF(ISBLANK(INDEX('Policy Characteristics'!D:D,MATCH($C220,'Policy Characteristics'!$C:$C,0))),"",INDEX('Policy Characteristics'!D:D,MATCH($C220,'Policy Characteristics'!$C:$C,0)))</f>
        <v>Early Retirement of Power Plants</v>
      </c>
      <c r="K220" s="394" t="str">
        <f>IF(ISBLANK(INDEX('Policy Characteristics'!E:E,MATCH($C220,'Policy Characteristics'!$C:$C,0))),"",INDEX('Policy Characteristics'!E:E,MATCH($C220,'Policy Characteristics'!$C:$C,0)))</f>
        <v>elec early retirement</v>
      </c>
      <c r="L220" s="394">
        <f>IF(ISBLANK(INDEX('Policy Characteristics'!F:F,MATCH($C220,'Policy Characteristics'!$C:$C,0))),"",INDEX('Policy Characteristics'!F:F,MATCH($C220,'Policy Characteristics'!$C:$C,0)))</f>
        <v>0</v>
      </c>
      <c r="M220" s="394">
        <f>IF(ISBLANK(INDEX('Policy Characteristics'!G:G,MATCH($C220,'Policy Characteristics'!$C:$C,0))),"",INDEX('Policy Characteristics'!G:G,MATCH($C220,'Policy Characteristics'!$C:$C,0)))</f>
        <v>25000</v>
      </c>
      <c r="N220" s="394">
        <f>IF(ISBLANK(INDEX('Policy Characteristics'!H:H,MATCH($C220,'Policy Characteristics'!$C:$C,0))),"",INDEX('Policy Characteristics'!H:H,MATCH($C220,'Policy Characteristics'!$C:$C,0)))</f>
        <v>500</v>
      </c>
      <c r="O220" s="394" t="str">
        <f>IF(ISBLANK(INDEX('Policy Characteristics'!I:I,MATCH($C220,'Policy Characteristics'!$C:$C,0))),"",INDEX('Policy Characteristics'!I:I,MATCH($C220,'Policy Characteristics'!$C:$C,0)))</f>
        <v>MW/year</v>
      </c>
      <c r="P220" s="394" t="str">
        <f>IF(ISBLANK(INDEX('Policy Characteristics'!J:J,MATCH($C220,'Policy Characteristics'!$C:$C,0))),"",INDEX('Policy Characteristics'!J:J,MATCH($C220,'Policy Characteristics'!$C:$C,0)))</f>
        <v>**Description:** This policy causes the specified quantity of otherwise non-retiring capacity of the selected type(s) to be retired each year.</v>
      </c>
      <c r="Q220" s="394" t="str">
        <f>IF(ISBLANK(INDEX('Policy Characteristics'!K:K,MATCH($C220,'Policy Characteristics'!$C:$C,0))),"",INDEX('Policy Characteristics'!K:K,MATCH($C220,'Policy Characteristics'!$C:$C,0)))</f>
        <v>electricity-sector-main.html#early-ret</v>
      </c>
      <c r="R220" s="394" t="str">
        <f>IF(ISBLANK(INDEX('Policy Characteristics'!L:L,MATCH($C220,'Policy Characteristics'!$C:$C,0))),"",INDEX('Policy Characteristics'!L:L,MATCH($C220,'Policy Characteristics'!$C:$C,0)))</f>
        <v>early-retirement-of-power-plants.html</v>
      </c>
    </row>
    <row r="221" customHeight="1" spans="1:18">
      <c r="A221" s="394" t="str">
        <f>IF(ISBLANK(INDEX('Policy Characteristics'!A:A,MATCH($C221,'Policy Characteristics'!$C:$C,0))),"",INDEX('Policy Characteristics'!A:A,MATCH($C221,'Policy Characteristics'!$C:$C,0)))</f>
        <v>Electricity Supply</v>
      </c>
      <c r="B221" s="395" t="str">
        <f>IF(ISBLANK(INDEX('Policy Characteristics'!B:B,MATCH($C221,'Policy Characteristics'!$C:$C,0))),"",INDEX('Policy Characteristics'!B:B,MATCH($C221,'Policy Characteristics'!$C:$C,0)))</f>
        <v>Early Retirement of Power Plants</v>
      </c>
      <c r="C221" s="394" t="str">
        <f t="shared" si="19"/>
        <v>Annual Additional Capacity Retired due to Early Retirement Policy</v>
      </c>
      <c r="D221" s="399" t="s">
        <v>717</v>
      </c>
      <c r="E221" s="399"/>
      <c r="F221" s="399" t="s">
        <v>718</v>
      </c>
      <c r="G221" s="399"/>
      <c r="H221" s="377">
        <v>626</v>
      </c>
      <c r="I221" s="396" t="s">
        <v>658</v>
      </c>
      <c r="J221" s="397" t="str">
        <f>IF(ISBLANK(INDEX('Policy Characteristics'!D:D,MATCH($C221,'Policy Characteristics'!$C:$C,0))),"",INDEX('Policy Characteristics'!D:D,MATCH($C221,'Policy Characteristics'!$C:$C,0)))</f>
        <v>Early Retirement of Power Plants</v>
      </c>
      <c r="K221" s="394" t="str">
        <f>IF(ISBLANK(INDEX('Policy Characteristics'!E:E,MATCH($C221,'Policy Characteristics'!$C:$C,0))),"",INDEX('Policy Characteristics'!E:E,MATCH($C221,'Policy Characteristics'!$C:$C,0)))</f>
        <v>elec early retirement</v>
      </c>
      <c r="L221" s="394">
        <f>IF(ISBLANK(INDEX('Policy Characteristics'!F:F,MATCH($C221,'Policy Characteristics'!$C:$C,0))),"",INDEX('Policy Characteristics'!F:F,MATCH($C221,'Policy Characteristics'!$C:$C,0)))</f>
        <v>0</v>
      </c>
      <c r="M221" s="394">
        <f>IF(ISBLANK(INDEX('Policy Characteristics'!G:G,MATCH($C221,'Policy Characteristics'!$C:$C,0))),"",INDEX('Policy Characteristics'!G:G,MATCH($C221,'Policy Characteristics'!$C:$C,0)))</f>
        <v>25000</v>
      </c>
      <c r="N221" s="394">
        <f>IF(ISBLANK(INDEX('Policy Characteristics'!H:H,MATCH($C221,'Policy Characteristics'!$C:$C,0))),"",INDEX('Policy Characteristics'!H:H,MATCH($C221,'Policy Characteristics'!$C:$C,0)))</f>
        <v>500</v>
      </c>
      <c r="O221" s="394" t="str">
        <f>IF(ISBLANK(INDEX('Policy Characteristics'!I:I,MATCH($C221,'Policy Characteristics'!$C:$C,0))),"",INDEX('Policy Characteristics'!I:I,MATCH($C221,'Policy Characteristics'!$C:$C,0)))</f>
        <v>MW/year</v>
      </c>
      <c r="P221" s="394" t="str">
        <f>IF(ISBLANK(INDEX('Policy Characteristics'!J:J,MATCH($C221,'Policy Characteristics'!$C:$C,0))),"",INDEX('Policy Characteristics'!J:J,MATCH($C221,'Policy Characteristics'!$C:$C,0)))</f>
        <v>**Description:** This policy causes the specified quantity of otherwise non-retiring capacity of the selected type(s) to be retired each year.</v>
      </c>
      <c r="Q221" s="394" t="str">
        <f>IF(ISBLANK(INDEX('Policy Characteristics'!K:K,MATCH($C221,'Policy Characteristics'!$C:$C,0))),"",INDEX('Policy Characteristics'!K:K,MATCH($C221,'Policy Characteristics'!$C:$C,0)))</f>
        <v>electricity-sector-main.html#early-ret</v>
      </c>
      <c r="R221" s="394" t="str">
        <f>IF(ISBLANK(INDEX('Policy Characteristics'!L:L,MATCH($C221,'Policy Characteristics'!$C:$C,0))),"",INDEX('Policy Characteristics'!L:L,MATCH($C221,'Policy Characteristics'!$C:$C,0)))</f>
        <v>early-retirement-of-power-plants.html</v>
      </c>
    </row>
    <row r="222" customHeight="1" spans="1:18">
      <c r="A222" s="394" t="str">
        <f>IF(ISBLANK(INDEX('Policy Characteristics'!A:A,MATCH($C222,'Policy Characteristics'!$C:$C,0))),"",INDEX('Policy Characteristics'!A:A,MATCH($C222,'Policy Characteristics'!$C:$C,0)))</f>
        <v>Electricity Supply</v>
      </c>
      <c r="B222" s="395" t="str">
        <f>IF(ISBLANK(INDEX('Policy Characteristics'!B:B,MATCH($C222,'Policy Characteristics'!$C:$C,0))),"",INDEX('Policy Characteristics'!B:B,MATCH($C222,'Policy Characteristics'!$C:$C,0)))</f>
        <v>Early Retirement of Power Plants</v>
      </c>
      <c r="C222" s="394" t="str">
        <f t="shared" si="19"/>
        <v>Annual Additional Capacity Retired due to Early Retirement Policy</v>
      </c>
      <c r="D222" s="399" t="s">
        <v>719</v>
      </c>
      <c r="E222" s="399"/>
      <c r="F222" s="399" t="s">
        <v>720</v>
      </c>
      <c r="G222" s="399"/>
      <c r="H222" s="377">
        <v>627</v>
      </c>
      <c r="I222" s="396" t="s">
        <v>658</v>
      </c>
      <c r="J222" s="397" t="str">
        <f>IF(ISBLANK(INDEX('Policy Characteristics'!D:D,MATCH($C222,'Policy Characteristics'!$C:$C,0))),"",INDEX('Policy Characteristics'!D:D,MATCH($C222,'Policy Characteristics'!$C:$C,0)))</f>
        <v>Early Retirement of Power Plants</v>
      </c>
      <c r="K222" s="394" t="str">
        <f>IF(ISBLANK(INDEX('Policy Characteristics'!E:E,MATCH($C222,'Policy Characteristics'!$C:$C,0))),"",INDEX('Policy Characteristics'!E:E,MATCH($C222,'Policy Characteristics'!$C:$C,0)))</f>
        <v>elec early retirement</v>
      </c>
      <c r="L222" s="394">
        <f>IF(ISBLANK(INDEX('Policy Characteristics'!F:F,MATCH($C222,'Policy Characteristics'!$C:$C,0))),"",INDEX('Policy Characteristics'!F:F,MATCH($C222,'Policy Characteristics'!$C:$C,0)))</f>
        <v>0</v>
      </c>
      <c r="M222" s="394">
        <f>IF(ISBLANK(INDEX('Policy Characteristics'!G:G,MATCH($C222,'Policy Characteristics'!$C:$C,0))),"",INDEX('Policy Characteristics'!G:G,MATCH($C222,'Policy Characteristics'!$C:$C,0)))</f>
        <v>25000</v>
      </c>
      <c r="N222" s="394">
        <f>IF(ISBLANK(INDEX('Policy Characteristics'!H:H,MATCH($C222,'Policy Characteristics'!$C:$C,0))),"",INDEX('Policy Characteristics'!H:H,MATCH($C222,'Policy Characteristics'!$C:$C,0)))</f>
        <v>500</v>
      </c>
      <c r="O222" s="394" t="str">
        <f>IF(ISBLANK(INDEX('Policy Characteristics'!I:I,MATCH($C222,'Policy Characteristics'!$C:$C,0))),"",INDEX('Policy Characteristics'!I:I,MATCH($C222,'Policy Characteristics'!$C:$C,0)))</f>
        <v>MW/year</v>
      </c>
      <c r="P222" s="394" t="str">
        <f>IF(ISBLANK(INDEX('Policy Characteristics'!J:J,MATCH($C222,'Policy Characteristics'!$C:$C,0))),"",INDEX('Policy Characteristics'!J:J,MATCH($C222,'Policy Characteristics'!$C:$C,0)))</f>
        <v>**Description:** This policy causes the specified quantity of otherwise non-retiring capacity of the selected type(s) to be retired each year.</v>
      </c>
      <c r="Q222" s="394" t="str">
        <f>IF(ISBLANK(INDEX('Policy Characteristics'!K:K,MATCH($C222,'Policy Characteristics'!$C:$C,0))),"",INDEX('Policy Characteristics'!K:K,MATCH($C222,'Policy Characteristics'!$C:$C,0)))</f>
        <v>electricity-sector-main.html#early-ret</v>
      </c>
      <c r="R222" s="394" t="str">
        <f>IF(ISBLANK(INDEX('Policy Characteristics'!L:L,MATCH($C222,'Policy Characteristics'!$C:$C,0))),"",INDEX('Policy Characteristics'!L:L,MATCH($C222,'Policy Characteristics'!$C:$C,0)))</f>
        <v>early-retirement-of-power-plants.html</v>
      </c>
    </row>
    <row r="223" customHeight="1" spans="1:18">
      <c r="A223" s="394" t="str">
        <f>IF(ISBLANK(INDEX('Policy Characteristics'!A:A,MATCH($C223,'Policy Characteristics'!$C:$C,0))),"",INDEX('Policy Characteristics'!A:A,MATCH($C223,'Policy Characteristics'!$C:$C,0)))</f>
        <v>Electricity Supply</v>
      </c>
      <c r="B223" s="395" t="str">
        <f>IF(ISBLANK(INDEX('Policy Characteristics'!B:B,MATCH($C223,'Policy Characteristics'!$C:$C,0))),"",INDEX('Policy Characteristics'!B:B,MATCH($C223,'Policy Characteristics'!$C:$C,0)))</f>
        <v>Early Retirement of Power Plants</v>
      </c>
      <c r="C223" s="394" t="str">
        <f t="shared" si="19"/>
        <v>Annual Additional Capacity Retired due to Early Retirement Policy</v>
      </c>
      <c r="D223" s="399" t="s">
        <v>721</v>
      </c>
      <c r="E223" s="399"/>
      <c r="F223" s="399" t="s">
        <v>722</v>
      </c>
      <c r="G223" s="399"/>
      <c r="H223" s="377">
        <v>628</v>
      </c>
      <c r="I223" s="396" t="s">
        <v>648</v>
      </c>
      <c r="J223" s="397" t="str">
        <f>IF(ISBLANK(INDEX('Policy Characteristics'!D:D,MATCH($C223,'Policy Characteristics'!$C:$C,0))),"",INDEX('Policy Characteristics'!D:D,MATCH($C223,'Policy Characteristics'!$C:$C,0)))</f>
        <v>Early Retirement of Power Plants</v>
      </c>
      <c r="K223" s="394" t="str">
        <f>IF(ISBLANK(INDEX('Policy Characteristics'!E:E,MATCH($C223,'Policy Characteristics'!$C:$C,0))),"",INDEX('Policy Characteristics'!E:E,MATCH($C223,'Policy Characteristics'!$C:$C,0)))</f>
        <v>elec early retirement</v>
      </c>
      <c r="L223" s="394">
        <f>IF(ISBLANK(INDEX('Policy Characteristics'!F:F,MATCH($C223,'Policy Characteristics'!$C:$C,0))),"",INDEX('Policy Characteristics'!F:F,MATCH($C223,'Policy Characteristics'!$C:$C,0)))</f>
        <v>0</v>
      </c>
      <c r="M223" s="394">
        <f>IF(ISBLANK(INDEX('Policy Characteristics'!G:G,MATCH($C223,'Policy Characteristics'!$C:$C,0))),"",INDEX('Policy Characteristics'!G:G,MATCH($C223,'Policy Characteristics'!$C:$C,0)))</f>
        <v>25000</v>
      </c>
      <c r="N223" s="394">
        <f>IF(ISBLANK(INDEX('Policy Characteristics'!H:H,MATCH($C223,'Policy Characteristics'!$C:$C,0))),"",INDEX('Policy Characteristics'!H:H,MATCH($C223,'Policy Characteristics'!$C:$C,0)))</f>
        <v>500</v>
      </c>
      <c r="O223" s="394" t="str">
        <f>IF(ISBLANK(INDEX('Policy Characteristics'!I:I,MATCH($C223,'Policy Characteristics'!$C:$C,0))),"",INDEX('Policy Characteristics'!I:I,MATCH($C223,'Policy Characteristics'!$C:$C,0)))</f>
        <v>MW/year</v>
      </c>
      <c r="P223" s="394" t="str">
        <f>IF(ISBLANK(INDEX('Policy Characteristics'!J:J,MATCH($C223,'Policy Characteristics'!$C:$C,0))),"",INDEX('Policy Characteristics'!J:J,MATCH($C223,'Policy Characteristics'!$C:$C,0)))</f>
        <v>**Description:** This policy causes the specified quantity of otherwise non-retiring capacity of the selected type(s) to be retired each year.</v>
      </c>
      <c r="Q223" s="394" t="str">
        <f>IF(ISBLANK(INDEX('Policy Characteristics'!K:K,MATCH($C223,'Policy Characteristics'!$C:$C,0))),"",INDEX('Policy Characteristics'!K:K,MATCH($C223,'Policy Characteristics'!$C:$C,0)))</f>
        <v>electricity-sector-main.html#early-ret</v>
      </c>
      <c r="R223" s="394" t="str">
        <f>IF(ISBLANK(INDEX('Policy Characteristics'!L:L,MATCH($C223,'Policy Characteristics'!$C:$C,0))),"",INDEX('Policy Characteristics'!L:L,MATCH($C223,'Policy Characteristics'!$C:$C,0)))</f>
        <v>early-retirement-of-power-plants.html</v>
      </c>
    </row>
    <row r="224" customHeight="1" spans="1:18">
      <c r="A224" s="394" t="str">
        <f>IF(ISBLANK(INDEX('Policy Characteristics'!A:A,MATCH($C224,'Policy Characteristics'!$C:$C,0))),"",INDEX('Policy Characteristics'!A:A,MATCH($C224,'Policy Characteristics'!$C:$C,0)))</f>
        <v>Electricity Supply</v>
      </c>
      <c r="B224" s="395" t="str">
        <f>IF(ISBLANK(INDEX('Policy Characteristics'!B:B,MATCH($C224,'Policy Characteristics'!$C:$C,0))),"",INDEX('Policy Characteristics'!B:B,MATCH($C224,'Policy Characteristics'!$C:$C,0)))</f>
        <v>Early Retirement of Power Plants</v>
      </c>
      <c r="C224" s="394" t="str">
        <f t="shared" si="19"/>
        <v>Annual Additional Capacity Retired due to Early Retirement Policy</v>
      </c>
      <c r="D224" s="399" t="s">
        <v>723</v>
      </c>
      <c r="E224" s="399"/>
      <c r="F224" s="400" t="s">
        <v>724</v>
      </c>
      <c r="G224" s="399"/>
      <c r="H224" s="377">
        <v>590</v>
      </c>
      <c r="I224" s="396" t="s">
        <v>648</v>
      </c>
      <c r="J224" s="397" t="str">
        <f>IF(ISBLANK(INDEX('Policy Characteristics'!D:D,MATCH($C224,'Policy Characteristics'!$C:$C,0))),"",INDEX('Policy Characteristics'!D:D,MATCH($C224,'Policy Characteristics'!$C:$C,0)))</f>
        <v>Early Retirement of Power Plants</v>
      </c>
      <c r="K224" s="394" t="str">
        <f>IF(ISBLANK(INDEX('Policy Characteristics'!E:E,MATCH($C224,'Policy Characteristics'!$C:$C,0))),"",INDEX('Policy Characteristics'!E:E,MATCH($C224,'Policy Characteristics'!$C:$C,0)))</f>
        <v>elec early retirement</v>
      </c>
      <c r="L224" s="394">
        <f>IF(ISBLANK(INDEX('Policy Characteristics'!F:F,MATCH($C224,'Policy Characteristics'!$C:$C,0))),"",INDEX('Policy Characteristics'!F:F,MATCH($C224,'Policy Characteristics'!$C:$C,0)))</f>
        <v>0</v>
      </c>
      <c r="M224" s="394">
        <f>IF(ISBLANK(INDEX('Policy Characteristics'!G:G,MATCH($C224,'Policy Characteristics'!$C:$C,0))),"",INDEX('Policy Characteristics'!G:G,MATCH($C224,'Policy Characteristics'!$C:$C,0)))</f>
        <v>25000</v>
      </c>
      <c r="N224" s="394">
        <f>IF(ISBLANK(INDEX('Policy Characteristics'!H:H,MATCH($C224,'Policy Characteristics'!$C:$C,0))),"",INDEX('Policy Characteristics'!H:H,MATCH($C224,'Policy Characteristics'!$C:$C,0)))</f>
        <v>500</v>
      </c>
      <c r="O224" s="394" t="str">
        <f>IF(ISBLANK(INDEX('Policy Characteristics'!I:I,MATCH($C224,'Policy Characteristics'!$C:$C,0))),"",INDEX('Policy Characteristics'!I:I,MATCH($C224,'Policy Characteristics'!$C:$C,0)))</f>
        <v>MW/year</v>
      </c>
      <c r="P224" s="394" t="str">
        <f>IF(ISBLANK(INDEX('Policy Characteristics'!J:J,MATCH($C224,'Policy Characteristics'!$C:$C,0))),"",INDEX('Policy Characteristics'!J:J,MATCH($C224,'Policy Characteristics'!$C:$C,0)))</f>
        <v>**Description:** This policy causes the specified quantity of otherwise non-retiring capacity of the selected type(s) to be retired each year.</v>
      </c>
      <c r="Q224" s="394" t="str">
        <f>IF(ISBLANK(INDEX('Policy Characteristics'!K:K,MATCH($C224,'Policy Characteristics'!$C:$C,0))),"",INDEX('Policy Characteristics'!K:K,MATCH($C224,'Policy Characteristics'!$C:$C,0)))</f>
        <v>electricity-sector-main.html#early-ret</v>
      </c>
      <c r="R224" s="394" t="str">
        <f>IF(ISBLANK(INDEX('Policy Characteristics'!L:L,MATCH($C224,'Policy Characteristics'!$C:$C,0))),"",INDEX('Policy Characteristics'!L:L,MATCH($C224,'Policy Characteristics'!$C:$C,0)))</f>
        <v>early-retirement-of-power-plants.html</v>
      </c>
    </row>
    <row r="225" customHeight="1" spans="1:18">
      <c r="A225" s="394" t="str">
        <f>IF(ISBLANK(INDEX('Policy Characteristics'!A:A,MATCH($C225,'Policy Characteristics'!$C:$C,0))),"",INDEX('Policy Characteristics'!A:A,MATCH($C225,'Policy Characteristics'!$C:$C,0)))</f>
        <v>Electricity Supply</v>
      </c>
      <c r="B225" s="395" t="str">
        <f>IF(ISBLANK(INDEX('Policy Characteristics'!B:B,MATCH($C225,'Policy Characteristics'!$C:$C,0))),"",INDEX('Policy Characteristics'!B:B,MATCH($C225,'Policy Characteristics'!$C:$C,0)))</f>
        <v>Early Retirement of Power Plants</v>
      </c>
      <c r="C225" s="394" t="str">
        <f t="shared" si="19"/>
        <v>Annual Additional Capacity Retired due to Early Retirement Policy</v>
      </c>
      <c r="D225" s="399" t="s">
        <v>725</v>
      </c>
      <c r="E225" s="399"/>
      <c r="F225" s="399" t="s">
        <v>726</v>
      </c>
      <c r="G225" s="399"/>
      <c r="H225" s="377">
        <v>629</v>
      </c>
      <c r="I225" s="396" t="s">
        <v>658</v>
      </c>
      <c r="J225" s="397" t="str">
        <f>IF(ISBLANK(INDEX('Policy Characteristics'!D:D,MATCH($C225,'Policy Characteristics'!$C:$C,0))),"",INDEX('Policy Characteristics'!D:D,MATCH($C225,'Policy Characteristics'!$C:$C,0)))</f>
        <v>Early Retirement of Power Plants</v>
      </c>
      <c r="K225" s="394" t="str">
        <f>IF(ISBLANK(INDEX('Policy Characteristics'!E:E,MATCH($C225,'Policy Characteristics'!$C:$C,0))),"",INDEX('Policy Characteristics'!E:E,MATCH($C225,'Policy Characteristics'!$C:$C,0)))</f>
        <v>elec early retirement</v>
      </c>
      <c r="L225" s="394">
        <f>IF(ISBLANK(INDEX('Policy Characteristics'!F:F,MATCH($C225,'Policy Characteristics'!$C:$C,0))),"",INDEX('Policy Characteristics'!F:F,MATCH($C225,'Policy Characteristics'!$C:$C,0)))</f>
        <v>0</v>
      </c>
      <c r="M225" s="394">
        <f>IF(ISBLANK(INDEX('Policy Characteristics'!G:G,MATCH($C225,'Policy Characteristics'!$C:$C,0))),"",INDEX('Policy Characteristics'!G:G,MATCH($C225,'Policy Characteristics'!$C:$C,0)))</f>
        <v>25000</v>
      </c>
      <c r="N225" s="394">
        <f>IF(ISBLANK(INDEX('Policy Characteristics'!H:H,MATCH($C225,'Policy Characteristics'!$C:$C,0))),"",INDEX('Policy Characteristics'!H:H,MATCH($C225,'Policy Characteristics'!$C:$C,0)))</f>
        <v>500</v>
      </c>
      <c r="O225" s="394" t="str">
        <f>IF(ISBLANK(INDEX('Policy Characteristics'!I:I,MATCH($C225,'Policy Characteristics'!$C:$C,0))),"",INDEX('Policy Characteristics'!I:I,MATCH($C225,'Policy Characteristics'!$C:$C,0)))</f>
        <v>MW/year</v>
      </c>
      <c r="P225" s="394" t="str">
        <f>IF(ISBLANK(INDEX('Policy Characteristics'!J:J,MATCH($C225,'Policy Characteristics'!$C:$C,0))),"",INDEX('Policy Characteristics'!J:J,MATCH($C225,'Policy Characteristics'!$C:$C,0)))</f>
        <v>**Description:** This policy causes the specified quantity of otherwise non-retiring capacity of the selected type(s) to be retired each year.</v>
      </c>
      <c r="Q225" s="394" t="str">
        <f>IF(ISBLANK(INDEX('Policy Characteristics'!K:K,MATCH($C225,'Policy Characteristics'!$C:$C,0))),"",INDEX('Policy Characteristics'!K:K,MATCH($C225,'Policy Characteristics'!$C:$C,0)))</f>
        <v>electricity-sector-main.html#early-ret</v>
      </c>
      <c r="R225" s="394" t="str">
        <f>IF(ISBLANK(INDEX('Policy Characteristics'!L:L,MATCH($C225,'Policy Characteristics'!$C:$C,0))),"",INDEX('Policy Characteristics'!L:L,MATCH($C225,'Policy Characteristics'!$C:$C,0)))</f>
        <v>early-retirement-of-power-plants.html</v>
      </c>
    </row>
    <row r="226" customHeight="1" spans="1:18">
      <c r="A226" s="394" t="str">
        <f>IF(ISBLANK(INDEX('Policy Characteristics'!A:A,MATCH($C226,'Policy Characteristics'!$C:$C,0))),"",INDEX('Policy Characteristics'!A:A,MATCH($C226,'Policy Characteristics'!$C:$C,0)))</f>
        <v>Electricity Supply</v>
      </c>
      <c r="B226" s="395" t="str">
        <f>IF(ISBLANK(INDEX('Policy Characteristics'!B:B,MATCH($C226,'Policy Characteristics'!$C:$C,0))),"",INDEX('Policy Characteristics'!B:B,MATCH($C226,'Policy Characteristics'!$C:$C,0)))</f>
        <v>Early Retirement of Power Plants</v>
      </c>
      <c r="C226" s="394" t="str">
        <f t="shared" si="19"/>
        <v>Annual Additional Capacity Retired due to Early Retirement Policy</v>
      </c>
      <c r="D226" s="399" t="s">
        <v>727</v>
      </c>
      <c r="E226" s="399"/>
      <c r="F226" s="399" t="s">
        <v>728</v>
      </c>
      <c r="G226" s="399"/>
      <c r="H226" s="377">
        <v>630</v>
      </c>
      <c r="I226" s="396" t="s">
        <v>658</v>
      </c>
      <c r="J226" s="397" t="str">
        <f>IF(ISBLANK(INDEX('Policy Characteristics'!D:D,MATCH($C226,'Policy Characteristics'!$C:$C,0))),"",INDEX('Policy Characteristics'!D:D,MATCH($C226,'Policy Characteristics'!$C:$C,0)))</f>
        <v>Early Retirement of Power Plants</v>
      </c>
      <c r="K226" s="394" t="str">
        <f>IF(ISBLANK(INDEX('Policy Characteristics'!E:E,MATCH($C226,'Policy Characteristics'!$C:$C,0))),"",INDEX('Policy Characteristics'!E:E,MATCH($C226,'Policy Characteristics'!$C:$C,0)))</f>
        <v>elec early retirement</v>
      </c>
      <c r="L226" s="394">
        <f>IF(ISBLANK(INDEX('Policy Characteristics'!F:F,MATCH($C226,'Policy Characteristics'!$C:$C,0))),"",INDEX('Policy Characteristics'!F:F,MATCH($C226,'Policy Characteristics'!$C:$C,0)))</f>
        <v>0</v>
      </c>
      <c r="M226" s="394">
        <f>IF(ISBLANK(INDEX('Policy Characteristics'!G:G,MATCH($C226,'Policy Characteristics'!$C:$C,0))),"",INDEX('Policy Characteristics'!G:G,MATCH($C226,'Policy Characteristics'!$C:$C,0)))</f>
        <v>25000</v>
      </c>
      <c r="N226" s="394">
        <f>IF(ISBLANK(INDEX('Policy Characteristics'!H:H,MATCH($C226,'Policy Characteristics'!$C:$C,0))),"",INDEX('Policy Characteristics'!H:H,MATCH($C226,'Policy Characteristics'!$C:$C,0)))</f>
        <v>500</v>
      </c>
      <c r="O226" s="394" t="str">
        <f>IF(ISBLANK(INDEX('Policy Characteristics'!I:I,MATCH($C226,'Policy Characteristics'!$C:$C,0))),"",INDEX('Policy Characteristics'!I:I,MATCH($C226,'Policy Characteristics'!$C:$C,0)))</f>
        <v>MW/year</v>
      </c>
      <c r="P226" s="394" t="str">
        <f>IF(ISBLANK(INDEX('Policy Characteristics'!J:J,MATCH($C226,'Policy Characteristics'!$C:$C,0))),"",INDEX('Policy Characteristics'!J:J,MATCH($C226,'Policy Characteristics'!$C:$C,0)))</f>
        <v>**Description:** This policy causes the specified quantity of otherwise non-retiring capacity of the selected type(s) to be retired each year.</v>
      </c>
      <c r="Q226" s="394" t="str">
        <f>IF(ISBLANK(INDEX('Policy Characteristics'!K:K,MATCH($C226,'Policy Characteristics'!$C:$C,0))),"",INDEX('Policy Characteristics'!K:K,MATCH($C226,'Policy Characteristics'!$C:$C,0)))</f>
        <v>electricity-sector-main.html#early-ret</v>
      </c>
      <c r="R226" s="394" t="str">
        <f>IF(ISBLANK(INDEX('Policy Characteristics'!L:L,MATCH($C226,'Policy Characteristics'!$C:$C,0))),"",INDEX('Policy Characteristics'!L:L,MATCH($C226,'Policy Characteristics'!$C:$C,0)))</f>
        <v>early-retirement-of-power-plants.html</v>
      </c>
    </row>
    <row r="227" customHeight="1" spans="1:18">
      <c r="A227" s="394" t="str">
        <f>IF(ISBLANK(INDEX('Policy Characteristics'!A:A,MATCH($C227,'Policy Characteristics'!$C:$C,0))),"",INDEX('Policy Characteristics'!A:A,MATCH($C227,'Policy Characteristics'!$C:$C,0)))</f>
        <v>Electricity Supply</v>
      </c>
      <c r="B227" s="395" t="str">
        <f>IF(ISBLANK(INDEX('Policy Characteristics'!B:B,MATCH($C227,'Policy Characteristics'!$C:$C,0))),"",INDEX('Policy Characteristics'!B:B,MATCH($C227,'Policy Characteristics'!$C:$C,0)))</f>
        <v>Early Retirement of Power Plants</v>
      </c>
      <c r="C227" s="394" t="str">
        <f t="shared" si="19"/>
        <v>Annual Additional Capacity Retired due to Early Retirement Policy</v>
      </c>
      <c r="D227" s="399" t="s">
        <v>729</v>
      </c>
      <c r="E227" s="399"/>
      <c r="F227" s="399" t="s">
        <v>730</v>
      </c>
      <c r="G227" s="399"/>
      <c r="H227" s="377">
        <v>631</v>
      </c>
      <c r="I227" s="396" t="s">
        <v>658</v>
      </c>
      <c r="J227" s="397" t="str">
        <f>IF(ISBLANK(INDEX('Policy Characteristics'!D:D,MATCH($C227,'Policy Characteristics'!$C:$C,0))),"",INDEX('Policy Characteristics'!D:D,MATCH($C227,'Policy Characteristics'!$C:$C,0)))</f>
        <v>Early Retirement of Power Plants</v>
      </c>
      <c r="K227" s="394" t="str">
        <f>IF(ISBLANK(INDEX('Policy Characteristics'!E:E,MATCH($C227,'Policy Characteristics'!$C:$C,0))),"",INDEX('Policy Characteristics'!E:E,MATCH($C227,'Policy Characteristics'!$C:$C,0)))</f>
        <v>elec early retirement</v>
      </c>
      <c r="L227" s="394">
        <f>IF(ISBLANK(INDEX('Policy Characteristics'!F:F,MATCH($C227,'Policy Characteristics'!$C:$C,0))),"",INDEX('Policy Characteristics'!F:F,MATCH($C227,'Policy Characteristics'!$C:$C,0)))</f>
        <v>0</v>
      </c>
      <c r="M227" s="394">
        <f>IF(ISBLANK(INDEX('Policy Characteristics'!G:G,MATCH($C227,'Policy Characteristics'!$C:$C,0))),"",INDEX('Policy Characteristics'!G:G,MATCH($C227,'Policy Characteristics'!$C:$C,0)))</f>
        <v>25000</v>
      </c>
      <c r="N227" s="394">
        <f>IF(ISBLANK(INDEX('Policy Characteristics'!H:H,MATCH($C227,'Policy Characteristics'!$C:$C,0))),"",INDEX('Policy Characteristics'!H:H,MATCH($C227,'Policy Characteristics'!$C:$C,0)))</f>
        <v>500</v>
      </c>
      <c r="O227" s="394" t="str">
        <f>IF(ISBLANK(INDEX('Policy Characteristics'!I:I,MATCH($C227,'Policy Characteristics'!$C:$C,0))),"",INDEX('Policy Characteristics'!I:I,MATCH($C227,'Policy Characteristics'!$C:$C,0)))</f>
        <v>MW/year</v>
      </c>
      <c r="P227" s="394" t="str">
        <f>IF(ISBLANK(INDEX('Policy Characteristics'!J:J,MATCH($C227,'Policy Characteristics'!$C:$C,0))),"",INDEX('Policy Characteristics'!J:J,MATCH($C227,'Policy Characteristics'!$C:$C,0)))</f>
        <v>**Description:** This policy causes the specified quantity of otherwise non-retiring capacity of the selected type(s) to be retired each year.</v>
      </c>
      <c r="Q227" s="394" t="str">
        <f>IF(ISBLANK(INDEX('Policy Characteristics'!K:K,MATCH($C227,'Policy Characteristics'!$C:$C,0))),"",INDEX('Policy Characteristics'!K:K,MATCH($C227,'Policy Characteristics'!$C:$C,0)))</f>
        <v>electricity-sector-main.html#early-ret</v>
      </c>
      <c r="R227" s="394" t="str">
        <f>IF(ISBLANK(INDEX('Policy Characteristics'!L:L,MATCH($C227,'Policy Characteristics'!$C:$C,0))),"",INDEX('Policy Characteristics'!L:L,MATCH($C227,'Policy Characteristics'!$C:$C,0)))</f>
        <v>early-retirement-of-power-plants.html</v>
      </c>
    </row>
    <row r="228" customHeight="1" spans="1:18">
      <c r="A228" s="394" t="str">
        <f>IF(ISBLANK(INDEX('Policy Characteristics'!A:A,MATCH($C228,'Policy Characteristics'!$C:$C,0))),"",INDEX('Policy Characteristics'!A:A,MATCH($C228,'Policy Characteristics'!$C:$C,0)))</f>
        <v>Electricity Supply</v>
      </c>
      <c r="B228" s="395" t="str">
        <f>IF(ISBLANK(INDEX('Policy Characteristics'!B:B,MATCH($C228,'Policy Characteristics'!$C:$C,0))),"",INDEX('Policy Characteristics'!B:B,MATCH($C228,'Policy Characteristics'!$C:$C,0)))</f>
        <v>Early Retirement of Power Plants</v>
      </c>
      <c r="C228" s="394" t="str">
        <f t="shared" si="19"/>
        <v>Annual Additional Capacity Retired due to Early Retirement Policy</v>
      </c>
      <c r="D228" s="399" t="s">
        <v>731</v>
      </c>
      <c r="E228" s="399"/>
      <c r="F228" s="399" t="s">
        <v>732</v>
      </c>
      <c r="G228" s="399"/>
      <c r="H228" s="377">
        <v>632</v>
      </c>
      <c r="I228" s="396" t="s">
        <v>658</v>
      </c>
      <c r="J228" s="397" t="str">
        <f>IF(ISBLANK(INDEX('Policy Characteristics'!D:D,MATCH($C228,'Policy Characteristics'!$C:$C,0))),"",INDEX('Policy Characteristics'!D:D,MATCH($C228,'Policy Characteristics'!$C:$C,0)))</f>
        <v>Early Retirement of Power Plants</v>
      </c>
      <c r="K228" s="394" t="str">
        <f>IF(ISBLANK(INDEX('Policy Characteristics'!E:E,MATCH($C228,'Policy Characteristics'!$C:$C,0))),"",INDEX('Policy Characteristics'!E:E,MATCH($C228,'Policy Characteristics'!$C:$C,0)))</f>
        <v>elec early retirement</v>
      </c>
      <c r="L228" s="394">
        <f>IF(ISBLANK(INDEX('Policy Characteristics'!F:F,MATCH($C228,'Policy Characteristics'!$C:$C,0))),"",INDEX('Policy Characteristics'!F:F,MATCH($C228,'Policy Characteristics'!$C:$C,0)))</f>
        <v>0</v>
      </c>
      <c r="M228" s="394">
        <f>IF(ISBLANK(INDEX('Policy Characteristics'!G:G,MATCH($C228,'Policy Characteristics'!$C:$C,0))),"",INDEX('Policy Characteristics'!G:G,MATCH($C228,'Policy Characteristics'!$C:$C,0)))</f>
        <v>25000</v>
      </c>
      <c r="N228" s="394">
        <f>IF(ISBLANK(INDEX('Policy Characteristics'!H:H,MATCH($C228,'Policy Characteristics'!$C:$C,0))),"",INDEX('Policy Characteristics'!H:H,MATCH($C228,'Policy Characteristics'!$C:$C,0)))</f>
        <v>500</v>
      </c>
      <c r="O228" s="394" t="str">
        <f>IF(ISBLANK(INDEX('Policy Characteristics'!I:I,MATCH($C228,'Policy Characteristics'!$C:$C,0))),"",INDEX('Policy Characteristics'!I:I,MATCH($C228,'Policy Characteristics'!$C:$C,0)))</f>
        <v>MW/year</v>
      </c>
      <c r="P228" s="394" t="str">
        <f>IF(ISBLANK(INDEX('Policy Characteristics'!J:J,MATCH($C228,'Policy Characteristics'!$C:$C,0))),"",INDEX('Policy Characteristics'!J:J,MATCH($C228,'Policy Characteristics'!$C:$C,0)))</f>
        <v>**Description:** This policy causes the specified quantity of otherwise non-retiring capacity of the selected type(s) to be retired each year.</v>
      </c>
      <c r="Q228" s="394" t="str">
        <f>IF(ISBLANK(INDEX('Policy Characteristics'!K:K,MATCH($C228,'Policy Characteristics'!$C:$C,0))),"",INDEX('Policy Characteristics'!K:K,MATCH($C228,'Policy Characteristics'!$C:$C,0)))</f>
        <v>electricity-sector-main.html#early-ret</v>
      </c>
      <c r="R228" s="394" t="str">
        <f>IF(ISBLANK(INDEX('Policy Characteristics'!L:L,MATCH($C228,'Policy Characteristics'!$C:$C,0))),"",INDEX('Policy Characteristics'!L:L,MATCH($C228,'Policy Characteristics'!$C:$C,0)))</f>
        <v>early-retirement-of-power-plants.html</v>
      </c>
    </row>
    <row r="229" customHeight="1" spans="1:18">
      <c r="A229" s="394" t="str">
        <f>IF(ISBLANK(INDEX('Policy Characteristics'!A:A,MATCH($C229,'Policy Characteristics'!$C:$C,0))),"",INDEX('Policy Characteristics'!A:A,MATCH($C229,'Policy Characteristics'!$C:$C,0)))</f>
        <v>Electricity Supply</v>
      </c>
      <c r="B229" s="395" t="str">
        <f>IF(ISBLANK(INDEX('Policy Characteristics'!B:B,MATCH($C229,'Policy Characteristics'!$C:$C,0))),"",INDEX('Policy Characteristics'!B:B,MATCH($C229,'Policy Characteristics'!$C:$C,0)))</f>
        <v>Grid-Scale Electricity Storage</v>
      </c>
      <c r="C229" t="s">
        <v>263</v>
      </c>
      <c r="D229" s="399"/>
      <c r="E229" s="399"/>
      <c r="F229" s="399"/>
      <c r="G229" s="399"/>
      <c r="H229" s="377">
        <v>33</v>
      </c>
      <c r="I229" s="396" t="s">
        <v>648</v>
      </c>
      <c r="J229" s="397" t="str">
        <f>IF(ISBLANK(INDEX('Policy Characteristics'!D:D,MATCH($C229,'Policy Characteristics'!$C:$C,0))),"",INDEX('Policy Characteristics'!D:D,MATCH($C229,'Policy Characteristics'!$C:$C,0)))</f>
        <v>Grid-Scale Electricity Storage</v>
      </c>
      <c r="K229" s="394" t="str">
        <f>IF(ISBLANK(INDEX('Policy Characteristics'!E:E,MATCH($C229,'Policy Characteristics'!$C:$C,0))),"",INDEX('Policy Characteristics'!E:E,MATCH($C229,'Policy Characteristics'!$C:$C,0)))</f>
        <v>elec storage growth</v>
      </c>
      <c r="L229" s="398">
        <f>IF(ISBLANK(INDEX('Policy Characteristics'!F:F,MATCH($C229,'Policy Characteristics'!$C:$C,0))),"",INDEX('Policy Characteristics'!F:F,MATCH($C229,'Policy Characteristics'!$C:$C,0)))</f>
        <v>0</v>
      </c>
      <c r="M229" s="398">
        <f>IF(ISBLANK(INDEX('Policy Characteristics'!G:G,MATCH($C229,'Policy Characteristics'!$C:$C,0))),"",INDEX('Policy Characteristics'!G:G,MATCH($C229,'Policy Characteristics'!$C:$C,0)))</f>
        <v>1</v>
      </c>
      <c r="N229" s="398">
        <f>IF(ISBLANK(INDEX('Policy Characteristics'!H:H,MATCH($C229,'Policy Characteristics'!$C:$C,0))),"",INDEX('Policy Characteristics'!H:H,MATCH($C229,'Policy Characteristics'!$C:$C,0)))</f>
        <v>0.01</v>
      </c>
      <c r="O229" s="394" t="str">
        <f>IF(ISBLANK(INDEX('Policy Characteristics'!I:I,MATCH($C229,'Policy Characteristics'!$C:$C,0))),"",INDEX('Policy Characteristics'!I:I,MATCH($C229,'Policy Characteristics'!$C:$C,0)))</f>
        <v>% of potential achieved</v>
      </c>
      <c r="P229" s="394" t="str">
        <f>IF(ISBLANK(INDEX('Policy Characteristics'!J:J,MATCH($C229,'Policy Characteristics'!$C:$C,0))),"",INDEX('Policy Characteristics'!J:J,MATCH($C229,'Policy Characteristics'!$C:$C,0)))</f>
        <v>**Description:** This policy causes grid-scale electricity storage from chemical batteries to increase above the amount predicted in the BAU Scenario. // **Guidance for setting values:** A 100% setting provides will double Inner Mongolia's grid side battery installation from 31 GW to 205 GW in 2060.</v>
      </c>
      <c r="Q229" s="394" t="str">
        <f>IF(ISBLANK(INDEX('Policy Characteristics'!K:K,MATCH($C229,'Policy Characteristics'!$C:$C,0))),"",INDEX('Policy Characteristics'!K:K,MATCH($C229,'Policy Characteristics'!$C:$C,0)))</f>
        <v>electricity-sector-main.html#storage</v>
      </c>
      <c r="R229" s="394" t="str">
        <f>IF(ISBLANK(INDEX('Policy Characteristics'!L:L,MATCH($C229,'Policy Characteristics'!$C:$C,0))),"",INDEX('Policy Characteristics'!L:L,MATCH($C229,'Policy Characteristics'!$C:$C,0)))</f>
        <v>grid-scale-electricity-storage.html</v>
      </c>
    </row>
    <row r="230" customHeight="1" spans="1:18">
      <c r="A230" s="394" t="str">
        <f>IF(ISBLANK(INDEX('Policy Characteristics'!A:A,MATCH($C230,'Policy Characteristics'!$C:$C,0))),"",INDEX('Policy Characteristics'!A:A,MATCH($C230,'Policy Characteristics'!$C:$C,0)))</f>
        <v>Electricity Supply</v>
      </c>
      <c r="B230" s="395" t="str">
        <f>IF(ISBLANK(INDEX('Policy Characteristics'!B:B,MATCH($C230,'Policy Characteristics'!$C:$C,0))),"",INDEX('Policy Characteristics'!B:B,MATCH($C230,'Policy Characteristics'!$C:$C,0)))</f>
        <v>Increase Transmission</v>
      </c>
      <c r="C230" t="s">
        <v>270</v>
      </c>
      <c r="D230" s="399"/>
      <c r="E230" s="399"/>
      <c r="F230" s="399"/>
      <c r="G230" s="399"/>
      <c r="H230" s="377">
        <v>34</v>
      </c>
      <c r="I230" s="396" t="s">
        <v>648</v>
      </c>
      <c r="J230" s="397" t="str">
        <f>IF(ISBLANK(INDEX('Policy Characteristics'!D:D,MATCH($C230,'Policy Characteristics'!$C:$C,0))),"",INDEX('Policy Characteristics'!D:D,MATCH($C230,'Policy Characteristics'!$C:$C,0)))</f>
        <v>Increase Transmission</v>
      </c>
      <c r="K230" s="394" t="str">
        <f>IF(ISBLANK(INDEX('Policy Characteristics'!E:E,MATCH($C230,'Policy Characteristics'!$C:$C,0))),"",INDEX('Policy Characteristics'!E:E,MATCH($C230,'Policy Characteristics'!$C:$C,0)))</f>
        <v>elec transmission growth</v>
      </c>
      <c r="L230" s="398">
        <f>IF(ISBLANK(INDEX('Policy Characteristics'!F:F,MATCH($C230,'Policy Characteristics'!$C:$C,0))),"",INDEX('Policy Characteristics'!F:F,MATCH($C230,'Policy Characteristics'!$C:$C,0)))</f>
        <v>0</v>
      </c>
      <c r="M230" s="398">
        <f>IF(ISBLANK(INDEX('Policy Characteristics'!G:G,MATCH($C230,'Policy Characteristics'!$C:$C,0))),"",INDEX('Policy Characteristics'!G:G,MATCH($C230,'Policy Characteristics'!$C:$C,0)))</f>
        <v>1.13</v>
      </c>
      <c r="N230" s="398">
        <f>IF(ISBLANK(INDEX('Policy Characteristics'!H:H,MATCH($C230,'Policy Characteristics'!$C:$C,0))),"",INDEX('Policy Characteristics'!H:H,MATCH($C230,'Policy Characteristics'!$C:$C,0)))</f>
        <v>0.01</v>
      </c>
      <c r="O230" s="394" t="str">
        <f>IF(ISBLANK(INDEX('Policy Characteristics'!I:I,MATCH($C230,'Policy Characteristics'!$C:$C,0))),"",INDEX('Policy Characteristics'!I:I,MATCH($C230,'Policy Characteristics'!$C:$C,0)))</f>
        <v>% increase in transmission capacity</v>
      </c>
      <c r="P230" s="394" t="str">
        <f>IF(ISBLANK(INDEX('Policy Characteristics'!J:J,MATCH($C230,'Policy Characteristics'!$C:$C,0))),"",INDEX('Policy Characteristics'!J:J,MATCH($C230,'Policy Characteristics'!$C:$C,0)))</f>
        <v>**Description:** This policy causes additional transmission capacity to be built relative to the BAU case.  Transmission increases the flexibility of the grid, allowing for the integration of more wind and solar PV, if the electricity system is flexibility-constrained. // **Guidance for setting values:** According to our current setting, Inner Mongolia's transmission capacity grows proportionally with its total generation capacity. The renewable generation growth generally is not constrained by transmission or system flexibility. Increasing transmission will not significantly alter the model's output.</v>
      </c>
      <c r="Q230" s="394" t="str">
        <f>IF(ISBLANK(INDEX('Policy Characteristics'!K:K,MATCH($C230,'Policy Characteristics'!$C:$C,0))),"",INDEX('Policy Characteristics'!K:K,MATCH($C230,'Policy Characteristics'!$C:$C,0)))</f>
        <v>electricity-sector-main.html#transmission</v>
      </c>
      <c r="R230" s="394" t="str">
        <f>IF(ISBLANK(INDEX('Policy Characteristics'!L:L,MATCH($C230,'Policy Characteristics'!$C:$C,0))),"",INDEX('Policy Characteristics'!L:L,MATCH($C230,'Policy Characteristics'!$C:$C,0)))</f>
        <v>increase-transmission.html</v>
      </c>
    </row>
    <row r="231" customHeight="1" spans="1:18">
      <c r="A231" s="394" t="str">
        <f>IF(ISBLANK(INDEX('Policy Characteristics'!A:A,MATCH($C231,'Policy Characteristics'!$C:$C,0))),"",INDEX('Policy Characteristics'!A:A,MATCH($C231,'Policy Characteristics'!$C:$C,0)))</f>
        <v>Electricity Supply</v>
      </c>
      <c r="B231" s="395" t="str">
        <f>IF(ISBLANK(INDEX('Policy Characteristics'!B:B,MATCH($C231,'Policy Characteristics'!$C:$C,0))),"",INDEX('Policy Characteristics'!B:B,MATCH($C231,'Policy Characteristics'!$C:$C,0)))</f>
        <v>Non BAU Capacity Retirement Schedule</v>
      </c>
      <c r="C231" t="s">
        <v>279</v>
      </c>
      <c r="D231" s="399" t="s">
        <v>701</v>
      </c>
      <c r="E231" s="399"/>
      <c r="F231" s="399" t="s">
        <v>702</v>
      </c>
      <c r="G231" s="399"/>
      <c r="H231" s="377">
        <v>860</v>
      </c>
      <c r="I231" s="396" t="s">
        <v>648</v>
      </c>
      <c r="J231" s="397" t="str">
        <f>IF(ISBLANK(INDEX('Policy Characteristics'!D:D,MATCH($C231,'Policy Characteristics'!$C:$C,0))),"",INDEX('Policy Characteristics'!D:D,MATCH($C231,'Policy Characteristics'!$C:$C,0)))</f>
        <v>Non BAU Capacity Retirement Schedule</v>
      </c>
      <c r="K231" s="394" t="str">
        <f>IF(ISBLANK(INDEX('Policy Characteristics'!E:E,MATCH($C231,'Policy Characteristics'!$C:$C,0))),"",INDEX('Policy Characteristics'!E:E,MATCH($C231,'Policy Characteristics'!$C:$C,0)))</f>
        <v/>
      </c>
      <c r="L231" s="394">
        <f>IF(ISBLANK(INDEX('Policy Characteristics'!F:F,MATCH($C231,'Policy Characteristics'!$C:$C,0))),"",INDEX('Policy Characteristics'!F:F,MATCH($C231,'Policy Characteristics'!$C:$C,0)))</f>
        <v>0</v>
      </c>
      <c r="M231" s="394">
        <f>IF(ISBLANK(INDEX('Policy Characteristics'!G:G,MATCH($C231,'Policy Characteristics'!$C:$C,0))),"",INDEX('Policy Characteristics'!G:G,MATCH($C231,'Policy Characteristics'!$C:$C,0)))</f>
        <v>1</v>
      </c>
      <c r="N231" s="394">
        <f>IF(ISBLANK(INDEX('Policy Characteristics'!H:H,MATCH($C231,'Policy Characteristics'!$C:$C,0))),"",INDEX('Policy Characteristics'!H:H,MATCH($C231,'Policy Characteristics'!$C:$C,0)))</f>
        <v>1</v>
      </c>
      <c r="O231" s="394" t="str">
        <f>IF(ISBLANK(INDEX('Policy Characteristics'!I:I,MATCH($C231,'Policy Characteristics'!$C:$C,0))),"",INDEX('Policy Characteristics'!I:I,MATCH($C231,'Policy Characteristics'!$C:$C,0)))</f>
        <v>on/off</v>
      </c>
      <c r="P231" s="394" t="str">
        <f>IF(ISBLANK(INDEX('Policy Characteristics'!J:J,MATCH($C231,'Policy Characteristics'!$C:$C,0))),"",INDEX('Policy Characteristics'!J:J,MATCH($C231,'Policy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1" s="394" t="str">
        <f>IF(ISBLANK(INDEX('Policy Characteristics'!K:K,MATCH($C231,'Policy Characteristics'!$C:$C,0))),"",INDEX('Policy Characteristics'!K:K,MATCH($C231,'Policy Characteristics'!$C:$C,0)))</f>
        <v/>
      </c>
      <c r="R231" s="394" t="str">
        <f>IF(ISBLANK(INDEX('Policy Characteristics'!L:L,MATCH($C231,'Policy Characteristics'!$C:$C,0))),"",INDEX('Policy Characteristics'!L:L,MATCH($C231,'Policy Characteristics'!$C:$C,0)))</f>
        <v/>
      </c>
    </row>
    <row r="232" customHeight="1" spans="1:18">
      <c r="A232" s="394" t="str">
        <f>IF(ISBLANK(INDEX('Policy Characteristics'!A:A,MATCH($C232,'Policy Characteristics'!$C:$C,0))),"",INDEX('Policy Characteristics'!A:A,MATCH($C232,'Policy Characteristics'!$C:$C,0)))</f>
        <v>Electricity Supply</v>
      </c>
      <c r="B232" s="395" t="str">
        <f>IF(ISBLANK(INDEX('Policy Characteristics'!B:B,MATCH($C232,'Policy Characteristics'!$C:$C,0))),"",INDEX('Policy Characteristics'!B:B,MATCH($C232,'Policy Characteristics'!$C:$C,0)))</f>
        <v>Non BAU Capacity Retirement Schedule</v>
      </c>
      <c r="C232" s="394" t="str">
        <f t="shared" ref="C232:C246" si="20">C$231</f>
        <v>Boolean Use Non BAU Capacity Retirement Schedule</v>
      </c>
      <c r="D232" s="399" t="s">
        <v>703</v>
      </c>
      <c r="E232" s="399"/>
      <c r="F232" s="399" t="s">
        <v>704</v>
      </c>
      <c r="G232" s="399"/>
      <c r="H232" s="377">
        <v>861</v>
      </c>
      <c r="I232" s="396" t="s">
        <v>648</v>
      </c>
      <c r="J232" s="397" t="str">
        <f>IF(ISBLANK(INDEX('Policy Characteristics'!D:D,MATCH($C232,'Policy Characteristics'!$C:$C,0))),"",INDEX('Policy Characteristics'!D:D,MATCH($C232,'Policy Characteristics'!$C:$C,0)))</f>
        <v>Non BAU Capacity Retirement Schedule</v>
      </c>
      <c r="K232" s="394" t="str">
        <f>IF(ISBLANK(INDEX('Policy Characteristics'!E:E,MATCH($C232,'Policy Characteristics'!$C:$C,0))),"",INDEX('Policy Characteristics'!E:E,MATCH($C232,'Policy Characteristics'!$C:$C,0)))</f>
        <v/>
      </c>
      <c r="L232" s="394">
        <f>IF(ISBLANK(INDEX('Policy Characteristics'!F:F,MATCH($C232,'Policy Characteristics'!$C:$C,0))),"",INDEX('Policy Characteristics'!F:F,MATCH($C232,'Policy Characteristics'!$C:$C,0)))</f>
        <v>0</v>
      </c>
      <c r="M232" s="394">
        <f>IF(ISBLANK(INDEX('Policy Characteristics'!G:G,MATCH($C232,'Policy Characteristics'!$C:$C,0))),"",INDEX('Policy Characteristics'!G:G,MATCH($C232,'Policy Characteristics'!$C:$C,0)))</f>
        <v>1</v>
      </c>
      <c r="N232" s="394">
        <f>IF(ISBLANK(INDEX('Policy Characteristics'!H:H,MATCH($C232,'Policy Characteristics'!$C:$C,0))),"",INDEX('Policy Characteristics'!H:H,MATCH($C232,'Policy Characteristics'!$C:$C,0)))</f>
        <v>1</v>
      </c>
      <c r="O232" s="394" t="str">
        <f>IF(ISBLANK(INDEX('Policy Characteristics'!I:I,MATCH($C232,'Policy Characteristics'!$C:$C,0))),"",INDEX('Policy Characteristics'!I:I,MATCH($C232,'Policy Characteristics'!$C:$C,0)))</f>
        <v>on/off</v>
      </c>
      <c r="P232" s="394" t="str">
        <f>IF(ISBLANK(INDEX('Policy Characteristics'!J:J,MATCH($C232,'Policy Characteristics'!$C:$C,0))),"",INDEX('Policy Characteristics'!J:J,MATCH($C232,'Policy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2" s="394" t="str">
        <f>IF(ISBLANK(INDEX('Policy Characteristics'!K:K,MATCH($C232,'Policy Characteristics'!$C:$C,0))),"",INDEX('Policy Characteristics'!K:K,MATCH($C232,'Policy Characteristics'!$C:$C,0)))</f>
        <v/>
      </c>
      <c r="R232" s="394" t="str">
        <f>IF(ISBLANK(INDEX('Policy Characteristics'!L:L,MATCH($C232,'Policy Characteristics'!$C:$C,0))),"",INDEX('Policy Characteristics'!L:L,MATCH($C232,'Policy Characteristics'!$C:$C,0)))</f>
        <v/>
      </c>
    </row>
    <row r="233" customHeight="1" spans="1:18">
      <c r="A233" s="394" t="str">
        <f>IF(ISBLANK(INDEX('Policy Characteristics'!A:A,MATCH($C233,'Policy Characteristics'!$C:$C,0))),"",INDEX('Policy Characteristics'!A:A,MATCH($C233,'Policy Characteristics'!$C:$C,0)))</f>
        <v>Electricity Supply</v>
      </c>
      <c r="B233" s="395" t="str">
        <f>IF(ISBLANK(INDEX('Policy Characteristics'!B:B,MATCH($C233,'Policy Characteristics'!$C:$C,0))),"",INDEX('Policy Characteristics'!B:B,MATCH($C233,'Policy Characteristics'!$C:$C,0)))</f>
        <v>Non BAU Capacity Retirement Schedule</v>
      </c>
      <c r="C233" s="394" t="str">
        <f t="shared" si="20"/>
        <v>Boolean Use Non BAU Capacity Retirement Schedule</v>
      </c>
      <c r="D233" s="399" t="s">
        <v>705</v>
      </c>
      <c r="E233" s="399"/>
      <c r="F233" s="399" t="s">
        <v>706</v>
      </c>
      <c r="G233" s="399"/>
      <c r="H233" s="377">
        <v>862</v>
      </c>
      <c r="I233" s="396" t="s">
        <v>648</v>
      </c>
      <c r="J233" s="397" t="str">
        <f>IF(ISBLANK(INDEX('Policy Characteristics'!D:D,MATCH($C233,'Policy Characteristics'!$C:$C,0))),"",INDEX('Policy Characteristics'!D:D,MATCH($C233,'Policy Characteristics'!$C:$C,0)))</f>
        <v>Non BAU Capacity Retirement Schedule</v>
      </c>
      <c r="K233" s="394" t="str">
        <f>IF(ISBLANK(INDEX('Policy Characteristics'!E:E,MATCH($C233,'Policy Characteristics'!$C:$C,0))),"",INDEX('Policy Characteristics'!E:E,MATCH($C233,'Policy Characteristics'!$C:$C,0)))</f>
        <v/>
      </c>
      <c r="L233" s="394">
        <f>IF(ISBLANK(INDEX('Policy Characteristics'!F:F,MATCH($C233,'Policy Characteristics'!$C:$C,0))),"",INDEX('Policy Characteristics'!F:F,MATCH($C233,'Policy Characteristics'!$C:$C,0)))</f>
        <v>0</v>
      </c>
      <c r="M233" s="394">
        <f>IF(ISBLANK(INDEX('Policy Characteristics'!G:G,MATCH($C233,'Policy Characteristics'!$C:$C,0))),"",INDEX('Policy Characteristics'!G:G,MATCH($C233,'Policy Characteristics'!$C:$C,0)))</f>
        <v>1</v>
      </c>
      <c r="N233" s="394">
        <f>IF(ISBLANK(INDEX('Policy Characteristics'!H:H,MATCH($C233,'Policy Characteristics'!$C:$C,0))),"",INDEX('Policy Characteristics'!H:H,MATCH($C233,'Policy Characteristics'!$C:$C,0)))</f>
        <v>1</v>
      </c>
      <c r="O233" s="394" t="str">
        <f>IF(ISBLANK(INDEX('Policy Characteristics'!I:I,MATCH($C233,'Policy Characteristics'!$C:$C,0))),"",INDEX('Policy Characteristics'!I:I,MATCH($C233,'Policy Characteristics'!$C:$C,0)))</f>
        <v>on/off</v>
      </c>
      <c r="P233" s="394" t="str">
        <f>IF(ISBLANK(INDEX('Policy Characteristics'!J:J,MATCH($C233,'Policy Characteristics'!$C:$C,0))),"",INDEX('Policy Characteristics'!J:J,MATCH($C233,'Policy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3" s="394" t="str">
        <f>IF(ISBLANK(INDEX('Policy Characteristics'!K:K,MATCH($C233,'Policy Characteristics'!$C:$C,0))),"",INDEX('Policy Characteristics'!K:K,MATCH($C233,'Policy Characteristics'!$C:$C,0)))</f>
        <v/>
      </c>
      <c r="R233" s="394" t="str">
        <f>IF(ISBLANK(INDEX('Policy Characteristics'!L:L,MATCH($C233,'Policy Characteristics'!$C:$C,0))),"",INDEX('Policy Characteristics'!L:L,MATCH($C233,'Policy Characteristics'!$C:$C,0)))</f>
        <v/>
      </c>
    </row>
    <row r="234" customHeight="1" spans="1:18">
      <c r="A234" s="394" t="str">
        <f>IF(ISBLANK(INDEX('Policy Characteristics'!A:A,MATCH($C234,'Policy Characteristics'!$C:$C,0))),"",INDEX('Policy Characteristics'!A:A,MATCH($C234,'Policy Characteristics'!$C:$C,0)))</f>
        <v>Electricity Supply</v>
      </c>
      <c r="B234" s="395" t="str">
        <f>IF(ISBLANK(INDEX('Policy Characteristics'!B:B,MATCH($C234,'Policy Characteristics'!$C:$C,0))),"",INDEX('Policy Characteristics'!B:B,MATCH($C234,'Policy Characteristics'!$C:$C,0)))</f>
        <v>Non BAU Capacity Retirement Schedule</v>
      </c>
      <c r="C234" s="394" t="str">
        <f t="shared" si="20"/>
        <v>Boolean Use Non BAU Capacity Retirement Schedule</v>
      </c>
      <c r="D234" s="399" t="s">
        <v>707</v>
      </c>
      <c r="E234" s="399"/>
      <c r="F234" s="399" t="s">
        <v>708</v>
      </c>
      <c r="G234" s="399"/>
      <c r="H234" s="377">
        <v>863</v>
      </c>
      <c r="I234" s="396" t="s">
        <v>648</v>
      </c>
      <c r="J234" s="397" t="str">
        <f>IF(ISBLANK(INDEX('Policy Characteristics'!D:D,MATCH($C234,'Policy Characteristics'!$C:$C,0))),"",INDEX('Policy Characteristics'!D:D,MATCH($C234,'Policy Characteristics'!$C:$C,0)))</f>
        <v>Non BAU Capacity Retirement Schedule</v>
      </c>
      <c r="K234" s="394" t="str">
        <f>IF(ISBLANK(INDEX('Policy Characteristics'!E:E,MATCH($C234,'Policy Characteristics'!$C:$C,0))),"",INDEX('Policy Characteristics'!E:E,MATCH($C234,'Policy Characteristics'!$C:$C,0)))</f>
        <v/>
      </c>
      <c r="L234" s="394">
        <f>IF(ISBLANK(INDEX('Policy Characteristics'!F:F,MATCH($C234,'Policy Characteristics'!$C:$C,0))),"",INDEX('Policy Characteristics'!F:F,MATCH($C234,'Policy Characteristics'!$C:$C,0)))</f>
        <v>0</v>
      </c>
      <c r="M234" s="394">
        <f>IF(ISBLANK(INDEX('Policy Characteristics'!G:G,MATCH($C234,'Policy Characteristics'!$C:$C,0))),"",INDEX('Policy Characteristics'!G:G,MATCH($C234,'Policy Characteristics'!$C:$C,0)))</f>
        <v>1</v>
      </c>
      <c r="N234" s="394">
        <f>IF(ISBLANK(INDEX('Policy Characteristics'!H:H,MATCH($C234,'Policy Characteristics'!$C:$C,0))),"",INDEX('Policy Characteristics'!H:H,MATCH($C234,'Policy Characteristics'!$C:$C,0)))</f>
        <v>1</v>
      </c>
      <c r="O234" s="394" t="str">
        <f>IF(ISBLANK(INDEX('Policy Characteristics'!I:I,MATCH($C234,'Policy Characteristics'!$C:$C,0))),"",INDEX('Policy Characteristics'!I:I,MATCH($C234,'Policy Characteristics'!$C:$C,0)))</f>
        <v>on/off</v>
      </c>
      <c r="P234" s="394" t="str">
        <f>IF(ISBLANK(INDEX('Policy Characteristics'!J:J,MATCH($C234,'Policy Characteristics'!$C:$C,0))),"",INDEX('Policy Characteristics'!J:J,MATCH($C234,'Policy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4" s="394" t="str">
        <f>IF(ISBLANK(INDEX('Policy Characteristics'!K:K,MATCH($C234,'Policy Characteristics'!$C:$C,0))),"",INDEX('Policy Characteristics'!K:K,MATCH($C234,'Policy Characteristics'!$C:$C,0)))</f>
        <v/>
      </c>
      <c r="R234" s="394" t="str">
        <f>IF(ISBLANK(INDEX('Policy Characteristics'!L:L,MATCH($C234,'Policy Characteristics'!$C:$C,0))),"",INDEX('Policy Characteristics'!L:L,MATCH($C234,'Policy Characteristics'!$C:$C,0)))</f>
        <v/>
      </c>
    </row>
    <row r="235" customHeight="1" spans="1:18">
      <c r="A235" s="394" t="str">
        <f>IF(ISBLANK(INDEX('Policy Characteristics'!A:A,MATCH($C235,'Policy Characteristics'!$C:$C,0))),"",INDEX('Policy Characteristics'!A:A,MATCH($C235,'Policy Characteristics'!$C:$C,0)))</f>
        <v>Electricity Supply</v>
      </c>
      <c r="B235" s="395" t="str">
        <f>IF(ISBLANK(INDEX('Policy Characteristics'!B:B,MATCH($C235,'Policy Characteristics'!$C:$C,0))),"",INDEX('Policy Characteristics'!B:B,MATCH($C235,'Policy Characteristics'!$C:$C,0)))</f>
        <v>Non BAU Capacity Retirement Schedule</v>
      </c>
      <c r="C235" s="394" t="str">
        <f t="shared" si="20"/>
        <v>Boolean Use Non BAU Capacity Retirement Schedule</v>
      </c>
      <c r="D235" s="399" t="s">
        <v>709</v>
      </c>
      <c r="E235" s="399"/>
      <c r="F235" s="399" t="s">
        <v>710</v>
      </c>
      <c r="G235" s="399"/>
      <c r="H235" s="377">
        <v>864</v>
      </c>
      <c r="I235" s="396" t="s">
        <v>648</v>
      </c>
      <c r="J235" s="397" t="str">
        <f>IF(ISBLANK(INDEX('Policy Characteristics'!D:D,MATCH($C235,'Policy Characteristics'!$C:$C,0))),"",INDEX('Policy Characteristics'!D:D,MATCH($C235,'Policy Characteristics'!$C:$C,0)))</f>
        <v>Non BAU Capacity Retirement Schedule</v>
      </c>
      <c r="K235" s="394" t="str">
        <f>IF(ISBLANK(INDEX('Policy Characteristics'!E:E,MATCH($C235,'Policy Characteristics'!$C:$C,0))),"",INDEX('Policy Characteristics'!E:E,MATCH($C235,'Policy Characteristics'!$C:$C,0)))</f>
        <v/>
      </c>
      <c r="L235" s="394">
        <f>IF(ISBLANK(INDEX('Policy Characteristics'!F:F,MATCH($C235,'Policy Characteristics'!$C:$C,0))),"",INDEX('Policy Characteristics'!F:F,MATCH($C235,'Policy Characteristics'!$C:$C,0)))</f>
        <v>0</v>
      </c>
      <c r="M235" s="394">
        <f>IF(ISBLANK(INDEX('Policy Characteristics'!G:G,MATCH($C235,'Policy Characteristics'!$C:$C,0))),"",INDEX('Policy Characteristics'!G:G,MATCH($C235,'Policy Characteristics'!$C:$C,0)))</f>
        <v>1</v>
      </c>
      <c r="N235" s="394">
        <f>IF(ISBLANK(INDEX('Policy Characteristics'!H:H,MATCH($C235,'Policy Characteristics'!$C:$C,0))),"",INDEX('Policy Characteristics'!H:H,MATCH($C235,'Policy Characteristics'!$C:$C,0)))</f>
        <v>1</v>
      </c>
      <c r="O235" s="394" t="str">
        <f>IF(ISBLANK(INDEX('Policy Characteristics'!I:I,MATCH($C235,'Policy Characteristics'!$C:$C,0))),"",INDEX('Policy Characteristics'!I:I,MATCH($C235,'Policy Characteristics'!$C:$C,0)))</f>
        <v>on/off</v>
      </c>
      <c r="P235" s="394" t="str">
        <f>IF(ISBLANK(INDEX('Policy Characteristics'!J:J,MATCH($C235,'Policy Characteristics'!$C:$C,0))),"",INDEX('Policy Characteristics'!J:J,MATCH($C235,'Policy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5" s="394" t="str">
        <f>IF(ISBLANK(INDEX('Policy Characteristics'!K:K,MATCH($C235,'Policy Characteristics'!$C:$C,0))),"",INDEX('Policy Characteristics'!K:K,MATCH($C235,'Policy Characteristics'!$C:$C,0)))</f>
        <v/>
      </c>
      <c r="R235" s="394" t="str">
        <f>IF(ISBLANK(INDEX('Policy Characteristics'!L:L,MATCH($C235,'Policy Characteristics'!$C:$C,0))),"",INDEX('Policy Characteristics'!L:L,MATCH($C235,'Policy Characteristics'!$C:$C,0)))</f>
        <v/>
      </c>
    </row>
    <row r="236" customHeight="1" spans="1:18">
      <c r="A236" s="394" t="str">
        <f>IF(ISBLANK(INDEX('Policy Characteristics'!A:A,MATCH($C236,'Policy Characteristics'!$C:$C,0))),"",INDEX('Policy Characteristics'!A:A,MATCH($C236,'Policy Characteristics'!$C:$C,0)))</f>
        <v>Electricity Supply</v>
      </c>
      <c r="B236" s="395" t="str">
        <f>IF(ISBLANK(INDEX('Policy Characteristics'!B:B,MATCH($C236,'Policy Characteristics'!$C:$C,0))),"",INDEX('Policy Characteristics'!B:B,MATCH($C236,'Policy Characteristics'!$C:$C,0)))</f>
        <v>Non BAU Capacity Retirement Schedule</v>
      </c>
      <c r="C236" s="394" t="str">
        <f t="shared" si="20"/>
        <v>Boolean Use Non BAU Capacity Retirement Schedule</v>
      </c>
      <c r="D236" s="399" t="s">
        <v>711</v>
      </c>
      <c r="E236" s="399"/>
      <c r="F236" s="399" t="s">
        <v>712</v>
      </c>
      <c r="G236" s="399"/>
      <c r="H236" s="377">
        <v>865</v>
      </c>
      <c r="I236" s="396" t="s">
        <v>648</v>
      </c>
      <c r="J236" s="397" t="str">
        <f>IF(ISBLANK(INDEX('Policy Characteristics'!D:D,MATCH($C236,'Policy Characteristics'!$C:$C,0))),"",INDEX('Policy Characteristics'!D:D,MATCH($C236,'Policy Characteristics'!$C:$C,0)))</f>
        <v>Non BAU Capacity Retirement Schedule</v>
      </c>
      <c r="K236" s="394" t="str">
        <f>IF(ISBLANK(INDEX('Policy Characteristics'!E:E,MATCH($C236,'Policy Characteristics'!$C:$C,0))),"",INDEX('Policy Characteristics'!E:E,MATCH($C236,'Policy Characteristics'!$C:$C,0)))</f>
        <v/>
      </c>
      <c r="L236" s="394">
        <f>IF(ISBLANK(INDEX('Policy Characteristics'!F:F,MATCH($C236,'Policy Characteristics'!$C:$C,0))),"",INDEX('Policy Characteristics'!F:F,MATCH($C236,'Policy Characteristics'!$C:$C,0)))</f>
        <v>0</v>
      </c>
      <c r="M236" s="394">
        <f>IF(ISBLANK(INDEX('Policy Characteristics'!G:G,MATCH($C236,'Policy Characteristics'!$C:$C,0))),"",INDEX('Policy Characteristics'!G:G,MATCH($C236,'Policy Characteristics'!$C:$C,0)))</f>
        <v>1</v>
      </c>
      <c r="N236" s="394">
        <f>IF(ISBLANK(INDEX('Policy Characteristics'!H:H,MATCH($C236,'Policy Characteristics'!$C:$C,0))),"",INDEX('Policy Characteristics'!H:H,MATCH($C236,'Policy Characteristics'!$C:$C,0)))</f>
        <v>1</v>
      </c>
      <c r="O236" s="394" t="str">
        <f>IF(ISBLANK(INDEX('Policy Characteristics'!I:I,MATCH($C236,'Policy Characteristics'!$C:$C,0))),"",INDEX('Policy Characteristics'!I:I,MATCH($C236,'Policy Characteristics'!$C:$C,0)))</f>
        <v>on/off</v>
      </c>
      <c r="P236" s="394" t="str">
        <f>IF(ISBLANK(INDEX('Policy Characteristics'!J:J,MATCH($C236,'Policy Characteristics'!$C:$C,0))),"",INDEX('Policy Characteristics'!J:J,MATCH($C236,'Policy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6" s="394" t="str">
        <f>IF(ISBLANK(INDEX('Policy Characteristics'!K:K,MATCH($C236,'Policy Characteristics'!$C:$C,0))),"",INDEX('Policy Characteristics'!K:K,MATCH($C236,'Policy Characteristics'!$C:$C,0)))</f>
        <v/>
      </c>
      <c r="R236" s="394" t="str">
        <f>IF(ISBLANK(INDEX('Policy Characteristics'!L:L,MATCH($C236,'Policy Characteristics'!$C:$C,0))),"",INDEX('Policy Characteristics'!L:L,MATCH($C236,'Policy Characteristics'!$C:$C,0)))</f>
        <v/>
      </c>
    </row>
    <row r="237" customHeight="1" spans="1:18">
      <c r="A237" s="394" t="str">
        <f>IF(ISBLANK(INDEX('Policy Characteristics'!A:A,MATCH($C237,'Policy Characteristics'!$C:$C,0))),"",INDEX('Policy Characteristics'!A:A,MATCH($C237,'Policy Characteristics'!$C:$C,0)))</f>
        <v>Electricity Supply</v>
      </c>
      <c r="B237" s="395" t="str">
        <f>IF(ISBLANK(INDEX('Policy Characteristics'!B:B,MATCH($C237,'Policy Characteristics'!$C:$C,0))),"",INDEX('Policy Characteristics'!B:B,MATCH($C237,'Policy Characteristics'!$C:$C,0)))</f>
        <v>Non BAU Capacity Retirement Schedule</v>
      </c>
      <c r="C237" s="394" t="str">
        <f t="shared" si="20"/>
        <v>Boolean Use Non BAU Capacity Retirement Schedule</v>
      </c>
      <c r="D237" s="399" t="s">
        <v>713</v>
      </c>
      <c r="E237" s="399"/>
      <c r="F237" s="399" t="s">
        <v>714</v>
      </c>
      <c r="G237" s="399"/>
      <c r="H237" s="377">
        <v>866</v>
      </c>
      <c r="I237" s="396" t="s">
        <v>648</v>
      </c>
      <c r="J237" s="397" t="str">
        <f>IF(ISBLANK(INDEX('Policy Characteristics'!D:D,MATCH($C237,'Policy Characteristics'!$C:$C,0))),"",INDEX('Policy Characteristics'!D:D,MATCH($C237,'Policy Characteristics'!$C:$C,0)))</f>
        <v>Non BAU Capacity Retirement Schedule</v>
      </c>
      <c r="K237" s="394" t="str">
        <f>IF(ISBLANK(INDEX('Policy Characteristics'!E:E,MATCH($C237,'Policy Characteristics'!$C:$C,0))),"",INDEX('Policy Characteristics'!E:E,MATCH($C237,'Policy Characteristics'!$C:$C,0)))</f>
        <v/>
      </c>
      <c r="L237" s="394">
        <f>IF(ISBLANK(INDEX('Policy Characteristics'!F:F,MATCH($C237,'Policy Characteristics'!$C:$C,0))),"",INDEX('Policy Characteristics'!F:F,MATCH($C237,'Policy Characteristics'!$C:$C,0)))</f>
        <v>0</v>
      </c>
      <c r="M237" s="394">
        <f>IF(ISBLANK(INDEX('Policy Characteristics'!G:G,MATCH($C237,'Policy Characteristics'!$C:$C,0))),"",INDEX('Policy Characteristics'!G:G,MATCH($C237,'Policy Characteristics'!$C:$C,0)))</f>
        <v>1</v>
      </c>
      <c r="N237" s="394">
        <f>IF(ISBLANK(INDEX('Policy Characteristics'!H:H,MATCH($C237,'Policy Characteristics'!$C:$C,0))),"",INDEX('Policy Characteristics'!H:H,MATCH($C237,'Policy Characteristics'!$C:$C,0)))</f>
        <v>1</v>
      </c>
      <c r="O237" s="394" t="str">
        <f>IF(ISBLANK(INDEX('Policy Characteristics'!I:I,MATCH($C237,'Policy Characteristics'!$C:$C,0))),"",INDEX('Policy Characteristics'!I:I,MATCH($C237,'Policy Characteristics'!$C:$C,0)))</f>
        <v>on/off</v>
      </c>
      <c r="P237" s="394" t="str">
        <f>IF(ISBLANK(INDEX('Policy Characteristics'!J:J,MATCH($C237,'Policy Characteristics'!$C:$C,0))),"",INDEX('Policy Characteristics'!J:J,MATCH($C237,'Policy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7" s="394" t="str">
        <f>IF(ISBLANK(INDEX('Policy Characteristics'!K:K,MATCH($C237,'Policy Characteristics'!$C:$C,0))),"",INDEX('Policy Characteristics'!K:K,MATCH($C237,'Policy Characteristics'!$C:$C,0)))</f>
        <v/>
      </c>
      <c r="R237" s="394" t="str">
        <f>IF(ISBLANK(INDEX('Policy Characteristics'!L:L,MATCH($C237,'Policy Characteristics'!$C:$C,0))),"",INDEX('Policy Characteristics'!L:L,MATCH($C237,'Policy Characteristics'!$C:$C,0)))</f>
        <v/>
      </c>
    </row>
    <row r="238" customHeight="1" spans="1:18">
      <c r="A238" s="394" t="str">
        <f>IF(ISBLANK(INDEX('Policy Characteristics'!A:A,MATCH($C238,'Policy Characteristics'!$C:$C,0))),"",INDEX('Policy Characteristics'!A:A,MATCH($C238,'Policy Characteristics'!$C:$C,0)))</f>
        <v>Electricity Supply</v>
      </c>
      <c r="B238" s="395" t="str">
        <f>IF(ISBLANK(INDEX('Policy Characteristics'!B:B,MATCH($C238,'Policy Characteristics'!$C:$C,0))),"",INDEX('Policy Characteristics'!B:B,MATCH($C238,'Policy Characteristics'!$C:$C,0)))</f>
        <v>Non BAU Capacity Retirement Schedule</v>
      </c>
      <c r="C238" s="394" t="str">
        <f t="shared" si="20"/>
        <v>Boolean Use Non BAU Capacity Retirement Schedule</v>
      </c>
      <c r="D238" s="399" t="s">
        <v>715</v>
      </c>
      <c r="E238" s="399"/>
      <c r="F238" s="399" t="s">
        <v>716</v>
      </c>
      <c r="G238" s="399"/>
      <c r="H238" s="377">
        <v>867</v>
      </c>
      <c r="I238" s="396" t="s">
        <v>648</v>
      </c>
      <c r="J238" s="397" t="str">
        <f>IF(ISBLANK(INDEX('Policy Characteristics'!D:D,MATCH($C238,'Policy Characteristics'!$C:$C,0))),"",INDEX('Policy Characteristics'!D:D,MATCH($C238,'Policy Characteristics'!$C:$C,0)))</f>
        <v>Non BAU Capacity Retirement Schedule</v>
      </c>
      <c r="K238" s="394" t="str">
        <f>IF(ISBLANK(INDEX('Policy Characteristics'!E:E,MATCH($C238,'Policy Characteristics'!$C:$C,0))),"",INDEX('Policy Characteristics'!E:E,MATCH($C238,'Policy Characteristics'!$C:$C,0)))</f>
        <v/>
      </c>
      <c r="L238" s="394">
        <f>IF(ISBLANK(INDEX('Policy Characteristics'!F:F,MATCH($C238,'Policy Characteristics'!$C:$C,0))),"",INDEX('Policy Characteristics'!F:F,MATCH($C238,'Policy Characteristics'!$C:$C,0)))</f>
        <v>0</v>
      </c>
      <c r="M238" s="394">
        <f>IF(ISBLANK(INDEX('Policy Characteristics'!G:G,MATCH($C238,'Policy Characteristics'!$C:$C,0))),"",INDEX('Policy Characteristics'!G:G,MATCH($C238,'Policy Characteristics'!$C:$C,0)))</f>
        <v>1</v>
      </c>
      <c r="N238" s="394">
        <f>IF(ISBLANK(INDEX('Policy Characteristics'!H:H,MATCH($C238,'Policy Characteristics'!$C:$C,0))),"",INDEX('Policy Characteristics'!H:H,MATCH($C238,'Policy Characteristics'!$C:$C,0)))</f>
        <v>1</v>
      </c>
      <c r="O238" s="394" t="str">
        <f>IF(ISBLANK(INDEX('Policy Characteristics'!I:I,MATCH($C238,'Policy Characteristics'!$C:$C,0))),"",INDEX('Policy Characteristics'!I:I,MATCH($C238,'Policy Characteristics'!$C:$C,0)))</f>
        <v>on/off</v>
      </c>
      <c r="P238" s="394" t="str">
        <f>IF(ISBLANK(INDEX('Policy Characteristics'!J:J,MATCH($C238,'Policy Characteristics'!$C:$C,0))),"",INDEX('Policy Characteristics'!J:J,MATCH($C238,'Policy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8" s="394" t="str">
        <f>IF(ISBLANK(INDEX('Policy Characteristics'!K:K,MATCH($C238,'Policy Characteristics'!$C:$C,0))),"",INDEX('Policy Characteristics'!K:K,MATCH($C238,'Policy Characteristics'!$C:$C,0)))</f>
        <v/>
      </c>
      <c r="R238" s="394" t="str">
        <f>IF(ISBLANK(INDEX('Policy Characteristics'!L:L,MATCH($C238,'Policy Characteristics'!$C:$C,0))),"",INDEX('Policy Characteristics'!L:L,MATCH($C238,'Policy Characteristics'!$C:$C,0)))</f>
        <v/>
      </c>
    </row>
    <row r="239" customHeight="1" spans="1:18">
      <c r="A239" s="394" t="str">
        <f>IF(ISBLANK(INDEX('Policy Characteristics'!A:A,MATCH($C239,'Policy Characteristics'!$C:$C,0))),"",INDEX('Policy Characteristics'!A:A,MATCH($C239,'Policy Characteristics'!$C:$C,0)))</f>
        <v>Electricity Supply</v>
      </c>
      <c r="B239" s="395" t="str">
        <f>IF(ISBLANK(INDEX('Policy Characteristics'!B:B,MATCH($C239,'Policy Characteristics'!$C:$C,0))),"",INDEX('Policy Characteristics'!B:B,MATCH($C239,'Policy Characteristics'!$C:$C,0)))</f>
        <v>Non BAU Capacity Retirement Schedule</v>
      </c>
      <c r="C239" s="394" t="str">
        <f t="shared" si="20"/>
        <v>Boolean Use Non BAU Capacity Retirement Schedule</v>
      </c>
      <c r="D239" s="399" t="s">
        <v>717</v>
      </c>
      <c r="E239" s="399"/>
      <c r="F239" s="399" t="s">
        <v>718</v>
      </c>
      <c r="G239" s="399"/>
      <c r="H239" s="377">
        <v>868</v>
      </c>
      <c r="I239" s="396" t="s">
        <v>648</v>
      </c>
      <c r="J239" s="397" t="str">
        <f>IF(ISBLANK(INDEX('Policy Characteristics'!D:D,MATCH($C239,'Policy Characteristics'!$C:$C,0))),"",INDEX('Policy Characteristics'!D:D,MATCH($C239,'Policy Characteristics'!$C:$C,0)))</f>
        <v>Non BAU Capacity Retirement Schedule</v>
      </c>
      <c r="K239" s="394" t="str">
        <f>IF(ISBLANK(INDEX('Policy Characteristics'!E:E,MATCH($C239,'Policy Characteristics'!$C:$C,0))),"",INDEX('Policy Characteristics'!E:E,MATCH($C239,'Policy Characteristics'!$C:$C,0)))</f>
        <v/>
      </c>
      <c r="L239" s="394">
        <f>IF(ISBLANK(INDEX('Policy Characteristics'!F:F,MATCH($C239,'Policy Characteristics'!$C:$C,0))),"",INDEX('Policy Characteristics'!F:F,MATCH($C239,'Policy Characteristics'!$C:$C,0)))</f>
        <v>0</v>
      </c>
      <c r="M239" s="394">
        <f>IF(ISBLANK(INDEX('Policy Characteristics'!G:G,MATCH($C239,'Policy Characteristics'!$C:$C,0))),"",INDEX('Policy Characteristics'!G:G,MATCH($C239,'Policy Characteristics'!$C:$C,0)))</f>
        <v>1</v>
      </c>
      <c r="N239" s="394">
        <f>IF(ISBLANK(INDEX('Policy Characteristics'!H:H,MATCH($C239,'Policy Characteristics'!$C:$C,0))),"",INDEX('Policy Characteristics'!H:H,MATCH($C239,'Policy Characteristics'!$C:$C,0)))</f>
        <v>1</v>
      </c>
      <c r="O239" s="394" t="str">
        <f>IF(ISBLANK(INDEX('Policy Characteristics'!I:I,MATCH($C239,'Policy Characteristics'!$C:$C,0))),"",INDEX('Policy Characteristics'!I:I,MATCH($C239,'Policy Characteristics'!$C:$C,0)))</f>
        <v>on/off</v>
      </c>
      <c r="P239" s="394" t="str">
        <f>IF(ISBLANK(INDEX('Policy Characteristics'!J:J,MATCH($C239,'Policy Characteristics'!$C:$C,0))),"",INDEX('Policy Characteristics'!J:J,MATCH($C239,'Policy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9" s="394" t="str">
        <f>IF(ISBLANK(INDEX('Policy Characteristics'!K:K,MATCH($C239,'Policy Characteristics'!$C:$C,0))),"",INDEX('Policy Characteristics'!K:K,MATCH($C239,'Policy Characteristics'!$C:$C,0)))</f>
        <v/>
      </c>
      <c r="R239" s="394" t="str">
        <f>IF(ISBLANK(INDEX('Policy Characteristics'!L:L,MATCH($C239,'Policy Characteristics'!$C:$C,0))),"",INDEX('Policy Characteristics'!L:L,MATCH($C239,'Policy Characteristics'!$C:$C,0)))</f>
        <v/>
      </c>
    </row>
    <row r="240" customHeight="1" spans="1:18">
      <c r="A240" s="394" t="str">
        <f>IF(ISBLANK(INDEX('Policy Characteristics'!A:A,MATCH($C240,'Policy Characteristics'!$C:$C,0))),"",INDEX('Policy Characteristics'!A:A,MATCH($C240,'Policy Characteristics'!$C:$C,0)))</f>
        <v>Electricity Supply</v>
      </c>
      <c r="B240" s="395" t="str">
        <f>IF(ISBLANK(INDEX('Policy Characteristics'!B:B,MATCH($C240,'Policy Characteristics'!$C:$C,0))),"",INDEX('Policy Characteristics'!B:B,MATCH($C240,'Policy Characteristics'!$C:$C,0)))</f>
        <v>Non BAU Capacity Retirement Schedule</v>
      </c>
      <c r="C240" s="394" t="str">
        <f t="shared" si="20"/>
        <v>Boolean Use Non BAU Capacity Retirement Schedule</v>
      </c>
      <c r="D240" s="399" t="s">
        <v>719</v>
      </c>
      <c r="E240" s="399"/>
      <c r="F240" s="399" t="s">
        <v>720</v>
      </c>
      <c r="G240" s="399"/>
      <c r="H240" s="377">
        <v>869</v>
      </c>
      <c r="I240" s="396" t="s">
        <v>648</v>
      </c>
      <c r="J240" s="397" t="str">
        <f>IF(ISBLANK(INDEX('Policy Characteristics'!D:D,MATCH($C240,'Policy Characteristics'!$C:$C,0))),"",INDEX('Policy Characteristics'!D:D,MATCH($C240,'Policy Characteristics'!$C:$C,0)))</f>
        <v>Non BAU Capacity Retirement Schedule</v>
      </c>
      <c r="K240" s="394" t="str">
        <f>IF(ISBLANK(INDEX('Policy Characteristics'!E:E,MATCH($C240,'Policy Characteristics'!$C:$C,0))),"",INDEX('Policy Characteristics'!E:E,MATCH($C240,'Policy Characteristics'!$C:$C,0)))</f>
        <v/>
      </c>
      <c r="L240" s="394">
        <f>IF(ISBLANK(INDEX('Policy Characteristics'!F:F,MATCH($C240,'Policy Characteristics'!$C:$C,0))),"",INDEX('Policy Characteristics'!F:F,MATCH($C240,'Policy Characteristics'!$C:$C,0)))</f>
        <v>0</v>
      </c>
      <c r="M240" s="394">
        <f>IF(ISBLANK(INDEX('Policy Characteristics'!G:G,MATCH($C240,'Policy Characteristics'!$C:$C,0))),"",INDEX('Policy Characteristics'!G:G,MATCH($C240,'Policy Characteristics'!$C:$C,0)))</f>
        <v>1</v>
      </c>
      <c r="N240" s="394">
        <f>IF(ISBLANK(INDEX('Policy Characteristics'!H:H,MATCH($C240,'Policy Characteristics'!$C:$C,0))),"",INDEX('Policy Characteristics'!H:H,MATCH($C240,'Policy Characteristics'!$C:$C,0)))</f>
        <v>1</v>
      </c>
      <c r="O240" s="394" t="str">
        <f>IF(ISBLANK(INDEX('Policy Characteristics'!I:I,MATCH($C240,'Policy Characteristics'!$C:$C,0))),"",INDEX('Policy Characteristics'!I:I,MATCH($C240,'Policy Characteristics'!$C:$C,0)))</f>
        <v>on/off</v>
      </c>
      <c r="P240" s="394" t="str">
        <f>IF(ISBLANK(INDEX('Policy Characteristics'!J:J,MATCH($C240,'Policy Characteristics'!$C:$C,0))),"",INDEX('Policy Characteristics'!J:J,MATCH($C240,'Policy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0" s="394" t="str">
        <f>IF(ISBLANK(INDEX('Policy Characteristics'!K:K,MATCH($C240,'Policy Characteristics'!$C:$C,0))),"",INDEX('Policy Characteristics'!K:K,MATCH($C240,'Policy Characteristics'!$C:$C,0)))</f>
        <v/>
      </c>
      <c r="R240" s="394" t="str">
        <f>IF(ISBLANK(INDEX('Policy Characteristics'!L:L,MATCH($C240,'Policy Characteristics'!$C:$C,0))),"",INDEX('Policy Characteristics'!L:L,MATCH($C240,'Policy Characteristics'!$C:$C,0)))</f>
        <v/>
      </c>
    </row>
    <row r="241" customHeight="1" spans="1:18">
      <c r="A241" s="394" t="str">
        <f>IF(ISBLANK(INDEX('Policy Characteristics'!A:A,MATCH($C241,'Policy Characteristics'!$C:$C,0))),"",INDEX('Policy Characteristics'!A:A,MATCH($C241,'Policy Characteristics'!$C:$C,0)))</f>
        <v>Electricity Supply</v>
      </c>
      <c r="B241" s="395" t="str">
        <f>IF(ISBLANK(INDEX('Policy Characteristics'!B:B,MATCH($C241,'Policy Characteristics'!$C:$C,0))),"",INDEX('Policy Characteristics'!B:B,MATCH($C241,'Policy Characteristics'!$C:$C,0)))</f>
        <v>Non BAU Capacity Retirement Schedule</v>
      </c>
      <c r="C241" s="394" t="str">
        <f t="shared" si="20"/>
        <v>Boolean Use Non BAU Capacity Retirement Schedule</v>
      </c>
      <c r="D241" s="399" t="s">
        <v>721</v>
      </c>
      <c r="E241" s="399"/>
      <c r="F241" s="399" t="s">
        <v>722</v>
      </c>
      <c r="G241" s="399"/>
      <c r="H241" s="377">
        <v>870</v>
      </c>
      <c r="I241" s="396" t="s">
        <v>648</v>
      </c>
      <c r="J241" s="397" t="str">
        <f>IF(ISBLANK(INDEX('Policy Characteristics'!D:D,MATCH($C241,'Policy Characteristics'!$C:$C,0))),"",INDEX('Policy Characteristics'!D:D,MATCH($C241,'Policy Characteristics'!$C:$C,0)))</f>
        <v>Non BAU Capacity Retirement Schedule</v>
      </c>
      <c r="K241" s="394" t="str">
        <f>IF(ISBLANK(INDEX('Policy Characteristics'!E:E,MATCH($C241,'Policy Characteristics'!$C:$C,0))),"",INDEX('Policy Characteristics'!E:E,MATCH($C241,'Policy Characteristics'!$C:$C,0)))</f>
        <v/>
      </c>
      <c r="L241" s="394">
        <f>IF(ISBLANK(INDEX('Policy Characteristics'!F:F,MATCH($C241,'Policy Characteristics'!$C:$C,0))),"",INDEX('Policy Characteristics'!F:F,MATCH($C241,'Policy Characteristics'!$C:$C,0)))</f>
        <v>0</v>
      </c>
      <c r="M241" s="394">
        <f>IF(ISBLANK(INDEX('Policy Characteristics'!G:G,MATCH($C241,'Policy Characteristics'!$C:$C,0))),"",INDEX('Policy Characteristics'!G:G,MATCH($C241,'Policy Characteristics'!$C:$C,0)))</f>
        <v>1</v>
      </c>
      <c r="N241" s="394">
        <f>IF(ISBLANK(INDEX('Policy Characteristics'!H:H,MATCH($C241,'Policy Characteristics'!$C:$C,0))),"",INDEX('Policy Characteristics'!H:H,MATCH($C241,'Policy Characteristics'!$C:$C,0)))</f>
        <v>1</v>
      </c>
      <c r="O241" s="394" t="str">
        <f>IF(ISBLANK(INDEX('Policy Characteristics'!I:I,MATCH($C241,'Policy Characteristics'!$C:$C,0))),"",INDEX('Policy Characteristics'!I:I,MATCH($C241,'Policy Characteristics'!$C:$C,0)))</f>
        <v>on/off</v>
      </c>
      <c r="P241" s="394" t="str">
        <f>IF(ISBLANK(INDEX('Policy Characteristics'!J:J,MATCH($C241,'Policy Characteristics'!$C:$C,0))),"",INDEX('Policy Characteristics'!J:J,MATCH($C241,'Policy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1" s="394" t="str">
        <f>IF(ISBLANK(INDEX('Policy Characteristics'!K:K,MATCH($C241,'Policy Characteristics'!$C:$C,0))),"",INDEX('Policy Characteristics'!K:K,MATCH($C241,'Policy Characteristics'!$C:$C,0)))</f>
        <v/>
      </c>
      <c r="R241" s="394" t="str">
        <f>IF(ISBLANK(INDEX('Policy Characteristics'!L:L,MATCH($C241,'Policy Characteristics'!$C:$C,0))),"",INDEX('Policy Characteristics'!L:L,MATCH($C241,'Policy Characteristics'!$C:$C,0)))</f>
        <v/>
      </c>
    </row>
    <row r="242" customHeight="1" spans="1:18">
      <c r="A242" s="394" t="str">
        <f>IF(ISBLANK(INDEX('Policy Characteristics'!A:A,MATCH($C242,'Policy Characteristics'!$C:$C,0))),"",INDEX('Policy Characteristics'!A:A,MATCH($C242,'Policy Characteristics'!$C:$C,0)))</f>
        <v>Electricity Supply</v>
      </c>
      <c r="B242" s="395" t="str">
        <f>IF(ISBLANK(INDEX('Policy Characteristics'!B:B,MATCH($C242,'Policy Characteristics'!$C:$C,0))),"",INDEX('Policy Characteristics'!B:B,MATCH($C242,'Policy Characteristics'!$C:$C,0)))</f>
        <v>Non BAU Capacity Retirement Schedule</v>
      </c>
      <c r="C242" s="394" t="str">
        <f t="shared" si="20"/>
        <v>Boolean Use Non BAU Capacity Retirement Schedule</v>
      </c>
      <c r="D242" s="399" t="s">
        <v>723</v>
      </c>
      <c r="E242" s="399"/>
      <c r="F242" s="400" t="s">
        <v>724</v>
      </c>
      <c r="G242" s="399"/>
      <c r="H242" s="377">
        <v>871</v>
      </c>
      <c r="I242" s="396" t="s">
        <v>648</v>
      </c>
      <c r="J242" s="397" t="str">
        <f>IF(ISBLANK(INDEX('Policy Characteristics'!D:D,MATCH($C242,'Policy Characteristics'!$C:$C,0))),"",INDEX('Policy Characteristics'!D:D,MATCH($C242,'Policy Characteristics'!$C:$C,0)))</f>
        <v>Non BAU Capacity Retirement Schedule</v>
      </c>
      <c r="K242" s="394" t="str">
        <f>IF(ISBLANK(INDEX('Policy Characteristics'!E:E,MATCH($C242,'Policy Characteristics'!$C:$C,0))),"",INDEX('Policy Characteristics'!E:E,MATCH($C242,'Policy Characteristics'!$C:$C,0)))</f>
        <v/>
      </c>
      <c r="L242" s="394">
        <f>IF(ISBLANK(INDEX('Policy Characteristics'!F:F,MATCH($C242,'Policy Characteristics'!$C:$C,0))),"",INDEX('Policy Characteristics'!F:F,MATCH($C242,'Policy Characteristics'!$C:$C,0)))</f>
        <v>0</v>
      </c>
      <c r="M242" s="394">
        <f>IF(ISBLANK(INDEX('Policy Characteristics'!G:G,MATCH($C242,'Policy Characteristics'!$C:$C,0))),"",INDEX('Policy Characteristics'!G:G,MATCH($C242,'Policy Characteristics'!$C:$C,0)))</f>
        <v>1</v>
      </c>
      <c r="N242" s="394">
        <f>IF(ISBLANK(INDEX('Policy Characteristics'!H:H,MATCH($C242,'Policy Characteristics'!$C:$C,0))),"",INDEX('Policy Characteristics'!H:H,MATCH($C242,'Policy Characteristics'!$C:$C,0)))</f>
        <v>1</v>
      </c>
      <c r="O242" s="394" t="str">
        <f>IF(ISBLANK(INDEX('Policy Characteristics'!I:I,MATCH($C242,'Policy Characteristics'!$C:$C,0))),"",INDEX('Policy Characteristics'!I:I,MATCH($C242,'Policy Characteristics'!$C:$C,0)))</f>
        <v>on/off</v>
      </c>
      <c r="P242" s="394" t="str">
        <f>IF(ISBLANK(INDEX('Policy Characteristics'!J:J,MATCH($C242,'Policy Characteristics'!$C:$C,0))),"",INDEX('Policy Characteristics'!J:J,MATCH($C242,'Policy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2" s="394" t="str">
        <f>IF(ISBLANK(INDEX('Policy Characteristics'!K:K,MATCH($C242,'Policy Characteristics'!$C:$C,0))),"",INDEX('Policy Characteristics'!K:K,MATCH($C242,'Policy Characteristics'!$C:$C,0)))</f>
        <v/>
      </c>
      <c r="R242" s="394" t="str">
        <f>IF(ISBLANK(INDEX('Policy Characteristics'!L:L,MATCH($C242,'Policy Characteristics'!$C:$C,0))),"",INDEX('Policy Characteristics'!L:L,MATCH($C242,'Policy Characteristics'!$C:$C,0)))</f>
        <v/>
      </c>
    </row>
    <row r="243" customHeight="1" spans="1:18">
      <c r="A243" s="394" t="str">
        <f>IF(ISBLANK(INDEX('Policy Characteristics'!A:A,MATCH($C243,'Policy Characteristics'!$C:$C,0))),"",INDEX('Policy Characteristics'!A:A,MATCH($C243,'Policy Characteristics'!$C:$C,0)))</f>
        <v>Electricity Supply</v>
      </c>
      <c r="B243" s="395" t="str">
        <f>IF(ISBLANK(INDEX('Policy Characteristics'!B:B,MATCH($C243,'Policy Characteristics'!$C:$C,0))),"",INDEX('Policy Characteristics'!B:B,MATCH($C243,'Policy Characteristics'!$C:$C,0)))</f>
        <v>Non BAU Capacity Retirement Schedule</v>
      </c>
      <c r="C243" s="394" t="str">
        <f t="shared" si="20"/>
        <v>Boolean Use Non BAU Capacity Retirement Schedule</v>
      </c>
      <c r="D243" s="399" t="s">
        <v>725</v>
      </c>
      <c r="E243" s="399"/>
      <c r="F243" s="399" t="s">
        <v>726</v>
      </c>
      <c r="G243" s="399"/>
      <c r="H243" s="377">
        <v>872</v>
      </c>
      <c r="I243" s="396" t="s">
        <v>648</v>
      </c>
      <c r="J243" s="397" t="str">
        <f>IF(ISBLANK(INDEX('Policy Characteristics'!D:D,MATCH($C243,'Policy Characteristics'!$C:$C,0))),"",INDEX('Policy Characteristics'!D:D,MATCH($C243,'Policy Characteristics'!$C:$C,0)))</f>
        <v>Non BAU Capacity Retirement Schedule</v>
      </c>
      <c r="K243" s="394" t="str">
        <f>IF(ISBLANK(INDEX('Policy Characteristics'!E:E,MATCH($C243,'Policy Characteristics'!$C:$C,0))),"",INDEX('Policy Characteristics'!E:E,MATCH($C243,'Policy Characteristics'!$C:$C,0)))</f>
        <v/>
      </c>
      <c r="L243" s="394">
        <f>IF(ISBLANK(INDEX('Policy Characteristics'!F:F,MATCH($C243,'Policy Characteristics'!$C:$C,0))),"",INDEX('Policy Characteristics'!F:F,MATCH($C243,'Policy Characteristics'!$C:$C,0)))</f>
        <v>0</v>
      </c>
      <c r="M243" s="394">
        <f>IF(ISBLANK(INDEX('Policy Characteristics'!G:G,MATCH($C243,'Policy Characteristics'!$C:$C,0))),"",INDEX('Policy Characteristics'!G:G,MATCH($C243,'Policy Characteristics'!$C:$C,0)))</f>
        <v>1</v>
      </c>
      <c r="N243" s="394">
        <f>IF(ISBLANK(INDEX('Policy Characteristics'!H:H,MATCH($C243,'Policy Characteristics'!$C:$C,0))),"",INDEX('Policy Characteristics'!H:H,MATCH($C243,'Policy Characteristics'!$C:$C,0)))</f>
        <v>1</v>
      </c>
      <c r="O243" s="394" t="str">
        <f>IF(ISBLANK(INDEX('Policy Characteristics'!I:I,MATCH($C243,'Policy Characteristics'!$C:$C,0))),"",INDEX('Policy Characteristics'!I:I,MATCH($C243,'Policy Characteristics'!$C:$C,0)))</f>
        <v>on/off</v>
      </c>
      <c r="P243" s="394" t="str">
        <f>IF(ISBLANK(INDEX('Policy Characteristics'!J:J,MATCH($C243,'Policy Characteristics'!$C:$C,0))),"",INDEX('Policy Characteristics'!J:J,MATCH($C243,'Policy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3" s="394" t="str">
        <f>IF(ISBLANK(INDEX('Policy Characteristics'!K:K,MATCH($C243,'Policy Characteristics'!$C:$C,0))),"",INDEX('Policy Characteristics'!K:K,MATCH($C243,'Policy Characteristics'!$C:$C,0)))</f>
        <v/>
      </c>
      <c r="R243" s="394" t="str">
        <f>IF(ISBLANK(INDEX('Policy Characteristics'!L:L,MATCH($C243,'Policy Characteristics'!$C:$C,0))),"",INDEX('Policy Characteristics'!L:L,MATCH($C243,'Policy Characteristics'!$C:$C,0)))</f>
        <v/>
      </c>
    </row>
    <row r="244" customHeight="1" spans="1:18">
      <c r="A244" s="394" t="str">
        <f>IF(ISBLANK(INDEX('Policy Characteristics'!A:A,MATCH($C244,'Policy Characteristics'!$C:$C,0))),"",INDEX('Policy Characteristics'!A:A,MATCH($C244,'Policy Characteristics'!$C:$C,0)))</f>
        <v>Electricity Supply</v>
      </c>
      <c r="B244" s="395" t="str">
        <f>IF(ISBLANK(INDEX('Policy Characteristics'!B:B,MATCH($C244,'Policy Characteristics'!$C:$C,0))),"",INDEX('Policy Characteristics'!B:B,MATCH($C244,'Policy Characteristics'!$C:$C,0)))</f>
        <v>Non BAU Capacity Retirement Schedule</v>
      </c>
      <c r="C244" s="394" t="str">
        <f t="shared" si="20"/>
        <v>Boolean Use Non BAU Capacity Retirement Schedule</v>
      </c>
      <c r="D244" s="399" t="s">
        <v>727</v>
      </c>
      <c r="E244" s="399"/>
      <c r="F244" s="399" t="s">
        <v>728</v>
      </c>
      <c r="G244" s="399"/>
      <c r="H244" s="377">
        <v>873</v>
      </c>
      <c r="I244" s="396" t="s">
        <v>648</v>
      </c>
      <c r="J244" s="397" t="str">
        <f>IF(ISBLANK(INDEX('Policy Characteristics'!D:D,MATCH($C244,'Policy Characteristics'!$C:$C,0))),"",INDEX('Policy Characteristics'!D:D,MATCH($C244,'Policy Characteristics'!$C:$C,0)))</f>
        <v>Non BAU Capacity Retirement Schedule</v>
      </c>
      <c r="K244" s="394" t="str">
        <f>IF(ISBLANK(INDEX('Policy Characteristics'!E:E,MATCH($C244,'Policy Characteristics'!$C:$C,0))),"",INDEX('Policy Characteristics'!E:E,MATCH($C244,'Policy Characteristics'!$C:$C,0)))</f>
        <v/>
      </c>
      <c r="L244" s="394">
        <f>IF(ISBLANK(INDEX('Policy Characteristics'!F:F,MATCH($C244,'Policy Characteristics'!$C:$C,0))),"",INDEX('Policy Characteristics'!F:F,MATCH($C244,'Policy Characteristics'!$C:$C,0)))</f>
        <v>0</v>
      </c>
      <c r="M244" s="394">
        <f>IF(ISBLANK(INDEX('Policy Characteristics'!G:G,MATCH($C244,'Policy Characteristics'!$C:$C,0))),"",INDEX('Policy Characteristics'!G:G,MATCH($C244,'Policy Characteristics'!$C:$C,0)))</f>
        <v>1</v>
      </c>
      <c r="N244" s="394">
        <f>IF(ISBLANK(INDEX('Policy Characteristics'!H:H,MATCH($C244,'Policy Characteristics'!$C:$C,0))),"",INDEX('Policy Characteristics'!H:H,MATCH($C244,'Policy Characteristics'!$C:$C,0)))</f>
        <v>1</v>
      </c>
      <c r="O244" s="394" t="str">
        <f>IF(ISBLANK(INDEX('Policy Characteristics'!I:I,MATCH($C244,'Policy Characteristics'!$C:$C,0))),"",INDEX('Policy Characteristics'!I:I,MATCH($C244,'Policy Characteristics'!$C:$C,0)))</f>
        <v>on/off</v>
      </c>
      <c r="P244" s="394" t="str">
        <f>IF(ISBLANK(INDEX('Policy Characteristics'!J:J,MATCH($C244,'Policy Characteristics'!$C:$C,0))),"",INDEX('Policy Characteristics'!J:J,MATCH($C244,'Policy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4" s="394" t="str">
        <f>IF(ISBLANK(INDEX('Policy Characteristics'!K:K,MATCH($C244,'Policy Characteristics'!$C:$C,0))),"",INDEX('Policy Characteristics'!K:K,MATCH($C244,'Policy Characteristics'!$C:$C,0)))</f>
        <v/>
      </c>
      <c r="R244" s="394" t="str">
        <f>IF(ISBLANK(INDEX('Policy Characteristics'!L:L,MATCH($C244,'Policy Characteristics'!$C:$C,0))),"",INDEX('Policy Characteristics'!L:L,MATCH($C244,'Policy Characteristics'!$C:$C,0)))</f>
        <v/>
      </c>
    </row>
    <row r="245" customHeight="1" spans="1:18">
      <c r="A245" s="394" t="str">
        <f>IF(ISBLANK(INDEX('Policy Characteristics'!A:A,MATCH($C245,'Policy Characteristics'!$C:$C,0))),"",INDEX('Policy Characteristics'!A:A,MATCH($C245,'Policy Characteristics'!$C:$C,0)))</f>
        <v>Electricity Supply</v>
      </c>
      <c r="B245" s="395" t="str">
        <f>IF(ISBLANK(INDEX('Policy Characteristics'!B:B,MATCH($C245,'Policy Characteristics'!$C:$C,0))),"",INDEX('Policy Characteristics'!B:B,MATCH($C245,'Policy Characteristics'!$C:$C,0)))</f>
        <v>Non BAU Capacity Retirement Schedule</v>
      </c>
      <c r="C245" s="394" t="str">
        <f t="shared" si="20"/>
        <v>Boolean Use Non BAU Capacity Retirement Schedule</v>
      </c>
      <c r="D245" s="399" t="s">
        <v>729</v>
      </c>
      <c r="E245" s="399"/>
      <c r="F245" s="399" t="s">
        <v>730</v>
      </c>
      <c r="G245" s="399"/>
      <c r="H245" s="377">
        <v>874</v>
      </c>
      <c r="I245" s="396" t="s">
        <v>648</v>
      </c>
      <c r="J245" s="397" t="str">
        <f>IF(ISBLANK(INDEX('Policy Characteristics'!D:D,MATCH($C245,'Policy Characteristics'!$C:$C,0))),"",INDEX('Policy Characteristics'!D:D,MATCH($C245,'Policy Characteristics'!$C:$C,0)))</f>
        <v>Non BAU Capacity Retirement Schedule</v>
      </c>
      <c r="K245" s="394" t="str">
        <f>IF(ISBLANK(INDEX('Policy Characteristics'!E:E,MATCH($C245,'Policy Characteristics'!$C:$C,0))),"",INDEX('Policy Characteristics'!E:E,MATCH($C245,'Policy Characteristics'!$C:$C,0)))</f>
        <v/>
      </c>
      <c r="L245" s="394">
        <f>IF(ISBLANK(INDEX('Policy Characteristics'!F:F,MATCH($C245,'Policy Characteristics'!$C:$C,0))),"",INDEX('Policy Characteristics'!F:F,MATCH($C245,'Policy Characteristics'!$C:$C,0)))</f>
        <v>0</v>
      </c>
      <c r="M245" s="394">
        <f>IF(ISBLANK(INDEX('Policy Characteristics'!G:G,MATCH($C245,'Policy Characteristics'!$C:$C,0))),"",INDEX('Policy Characteristics'!G:G,MATCH($C245,'Policy Characteristics'!$C:$C,0)))</f>
        <v>1</v>
      </c>
      <c r="N245" s="394">
        <f>IF(ISBLANK(INDEX('Policy Characteristics'!H:H,MATCH($C245,'Policy Characteristics'!$C:$C,0))),"",INDEX('Policy Characteristics'!H:H,MATCH($C245,'Policy Characteristics'!$C:$C,0)))</f>
        <v>1</v>
      </c>
      <c r="O245" s="394" t="str">
        <f>IF(ISBLANK(INDEX('Policy Characteristics'!I:I,MATCH($C245,'Policy Characteristics'!$C:$C,0))),"",INDEX('Policy Characteristics'!I:I,MATCH($C245,'Policy Characteristics'!$C:$C,0)))</f>
        <v>on/off</v>
      </c>
      <c r="P245" s="394" t="str">
        <f>IF(ISBLANK(INDEX('Policy Characteristics'!J:J,MATCH($C245,'Policy Characteristics'!$C:$C,0))),"",INDEX('Policy Characteristics'!J:J,MATCH($C245,'Policy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5" s="394" t="str">
        <f>IF(ISBLANK(INDEX('Policy Characteristics'!K:K,MATCH($C245,'Policy Characteristics'!$C:$C,0))),"",INDEX('Policy Characteristics'!K:K,MATCH($C245,'Policy Characteristics'!$C:$C,0)))</f>
        <v/>
      </c>
      <c r="R245" s="394" t="str">
        <f>IF(ISBLANK(INDEX('Policy Characteristics'!L:L,MATCH($C245,'Policy Characteristics'!$C:$C,0))),"",INDEX('Policy Characteristics'!L:L,MATCH($C245,'Policy Characteristics'!$C:$C,0)))</f>
        <v/>
      </c>
    </row>
    <row r="246" customHeight="1" spans="1:18">
      <c r="A246" s="394" t="str">
        <f>IF(ISBLANK(INDEX('Policy Characteristics'!A:A,MATCH($C246,'Policy Characteristics'!$C:$C,0))),"",INDEX('Policy Characteristics'!A:A,MATCH($C246,'Policy Characteristics'!$C:$C,0)))</f>
        <v>Electricity Supply</v>
      </c>
      <c r="B246" s="395" t="str">
        <f>IF(ISBLANK(INDEX('Policy Characteristics'!B:B,MATCH($C246,'Policy Characteristics'!$C:$C,0))),"",INDEX('Policy Characteristics'!B:B,MATCH($C246,'Policy Characteristics'!$C:$C,0)))</f>
        <v>Non BAU Capacity Retirement Schedule</v>
      </c>
      <c r="C246" s="394" t="str">
        <f t="shared" si="20"/>
        <v>Boolean Use Non BAU Capacity Retirement Schedule</v>
      </c>
      <c r="D246" s="399" t="s">
        <v>731</v>
      </c>
      <c r="E246" s="399"/>
      <c r="F246" s="399" t="s">
        <v>732</v>
      </c>
      <c r="G246" s="399"/>
      <c r="H246" s="377">
        <v>875</v>
      </c>
      <c r="I246" s="396" t="s">
        <v>648</v>
      </c>
      <c r="J246" s="397" t="str">
        <f>IF(ISBLANK(INDEX('Policy Characteristics'!D:D,MATCH($C246,'Policy Characteristics'!$C:$C,0))),"",INDEX('Policy Characteristics'!D:D,MATCH($C246,'Policy Characteristics'!$C:$C,0)))</f>
        <v>Non BAU Capacity Retirement Schedule</v>
      </c>
      <c r="K246" s="394" t="str">
        <f>IF(ISBLANK(INDEX('Policy Characteristics'!E:E,MATCH($C246,'Policy Characteristics'!$C:$C,0))),"",INDEX('Policy Characteristics'!E:E,MATCH($C246,'Policy Characteristics'!$C:$C,0)))</f>
        <v/>
      </c>
      <c r="L246" s="394">
        <f>IF(ISBLANK(INDEX('Policy Characteristics'!F:F,MATCH($C246,'Policy Characteristics'!$C:$C,0))),"",INDEX('Policy Characteristics'!F:F,MATCH($C246,'Policy Characteristics'!$C:$C,0)))</f>
        <v>0</v>
      </c>
      <c r="M246" s="394">
        <f>IF(ISBLANK(INDEX('Policy Characteristics'!G:G,MATCH($C246,'Policy Characteristics'!$C:$C,0))),"",INDEX('Policy Characteristics'!G:G,MATCH($C246,'Policy Characteristics'!$C:$C,0)))</f>
        <v>1</v>
      </c>
      <c r="N246" s="394">
        <f>IF(ISBLANK(INDEX('Policy Characteristics'!H:H,MATCH($C246,'Policy Characteristics'!$C:$C,0))),"",INDEX('Policy Characteristics'!H:H,MATCH($C246,'Policy Characteristics'!$C:$C,0)))</f>
        <v>1</v>
      </c>
      <c r="O246" s="394" t="str">
        <f>IF(ISBLANK(INDEX('Policy Characteristics'!I:I,MATCH($C246,'Policy Characteristics'!$C:$C,0))),"",INDEX('Policy Characteristics'!I:I,MATCH($C246,'Policy Characteristics'!$C:$C,0)))</f>
        <v>on/off</v>
      </c>
      <c r="P246" s="394" t="str">
        <f>IF(ISBLANK(INDEX('Policy Characteristics'!J:J,MATCH($C246,'Policy Characteristics'!$C:$C,0))),"",INDEX('Policy Characteristics'!J:J,MATCH($C246,'Policy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6" s="394" t="str">
        <f>IF(ISBLANK(INDEX('Policy Characteristics'!K:K,MATCH($C246,'Policy Characteristics'!$C:$C,0))),"",INDEX('Policy Characteristics'!K:K,MATCH($C246,'Policy Characteristics'!$C:$C,0)))</f>
        <v/>
      </c>
      <c r="R246" s="394" t="str">
        <f>IF(ISBLANK(INDEX('Policy Characteristics'!L:L,MATCH($C246,'Policy Characteristics'!$C:$C,0))),"",INDEX('Policy Characteristics'!L:L,MATCH($C246,'Policy Characteristics'!$C:$C,0)))</f>
        <v/>
      </c>
    </row>
    <row r="247" s="384" customFormat="1" customHeight="1" spans="1:18">
      <c r="A247" s="394" t="str">
        <f>IF(ISBLANK(INDEX('Policy Characteristics'!A:A,MATCH($C247,'Policy Characteristics'!$C:$C,0))),"",INDEX('Policy Characteristics'!A:A,MATCH($C247,'Policy Characteristics'!$C:$C,0)))</f>
        <v>Electricity Supply</v>
      </c>
      <c r="B247" s="395" t="str">
        <f>IF(ISBLANK(INDEX('Policy Characteristics'!B:B,MATCH($C247,'Policy Characteristics'!$C:$C,0))),"",INDEX('Policy Characteristics'!B:B,MATCH($C247,'Policy Characteristics'!$C:$C,0)))</f>
        <v>Non BAU Mandated Capacity Construction</v>
      </c>
      <c r="C247" t="s">
        <v>282</v>
      </c>
      <c r="D247" s="399" t="s">
        <v>701</v>
      </c>
      <c r="E247" s="399"/>
      <c r="F247" s="399" t="s">
        <v>702</v>
      </c>
      <c r="G247" s="399"/>
      <c r="H247" s="377">
        <v>633</v>
      </c>
      <c r="I247" s="396" t="s">
        <v>648</v>
      </c>
      <c r="J247" s="397" t="str">
        <f>IF(ISBLANK(INDEX('Policy Characteristics'!D:D,MATCH($C247,'Policy Characteristics'!$C:$C,0))),"",INDEX('Policy Characteristics'!D:D,MATCH($C247,'Policy Characteristics'!$C:$C,0)))</f>
        <v>Non BAU Mandated Capacity Construction</v>
      </c>
      <c r="K247" s="394" t="str">
        <f>IF(ISBLANK(INDEX('Policy Characteristics'!E:E,MATCH($C247,'Policy Characteristics'!$C:$C,0))),"",INDEX('Policy Characteristics'!E:E,MATCH($C247,'Policy Characteristics'!$C:$C,0)))</f>
        <v/>
      </c>
      <c r="L247" s="394">
        <f>IF(ISBLANK(INDEX('Policy Characteristics'!F:F,MATCH($C247,'Policy Characteristics'!$C:$C,0))),"",INDEX('Policy Characteristics'!F:F,MATCH($C247,'Policy Characteristics'!$C:$C,0)))</f>
        <v>0</v>
      </c>
      <c r="M247" s="394">
        <f>IF(ISBLANK(INDEX('Policy Characteristics'!G:G,MATCH($C247,'Policy Characteristics'!$C:$C,0))),"",INDEX('Policy Characteristics'!G:G,MATCH($C247,'Policy Characteristics'!$C:$C,0)))</f>
        <v>1</v>
      </c>
      <c r="N247" s="394">
        <f>IF(ISBLANK(INDEX('Policy Characteristics'!H:H,MATCH($C247,'Policy Characteristics'!$C:$C,0))),"",INDEX('Policy Characteristics'!H:H,MATCH($C247,'Policy Characteristics'!$C:$C,0)))</f>
        <v>1</v>
      </c>
      <c r="O247" s="394" t="str">
        <f>IF(ISBLANK(INDEX('Policy Characteristics'!I:I,MATCH($C247,'Policy Characteristics'!$C:$C,0))),"",INDEX('Policy Characteristics'!I:I,MATCH($C247,'Policy Characteristics'!$C:$C,0)))</f>
        <v>on/off</v>
      </c>
      <c r="P247" s="394" t="str">
        <f>IF(ISBLANK(INDEX('Policy Characteristics'!J:J,MATCH($C247,'Policy Characteristics'!$C:$C,0))),"",INDEX('Policy Characteristics'!J:J,MATCH($C247,'Policy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47" s="394" t="str">
        <f>IF(ISBLANK(INDEX('Policy Characteristics'!K:K,MATCH($C247,'Policy Characteristics'!$C:$C,0))),"",INDEX('Policy Characteristics'!K:K,MATCH($C247,'Policy Characteristics'!$C:$C,0)))</f>
        <v/>
      </c>
      <c r="R247" s="394" t="str">
        <f>IF(ISBLANK(INDEX('Policy Characteristics'!L:L,MATCH($C247,'Policy Characteristics'!$C:$C,0))),"",INDEX('Policy Characteristics'!L:L,MATCH($C247,'Policy Characteristics'!$C:$C,0)))</f>
        <v/>
      </c>
    </row>
    <row r="248" s="384" customFormat="1" customHeight="1" spans="1:18">
      <c r="A248" s="394" t="str">
        <f>IF(ISBLANK(INDEX('Policy Characteristics'!A:A,MATCH($C248,'Policy Characteristics'!$C:$C,0))),"",INDEX('Policy Characteristics'!A:A,MATCH($C248,'Policy Characteristics'!$C:$C,0)))</f>
        <v>Electricity Supply</v>
      </c>
      <c r="B248" s="395" t="str">
        <f>IF(ISBLANK(INDEX('Policy Characteristics'!B:B,MATCH($C248,'Policy Characteristics'!$C:$C,0))),"",INDEX('Policy Characteristics'!B:B,MATCH($C248,'Policy Characteristics'!$C:$C,0)))</f>
        <v>Non BAU Mandated Capacity Construction</v>
      </c>
      <c r="C248" s="394" t="str">
        <f t="shared" ref="C248:C262" si="21">C$247</f>
        <v>Boolean Use Non BAU Mandated Capacity Construction Schedule</v>
      </c>
      <c r="D248" s="399" t="s">
        <v>703</v>
      </c>
      <c r="E248" s="399"/>
      <c r="F248" s="399" t="s">
        <v>704</v>
      </c>
      <c r="G248" s="399"/>
      <c r="H248" s="377">
        <v>634</v>
      </c>
      <c r="I248" s="396" t="s">
        <v>648</v>
      </c>
      <c r="J248" s="397" t="str">
        <f>IF(ISBLANK(INDEX('Policy Characteristics'!D:D,MATCH($C248,'Policy Characteristics'!$C:$C,0))),"",INDEX('Policy Characteristics'!D:D,MATCH($C248,'Policy Characteristics'!$C:$C,0)))</f>
        <v>Non BAU Mandated Capacity Construction</v>
      </c>
      <c r="K248" s="394" t="str">
        <f>IF(ISBLANK(INDEX('Policy Characteristics'!E:E,MATCH($C248,'Policy Characteristics'!$C:$C,0))),"",INDEX('Policy Characteristics'!E:E,MATCH($C248,'Policy Characteristics'!$C:$C,0)))</f>
        <v/>
      </c>
      <c r="L248" s="394">
        <f>IF(ISBLANK(INDEX('Policy Characteristics'!F:F,MATCH($C248,'Policy Characteristics'!$C:$C,0))),"",INDEX('Policy Characteristics'!F:F,MATCH($C248,'Policy Characteristics'!$C:$C,0)))</f>
        <v>0</v>
      </c>
      <c r="M248" s="394">
        <f>IF(ISBLANK(INDEX('Policy Characteristics'!G:G,MATCH($C248,'Policy Characteristics'!$C:$C,0))),"",INDEX('Policy Characteristics'!G:G,MATCH($C248,'Policy Characteristics'!$C:$C,0)))</f>
        <v>1</v>
      </c>
      <c r="N248" s="394">
        <f>IF(ISBLANK(INDEX('Policy Characteristics'!H:H,MATCH($C248,'Policy Characteristics'!$C:$C,0))),"",INDEX('Policy Characteristics'!H:H,MATCH($C248,'Policy Characteristics'!$C:$C,0)))</f>
        <v>1</v>
      </c>
      <c r="O248" s="394" t="str">
        <f>IF(ISBLANK(INDEX('Policy Characteristics'!I:I,MATCH($C248,'Policy Characteristics'!$C:$C,0))),"",INDEX('Policy Characteristics'!I:I,MATCH($C248,'Policy Characteristics'!$C:$C,0)))</f>
        <v>on/off</v>
      </c>
      <c r="P248" s="394" t="str">
        <f>IF(ISBLANK(INDEX('Policy Characteristics'!J:J,MATCH($C248,'Policy Characteristics'!$C:$C,0))),"",INDEX('Policy Characteristics'!J:J,MATCH($C248,'Policy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48" s="394" t="str">
        <f>IF(ISBLANK(INDEX('Policy Characteristics'!K:K,MATCH($C248,'Policy Characteristics'!$C:$C,0))),"",INDEX('Policy Characteristics'!K:K,MATCH($C248,'Policy Characteristics'!$C:$C,0)))</f>
        <v/>
      </c>
      <c r="R248" s="394" t="str">
        <f>IF(ISBLANK(INDEX('Policy Characteristics'!L:L,MATCH($C248,'Policy Characteristics'!$C:$C,0))),"",INDEX('Policy Characteristics'!L:L,MATCH($C248,'Policy Characteristics'!$C:$C,0)))</f>
        <v/>
      </c>
    </row>
    <row r="249" s="384" customFormat="1" customHeight="1" spans="1:18">
      <c r="A249" s="394" t="str">
        <f>IF(ISBLANK(INDEX('Policy Characteristics'!A:A,MATCH($C249,'Policy Characteristics'!$C:$C,0))),"",INDEX('Policy Characteristics'!A:A,MATCH($C249,'Policy Characteristics'!$C:$C,0)))</f>
        <v>Electricity Supply</v>
      </c>
      <c r="B249" s="395" t="str">
        <f>IF(ISBLANK(INDEX('Policy Characteristics'!B:B,MATCH($C249,'Policy Characteristics'!$C:$C,0))),"",INDEX('Policy Characteristics'!B:B,MATCH($C249,'Policy Characteristics'!$C:$C,0)))</f>
        <v>Non BAU Mandated Capacity Construction</v>
      </c>
      <c r="C249" s="394" t="str">
        <f t="shared" si="21"/>
        <v>Boolean Use Non BAU Mandated Capacity Construction Schedule</v>
      </c>
      <c r="D249" s="399" t="s">
        <v>705</v>
      </c>
      <c r="E249" s="399"/>
      <c r="F249" s="399" t="s">
        <v>706</v>
      </c>
      <c r="G249" s="399"/>
      <c r="H249" s="377">
        <v>635</v>
      </c>
      <c r="I249" s="396" t="s">
        <v>648</v>
      </c>
      <c r="J249" s="397" t="str">
        <f>IF(ISBLANK(INDEX('Policy Characteristics'!D:D,MATCH($C249,'Policy Characteristics'!$C:$C,0))),"",INDEX('Policy Characteristics'!D:D,MATCH($C249,'Policy Characteristics'!$C:$C,0)))</f>
        <v>Non BAU Mandated Capacity Construction</v>
      </c>
      <c r="K249" s="394" t="str">
        <f>IF(ISBLANK(INDEX('Policy Characteristics'!E:E,MATCH($C249,'Policy Characteristics'!$C:$C,0))),"",INDEX('Policy Characteristics'!E:E,MATCH($C249,'Policy Characteristics'!$C:$C,0)))</f>
        <v/>
      </c>
      <c r="L249" s="394">
        <f>IF(ISBLANK(INDEX('Policy Characteristics'!F:F,MATCH($C249,'Policy Characteristics'!$C:$C,0))),"",INDEX('Policy Characteristics'!F:F,MATCH($C249,'Policy Characteristics'!$C:$C,0)))</f>
        <v>0</v>
      </c>
      <c r="M249" s="394">
        <f>IF(ISBLANK(INDEX('Policy Characteristics'!G:G,MATCH($C249,'Policy Characteristics'!$C:$C,0))),"",INDEX('Policy Characteristics'!G:G,MATCH($C249,'Policy Characteristics'!$C:$C,0)))</f>
        <v>1</v>
      </c>
      <c r="N249" s="394">
        <f>IF(ISBLANK(INDEX('Policy Characteristics'!H:H,MATCH($C249,'Policy Characteristics'!$C:$C,0))),"",INDEX('Policy Characteristics'!H:H,MATCH($C249,'Policy Characteristics'!$C:$C,0)))</f>
        <v>1</v>
      </c>
      <c r="O249" s="394" t="str">
        <f>IF(ISBLANK(INDEX('Policy Characteristics'!I:I,MATCH($C249,'Policy Characteristics'!$C:$C,0))),"",INDEX('Policy Characteristics'!I:I,MATCH($C249,'Policy Characteristics'!$C:$C,0)))</f>
        <v>on/off</v>
      </c>
      <c r="P249" s="394" t="str">
        <f>IF(ISBLANK(INDEX('Policy Characteristics'!J:J,MATCH($C249,'Policy Characteristics'!$C:$C,0))),"",INDEX('Policy Characteristics'!J:J,MATCH($C249,'Policy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49" s="394" t="str">
        <f>IF(ISBLANK(INDEX('Policy Characteristics'!K:K,MATCH($C249,'Policy Characteristics'!$C:$C,0))),"",INDEX('Policy Characteristics'!K:K,MATCH($C249,'Policy Characteristics'!$C:$C,0)))</f>
        <v/>
      </c>
      <c r="R249" s="394" t="str">
        <f>IF(ISBLANK(INDEX('Policy Characteristics'!L:L,MATCH($C249,'Policy Characteristics'!$C:$C,0))),"",INDEX('Policy Characteristics'!L:L,MATCH($C249,'Policy Characteristics'!$C:$C,0)))</f>
        <v/>
      </c>
    </row>
    <row r="250" s="384" customFormat="1" customHeight="1" spans="1:18">
      <c r="A250" s="394" t="str">
        <f>IF(ISBLANK(INDEX('Policy Characteristics'!A:A,MATCH($C250,'Policy Characteristics'!$C:$C,0))),"",INDEX('Policy Characteristics'!A:A,MATCH($C250,'Policy Characteristics'!$C:$C,0)))</f>
        <v>Electricity Supply</v>
      </c>
      <c r="B250" s="395" t="str">
        <f>IF(ISBLANK(INDEX('Policy Characteristics'!B:B,MATCH($C250,'Policy Characteristics'!$C:$C,0))),"",INDEX('Policy Characteristics'!B:B,MATCH($C250,'Policy Characteristics'!$C:$C,0)))</f>
        <v>Non BAU Mandated Capacity Construction</v>
      </c>
      <c r="C250" s="394" t="str">
        <f t="shared" si="21"/>
        <v>Boolean Use Non BAU Mandated Capacity Construction Schedule</v>
      </c>
      <c r="D250" s="399" t="s">
        <v>707</v>
      </c>
      <c r="E250" s="399"/>
      <c r="F250" s="399" t="s">
        <v>708</v>
      </c>
      <c r="G250" s="399"/>
      <c r="H250" s="377">
        <v>636</v>
      </c>
      <c r="I250" s="396" t="s">
        <v>648</v>
      </c>
      <c r="J250" s="397" t="str">
        <f>IF(ISBLANK(INDEX('Policy Characteristics'!D:D,MATCH($C250,'Policy Characteristics'!$C:$C,0))),"",INDEX('Policy Characteristics'!D:D,MATCH($C250,'Policy Characteristics'!$C:$C,0)))</f>
        <v>Non BAU Mandated Capacity Construction</v>
      </c>
      <c r="K250" s="394" t="str">
        <f>IF(ISBLANK(INDEX('Policy Characteristics'!E:E,MATCH($C250,'Policy Characteristics'!$C:$C,0))),"",INDEX('Policy Characteristics'!E:E,MATCH($C250,'Policy Characteristics'!$C:$C,0)))</f>
        <v/>
      </c>
      <c r="L250" s="394">
        <f>IF(ISBLANK(INDEX('Policy Characteristics'!F:F,MATCH($C250,'Policy Characteristics'!$C:$C,0))),"",INDEX('Policy Characteristics'!F:F,MATCH($C250,'Policy Characteristics'!$C:$C,0)))</f>
        <v>0</v>
      </c>
      <c r="M250" s="394">
        <f>IF(ISBLANK(INDEX('Policy Characteristics'!G:G,MATCH($C250,'Policy Characteristics'!$C:$C,0))),"",INDEX('Policy Characteristics'!G:G,MATCH($C250,'Policy Characteristics'!$C:$C,0)))</f>
        <v>1</v>
      </c>
      <c r="N250" s="394">
        <f>IF(ISBLANK(INDEX('Policy Characteristics'!H:H,MATCH($C250,'Policy Characteristics'!$C:$C,0))),"",INDEX('Policy Characteristics'!H:H,MATCH($C250,'Policy Characteristics'!$C:$C,0)))</f>
        <v>1</v>
      </c>
      <c r="O250" s="394" t="str">
        <f>IF(ISBLANK(INDEX('Policy Characteristics'!I:I,MATCH($C250,'Policy Characteristics'!$C:$C,0))),"",INDEX('Policy Characteristics'!I:I,MATCH($C250,'Policy Characteristics'!$C:$C,0)))</f>
        <v>on/off</v>
      </c>
      <c r="P250" s="394" t="str">
        <f>IF(ISBLANK(INDEX('Policy Characteristics'!J:J,MATCH($C250,'Policy Characteristics'!$C:$C,0))),"",INDEX('Policy Characteristics'!J:J,MATCH($C250,'Policy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0" s="394" t="str">
        <f>IF(ISBLANK(INDEX('Policy Characteristics'!K:K,MATCH($C250,'Policy Characteristics'!$C:$C,0))),"",INDEX('Policy Characteristics'!K:K,MATCH($C250,'Policy Characteristics'!$C:$C,0)))</f>
        <v/>
      </c>
      <c r="R250" s="394" t="str">
        <f>IF(ISBLANK(INDEX('Policy Characteristics'!L:L,MATCH($C250,'Policy Characteristics'!$C:$C,0))),"",INDEX('Policy Characteristics'!L:L,MATCH($C250,'Policy Characteristics'!$C:$C,0)))</f>
        <v/>
      </c>
    </row>
    <row r="251" s="384" customFormat="1" customHeight="1" spans="1:18">
      <c r="A251" s="394" t="str">
        <f>IF(ISBLANK(INDEX('Policy Characteristics'!A:A,MATCH($C251,'Policy Characteristics'!$C:$C,0))),"",INDEX('Policy Characteristics'!A:A,MATCH($C251,'Policy Characteristics'!$C:$C,0)))</f>
        <v>Electricity Supply</v>
      </c>
      <c r="B251" s="395" t="str">
        <f>IF(ISBLANK(INDEX('Policy Characteristics'!B:B,MATCH($C251,'Policy Characteristics'!$C:$C,0))),"",INDEX('Policy Characteristics'!B:B,MATCH($C251,'Policy Characteristics'!$C:$C,0)))</f>
        <v>Non BAU Mandated Capacity Construction</v>
      </c>
      <c r="C251" s="394" t="str">
        <f t="shared" si="21"/>
        <v>Boolean Use Non BAU Mandated Capacity Construction Schedule</v>
      </c>
      <c r="D251" s="399" t="s">
        <v>709</v>
      </c>
      <c r="E251" s="399"/>
      <c r="F251" s="399" t="s">
        <v>710</v>
      </c>
      <c r="G251" s="399"/>
      <c r="H251" s="377">
        <v>637</v>
      </c>
      <c r="I251" s="396" t="s">
        <v>648</v>
      </c>
      <c r="J251" s="397" t="str">
        <f>IF(ISBLANK(INDEX('Policy Characteristics'!D:D,MATCH($C251,'Policy Characteristics'!$C:$C,0))),"",INDEX('Policy Characteristics'!D:D,MATCH($C251,'Policy Characteristics'!$C:$C,0)))</f>
        <v>Non BAU Mandated Capacity Construction</v>
      </c>
      <c r="K251" s="394" t="str">
        <f>IF(ISBLANK(INDEX('Policy Characteristics'!E:E,MATCH($C251,'Policy Characteristics'!$C:$C,0))),"",INDEX('Policy Characteristics'!E:E,MATCH($C251,'Policy Characteristics'!$C:$C,0)))</f>
        <v/>
      </c>
      <c r="L251" s="394">
        <f>IF(ISBLANK(INDEX('Policy Characteristics'!F:F,MATCH($C251,'Policy Characteristics'!$C:$C,0))),"",INDEX('Policy Characteristics'!F:F,MATCH($C251,'Policy Characteristics'!$C:$C,0)))</f>
        <v>0</v>
      </c>
      <c r="M251" s="394">
        <f>IF(ISBLANK(INDEX('Policy Characteristics'!G:G,MATCH($C251,'Policy Characteristics'!$C:$C,0))),"",INDEX('Policy Characteristics'!G:G,MATCH($C251,'Policy Characteristics'!$C:$C,0)))</f>
        <v>1</v>
      </c>
      <c r="N251" s="394">
        <f>IF(ISBLANK(INDEX('Policy Characteristics'!H:H,MATCH($C251,'Policy Characteristics'!$C:$C,0))),"",INDEX('Policy Characteristics'!H:H,MATCH($C251,'Policy Characteristics'!$C:$C,0)))</f>
        <v>1</v>
      </c>
      <c r="O251" s="394" t="str">
        <f>IF(ISBLANK(INDEX('Policy Characteristics'!I:I,MATCH($C251,'Policy Characteristics'!$C:$C,0))),"",INDEX('Policy Characteristics'!I:I,MATCH($C251,'Policy Characteristics'!$C:$C,0)))</f>
        <v>on/off</v>
      </c>
      <c r="P251" s="394" t="str">
        <f>IF(ISBLANK(INDEX('Policy Characteristics'!J:J,MATCH($C251,'Policy Characteristics'!$C:$C,0))),"",INDEX('Policy Characteristics'!J:J,MATCH($C251,'Policy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1" s="394" t="str">
        <f>IF(ISBLANK(INDEX('Policy Characteristics'!K:K,MATCH($C251,'Policy Characteristics'!$C:$C,0))),"",INDEX('Policy Characteristics'!K:K,MATCH($C251,'Policy Characteristics'!$C:$C,0)))</f>
        <v/>
      </c>
      <c r="R251" s="394" t="str">
        <f>IF(ISBLANK(INDEX('Policy Characteristics'!L:L,MATCH($C251,'Policy Characteristics'!$C:$C,0))),"",INDEX('Policy Characteristics'!L:L,MATCH($C251,'Policy Characteristics'!$C:$C,0)))</f>
        <v/>
      </c>
    </row>
    <row r="252" s="384" customFormat="1" customHeight="1" spans="1:18">
      <c r="A252" s="394" t="str">
        <f>IF(ISBLANK(INDEX('Policy Characteristics'!A:A,MATCH($C252,'Policy Characteristics'!$C:$C,0))),"",INDEX('Policy Characteristics'!A:A,MATCH($C252,'Policy Characteristics'!$C:$C,0)))</f>
        <v>Electricity Supply</v>
      </c>
      <c r="B252" s="395" t="str">
        <f>IF(ISBLANK(INDEX('Policy Characteristics'!B:B,MATCH($C252,'Policy Characteristics'!$C:$C,0))),"",INDEX('Policy Characteristics'!B:B,MATCH($C252,'Policy Characteristics'!$C:$C,0)))</f>
        <v>Non BAU Mandated Capacity Construction</v>
      </c>
      <c r="C252" s="394" t="str">
        <f t="shared" si="21"/>
        <v>Boolean Use Non BAU Mandated Capacity Construction Schedule</v>
      </c>
      <c r="D252" s="399" t="s">
        <v>711</v>
      </c>
      <c r="E252" s="399"/>
      <c r="F252" s="399" t="s">
        <v>712</v>
      </c>
      <c r="G252" s="399"/>
      <c r="H252" s="377">
        <v>638</v>
      </c>
      <c r="I252" s="396" t="s">
        <v>648</v>
      </c>
      <c r="J252" s="397" t="str">
        <f>IF(ISBLANK(INDEX('Policy Characteristics'!D:D,MATCH($C252,'Policy Characteristics'!$C:$C,0))),"",INDEX('Policy Characteristics'!D:D,MATCH($C252,'Policy Characteristics'!$C:$C,0)))</f>
        <v>Non BAU Mandated Capacity Construction</v>
      </c>
      <c r="K252" s="394" t="str">
        <f>IF(ISBLANK(INDEX('Policy Characteristics'!E:E,MATCH($C252,'Policy Characteristics'!$C:$C,0))),"",INDEX('Policy Characteristics'!E:E,MATCH($C252,'Policy Characteristics'!$C:$C,0)))</f>
        <v/>
      </c>
      <c r="L252" s="394">
        <f>IF(ISBLANK(INDEX('Policy Characteristics'!F:F,MATCH($C252,'Policy Characteristics'!$C:$C,0))),"",INDEX('Policy Characteristics'!F:F,MATCH($C252,'Policy Characteristics'!$C:$C,0)))</f>
        <v>0</v>
      </c>
      <c r="M252" s="394">
        <f>IF(ISBLANK(INDEX('Policy Characteristics'!G:G,MATCH($C252,'Policy Characteristics'!$C:$C,0))),"",INDEX('Policy Characteristics'!G:G,MATCH($C252,'Policy Characteristics'!$C:$C,0)))</f>
        <v>1</v>
      </c>
      <c r="N252" s="394">
        <f>IF(ISBLANK(INDEX('Policy Characteristics'!H:H,MATCH($C252,'Policy Characteristics'!$C:$C,0))),"",INDEX('Policy Characteristics'!H:H,MATCH($C252,'Policy Characteristics'!$C:$C,0)))</f>
        <v>1</v>
      </c>
      <c r="O252" s="394" t="str">
        <f>IF(ISBLANK(INDEX('Policy Characteristics'!I:I,MATCH($C252,'Policy Characteristics'!$C:$C,0))),"",INDEX('Policy Characteristics'!I:I,MATCH($C252,'Policy Characteristics'!$C:$C,0)))</f>
        <v>on/off</v>
      </c>
      <c r="P252" s="394" t="str">
        <f>IF(ISBLANK(INDEX('Policy Characteristics'!J:J,MATCH($C252,'Policy Characteristics'!$C:$C,0))),"",INDEX('Policy Characteristics'!J:J,MATCH($C252,'Policy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2" s="394" t="str">
        <f>IF(ISBLANK(INDEX('Policy Characteristics'!K:K,MATCH($C252,'Policy Characteristics'!$C:$C,0))),"",INDEX('Policy Characteristics'!K:K,MATCH($C252,'Policy Characteristics'!$C:$C,0)))</f>
        <v/>
      </c>
      <c r="R252" s="394" t="str">
        <f>IF(ISBLANK(INDEX('Policy Characteristics'!L:L,MATCH($C252,'Policy Characteristics'!$C:$C,0))),"",INDEX('Policy Characteristics'!L:L,MATCH($C252,'Policy Characteristics'!$C:$C,0)))</f>
        <v/>
      </c>
    </row>
    <row r="253" s="384" customFormat="1" customHeight="1" spans="1:18">
      <c r="A253" s="394" t="str">
        <f>IF(ISBLANK(INDEX('Policy Characteristics'!A:A,MATCH($C253,'Policy Characteristics'!$C:$C,0))),"",INDEX('Policy Characteristics'!A:A,MATCH($C253,'Policy Characteristics'!$C:$C,0)))</f>
        <v>Electricity Supply</v>
      </c>
      <c r="B253" s="395" t="str">
        <f>IF(ISBLANK(INDEX('Policy Characteristics'!B:B,MATCH($C253,'Policy Characteristics'!$C:$C,0))),"",INDEX('Policy Characteristics'!B:B,MATCH($C253,'Policy Characteristics'!$C:$C,0)))</f>
        <v>Non BAU Mandated Capacity Construction</v>
      </c>
      <c r="C253" s="394" t="str">
        <f t="shared" si="21"/>
        <v>Boolean Use Non BAU Mandated Capacity Construction Schedule</v>
      </c>
      <c r="D253" s="399" t="s">
        <v>713</v>
      </c>
      <c r="E253" s="399"/>
      <c r="F253" s="399" t="s">
        <v>714</v>
      </c>
      <c r="G253" s="399"/>
      <c r="H253" s="377">
        <v>639</v>
      </c>
      <c r="I253" s="396" t="s">
        <v>648</v>
      </c>
      <c r="J253" s="397" t="str">
        <f>IF(ISBLANK(INDEX('Policy Characteristics'!D:D,MATCH($C253,'Policy Characteristics'!$C:$C,0))),"",INDEX('Policy Characteristics'!D:D,MATCH($C253,'Policy Characteristics'!$C:$C,0)))</f>
        <v>Non BAU Mandated Capacity Construction</v>
      </c>
      <c r="K253" s="394" t="str">
        <f>IF(ISBLANK(INDEX('Policy Characteristics'!E:E,MATCH($C253,'Policy Characteristics'!$C:$C,0))),"",INDEX('Policy Characteristics'!E:E,MATCH($C253,'Policy Characteristics'!$C:$C,0)))</f>
        <v/>
      </c>
      <c r="L253" s="394">
        <f>IF(ISBLANK(INDEX('Policy Characteristics'!F:F,MATCH($C253,'Policy Characteristics'!$C:$C,0))),"",INDEX('Policy Characteristics'!F:F,MATCH($C253,'Policy Characteristics'!$C:$C,0)))</f>
        <v>0</v>
      </c>
      <c r="M253" s="394">
        <f>IF(ISBLANK(INDEX('Policy Characteristics'!G:G,MATCH($C253,'Policy Characteristics'!$C:$C,0))),"",INDEX('Policy Characteristics'!G:G,MATCH($C253,'Policy Characteristics'!$C:$C,0)))</f>
        <v>1</v>
      </c>
      <c r="N253" s="394">
        <f>IF(ISBLANK(INDEX('Policy Characteristics'!H:H,MATCH($C253,'Policy Characteristics'!$C:$C,0))),"",INDEX('Policy Characteristics'!H:H,MATCH($C253,'Policy Characteristics'!$C:$C,0)))</f>
        <v>1</v>
      </c>
      <c r="O253" s="394" t="str">
        <f>IF(ISBLANK(INDEX('Policy Characteristics'!I:I,MATCH($C253,'Policy Characteristics'!$C:$C,0))),"",INDEX('Policy Characteristics'!I:I,MATCH($C253,'Policy Characteristics'!$C:$C,0)))</f>
        <v>on/off</v>
      </c>
      <c r="P253" s="394" t="str">
        <f>IF(ISBLANK(INDEX('Policy Characteristics'!J:J,MATCH($C253,'Policy Characteristics'!$C:$C,0))),"",INDEX('Policy Characteristics'!J:J,MATCH($C253,'Policy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3" s="394" t="str">
        <f>IF(ISBLANK(INDEX('Policy Characteristics'!K:K,MATCH($C253,'Policy Characteristics'!$C:$C,0))),"",INDEX('Policy Characteristics'!K:K,MATCH($C253,'Policy Characteristics'!$C:$C,0)))</f>
        <v/>
      </c>
      <c r="R253" s="394" t="str">
        <f>IF(ISBLANK(INDEX('Policy Characteristics'!L:L,MATCH($C253,'Policy Characteristics'!$C:$C,0))),"",INDEX('Policy Characteristics'!L:L,MATCH($C253,'Policy Characteristics'!$C:$C,0)))</f>
        <v/>
      </c>
    </row>
    <row r="254" s="384" customFormat="1" customHeight="1" spans="1:18">
      <c r="A254" s="394" t="str">
        <f>IF(ISBLANK(INDEX('Policy Characteristics'!A:A,MATCH($C254,'Policy Characteristics'!$C:$C,0))),"",INDEX('Policy Characteristics'!A:A,MATCH($C254,'Policy Characteristics'!$C:$C,0)))</f>
        <v>Electricity Supply</v>
      </c>
      <c r="B254" s="395" t="str">
        <f>IF(ISBLANK(INDEX('Policy Characteristics'!B:B,MATCH($C254,'Policy Characteristics'!$C:$C,0))),"",INDEX('Policy Characteristics'!B:B,MATCH($C254,'Policy Characteristics'!$C:$C,0)))</f>
        <v>Non BAU Mandated Capacity Construction</v>
      </c>
      <c r="C254" s="394" t="str">
        <f t="shared" si="21"/>
        <v>Boolean Use Non BAU Mandated Capacity Construction Schedule</v>
      </c>
      <c r="D254" s="399" t="s">
        <v>715</v>
      </c>
      <c r="E254" s="399"/>
      <c r="F254" s="399" t="s">
        <v>716</v>
      </c>
      <c r="G254" s="399"/>
      <c r="H254" s="377">
        <v>640</v>
      </c>
      <c r="I254" s="396" t="s">
        <v>648</v>
      </c>
      <c r="J254" s="397" t="str">
        <f>IF(ISBLANK(INDEX('Policy Characteristics'!D:D,MATCH($C254,'Policy Characteristics'!$C:$C,0))),"",INDEX('Policy Characteristics'!D:D,MATCH($C254,'Policy Characteristics'!$C:$C,0)))</f>
        <v>Non BAU Mandated Capacity Construction</v>
      </c>
      <c r="K254" s="394" t="str">
        <f>IF(ISBLANK(INDEX('Policy Characteristics'!E:E,MATCH($C254,'Policy Characteristics'!$C:$C,0))),"",INDEX('Policy Characteristics'!E:E,MATCH($C254,'Policy Characteristics'!$C:$C,0)))</f>
        <v/>
      </c>
      <c r="L254" s="394">
        <f>IF(ISBLANK(INDEX('Policy Characteristics'!F:F,MATCH($C254,'Policy Characteristics'!$C:$C,0))),"",INDEX('Policy Characteristics'!F:F,MATCH($C254,'Policy Characteristics'!$C:$C,0)))</f>
        <v>0</v>
      </c>
      <c r="M254" s="394">
        <f>IF(ISBLANK(INDEX('Policy Characteristics'!G:G,MATCH($C254,'Policy Characteristics'!$C:$C,0))),"",INDEX('Policy Characteristics'!G:G,MATCH($C254,'Policy Characteristics'!$C:$C,0)))</f>
        <v>1</v>
      </c>
      <c r="N254" s="394">
        <f>IF(ISBLANK(INDEX('Policy Characteristics'!H:H,MATCH($C254,'Policy Characteristics'!$C:$C,0))),"",INDEX('Policy Characteristics'!H:H,MATCH($C254,'Policy Characteristics'!$C:$C,0)))</f>
        <v>1</v>
      </c>
      <c r="O254" s="394" t="str">
        <f>IF(ISBLANK(INDEX('Policy Characteristics'!I:I,MATCH($C254,'Policy Characteristics'!$C:$C,0))),"",INDEX('Policy Characteristics'!I:I,MATCH($C254,'Policy Characteristics'!$C:$C,0)))</f>
        <v>on/off</v>
      </c>
      <c r="P254" s="394" t="str">
        <f>IF(ISBLANK(INDEX('Policy Characteristics'!J:J,MATCH($C254,'Policy Characteristics'!$C:$C,0))),"",INDEX('Policy Characteristics'!J:J,MATCH($C254,'Policy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4" s="394" t="str">
        <f>IF(ISBLANK(INDEX('Policy Characteristics'!K:K,MATCH($C254,'Policy Characteristics'!$C:$C,0))),"",INDEX('Policy Characteristics'!K:K,MATCH($C254,'Policy Characteristics'!$C:$C,0)))</f>
        <v/>
      </c>
      <c r="R254" s="394" t="str">
        <f>IF(ISBLANK(INDEX('Policy Characteristics'!L:L,MATCH($C254,'Policy Characteristics'!$C:$C,0))),"",INDEX('Policy Characteristics'!L:L,MATCH($C254,'Policy Characteristics'!$C:$C,0)))</f>
        <v/>
      </c>
    </row>
    <row r="255" s="384" customFormat="1" customHeight="1" spans="1:18">
      <c r="A255" s="394" t="str">
        <f>IF(ISBLANK(INDEX('Policy Characteristics'!A:A,MATCH($C255,'Policy Characteristics'!$C:$C,0))),"",INDEX('Policy Characteristics'!A:A,MATCH($C255,'Policy Characteristics'!$C:$C,0)))</f>
        <v>Electricity Supply</v>
      </c>
      <c r="B255" s="395" t="str">
        <f>IF(ISBLANK(INDEX('Policy Characteristics'!B:B,MATCH($C255,'Policy Characteristics'!$C:$C,0))),"",INDEX('Policy Characteristics'!B:B,MATCH($C255,'Policy Characteristics'!$C:$C,0)))</f>
        <v>Non BAU Mandated Capacity Construction</v>
      </c>
      <c r="C255" s="394" t="str">
        <f t="shared" si="21"/>
        <v>Boolean Use Non BAU Mandated Capacity Construction Schedule</v>
      </c>
      <c r="D255" s="399" t="s">
        <v>717</v>
      </c>
      <c r="E255" s="399"/>
      <c r="F255" s="399" t="s">
        <v>718</v>
      </c>
      <c r="G255" s="399"/>
      <c r="H255" s="377">
        <v>641</v>
      </c>
      <c r="I255" s="396" t="s">
        <v>648</v>
      </c>
      <c r="J255" s="397" t="str">
        <f>IF(ISBLANK(INDEX('Policy Characteristics'!D:D,MATCH($C255,'Policy Characteristics'!$C:$C,0))),"",INDEX('Policy Characteristics'!D:D,MATCH($C255,'Policy Characteristics'!$C:$C,0)))</f>
        <v>Non BAU Mandated Capacity Construction</v>
      </c>
      <c r="K255" s="394" t="str">
        <f>IF(ISBLANK(INDEX('Policy Characteristics'!E:E,MATCH($C255,'Policy Characteristics'!$C:$C,0))),"",INDEX('Policy Characteristics'!E:E,MATCH($C255,'Policy Characteristics'!$C:$C,0)))</f>
        <v/>
      </c>
      <c r="L255" s="394">
        <f>IF(ISBLANK(INDEX('Policy Characteristics'!F:F,MATCH($C255,'Policy Characteristics'!$C:$C,0))),"",INDEX('Policy Characteristics'!F:F,MATCH($C255,'Policy Characteristics'!$C:$C,0)))</f>
        <v>0</v>
      </c>
      <c r="M255" s="394">
        <f>IF(ISBLANK(INDEX('Policy Characteristics'!G:G,MATCH($C255,'Policy Characteristics'!$C:$C,0))),"",INDEX('Policy Characteristics'!G:G,MATCH($C255,'Policy Characteristics'!$C:$C,0)))</f>
        <v>1</v>
      </c>
      <c r="N255" s="394">
        <f>IF(ISBLANK(INDEX('Policy Characteristics'!H:H,MATCH($C255,'Policy Characteristics'!$C:$C,0))),"",INDEX('Policy Characteristics'!H:H,MATCH($C255,'Policy Characteristics'!$C:$C,0)))</f>
        <v>1</v>
      </c>
      <c r="O255" s="394" t="str">
        <f>IF(ISBLANK(INDEX('Policy Characteristics'!I:I,MATCH($C255,'Policy Characteristics'!$C:$C,0))),"",INDEX('Policy Characteristics'!I:I,MATCH($C255,'Policy Characteristics'!$C:$C,0)))</f>
        <v>on/off</v>
      </c>
      <c r="P255" s="394" t="str">
        <f>IF(ISBLANK(INDEX('Policy Characteristics'!J:J,MATCH($C255,'Policy Characteristics'!$C:$C,0))),"",INDEX('Policy Characteristics'!J:J,MATCH($C255,'Policy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5" s="394" t="str">
        <f>IF(ISBLANK(INDEX('Policy Characteristics'!K:K,MATCH($C255,'Policy Characteristics'!$C:$C,0))),"",INDEX('Policy Characteristics'!K:K,MATCH($C255,'Policy Characteristics'!$C:$C,0)))</f>
        <v/>
      </c>
      <c r="R255" s="394" t="str">
        <f>IF(ISBLANK(INDEX('Policy Characteristics'!L:L,MATCH($C255,'Policy Characteristics'!$C:$C,0))),"",INDEX('Policy Characteristics'!L:L,MATCH($C255,'Policy Characteristics'!$C:$C,0)))</f>
        <v/>
      </c>
    </row>
    <row r="256" s="384" customFormat="1" customHeight="1" spans="1:18">
      <c r="A256" s="394" t="str">
        <f>IF(ISBLANK(INDEX('Policy Characteristics'!A:A,MATCH($C256,'Policy Characteristics'!$C:$C,0))),"",INDEX('Policy Characteristics'!A:A,MATCH($C256,'Policy Characteristics'!$C:$C,0)))</f>
        <v>Electricity Supply</v>
      </c>
      <c r="B256" s="395" t="str">
        <f>IF(ISBLANK(INDEX('Policy Characteristics'!B:B,MATCH($C256,'Policy Characteristics'!$C:$C,0))),"",INDEX('Policy Characteristics'!B:B,MATCH($C256,'Policy Characteristics'!$C:$C,0)))</f>
        <v>Non BAU Mandated Capacity Construction</v>
      </c>
      <c r="C256" s="394" t="str">
        <f t="shared" si="21"/>
        <v>Boolean Use Non BAU Mandated Capacity Construction Schedule</v>
      </c>
      <c r="D256" s="399" t="s">
        <v>719</v>
      </c>
      <c r="E256" s="399"/>
      <c r="F256" s="399" t="s">
        <v>720</v>
      </c>
      <c r="G256" s="399"/>
      <c r="H256" s="377">
        <v>642</v>
      </c>
      <c r="I256" s="396" t="s">
        <v>648</v>
      </c>
      <c r="J256" s="397" t="str">
        <f>IF(ISBLANK(INDEX('Policy Characteristics'!D:D,MATCH($C256,'Policy Characteristics'!$C:$C,0))),"",INDEX('Policy Characteristics'!D:D,MATCH($C256,'Policy Characteristics'!$C:$C,0)))</f>
        <v>Non BAU Mandated Capacity Construction</v>
      </c>
      <c r="K256" s="394" t="str">
        <f>IF(ISBLANK(INDEX('Policy Characteristics'!E:E,MATCH($C256,'Policy Characteristics'!$C:$C,0))),"",INDEX('Policy Characteristics'!E:E,MATCH($C256,'Policy Characteristics'!$C:$C,0)))</f>
        <v/>
      </c>
      <c r="L256" s="394">
        <f>IF(ISBLANK(INDEX('Policy Characteristics'!F:F,MATCH($C256,'Policy Characteristics'!$C:$C,0))),"",INDEX('Policy Characteristics'!F:F,MATCH($C256,'Policy Characteristics'!$C:$C,0)))</f>
        <v>0</v>
      </c>
      <c r="M256" s="394">
        <f>IF(ISBLANK(INDEX('Policy Characteristics'!G:G,MATCH($C256,'Policy Characteristics'!$C:$C,0))),"",INDEX('Policy Characteristics'!G:G,MATCH($C256,'Policy Characteristics'!$C:$C,0)))</f>
        <v>1</v>
      </c>
      <c r="N256" s="394">
        <f>IF(ISBLANK(INDEX('Policy Characteristics'!H:H,MATCH($C256,'Policy Characteristics'!$C:$C,0))),"",INDEX('Policy Characteristics'!H:H,MATCH($C256,'Policy Characteristics'!$C:$C,0)))</f>
        <v>1</v>
      </c>
      <c r="O256" s="394" t="str">
        <f>IF(ISBLANK(INDEX('Policy Characteristics'!I:I,MATCH($C256,'Policy Characteristics'!$C:$C,0))),"",INDEX('Policy Characteristics'!I:I,MATCH($C256,'Policy Characteristics'!$C:$C,0)))</f>
        <v>on/off</v>
      </c>
      <c r="P256" s="394" t="str">
        <f>IF(ISBLANK(INDEX('Policy Characteristics'!J:J,MATCH($C256,'Policy Characteristics'!$C:$C,0))),"",INDEX('Policy Characteristics'!J:J,MATCH($C256,'Policy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6" s="394" t="str">
        <f>IF(ISBLANK(INDEX('Policy Characteristics'!K:K,MATCH($C256,'Policy Characteristics'!$C:$C,0))),"",INDEX('Policy Characteristics'!K:K,MATCH($C256,'Policy Characteristics'!$C:$C,0)))</f>
        <v/>
      </c>
      <c r="R256" s="394" t="str">
        <f>IF(ISBLANK(INDEX('Policy Characteristics'!L:L,MATCH($C256,'Policy Characteristics'!$C:$C,0))),"",INDEX('Policy Characteristics'!L:L,MATCH($C256,'Policy Characteristics'!$C:$C,0)))</f>
        <v/>
      </c>
    </row>
    <row r="257" s="384" customFormat="1" customHeight="1" spans="1:18">
      <c r="A257" s="394" t="str">
        <f>IF(ISBLANK(INDEX('Policy Characteristics'!A:A,MATCH($C257,'Policy Characteristics'!$C:$C,0))),"",INDEX('Policy Characteristics'!A:A,MATCH($C257,'Policy Characteristics'!$C:$C,0)))</f>
        <v>Electricity Supply</v>
      </c>
      <c r="B257" s="395" t="str">
        <f>IF(ISBLANK(INDEX('Policy Characteristics'!B:B,MATCH($C257,'Policy Characteristics'!$C:$C,0))),"",INDEX('Policy Characteristics'!B:B,MATCH($C257,'Policy Characteristics'!$C:$C,0)))</f>
        <v>Non BAU Mandated Capacity Construction</v>
      </c>
      <c r="C257" s="394" t="str">
        <f t="shared" si="21"/>
        <v>Boolean Use Non BAU Mandated Capacity Construction Schedule</v>
      </c>
      <c r="D257" s="399" t="s">
        <v>721</v>
      </c>
      <c r="E257" s="399"/>
      <c r="F257" s="399" t="s">
        <v>722</v>
      </c>
      <c r="G257" s="399"/>
      <c r="H257" s="377">
        <v>643</v>
      </c>
      <c r="I257" s="396" t="s">
        <v>648</v>
      </c>
      <c r="J257" s="397" t="str">
        <f>IF(ISBLANK(INDEX('Policy Characteristics'!D:D,MATCH($C257,'Policy Characteristics'!$C:$C,0))),"",INDEX('Policy Characteristics'!D:D,MATCH($C257,'Policy Characteristics'!$C:$C,0)))</f>
        <v>Non BAU Mandated Capacity Construction</v>
      </c>
      <c r="K257" s="394" t="str">
        <f>IF(ISBLANK(INDEX('Policy Characteristics'!E:E,MATCH($C257,'Policy Characteristics'!$C:$C,0))),"",INDEX('Policy Characteristics'!E:E,MATCH($C257,'Policy Characteristics'!$C:$C,0)))</f>
        <v/>
      </c>
      <c r="L257" s="394">
        <f>IF(ISBLANK(INDEX('Policy Characteristics'!F:F,MATCH($C257,'Policy Characteristics'!$C:$C,0))),"",INDEX('Policy Characteristics'!F:F,MATCH($C257,'Policy Characteristics'!$C:$C,0)))</f>
        <v>0</v>
      </c>
      <c r="M257" s="394">
        <f>IF(ISBLANK(INDEX('Policy Characteristics'!G:G,MATCH($C257,'Policy Characteristics'!$C:$C,0))),"",INDEX('Policy Characteristics'!G:G,MATCH($C257,'Policy Characteristics'!$C:$C,0)))</f>
        <v>1</v>
      </c>
      <c r="N257" s="394">
        <f>IF(ISBLANK(INDEX('Policy Characteristics'!H:H,MATCH($C257,'Policy Characteristics'!$C:$C,0))),"",INDEX('Policy Characteristics'!H:H,MATCH($C257,'Policy Characteristics'!$C:$C,0)))</f>
        <v>1</v>
      </c>
      <c r="O257" s="394" t="str">
        <f>IF(ISBLANK(INDEX('Policy Characteristics'!I:I,MATCH($C257,'Policy Characteristics'!$C:$C,0))),"",INDEX('Policy Characteristics'!I:I,MATCH($C257,'Policy Characteristics'!$C:$C,0)))</f>
        <v>on/off</v>
      </c>
      <c r="P257" s="394" t="str">
        <f>IF(ISBLANK(INDEX('Policy Characteristics'!J:J,MATCH($C257,'Policy Characteristics'!$C:$C,0))),"",INDEX('Policy Characteristics'!J:J,MATCH($C257,'Policy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7" s="394" t="str">
        <f>IF(ISBLANK(INDEX('Policy Characteristics'!K:K,MATCH($C257,'Policy Characteristics'!$C:$C,0))),"",INDEX('Policy Characteristics'!K:K,MATCH($C257,'Policy Characteristics'!$C:$C,0)))</f>
        <v/>
      </c>
      <c r="R257" s="394" t="str">
        <f>IF(ISBLANK(INDEX('Policy Characteristics'!L:L,MATCH($C257,'Policy Characteristics'!$C:$C,0))),"",INDEX('Policy Characteristics'!L:L,MATCH($C257,'Policy Characteristics'!$C:$C,0)))</f>
        <v/>
      </c>
    </row>
    <row r="258" s="384" customFormat="1" customHeight="1" spans="1:18">
      <c r="A258" s="394" t="str">
        <f>IF(ISBLANK(INDEX('Policy Characteristics'!A:A,MATCH($C258,'Policy Characteristics'!$C:$C,0))),"",INDEX('Policy Characteristics'!A:A,MATCH($C258,'Policy Characteristics'!$C:$C,0)))</f>
        <v>Electricity Supply</v>
      </c>
      <c r="B258" s="395" t="str">
        <f>IF(ISBLANK(INDEX('Policy Characteristics'!B:B,MATCH($C258,'Policy Characteristics'!$C:$C,0))),"",INDEX('Policy Characteristics'!B:B,MATCH($C258,'Policy Characteristics'!$C:$C,0)))</f>
        <v>Non BAU Mandated Capacity Construction</v>
      </c>
      <c r="C258" s="394" t="str">
        <f t="shared" si="21"/>
        <v>Boolean Use Non BAU Mandated Capacity Construction Schedule</v>
      </c>
      <c r="D258" s="399" t="s">
        <v>723</v>
      </c>
      <c r="E258" s="399"/>
      <c r="F258" s="400" t="s">
        <v>724</v>
      </c>
      <c r="G258" s="399"/>
      <c r="H258" s="377">
        <v>644</v>
      </c>
      <c r="I258" s="396" t="s">
        <v>648</v>
      </c>
      <c r="J258" s="397" t="str">
        <f>IF(ISBLANK(INDEX('Policy Characteristics'!D:D,MATCH($C258,'Policy Characteristics'!$C:$C,0))),"",INDEX('Policy Characteristics'!D:D,MATCH($C258,'Policy Characteristics'!$C:$C,0)))</f>
        <v>Non BAU Mandated Capacity Construction</v>
      </c>
      <c r="K258" s="394" t="str">
        <f>IF(ISBLANK(INDEX('Policy Characteristics'!E:E,MATCH($C258,'Policy Characteristics'!$C:$C,0))),"",INDEX('Policy Characteristics'!E:E,MATCH($C258,'Policy Characteristics'!$C:$C,0)))</f>
        <v/>
      </c>
      <c r="L258" s="394">
        <f>IF(ISBLANK(INDEX('Policy Characteristics'!F:F,MATCH($C258,'Policy Characteristics'!$C:$C,0))),"",INDEX('Policy Characteristics'!F:F,MATCH($C258,'Policy Characteristics'!$C:$C,0)))</f>
        <v>0</v>
      </c>
      <c r="M258" s="394">
        <f>IF(ISBLANK(INDEX('Policy Characteristics'!G:G,MATCH($C258,'Policy Characteristics'!$C:$C,0))),"",INDEX('Policy Characteristics'!G:G,MATCH($C258,'Policy Characteristics'!$C:$C,0)))</f>
        <v>1</v>
      </c>
      <c r="N258" s="394">
        <f>IF(ISBLANK(INDEX('Policy Characteristics'!H:H,MATCH($C258,'Policy Characteristics'!$C:$C,0))),"",INDEX('Policy Characteristics'!H:H,MATCH($C258,'Policy Characteristics'!$C:$C,0)))</f>
        <v>1</v>
      </c>
      <c r="O258" s="394" t="str">
        <f>IF(ISBLANK(INDEX('Policy Characteristics'!I:I,MATCH($C258,'Policy Characteristics'!$C:$C,0))),"",INDEX('Policy Characteristics'!I:I,MATCH($C258,'Policy Characteristics'!$C:$C,0)))</f>
        <v>on/off</v>
      </c>
      <c r="P258" s="394" t="str">
        <f>IF(ISBLANK(INDEX('Policy Characteristics'!J:J,MATCH($C258,'Policy Characteristics'!$C:$C,0))),"",INDEX('Policy Characteristics'!J:J,MATCH($C258,'Policy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8" s="394" t="str">
        <f>IF(ISBLANK(INDEX('Policy Characteristics'!K:K,MATCH($C258,'Policy Characteristics'!$C:$C,0))),"",INDEX('Policy Characteristics'!K:K,MATCH($C258,'Policy Characteristics'!$C:$C,0)))</f>
        <v/>
      </c>
      <c r="R258" s="394" t="str">
        <f>IF(ISBLANK(INDEX('Policy Characteristics'!L:L,MATCH($C258,'Policy Characteristics'!$C:$C,0))),"",INDEX('Policy Characteristics'!L:L,MATCH($C258,'Policy Characteristics'!$C:$C,0)))</f>
        <v/>
      </c>
    </row>
    <row r="259" s="384" customFormat="1" customHeight="1" spans="1:18">
      <c r="A259" s="394" t="str">
        <f>IF(ISBLANK(INDEX('Policy Characteristics'!A:A,MATCH($C259,'Policy Characteristics'!$C:$C,0))),"",INDEX('Policy Characteristics'!A:A,MATCH($C259,'Policy Characteristics'!$C:$C,0)))</f>
        <v>Electricity Supply</v>
      </c>
      <c r="B259" s="395" t="str">
        <f>IF(ISBLANK(INDEX('Policy Characteristics'!B:B,MATCH($C259,'Policy Characteristics'!$C:$C,0))),"",INDEX('Policy Characteristics'!B:B,MATCH($C259,'Policy Characteristics'!$C:$C,0)))</f>
        <v>Non BAU Mandated Capacity Construction</v>
      </c>
      <c r="C259" s="394" t="str">
        <f t="shared" si="21"/>
        <v>Boolean Use Non BAU Mandated Capacity Construction Schedule</v>
      </c>
      <c r="D259" s="399" t="s">
        <v>725</v>
      </c>
      <c r="E259" s="399"/>
      <c r="F259" s="399" t="s">
        <v>726</v>
      </c>
      <c r="G259" s="399"/>
      <c r="H259" s="377">
        <v>645</v>
      </c>
      <c r="I259" s="396" t="s">
        <v>648</v>
      </c>
      <c r="J259" s="397" t="str">
        <f>IF(ISBLANK(INDEX('Policy Characteristics'!D:D,MATCH($C259,'Policy Characteristics'!$C:$C,0))),"",INDEX('Policy Characteristics'!D:D,MATCH($C259,'Policy Characteristics'!$C:$C,0)))</f>
        <v>Non BAU Mandated Capacity Construction</v>
      </c>
      <c r="K259" s="394" t="str">
        <f>IF(ISBLANK(INDEX('Policy Characteristics'!E:E,MATCH($C259,'Policy Characteristics'!$C:$C,0))),"",INDEX('Policy Characteristics'!E:E,MATCH($C259,'Policy Characteristics'!$C:$C,0)))</f>
        <v/>
      </c>
      <c r="L259" s="394">
        <f>IF(ISBLANK(INDEX('Policy Characteristics'!F:F,MATCH($C259,'Policy Characteristics'!$C:$C,0))),"",INDEX('Policy Characteristics'!F:F,MATCH($C259,'Policy Characteristics'!$C:$C,0)))</f>
        <v>0</v>
      </c>
      <c r="M259" s="394">
        <f>IF(ISBLANK(INDEX('Policy Characteristics'!G:G,MATCH($C259,'Policy Characteristics'!$C:$C,0))),"",INDEX('Policy Characteristics'!G:G,MATCH($C259,'Policy Characteristics'!$C:$C,0)))</f>
        <v>1</v>
      </c>
      <c r="N259" s="394">
        <f>IF(ISBLANK(INDEX('Policy Characteristics'!H:H,MATCH($C259,'Policy Characteristics'!$C:$C,0))),"",INDEX('Policy Characteristics'!H:H,MATCH($C259,'Policy Characteristics'!$C:$C,0)))</f>
        <v>1</v>
      </c>
      <c r="O259" s="394" t="str">
        <f>IF(ISBLANK(INDEX('Policy Characteristics'!I:I,MATCH($C259,'Policy Characteristics'!$C:$C,0))),"",INDEX('Policy Characteristics'!I:I,MATCH($C259,'Policy Characteristics'!$C:$C,0)))</f>
        <v>on/off</v>
      </c>
      <c r="P259" s="394" t="str">
        <f>IF(ISBLANK(INDEX('Policy Characteristics'!J:J,MATCH($C259,'Policy Characteristics'!$C:$C,0))),"",INDEX('Policy Characteristics'!J:J,MATCH($C259,'Policy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9" s="394" t="str">
        <f>IF(ISBLANK(INDEX('Policy Characteristics'!K:K,MATCH($C259,'Policy Characteristics'!$C:$C,0))),"",INDEX('Policy Characteristics'!K:K,MATCH($C259,'Policy Characteristics'!$C:$C,0)))</f>
        <v/>
      </c>
      <c r="R259" s="394" t="str">
        <f>IF(ISBLANK(INDEX('Policy Characteristics'!L:L,MATCH($C259,'Policy Characteristics'!$C:$C,0))),"",INDEX('Policy Characteristics'!L:L,MATCH($C259,'Policy Characteristics'!$C:$C,0)))</f>
        <v/>
      </c>
    </row>
    <row r="260" s="384" customFormat="1" customHeight="1" spans="1:18">
      <c r="A260" s="394" t="str">
        <f>IF(ISBLANK(INDEX('Policy Characteristics'!A:A,MATCH($C260,'Policy Characteristics'!$C:$C,0))),"",INDEX('Policy Characteristics'!A:A,MATCH($C260,'Policy Characteristics'!$C:$C,0)))</f>
        <v>Electricity Supply</v>
      </c>
      <c r="B260" s="395" t="str">
        <f>IF(ISBLANK(INDEX('Policy Characteristics'!B:B,MATCH($C260,'Policy Characteristics'!$C:$C,0))),"",INDEX('Policy Characteristics'!B:B,MATCH($C260,'Policy Characteristics'!$C:$C,0)))</f>
        <v>Non BAU Mandated Capacity Construction</v>
      </c>
      <c r="C260" s="394" t="str">
        <f t="shared" si="21"/>
        <v>Boolean Use Non BAU Mandated Capacity Construction Schedule</v>
      </c>
      <c r="D260" s="399" t="s">
        <v>727</v>
      </c>
      <c r="E260" s="399"/>
      <c r="F260" s="399" t="s">
        <v>728</v>
      </c>
      <c r="G260" s="399"/>
      <c r="H260" s="377">
        <v>646</v>
      </c>
      <c r="I260" s="396" t="s">
        <v>648</v>
      </c>
      <c r="J260" s="397" t="str">
        <f>IF(ISBLANK(INDEX('Policy Characteristics'!D:D,MATCH($C260,'Policy Characteristics'!$C:$C,0))),"",INDEX('Policy Characteristics'!D:D,MATCH($C260,'Policy Characteristics'!$C:$C,0)))</f>
        <v>Non BAU Mandated Capacity Construction</v>
      </c>
      <c r="K260" s="394" t="str">
        <f>IF(ISBLANK(INDEX('Policy Characteristics'!E:E,MATCH($C260,'Policy Characteristics'!$C:$C,0))),"",INDEX('Policy Characteristics'!E:E,MATCH($C260,'Policy Characteristics'!$C:$C,0)))</f>
        <v/>
      </c>
      <c r="L260" s="394">
        <f>IF(ISBLANK(INDEX('Policy Characteristics'!F:F,MATCH($C260,'Policy Characteristics'!$C:$C,0))),"",INDEX('Policy Characteristics'!F:F,MATCH($C260,'Policy Characteristics'!$C:$C,0)))</f>
        <v>0</v>
      </c>
      <c r="M260" s="394">
        <f>IF(ISBLANK(INDEX('Policy Characteristics'!G:G,MATCH($C260,'Policy Characteristics'!$C:$C,0))),"",INDEX('Policy Characteristics'!G:G,MATCH($C260,'Policy Characteristics'!$C:$C,0)))</f>
        <v>1</v>
      </c>
      <c r="N260" s="394">
        <f>IF(ISBLANK(INDEX('Policy Characteristics'!H:H,MATCH($C260,'Policy Characteristics'!$C:$C,0))),"",INDEX('Policy Characteristics'!H:H,MATCH($C260,'Policy Characteristics'!$C:$C,0)))</f>
        <v>1</v>
      </c>
      <c r="O260" s="394" t="str">
        <f>IF(ISBLANK(INDEX('Policy Characteristics'!I:I,MATCH($C260,'Policy Characteristics'!$C:$C,0))),"",INDEX('Policy Characteristics'!I:I,MATCH($C260,'Policy Characteristics'!$C:$C,0)))</f>
        <v>on/off</v>
      </c>
      <c r="P260" s="394" t="str">
        <f>IF(ISBLANK(INDEX('Policy Characteristics'!J:J,MATCH($C260,'Policy Characteristics'!$C:$C,0))),"",INDEX('Policy Characteristics'!J:J,MATCH($C260,'Policy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60" s="394" t="str">
        <f>IF(ISBLANK(INDEX('Policy Characteristics'!K:K,MATCH($C260,'Policy Characteristics'!$C:$C,0))),"",INDEX('Policy Characteristics'!K:K,MATCH($C260,'Policy Characteristics'!$C:$C,0)))</f>
        <v/>
      </c>
      <c r="R260" s="394" t="str">
        <f>IF(ISBLANK(INDEX('Policy Characteristics'!L:L,MATCH($C260,'Policy Characteristics'!$C:$C,0))),"",INDEX('Policy Characteristics'!L:L,MATCH($C260,'Policy Characteristics'!$C:$C,0)))</f>
        <v/>
      </c>
    </row>
    <row r="261" s="384" customFormat="1" customHeight="1" spans="1:18">
      <c r="A261" s="394" t="str">
        <f>IF(ISBLANK(INDEX('Policy Characteristics'!A:A,MATCH($C261,'Policy Characteristics'!$C:$C,0))),"",INDEX('Policy Characteristics'!A:A,MATCH($C261,'Policy Characteristics'!$C:$C,0)))</f>
        <v>Electricity Supply</v>
      </c>
      <c r="B261" s="395" t="str">
        <f>IF(ISBLANK(INDEX('Policy Characteristics'!B:B,MATCH($C261,'Policy Characteristics'!$C:$C,0))),"",INDEX('Policy Characteristics'!B:B,MATCH($C261,'Policy Characteristics'!$C:$C,0)))</f>
        <v>Non BAU Mandated Capacity Construction</v>
      </c>
      <c r="C261" s="394" t="str">
        <f t="shared" si="21"/>
        <v>Boolean Use Non BAU Mandated Capacity Construction Schedule</v>
      </c>
      <c r="D261" s="399" t="s">
        <v>729</v>
      </c>
      <c r="E261" s="399"/>
      <c r="F261" s="399" t="s">
        <v>730</v>
      </c>
      <c r="G261" s="399"/>
      <c r="H261" s="377">
        <v>647</v>
      </c>
      <c r="I261" s="396" t="s">
        <v>648</v>
      </c>
      <c r="J261" s="397" t="str">
        <f>IF(ISBLANK(INDEX('Policy Characteristics'!D:D,MATCH($C261,'Policy Characteristics'!$C:$C,0))),"",INDEX('Policy Characteristics'!D:D,MATCH($C261,'Policy Characteristics'!$C:$C,0)))</f>
        <v>Non BAU Mandated Capacity Construction</v>
      </c>
      <c r="K261" s="394" t="str">
        <f>IF(ISBLANK(INDEX('Policy Characteristics'!E:E,MATCH($C261,'Policy Characteristics'!$C:$C,0))),"",INDEX('Policy Characteristics'!E:E,MATCH($C261,'Policy Characteristics'!$C:$C,0)))</f>
        <v/>
      </c>
      <c r="L261" s="394">
        <f>IF(ISBLANK(INDEX('Policy Characteristics'!F:F,MATCH($C261,'Policy Characteristics'!$C:$C,0))),"",INDEX('Policy Characteristics'!F:F,MATCH($C261,'Policy Characteristics'!$C:$C,0)))</f>
        <v>0</v>
      </c>
      <c r="M261" s="394">
        <f>IF(ISBLANK(INDEX('Policy Characteristics'!G:G,MATCH($C261,'Policy Characteristics'!$C:$C,0))),"",INDEX('Policy Characteristics'!G:G,MATCH($C261,'Policy Characteristics'!$C:$C,0)))</f>
        <v>1</v>
      </c>
      <c r="N261" s="394">
        <f>IF(ISBLANK(INDEX('Policy Characteristics'!H:H,MATCH($C261,'Policy Characteristics'!$C:$C,0))),"",INDEX('Policy Characteristics'!H:H,MATCH($C261,'Policy Characteristics'!$C:$C,0)))</f>
        <v>1</v>
      </c>
      <c r="O261" s="394" t="str">
        <f>IF(ISBLANK(INDEX('Policy Characteristics'!I:I,MATCH($C261,'Policy Characteristics'!$C:$C,0))),"",INDEX('Policy Characteristics'!I:I,MATCH($C261,'Policy Characteristics'!$C:$C,0)))</f>
        <v>on/off</v>
      </c>
      <c r="P261" s="394" t="str">
        <f>IF(ISBLANK(INDEX('Policy Characteristics'!J:J,MATCH($C261,'Policy Characteristics'!$C:$C,0))),"",INDEX('Policy Characteristics'!J:J,MATCH($C261,'Policy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61" s="394" t="str">
        <f>IF(ISBLANK(INDEX('Policy Characteristics'!K:K,MATCH($C261,'Policy Characteristics'!$C:$C,0))),"",INDEX('Policy Characteristics'!K:K,MATCH($C261,'Policy Characteristics'!$C:$C,0)))</f>
        <v/>
      </c>
      <c r="R261" s="394" t="str">
        <f>IF(ISBLANK(INDEX('Policy Characteristics'!L:L,MATCH($C261,'Policy Characteristics'!$C:$C,0))),"",INDEX('Policy Characteristics'!L:L,MATCH($C261,'Policy Characteristics'!$C:$C,0)))</f>
        <v/>
      </c>
    </row>
    <row r="262" s="384" customFormat="1" customHeight="1" spans="1:18">
      <c r="A262" s="394" t="str">
        <f>IF(ISBLANK(INDEX('Policy Characteristics'!A:A,MATCH($C262,'Policy Characteristics'!$C:$C,0))),"",INDEX('Policy Characteristics'!A:A,MATCH($C262,'Policy Characteristics'!$C:$C,0)))</f>
        <v>Electricity Supply</v>
      </c>
      <c r="B262" s="395" t="str">
        <f>IF(ISBLANK(INDEX('Policy Characteristics'!B:B,MATCH($C262,'Policy Characteristics'!$C:$C,0))),"",INDEX('Policy Characteristics'!B:B,MATCH($C262,'Policy Characteristics'!$C:$C,0)))</f>
        <v>Non BAU Mandated Capacity Construction</v>
      </c>
      <c r="C262" s="394" t="str">
        <f t="shared" si="21"/>
        <v>Boolean Use Non BAU Mandated Capacity Construction Schedule</v>
      </c>
      <c r="D262" s="399" t="s">
        <v>731</v>
      </c>
      <c r="E262" s="399"/>
      <c r="F262" s="399" t="s">
        <v>732</v>
      </c>
      <c r="G262" s="399"/>
      <c r="H262" s="377">
        <v>648</v>
      </c>
      <c r="I262" s="396" t="s">
        <v>648</v>
      </c>
      <c r="J262" s="397" t="str">
        <f>IF(ISBLANK(INDEX('Policy Characteristics'!D:D,MATCH($C262,'Policy Characteristics'!$C:$C,0))),"",INDEX('Policy Characteristics'!D:D,MATCH($C262,'Policy Characteristics'!$C:$C,0)))</f>
        <v>Non BAU Mandated Capacity Construction</v>
      </c>
      <c r="K262" s="394" t="str">
        <f>IF(ISBLANK(INDEX('Policy Characteristics'!E:E,MATCH($C262,'Policy Characteristics'!$C:$C,0))),"",INDEX('Policy Characteristics'!E:E,MATCH($C262,'Policy Characteristics'!$C:$C,0)))</f>
        <v/>
      </c>
      <c r="L262" s="394">
        <f>IF(ISBLANK(INDEX('Policy Characteristics'!F:F,MATCH($C262,'Policy Characteristics'!$C:$C,0))),"",INDEX('Policy Characteristics'!F:F,MATCH($C262,'Policy Characteristics'!$C:$C,0)))</f>
        <v>0</v>
      </c>
      <c r="M262" s="394">
        <f>IF(ISBLANK(INDEX('Policy Characteristics'!G:G,MATCH($C262,'Policy Characteristics'!$C:$C,0))),"",INDEX('Policy Characteristics'!G:G,MATCH($C262,'Policy Characteristics'!$C:$C,0)))</f>
        <v>1</v>
      </c>
      <c r="N262" s="394">
        <f>IF(ISBLANK(INDEX('Policy Characteristics'!H:H,MATCH($C262,'Policy Characteristics'!$C:$C,0))),"",INDEX('Policy Characteristics'!H:H,MATCH($C262,'Policy Characteristics'!$C:$C,0)))</f>
        <v>1</v>
      </c>
      <c r="O262" s="394" t="str">
        <f>IF(ISBLANK(INDEX('Policy Characteristics'!I:I,MATCH($C262,'Policy Characteristics'!$C:$C,0))),"",INDEX('Policy Characteristics'!I:I,MATCH($C262,'Policy Characteristics'!$C:$C,0)))</f>
        <v>on/off</v>
      </c>
      <c r="P262" s="394" t="str">
        <f>IF(ISBLANK(INDEX('Policy Characteristics'!J:J,MATCH($C262,'Policy Characteristics'!$C:$C,0))),"",INDEX('Policy Characteristics'!J:J,MATCH($C262,'Policy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62" s="394" t="str">
        <f>IF(ISBLANK(INDEX('Policy Characteristics'!K:K,MATCH($C262,'Policy Characteristics'!$C:$C,0))),"",INDEX('Policy Characteristics'!K:K,MATCH($C262,'Policy Characteristics'!$C:$C,0)))</f>
        <v/>
      </c>
      <c r="R262" s="394" t="str">
        <f>IF(ISBLANK(INDEX('Policy Characteristics'!L:L,MATCH($C262,'Policy Characteristics'!$C:$C,0))),"",INDEX('Policy Characteristics'!L:L,MATCH($C262,'Policy Characteristics'!$C:$C,0)))</f>
        <v/>
      </c>
    </row>
    <row r="263" s="384" customFormat="1" customHeight="1" spans="1:18">
      <c r="A263" s="394" t="str">
        <f>IF(ISBLANK(INDEX('Policy Characteristics'!A:A,MATCH($C263,'Policy Characteristics'!$C:$C,0))),"",INDEX('Policy Characteristics'!A:A,MATCH($C263,'Policy Characteristics'!$C:$C,0)))</f>
        <v>Electricity Supply</v>
      </c>
      <c r="B263" s="395" t="str">
        <f>IF(ISBLANK(INDEX('Policy Characteristics'!B:B,MATCH($C263,'Policy Characteristics'!$C:$C,0))),"",INDEX('Policy Characteristics'!B:B,MATCH($C263,'Policy Characteristics'!$C:$C,0)))</f>
        <v>Non BAU RPS Qualifying Resources</v>
      </c>
      <c r="C263" t="s">
        <v>285</v>
      </c>
      <c r="D263" s="399"/>
      <c r="E263" s="399"/>
      <c r="F263" s="399"/>
      <c r="G263" s="399"/>
      <c r="H263" s="377">
        <v>649</v>
      </c>
      <c r="I263" s="396" t="s">
        <v>648</v>
      </c>
      <c r="J263" s="397" t="str">
        <f>IF(ISBLANK(INDEX('Policy Characteristics'!D:D,MATCH($C263,'Policy Characteristics'!$C:$C,0))),"",INDEX('Policy Characteristics'!D:D,MATCH($C263,'Policy Characteristics'!$C:$C,0)))</f>
        <v>Non BAU RPS Qualifying Resources</v>
      </c>
      <c r="K263" s="394" t="str">
        <f>IF(ISBLANK(INDEX('Policy Characteristics'!E:E,MATCH($C263,'Policy Characteristics'!$C:$C,0))),"",INDEX('Policy Characteristics'!E:E,MATCH($C263,'Policy Characteristics'!$C:$C,0)))</f>
        <v>elec non BAU RPS qualifying resources</v>
      </c>
      <c r="L263" s="394">
        <f>IF(ISBLANK(INDEX('Policy Characteristics'!F:F,MATCH($C263,'Policy Characteristics'!$C:$C,0))),"",INDEX('Policy Characteristics'!F:F,MATCH($C263,'Policy Characteristics'!$C:$C,0)))</f>
        <v>0</v>
      </c>
      <c r="M263" s="394">
        <f>IF(ISBLANK(INDEX('Policy Characteristics'!G:G,MATCH($C263,'Policy Characteristics'!$C:$C,0))),"",INDEX('Policy Characteristics'!G:G,MATCH($C263,'Policy Characteristics'!$C:$C,0)))</f>
        <v>1</v>
      </c>
      <c r="N263" s="394">
        <f>IF(ISBLANK(INDEX('Policy Characteristics'!H:H,MATCH($C263,'Policy Characteristics'!$C:$C,0))),"",INDEX('Policy Characteristics'!H:H,MATCH($C263,'Policy Characteristics'!$C:$C,0)))</f>
        <v>1</v>
      </c>
      <c r="O263" s="394" t="str">
        <f>IF(ISBLANK(INDEX('Policy Characteristics'!I:I,MATCH($C263,'Policy Characteristics'!$C:$C,0))),"",INDEX('Policy Characteristics'!I:I,MATCH($C263,'Policy Characteristics'!$C:$C,0)))</f>
        <v>on/off</v>
      </c>
      <c r="P263" s="394" t="str">
        <f>IF(ISBLANK(INDEX('Policy Characteristics'!J:J,MATCH($C263,'Policy Characteristics'!$C:$C,0))),"",INDEX('Policy Characteristics'!J:J,MATCH($C263,'Policy Characteristics'!$C:$C,0)))</f>
        <v>**Description:** This policy uses an alternative definition of what qualifies as renewable generation. //  **Guidance for setting values:** Under BAU scenario, all non-fossil fuel generation are viewed as Renewable in China. Under alternative assumption, nuclear and hydro are excluded for environmental and safety concerns. Biomass and municipal solid waste generation are also excluded as they are not truly carbon-neutral.</v>
      </c>
      <c r="Q263" s="394" t="str">
        <f>IF(ISBLANK(INDEX('Policy Characteristics'!K:K,MATCH($C263,'Policy Characteristics'!$C:$C,0))),"",INDEX('Policy Characteristics'!K:K,MATCH($C263,'Policy Characteristics'!$C:$C,0)))</f>
        <v/>
      </c>
      <c r="R263" s="394" t="str">
        <f>IF(ISBLANK(INDEX('Policy Characteristics'!L:L,MATCH($C263,'Policy Characteristics'!$C:$C,0))),"",INDEX('Policy Characteristics'!L:L,MATCH($C263,'Policy Characteristics'!$C:$C,0)))</f>
        <v/>
      </c>
    </row>
    <row r="264" s="384" customFormat="1" customHeight="1" spans="1:18">
      <c r="A264" s="394" t="str">
        <f>IF(ISBLANK(INDEX('Policy Characteristics'!A:A,MATCH($C264,'Policy Characteristics'!$C:$C,0))),"",INDEX('Policy Characteristics'!A:A,MATCH($C264,'Policy Characteristics'!$C:$C,0)))</f>
        <v>Electricity Supply</v>
      </c>
      <c r="B264" s="395" t="str">
        <f>IF(ISBLANK(INDEX('Policy Characteristics'!B:B,MATCH($C264,'Policy Characteristics'!$C:$C,0))),"",INDEX('Policy Characteristics'!B:B,MATCH($C264,'Policy Characteristics'!$C:$C,0)))</f>
        <v>Nuclear Plant Lifetime Extension</v>
      </c>
      <c r="C264" t="s">
        <v>289</v>
      </c>
      <c r="D264" s="399"/>
      <c r="E264" s="401"/>
      <c r="F264" s="399"/>
      <c r="G264" s="401"/>
      <c r="H264" s="377">
        <v>35</v>
      </c>
      <c r="I264" s="396" t="s">
        <v>648</v>
      </c>
      <c r="J264" s="397" t="str">
        <f>IF(ISBLANK(INDEX('Policy Characteristics'!D:D,MATCH($C264,'Policy Characteristics'!$C:$C,0))),"",INDEX('Policy Characteristics'!D:D,MATCH($C264,'Policy Characteristics'!$C:$C,0)))</f>
        <v>Nuclear Lifetime Extension</v>
      </c>
      <c r="K264" s="394" t="str">
        <f>IF(ISBLANK(INDEX('Policy Characteristics'!E:E,MATCH($C264,'Policy Characteristics'!$C:$C,0))),"",INDEX('Policy Characteristics'!E:E,MATCH($C264,'Policy Characteristics'!$C:$C,0)))</f>
        <v/>
      </c>
      <c r="L264" s="394">
        <f>IF(ISBLANK(INDEX('Policy Characteristics'!F:F,MATCH($C264,'Policy Characteristics'!$C:$C,0))),"",INDEX('Policy Characteristics'!F:F,MATCH($C264,'Policy Characteristics'!$C:$C,0)))</f>
        <v>0</v>
      </c>
      <c r="M264" s="394">
        <f>IF(ISBLANK(INDEX('Policy Characteristics'!G:G,MATCH($C264,'Policy Characteristics'!$C:$C,0))),"",INDEX('Policy Characteristics'!G:G,MATCH($C264,'Policy Characteristics'!$C:$C,0)))</f>
        <v>20</v>
      </c>
      <c r="N264" s="394">
        <f>IF(ISBLANK(INDEX('Policy Characteristics'!H:H,MATCH($C264,'Policy Characteristics'!$C:$C,0))),"",INDEX('Policy Characteristics'!H:H,MATCH($C264,'Policy Characteristics'!$C:$C,0)))</f>
        <v>1</v>
      </c>
      <c r="O264" s="394" t="str">
        <f>IF(ISBLANK(INDEX('Policy Characteristics'!I:I,MATCH($C264,'Policy Characteristics'!$C:$C,0))),"",INDEX('Policy Characteristics'!I:I,MATCH($C264,'Policy Characteristics'!$C:$C,0)))</f>
        <v>year(s)</v>
      </c>
      <c r="P264" s="394" t="str">
        <f>IF(ISBLANK(INDEX('Policy Characteristics'!J:J,MATCH($C264,'Policy Characteristics'!$C:$C,0))),"",INDEX('Policy Characteristics'!J:J,MATCH($C264,'Policy Characteristics'!$C:$C,0)))</f>
        <v>**Description:** This policy extends the lifetime of all nuclear plants by the specified number of years.</v>
      </c>
      <c r="Q264" s="394" t="str">
        <f>IF(ISBLANK(INDEX('Policy Characteristics'!K:K,MATCH($C264,'Policy Characteristics'!$C:$C,0))),"",INDEX('Policy Characteristics'!K:K,MATCH($C264,'Policy Characteristics'!$C:$C,0)))</f>
        <v>electricity-sector-main.html#life-ext</v>
      </c>
      <c r="R264" s="394" t="str">
        <f>IF(ISBLANK(INDEX('Policy Characteristics'!L:L,MATCH($C264,'Policy Characteristics'!$C:$C,0))),"",INDEX('Policy Characteristics'!L:L,MATCH($C264,'Policy Characteristics'!$C:$C,0)))</f>
        <v>nuclear-lifetime-extension.html</v>
      </c>
    </row>
    <row r="265" customHeight="1" spans="1:18">
      <c r="A265" s="394" t="str">
        <f>IF(ISBLANK(INDEX('Policy Characteristics'!A:A,MATCH($C265,'Policy Characteristics'!$C:$C,0))),"",INDEX('Policy Characteristics'!A:A,MATCH($C265,'Policy Characteristics'!$C:$C,0)))</f>
        <v>Electricity Supply</v>
      </c>
      <c r="B265" s="395" t="str">
        <f>IF(ISBLANK(INDEX('Policy Characteristics'!B:B,MATCH($C265,'Policy Characteristics'!$C:$C,0))),"",INDEX('Policy Characteristics'!B:B,MATCH($C265,'Policy Characteristics'!$C:$C,0)))</f>
        <v>Reduce Plant Downtime</v>
      </c>
      <c r="C265" t="s">
        <v>297</v>
      </c>
      <c r="D265" s="399" t="s">
        <v>701</v>
      </c>
      <c r="E265" s="399" t="s">
        <v>733</v>
      </c>
      <c r="F265" s="399"/>
      <c r="G265" s="399"/>
      <c r="H265" s="377">
        <v>650</v>
      </c>
      <c r="I265" s="396" t="s">
        <v>658</v>
      </c>
      <c r="J265" s="397" t="str">
        <f>IF(ISBLANK(INDEX('Policy Characteristics'!D:D,MATCH($C265,'Policy Characteristics'!$C:$C,0))),"",INDEX('Policy Characteristics'!D:D,MATCH($C265,'Policy Characteristics'!$C:$C,0)))</f>
        <v>Reduce Plant Downtime</v>
      </c>
      <c r="K265" s="394" t="str">
        <f>IF(ISBLANK(INDEX('Policy Characteristics'!E:E,MATCH($C265,'Policy Characteristics'!$C:$C,0))),"",INDEX('Policy Characteristics'!E:E,MATCH($C265,'Policy Characteristics'!$C:$C,0)))</f>
        <v>elec reduce plant downtime</v>
      </c>
      <c r="L265" s="398">
        <f>IF(ISBLANK(INDEX('Policy Characteristics'!F:F,MATCH($C265,'Policy Characteristics'!$C:$C,0))),"",INDEX('Policy Characteristics'!F:F,MATCH($C265,'Policy Characteristics'!$C:$C,0)))</f>
        <v>0</v>
      </c>
      <c r="M265" s="398">
        <f>IF(ISBLANK(INDEX('Policy Characteristics'!G:G,MATCH($C265,'Policy Characteristics'!$C:$C,0))),"",INDEX('Policy Characteristics'!G:G,MATCH($C265,'Policy Characteristics'!$C:$C,0)))</f>
        <v>0.6</v>
      </c>
      <c r="N265" s="398">
        <f>IF(ISBLANK(INDEX('Policy Characteristics'!H:H,MATCH($C265,'Policy Characteristics'!$C:$C,0))),"",INDEX('Policy Characteristics'!H:H,MATCH($C265,'Policy Characteristics'!$C:$C,0)))</f>
        <v>0.01</v>
      </c>
      <c r="O265" s="394" t="str">
        <f>IF(ISBLANK(INDEX('Policy Characteristics'!I:I,MATCH($C265,'Policy Characteristics'!$C:$C,0))),"",INDEX('Policy Characteristics'!I:I,MATCH($C265,'Policy Characteristics'!$C:$C,0)))</f>
        <v>% reduction in downtime</v>
      </c>
      <c r="P265" s="394" t="str">
        <f>IF(ISBLANK(INDEX('Policy Characteristics'!J:J,MATCH($C265,'Policy Characteristics'!$C:$C,0))),"",INDEX('Policy Characteristics'!J:J,MATCH($C265,'Policy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5" s="394" t="str">
        <f>IF(ISBLANK(INDEX('Policy Characteristics'!K:K,MATCH($C265,'Policy Characteristics'!$C:$C,0))),"",INDEX('Policy Characteristics'!K:K,MATCH($C265,'Policy Characteristics'!$C:$C,0)))</f>
        <v>electricity-sector-main.html#red-downtime</v>
      </c>
      <c r="R265" s="394" t="str">
        <f>IF(ISBLANK(INDEX('Policy Characteristics'!L:L,MATCH($C265,'Policy Characteristics'!$C:$C,0))),"",INDEX('Policy Characteristics'!L:L,MATCH($C265,'Policy Characteristics'!$C:$C,0)))</f>
        <v>reduce-downtime.html</v>
      </c>
    </row>
    <row r="266" customHeight="1" spans="1:18">
      <c r="A266" s="394" t="str">
        <f>IF(ISBLANK(INDEX('Policy Characteristics'!A:A,MATCH($C266,'Policy Characteristics'!$C:$C,0))),"",INDEX('Policy Characteristics'!A:A,MATCH($C266,'Policy Characteristics'!$C:$C,0)))</f>
        <v>Electricity Supply</v>
      </c>
      <c r="B266" s="395" t="str">
        <f>IF(ISBLANK(INDEX('Policy Characteristics'!B:B,MATCH($C266,'Policy Characteristics'!$C:$C,0))),"",INDEX('Policy Characteristics'!B:B,MATCH($C266,'Policy Characteristics'!$C:$C,0)))</f>
        <v>Reduce Plant Downtime</v>
      </c>
      <c r="C266" s="402" t="str">
        <f t="shared" ref="C266:C295" si="22">C$265</f>
        <v>Percentage Reduction in Plant Downtime</v>
      </c>
      <c r="D266" s="399" t="s">
        <v>701</v>
      </c>
      <c r="E266" s="399" t="s">
        <v>734</v>
      </c>
      <c r="F266" s="399"/>
      <c r="G266" s="399"/>
      <c r="H266" s="377">
        <v>651</v>
      </c>
      <c r="I266" s="396" t="s">
        <v>658</v>
      </c>
      <c r="J266" s="397" t="str">
        <f>IF(ISBLANK(INDEX('Policy Characteristics'!D:D,MATCH($C266,'Policy Characteristics'!$C:$C,0))),"",INDEX('Policy Characteristics'!D:D,MATCH($C266,'Policy Characteristics'!$C:$C,0)))</f>
        <v>Reduce Plant Downtime</v>
      </c>
      <c r="K266" s="394" t="str">
        <f>IF(ISBLANK(INDEX('Policy Characteristics'!E:E,MATCH($C266,'Policy Characteristics'!$C:$C,0))),"",INDEX('Policy Characteristics'!E:E,MATCH($C266,'Policy Characteristics'!$C:$C,0)))</f>
        <v>elec reduce plant downtime</v>
      </c>
      <c r="L266" s="398">
        <f>IF(ISBLANK(INDEX('Policy Characteristics'!F:F,MATCH($C266,'Policy Characteristics'!$C:$C,0))),"",INDEX('Policy Characteristics'!F:F,MATCH($C266,'Policy Characteristics'!$C:$C,0)))</f>
        <v>0</v>
      </c>
      <c r="M266" s="398">
        <f>IF(ISBLANK(INDEX('Policy Characteristics'!G:G,MATCH($C266,'Policy Characteristics'!$C:$C,0))),"",INDEX('Policy Characteristics'!G:G,MATCH($C266,'Policy Characteristics'!$C:$C,0)))</f>
        <v>0.6</v>
      </c>
      <c r="N266" s="398">
        <f>IF(ISBLANK(INDEX('Policy Characteristics'!H:H,MATCH($C266,'Policy Characteristics'!$C:$C,0))),"",INDEX('Policy Characteristics'!H:H,MATCH($C266,'Policy Characteristics'!$C:$C,0)))</f>
        <v>0.01</v>
      </c>
      <c r="O266" s="394" t="str">
        <f>IF(ISBLANK(INDEX('Policy Characteristics'!I:I,MATCH($C266,'Policy Characteristics'!$C:$C,0))),"",INDEX('Policy Characteristics'!I:I,MATCH($C266,'Policy Characteristics'!$C:$C,0)))</f>
        <v>% reduction in downtime</v>
      </c>
      <c r="P266" s="394" t="str">
        <f>IF(ISBLANK(INDEX('Policy Characteristics'!J:J,MATCH($C266,'Policy Characteristics'!$C:$C,0))),"",INDEX('Policy Characteristics'!J:J,MATCH($C266,'Policy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6" s="394" t="str">
        <f>IF(ISBLANK(INDEX('Policy Characteristics'!K:K,MATCH($C266,'Policy Characteristics'!$C:$C,0))),"",INDEX('Policy Characteristics'!K:K,MATCH($C266,'Policy Characteristics'!$C:$C,0)))</f>
        <v>electricity-sector-main.html#red-downtime</v>
      </c>
      <c r="R266" s="394" t="str">
        <f>IF(ISBLANK(INDEX('Policy Characteristics'!L:L,MATCH($C266,'Policy Characteristics'!$C:$C,0))),"",INDEX('Policy Characteristics'!L:L,MATCH($C266,'Policy Characteristics'!$C:$C,0)))</f>
        <v>reduce-downtime.html</v>
      </c>
    </row>
    <row r="267" customHeight="1" spans="1:18">
      <c r="A267" s="394" t="str">
        <f>IF(ISBLANK(INDEX('Policy Characteristics'!A:A,MATCH($C267,'Policy Characteristics'!$C:$C,0))),"",INDEX('Policy Characteristics'!A:A,MATCH($C267,'Policy Characteristics'!$C:$C,0)))</f>
        <v>Electricity Supply</v>
      </c>
      <c r="B267" s="395" t="str">
        <f>IF(ISBLANK(INDEX('Policy Characteristics'!B:B,MATCH($C267,'Policy Characteristics'!$C:$C,0))),"",INDEX('Policy Characteristics'!B:B,MATCH($C267,'Policy Characteristics'!$C:$C,0)))</f>
        <v>Reduce Plant Downtime</v>
      </c>
      <c r="C267" s="402" t="str">
        <f t="shared" si="22"/>
        <v>Percentage Reduction in Plant Downtime</v>
      </c>
      <c r="D267" s="399" t="s">
        <v>701</v>
      </c>
      <c r="E267" s="399" t="s">
        <v>735</v>
      </c>
      <c r="F267" s="399"/>
      <c r="G267" s="399"/>
      <c r="H267" s="377">
        <v>652</v>
      </c>
      <c r="I267" s="396" t="s">
        <v>658</v>
      </c>
      <c r="J267" s="397" t="str">
        <f>IF(ISBLANK(INDEX('Policy Characteristics'!D:D,MATCH($C267,'Policy Characteristics'!$C:$C,0))),"",INDEX('Policy Characteristics'!D:D,MATCH($C267,'Policy Characteristics'!$C:$C,0)))</f>
        <v>Reduce Plant Downtime</v>
      </c>
      <c r="K267" s="394" t="str">
        <f>IF(ISBLANK(INDEX('Policy Characteristics'!E:E,MATCH($C267,'Policy Characteristics'!$C:$C,0))),"",INDEX('Policy Characteristics'!E:E,MATCH($C267,'Policy Characteristics'!$C:$C,0)))</f>
        <v>elec reduce plant downtime</v>
      </c>
      <c r="L267" s="398">
        <f>IF(ISBLANK(INDEX('Policy Characteristics'!F:F,MATCH($C267,'Policy Characteristics'!$C:$C,0))),"",INDEX('Policy Characteristics'!F:F,MATCH($C267,'Policy Characteristics'!$C:$C,0)))</f>
        <v>0</v>
      </c>
      <c r="M267" s="398">
        <f>IF(ISBLANK(INDEX('Policy Characteristics'!G:G,MATCH($C267,'Policy Characteristics'!$C:$C,0))),"",INDEX('Policy Characteristics'!G:G,MATCH($C267,'Policy Characteristics'!$C:$C,0)))</f>
        <v>0.6</v>
      </c>
      <c r="N267" s="398">
        <f>IF(ISBLANK(INDEX('Policy Characteristics'!H:H,MATCH($C267,'Policy Characteristics'!$C:$C,0))),"",INDEX('Policy Characteristics'!H:H,MATCH($C267,'Policy Characteristics'!$C:$C,0)))</f>
        <v>0.01</v>
      </c>
      <c r="O267" s="394" t="str">
        <f>IF(ISBLANK(INDEX('Policy Characteristics'!I:I,MATCH($C267,'Policy Characteristics'!$C:$C,0))),"",INDEX('Policy Characteristics'!I:I,MATCH($C267,'Policy Characteristics'!$C:$C,0)))</f>
        <v>% reduction in downtime</v>
      </c>
      <c r="P267" s="394" t="str">
        <f>IF(ISBLANK(INDEX('Policy Characteristics'!J:J,MATCH($C267,'Policy Characteristics'!$C:$C,0))),"",INDEX('Policy Characteristics'!J:J,MATCH($C267,'Policy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7" s="394" t="str">
        <f>IF(ISBLANK(INDEX('Policy Characteristics'!K:K,MATCH($C267,'Policy Characteristics'!$C:$C,0))),"",INDEX('Policy Characteristics'!K:K,MATCH($C267,'Policy Characteristics'!$C:$C,0)))</f>
        <v>electricity-sector-main.html#red-downtime</v>
      </c>
      <c r="R267" s="394" t="str">
        <f>IF(ISBLANK(INDEX('Policy Characteristics'!L:L,MATCH($C267,'Policy Characteristics'!$C:$C,0))),"",INDEX('Policy Characteristics'!L:L,MATCH($C267,'Policy Characteristics'!$C:$C,0)))</f>
        <v>reduce-downtime.html</v>
      </c>
    </row>
    <row r="268" customHeight="1" spans="1:18">
      <c r="A268" s="394" t="str">
        <f>IF(ISBLANK(INDEX('Policy Characteristics'!A:A,MATCH($C268,'Policy Characteristics'!$C:$C,0))),"",INDEX('Policy Characteristics'!A:A,MATCH($C268,'Policy Characteristics'!$C:$C,0)))</f>
        <v>Electricity Supply</v>
      </c>
      <c r="B268" s="395" t="str">
        <f>IF(ISBLANK(INDEX('Policy Characteristics'!B:B,MATCH($C268,'Policy Characteristics'!$C:$C,0))),"",INDEX('Policy Characteristics'!B:B,MATCH($C268,'Policy Characteristics'!$C:$C,0)))</f>
        <v>Reduce Plant Downtime</v>
      </c>
      <c r="C268" s="402" t="str">
        <f t="shared" si="22"/>
        <v>Percentage Reduction in Plant Downtime</v>
      </c>
      <c r="D268" s="399" t="s">
        <v>703</v>
      </c>
      <c r="E268" s="399" t="s">
        <v>733</v>
      </c>
      <c r="F268" s="399" t="s">
        <v>704</v>
      </c>
      <c r="G268" s="399" t="s">
        <v>736</v>
      </c>
      <c r="H268" s="377">
        <v>141</v>
      </c>
      <c r="I268" s="396" t="s">
        <v>648</v>
      </c>
      <c r="J268" s="397" t="str">
        <f>IF(ISBLANK(INDEX('Policy Characteristics'!D:D,MATCH($C268,'Policy Characteristics'!$C:$C,0))),"",INDEX('Policy Characteristics'!D:D,MATCH($C268,'Policy Characteristics'!$C:$C,0)))</f>
        <v>Reduce Plant Downtime</v>
      </c>
      <c r="K268" s="394" t="str">
        <f>IF(ISBLANK(INDEX('Policy Characteristics'!E:E,MATCH($C268,'Policy Characteristics'!$C:$C,0))),"",INDEX('Policy Characteristics'!E:E,MATCH($C268,'Policy Characteristics'!$C:$C,0)))</f>
        <v>elec reduce plant downtime</v>
      </c>
      <c r="L268" s="398">
        <f>IF(ISBLANK(INDEX('Policy Characteristics'!F:F,MATCH($C268,'Policy Characteristics'!$C:$C,0))),"",INDEX('Policy Characteristics'!F:F,MATCH($C268,'Policy Characteristics'!$C:$C,0)))</f>
        <v>0</v>
      </c>
      <c r="M268" s="398">
        <f>IF(ISBLANK(INDEX('Policy Characteristics'!G:G,MATCH($C268,'Policy Characteristics'!$C:$C,0))),"",INDEX('Policy Characteristics'!G:G,MATCH($C268,'Policy Characteristics'!$C:$C,0)))</f>
        <v>0.6</v>
      </c>
      <c r="N268" s="398">
        <f>IF(ISBLANK(INDEX('Policy Characteristics'!H:H,MATCH($C268,'Policy Characteristics'!$C:$C,0))),"",INDEX('Policy Characteristics'!H:H,MATCH($C268,'Policy Characteristics'!$C:$C,0)))</f>
        <v>0.01</v>
      </c>
      <c r="O268" s="394" t="str">
        <f>IF(ISBLANK(INDEX('Policy Characteristics'!I:I,MATCH($C268,'Policy Characteristics'!$C:$C,0))),"",INDEX('Policy Characteristics'!I:I,MATCH($C268,'Policy Characteristics'!$C:$C,0)))</f>
        <v>% reduction in downtime</v>
      </c>
      <c r="P268" s="394" t="str">
        <f>IF(ISBLANK(INDEX('Policy Characteristics'!J:J,MATCH($C268,'Policy Characteristics'!$C:$C,0))),"",INDEX('Policy Characteristics'!J:J,MATCH($C268,'Policy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8" s="394" t="str">
        <f>IF(ISBLANK(INDEX('Policy Characteristics'!K:K,MATCH($C268,'Policy Characteristics'!$C:$C,0))),"",INDEX('Policy Characteristics'!K:K,MATCH($C268,'Policy Characteristics'!$C:$C,0)))</f>
        <v>electricity-sector-main.html#red-downtime</v>
      </c>
      <c r="R268" s="394" t="str">
        <f>IF(ISBLANK(INDEX('Policy Characteristics'!L:L,MATCH($C268,'Policy Characteristics'!$C:$C,0))),"",INDEX('Policy Characteristics'!L:L,MATCH($C268,'Policy Characteristics'!$C:$C,0)))</f>
        <v>reduce-downtime.html</v>
      </c>
    </row>
    <row r="269" customHeight="1" spans="1:18">
      <c r="A269" s="394" t="str">
        <f>IF(ISBLANK(INDEX('Policy Characteristics'!A:A,MATCH($C269,'Policy Characteristics'!$C:$C,0))),"",INDEX('Policy Characteristics'!A:A,MATCH($C269,'Policy Characteristics'!$C:$C,0)))</f>
        <v>Electricity Supply</v>
      </c>
      <c r="B269" s="395" t="str">
        <f>IF(ISBLANK(INDEX('Policy Characteristics'!B:B,MATCH($C269,'Policy Characteristics'!$C:$C,0))),"",INDEX('Policy Characteristics'!B:B,MATCH($C269,'Policy Characteristics'!$C:$C,0)))</f>
        <v>Reduce Plant Downtime</v>
      </c>
      <c r="C269" s="402" t="str">
        <f t="shared" si="22"/>
        <v>Percentage Reduction in Plant Downtime</v>
      </c>
      <c r="D269" s="399" t="s">
        <v>703</v>
      </c>
      <c r="E269" s="399" t="s">
        <v>734</v>
      </c>
      <c r="F269" s="399"/>
      <c r="G269" s="399"/>
      <c r="H269" s="377">
        <v>653</v>
      </c>
      <c r="I269" s="396" t="s">
        <v>658</v>
      </c>
      <c r="J269" s="397" t="str">
        <f>IF(ISBLANK(INDEX('Policy Characteristics'!D:D,MATCH($C269,'Policy Characteristics'!$C:$C,0))),"",INDEX('Policy Characteristics'!D:D,MATCH($C269,'Policy Characteristics'!$C:$C,0)))</f>
        <v>Reduce Plant Downtime</v>
      </c>
      <c r="K269" s="394" t="str">
        <f>IF(ISBLANK(INDEX('Policy Characteristics'!E:E,MATCH($C269,'Policy Characteristics'!$C:$C,0))),"",INDEX('Policy Characteristics'!E:E,MATCH($C269,'Policy Characteristics'!$C:$C,0)))</f>
        <v>elec reduce plant downtime</v>
      </c>
      <c r="L269" s="398">
        <f>IF(ISBLANK(INDEX('Policy Characteristics'!F:F,MATCH($C269,'Policy Characteristics'!$C:$C,0))),"",INDEX('Policy Characteristics'!F:F,MATCH($C269,'Policy Characteristics'!$C:$C,0)))</f>
        <v>0</v>
      </c>
      <c r="M269" s="398">
        <f>IF(ISBLANK(INDEX('Policy Characteristics'!G:G,MATCH($C269,'Policy Characteristics'!$C:$C,0))),"",INDEX('Policy Characteristics'!G:G,MATCH($C269,'Policy Characteristics'!$C:$C,0)))</f>
        <v>0.6</v>
      </c>
      <c r="N269" s="398">
        <f>IF(ISBLANK(INDEX('Policy Characteristics'!H:H,MATCH($C269,'Policy Characteristics'!$C:$C,0))),"",INDEX('Policy Characteristics'!H:H,MATCH($C269,'Policy Characteristics'!$C:$C,0)))</f>
        <v>0.01</v>
      </c>
      <c r="O269" s="394" t="str">
        <f>IF(ISBLANK(INDEX('Policy Characteristics'!I:I,MATCH($C269,'Policy Characteristics'!$C:$C,0))),"",INDEX('Policy Characteristics'!I:I,MATCH($C269,'Policy Characteristics'!$C:$C,0)))</f>
        <v>% reduction in downtime</v>
      </c>
      <c r="P269" s="394" t="str">
        <f>IF(ISBLANK(INDEX('Policy Characteristics'!J:J,MATCH($C269,'Policy Characteristics'!$C:$C,0))),"",INDEX('Policy Characteristics'!J:J,MATCH($C269,'Policy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9" s="394" t="str">
        <f>IF(ISBLANK(INDEX('Policy Characteristics'!K:K,MATCH($C269,'Policy Characteristics'!$C:$C,0))),"",INDEX('Policy Characteristics'!K:K,MATCH($C269,'Policy Characteristics'!$C:$C,0)))</f>
        <v>electricity-sector-main.html#red-downtime</v>
      </c>
      <c r="R269" s="394" t="str">
        <f>IF(ISBLANK(INDEX('Policy Characteristics'!L:L,MATCH($C269,'Policy Characteristics'!$C:$C,0))),"",INDEX('Policy Characteristics'!L:L,MATCH($C269,'Policy Characteristics'!$C:$C,0)))</f>
        <v>reduce-downtime.html</v>
      </c>
    </row>
    <row r="270" customHeight="1" spans="1:18">
      <c r="A270" s="394" t="str">
        <f>IF(ISBLANK(INDEX('Policy Characteristics'!A:A,MATCH($C270,'Policy Characteristics'!$C:$C,0))),"",INDEX('Policy Characteristics'!A:A,MATCH($C270,'Policy Characteristics'!$C:$C,0)))</f>
        <v>Electricity Supply</v>
      </c>
      <c r="B270" s="395" t="str">
        <f>IF(ISBLANK(INDEX('Policy Characteristics'!B:B,MATCH($C270,'Policy Characteristics'!$C:$C,0))),"",INDEX('Policy Characteristics'!B:B,MATCH($C270,'Policy Characteristics'!$C:$C,0)))</f>
        <v>Reduce Plant Downtime</v>
      </c>
      <c r="C270" s="402" t="str">
        <f t="shared" si="22"/>
        <v>Percentage Reduction in Plant Downtime</v>
      </c>
      <c r="D270" s="399" t="s">
        <v>703</v>
      </c>
      <c r="E270" s="399" t="s">
        <v>735</v>
      </c>
      <c r="F270" s="399"/>
      <c r="G270" s="399"/>
      <c r="H270" s="377">
        <v>654</v>
      </c>
      <c r="I270" s="396" t="s">
        <v>658</v>
      </c>
      <c r="J270" s="397" t="str">
        <f>IF(ISBLANK(INDEX('Policy Characteristics'!D:D,MATCH($C270,'Policy Characteristics'!$C:$C,0))),"",INDEX('Policy Characteristics'!D:D,MATCH($C270,'Policy Characteristics'!$C:$C,0)))</f>
        <v>Reduce Plant Downtime</v>
      </c>
      <c r="K270" s="394" t="str">
        <f>IF(ISBLANK(INDEX('Policy Characteristics'!E:E,MATCH($C270,'Policy Characteristics'!$C:$C,0))),"",INDEX('Policy Characteristics'!E:E,MATCH($C270,'Policy Characteristics'!$C:$C,0)))</f>
        <v>elec reduce plant downtime</v>
      </c>
      <c r="L270" s="398">
        <f>IF(ISBLANK(INDEX('Policy Characteristics'!F:F,MATCH($C270,'Policy Characteristics'!$C:$C,0))),"",INDEX('Policy Characteristics'!F:F,MATCH($C270,'Policy Characteristics'!$C:$C,0)))</f>
        <v>0</v>
      </c>
      <c r="M270" s="398">
        <f>IF(ISBLANK(INDEX('Policy Characteristics'!G:G,MATCH($C270,'Policy Characteristics'!$C:$C,0))),"",INDEX('Policy Characteristics'!G:G,MATCH($C270,'Policy Characteristics'!$C:$C,0)))</f>
        <v>0.6</v>
      </c>
      <c r="N270" s="398">
        <f>IF(ISBLANK(INDEX('Policy Characteristics'!H:H,MATCH($C270,'Policy Characteristics'!$C:$C,0))),"",INDEX('Policy Characteristics'!H:H,MATCH($C270,'Policy Characteristics'!$C:$C,0)))</f>
        <v>0.01</v>
      </c>
      <c r="O270" s="394" t="str">
        <f>IF(ISBLANK(INDEX('Policy Characteristics'!I:I,MATCH($C270,'Policy Characteristics'!$C:$C,0))),"",INDEX('Policy Characteristics'!I:I,MATCH($C270,'Policy Characteristics'!$C:$C,0)))</f>
        <v>% reduction in downtime</v>
      </c>
      <c r="P270" s="394" t="str">
        <f>IF(ISBLANK(INDEX('Policy Characteristics'!J:J,MATCH($C270,'Policy Characteristics'!$C:$C,0))),"",INDEX('Policy Characteristics'!J:J,MATCH($C270,'Policy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0" s="394" t="str">
        <f>IF(ISBLANK(INDEX('Policy Characteristics'!K:K,MATCH($C270,'Policy Characteristics'!$C:$C,0))),"",INDEX('Policy Characteristics'!K:K,MATCH($C270,'Policy Characteristics'!$C:$C,0)))</f>
        <v>electricity-sector-main.html#red-downtime</v>
      </c>
      <c r="R270" s="394" t="str">
        <f>IF(ISBLANK(INDEX('Policy Characteristics'!L:L,MATCH($C270,'Policy Characteristics'!$C:$C,0))),"",INDEX('Policy Characteristics'!L:L,MATCH($C270,'Policy Characteristics'!$C:$C,0)))</f>
        <v>reduce-downtime.html</v>
      </c>
    </row>
    <row r="271" customHeight="1" spans="1:18">
      <c r="A271" s="394" t="str">
        <f>IF(ISBLANK(INDEX('Policy Characteristics'!A:A,MATCH($C271,'Policy Characteristics'!$C:$C,0))),"",INDEX('Policy Characteristics'!A:A,MATCH($C271,'Policy Characteristics'!$C:$C,0)))</f>
        <v>Electricity Supply</v>
      </c>
      <c r="B271" s="395" t="str">
        <f>IF(ISBLANK(INDEX('Policy Characteristics'!B:B,MATCH($C271,'Policy Characteristics'!$C:$C,0))),"",INDEX('Policy Characteristics'!B:B,MATCH($C271,'Policy Characteristics'!$C:$C,0)))</f>
        <v>Reduce Plant Downtime</v>
      </c>
      <c r="C271" s="402" t="str">
        <f t="shared" si="22"/>
        <v>Percentage Reduction in Plant Downtime</v>
      </c>
      <c r="D271" s="399" t="s">
        <v>705</v>
      </c>
      <c r="E271" s="399" t="s">
        <v>733</v>
      </c>
      <c r="F271" s="399"/>
      <c r="G271" s="399"/>
      <c r="H271" s="377">
        <v>655</v>
      </c>
      <c r="I271" s="396" t="s">
        <v>658</v>
      </c>
      <c r="J271" s="397" t="str">
        <f>IF(ISBLANK(INDEX('Policy Characteristics'!D:D,MATCH($C271,'Policy Characteristics'!$C:$C,0))),"",INDEX('Policy Characteristics'!D:D,MATCH($C271,'Policy Characteristics'!$C:$C,0)))</f>
        <v>Reduce Plant Downtime</v>
      </c>
      <c r="K271" s="394" t="str">
        <f>IF(ISBLANK(INDEX('Policy Characteristics'!E:E,MATCH($C271,'Policy Characteristics'!$C:$C,0))),"",INDEX('Policy Characteristics'!E:E,MATCH($C271,'Policy Characteristics'!$C:$C,0)))</f>
        <v>elec reduce plant downtime</v>
      </c>
      <c r="L271" s="398">
        <f>IF(ISBLANK(INDEX('Policy Characteristics'!F:F,MATCH($C271,'Policy Characteristics'!$C:$C,0))),"",INDEX('Policy Characteristics'!F:F,MATCH($C271,'Policy Characteristics'!$C:$C,0)))</f>
        <v>0</v>
      </c>
      <c r="M271" s="398">
        <f>IF(ISBLANK(INDEX('Policy Characteristics'!G:G,MATCH($C271,'Policy Characteristics'!$C:$C,0))),"",INDEX('Policy Characteristics'!G:G,MATCH($C271,'Policy Characteristics'!$C:$C,0)))</f>
        <v>0.6</v>
      </c>
      <c r="N271" s="398">
        <f>IF(ISBLANK(INDEX('Policy Characteristics'!H:H,MATCH($C271,'Policy Characteristics'!$C:$C,0))),"",INDEX('Policy Characteristics'!H:H,MATCH($C271,'Policy Characteristics'!$C:$C,0)))</f>
        <v>0.01</v>
      </c>
      <c r="O271" s="394" t="str">
        <f>IF(ISBLANK(INDEX('Policy Characteristics'!I:I,MATCH($C271,'Policy Characteristics'!$C:$C,0))),"",INDEX('Policy Characteristics'!I:I,MATCH($C271,'Policy Characteristics'!$C:$C,0)))</f>
        <v>% reduction in downtime</v>
      </c>
      <c r="P271" s="394" t="str">
        <f>IF(ISBLANK(INDEX('Policy Characteristics'!J:J,MATCH($C271,'Policy Characteristics'!$C:$C,0))),"",INDEX('Policy Characteristics'!J:J,MATCH($C271,'Policy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1" s="394" t="str">
        <f>IF(ISBLANK(INDEX('Policy Characteristics'!K:K,MATCH($C271,'Policy Characteristics'!$C:$C,0))),"",INDEX('Policy Characteristics'!K:K,MATCH($C271,'Policy Characteristics'!$C:$C,0)))</f>
        <v>electricity-sector-main.html#red-downtime</v>
      </c>
      <c r="R271" s="394" t="str">
        <f>IF(ISBLANK(INDEX('Policy Characteristics'!L:L,MATCH($C271,'Policy Characteristics'!$C:$C,0))),"",INDEX('Policy Characteristics'!L:L,MATCH($C271,'Policy Characteristics'!$C:$C,0)))</f>
        <v>reduce-downtime.html</v>
      </c>
    </row>
    <row r="272" customHeight="1" spans="1:18">
      <c r="A272" s="394" t="str">
        <f>IF(ISBLANK(INDEX('Policy Characteristics'!A:A,MATCH($C272,'Policy Characteristics'!$C:$C,0))),"",INDEX('Policy Characteristics'!A:A,MATCH($C272,'Policy Characteristics'!$C:$C,0)))</f>
        <v>Electricity Supply</v>
      </c>
      <c r="B272" s="395" t="str">
        <f>IF(ISBLANK(INDEX('Policy Characteristics'!B:B,MATCH($C272,'Policy Characteristics'!$C:$C,0))),"",INDEX('Policy Characteristics'!B:B,MATCH($C272,'Policy Characteristics'!$C:$C,0)))</f>
        <v>Reduce Plant Downtime</v>
      </c>
      <c r="C272" s="402" t="str">
        <f t="shared" si="22"/>
        <v>Percentage Reduction in Plant Downtime</v>
      </c>
      <c r="D272" s="399" t="s">
        <v>705</v>
      </c>
      <c r="E272" s="399" t="s">
        <v>734</v>
      </c>
      <c r="F272" s="399"/>
      <c r="G272" s="399"/>
      <c r="H272" s="377">
        <v>656</v>
      </c>
      <c r="I272" s="396" t="s">
        <v>658</v>
      </c>
      <c r="J272" s="397" t="str">
        <f>IF(ISBLANK(INDEX('Policy Characteristics'!D:D,MATCH($C272,'Policy Characteristics'!$C:$C,0))),"",INDEX('Policy Characteristics'!D:D,MATCH($C272,'Policy Characteristics'!$C:$C,0)))</f>
        <v>Reduce Plant Downtime</v>
      </c>
      <c r="K272" s="394" t="str">
        <f>IF(ISBLANK(INDEX('Policy Characteristics'!E:E,MATCH($C272,'Policy Characteristics'!$C:$C,0))),"",INDEX('Policy Characteristics'!E:E,MATCH($C272,'Policy Characteristics'!$C:$C,0)))</f>
        <v>elec reduce plant downtime</v>
      </c>
      <c r="L272" s="398">
        <f>IF(ISBLANK(INDEX('Policy Characteristics'!F:F,MATCH($C272,'Policy Characteristics'!$C:$C,0))),"",INDEX('Policy Characteristics'!F:F,MATCH($C272,'Policy Characteristics'!$C:$C,0)))</f>
        <v>0</v>
      </c>
      <c r="M272" s="398">
        <f>IF(ISBLANK(INDEX('Policy Characteristics'!G:G,MATCH($C272,'Policy Characteristics'!$C:$C,0))),"",INDEX('Policy Characteristics'!G:G,MATCH($C272,'Policy Characteristics'!$C:$C,0)))</f>
        <v>0.6</v>
      </c>
      <c r="N272" s="398">
        <f>IF(ISBLANK(INDEX('Policy Characteristics'!H:H,MATCH($C272,'Policy Characteristics'!$C:$C,0))),"",INDEX('Policy Characteristics'!H:H,MATCH($C272,'Policy Characteristics'!$C:$C,0)))</f>
        <v>0.01</v>
      </c>
      <c r="O272" s="394" t="str">
        <f>IF(ISBLANK(INDEX('Policy Characteristics'!I:I,MATCH($C272,'Policy Characteristics'!$C:$C,0))),"",INDEX('Policy Characteristics'!I:I,MATCH($C272,'Policy Characteristics'!$C:$C,0)))</f>
        <v>% reduction in downtime</v>
      </c>
      <c r="P272" s="394" t="str">
        <f>IF(ISBLANK(INDEX('Policy Characteristics'!J:J,MATCH($C272,'Policy Characteristics'!$C:$C,0))),"",INDEX('Policy Characteristics'!J:J,MATCH($C272,'Policy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2" s="394" t="str">
        <f>IF(ISBLANK(INDEX('Policy Characteristics'!K:K,MATCH($C272,'Policy Characteristics'!$C:$C,0))),"",INDEX('Policy Characteristics'!K:K,MATCH($C272,'Policy Characteristics'!$C:$C,0)))</f>
        <v>electricity-sector-main.html#red-downtime</v>
      </c>
      <c r="R272" s="394" t="str">
        <f>IF(ISBLANK(INDEX('Policy Characteristics'!L:L,MATCH($C272,'Policy Characteristics'!$C:$C,0))),"",INDEX('Policy Characteristics'!L:L,MATCH($C272,'Policy Characteristics'!$C:$C,0)))</f>
        <v>reduce-downtime.html</v>
      </c>
    </row>
    <row r="273" customHeight="1" spans="1:18">
      <c r="A273" s="394" t="str">
        <f>IF(ISBLANK(INDEX('Policy Characteristics'!A:A,MATCH($C273,'Policy Characteristics'!$C:$C,0))),"",INDEX('Policy Characteristics'!A:A,MATCH($C273,'Policy Characteristics'!$C:$C,0)))</f>
        <v>Electricity Supply</v>
      </c>
      <c r="B273" s="395" t="str">
        <f>IF(ISBLANK(INDEX('Policy Characteristics'!B:B,MATCH($C273,'Policy Characteristics'!$C:$C,0))),"",INDEX('Policy Characteristics'!B:B,MATCH($C273,'Policy Characteristics'!$C:$C,0)))</f>
        <v>Reduce Plant Downtime</v>
      </c>
      <c r="C273" s="402" t="str">
        <f t="shared" si="22"/>
        <v>Percentage Reduction in Plant Downtime</v>
      </c>
      <c r="D273" s="399" t="s">
        <v>705</v>
      </c>
      <c r="E273" s="399" t="s">
        <v>735</v>
      </c>
      <c r="F273" s="399"/>
      <c r="G273" s="399"/>
      <c r="H273" s="377">
        <v>657</v>
      </c>
      <c r="I273" s="396" t="s">
        <v>658</v>
      </c>
      <c r="J273" s="397" t="str">
        <f>IF(ISBLANK(INDEX('Policy Characteristics'!D:D,MATCH($C273,'Policy Characteristics'!$C:$C,0))),"",INDEX('Policy Characteristics'!D:D,MATCH($C273,'Policy Characteristics'!$C:$C,0)))</f>
        <v>Reduce Plant Downtime</v>
      </c>
      <c r="K273" s="394" t="str">
        <f>IF(ISBLANK(INDEX('Policy Characteristics'!E:E,MATCH($C273,'Policy Characteristics'!$C:$C,0))),"",INDEX('Policy Characteristics'!E:E,MATCH($C273,'Policy Characteristics'!$C:$C,0)))</f>
        <v>elec reduce plant downtime</v>
      </c>
      <c r="L273" s="398">
        <f>IF(ISBLANK(INDEX('Policy Characteristics'!F:F,MATCH($C273,'Policy Characteristics'!$C:$C,0))),"",INDEX('Policy Characteristics'!F:F,MATCH($C273,'Policy Characteristics'!$C:$C,0)))</f>
        <v>0</v>
      </c>
      <c r="M273" s="398">
        <f>IF(ISBLANK(INDEX('Policy Characteristics'!G:G,MATCH($C273,'Policy Characteristics'!$C:$C,0))),"",INDEX('Policy Characteristics'!G:G,MATCH($C273,'Policy Characteristics'!$C:$C,0)))</f>
        <v>0.6</v>
      </c>
      <c r="N273" s="398">
        <f>IF(ISBLANK(INDEX('Policy Characteristics'!H:H,MATCH($C273,'Policy Characteristics'!$C:$C,0))),"",INDEX('Policy Characteristics'!H:H,MATCH($C273,'Policy Characteristics'!$C:$C,0)))</f>
        <v>0.01</v>
      </c>
      <c r="O273" s="394" t="str">
        <f>IF(ISBLANK(INDEX('Policy Characteristics'!I:I,MATCH($C273,'Policy Characteristics'!$C:$C,0))),"",INDEX('Policy Characteristics'!I:I,MATCH($C273,'Policy Characteristics'!$C:$C,0)))</f>
        <v>% reduction in downtime</v>
      </c>
      <c r="P273" s="394" t="str">
        <f>IF(ISBLANK(INDEX('Policy Characteristics'!J:J,MATCH($C273,'Policy Characteristics'!$C:$C,0))),"",INDEX('Policy Characteristics'!J:J,MATCH($C273,'Policy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3" s="394" t="str">
        <f>IF(ISBLANK(INDEX('Policy Characteristics'!K:K,MATCH($C273,'Policy Characteristics'!$C:$C,0))),"",INDEX('Policy Characteristics'!K:K,MATCH($C273,'Policy Characteristics'!$C:$C,0)))</f>
        <v>electricity-sector-main.html#red-downtime</v>
      </c>
      <c r="R273" s="394" t="str">
        <f>IF(ISBLANK(INDEX('Policy Characteristics'!L:L,MATCH($C273,'Policy Characteristics'!$C:$C,0))),"",INDEX('Policy Characteristics'!L:L,MATCH($C273,'Policy Characteristics'!$C:$C,0)))</f>
        <v>reduce-downtime.html</v>
      </c>
    </row>
    <row r="274" customHeight="1" spans="1:18">
      <c r="A274" s="394" t="str">
        <f>IF(ISBLANK(INDEX('Policy Characteristics'!A:A,MATCH($C274,'Policy Characteristics'!$C:$C,0))),"",INDEX('Policy Characteristics'!A:A,MATCH($C274,'Policy Characteristics'!$C:$C,0)))</f>
        <v>Electricity Supply</v>
      </c>
      <c r="B274" s="395" t="str">
        <f>IF(ISBLANK(INDEX('Policy Characteristics'!B:B,MATCH($C274,'Policy Characteristics'!$C:$C,0))),"",INDEX('Policy Characteristics'!B:B,MATCH($C274,'Policy Characteristics'!$C:$C,0)))</f>
        <v>Reduce Plant Downtime</v>
      </c>
      <c r="C274" s="402" t="str">
        <f t="shared" si="22"/>
        <v>Percentage Reduction in Plant Downtime</v>
      </c>
      <c r="D274" s="399" t="s">
        <v>707</v>
      </c>
      <c r="E274" s="399" t="s">
        <v>733</v>
      </c>
      <c r="F274" s="399"/>
      <c r="G274" s="399"/>
      <c r="H274" s="377">
        <v>658</v>
      </c>
      <c r="I274" s="396" t="s">
        <v>658</v>
      </c>
      <c r="J274" s="397" t="str">
        <f>IF(ISBLANK(INDEX('Policy Characteristics'!D:D,MATCH($C274,'Policy Characteristics'!$C:$C,0))),"",INDEX('Policy Characteristics'!D:D,MATCH($C274,'Policy Characteristics'!$C:$C,0)))</f>
        <v>Reduce Plant Downtime</v>
      </c>
      <c r="K274" s="394" t="str">
        <f>IF(ISBLANK(INDEX('Policy Characteristics'!E:E,MATCH($C274,'Policy Characteristics'!$C:$C,0))),"",INDEX('Policy Characteristics'!E:E,MATCH($C274,'Policy Characteristics'!$C:$C,0)))</f>
        <v>elec reduce plant downtime</v>
      </c>
      <c r="L274" s="398">
        <f>IF(ISBLANK(INDEX('Policy Characteristics'!F:F,MATCH($C274,'Policy Characteristics'!$C:$C,0))),"",INDEX('Policy Characteristics'!F:F,MATCH($C274,'Policy Characteristics'!$C:$C,0)))</f>
        <v>0</v>
      </c>
      <c r="M274" s="398">
        <f>IF(ISBLANK(INDEX('Policy Characteristics'!G:G,MATCH($C274,'Policy Characteristics'!$C:$C,0))),"",INDEX('Policy Characteristics'!G:G,MATCH($C274,'Policy Characteristics'!$C:$C,0)))</f>
        <v>0.6</v>
      </c>
      <c r="N274" s="398">
        <f>IF(ISBLANK(INDEX('Policy Characteristics'!H:H,MATCH($C274,'Policy Characteristics'!$C:$C,0))),"",INDEX('Policy Characteristics'!H:H,MATCH($C274,'Policy Characteristics'!$C:$C,0)))</f>
        <v>0.01</v>
      </c>
      <c r="O274" s="394" t="str">
        <f>IF(ISBLANK(INDEX('Policy Characteristics'!I:I,MATCH($C274,'Policy Characteristics'!$C:$C,0))),"",INDEX('Policy Characteristics'!I:I,MATCH($C274,'Policy Characteristics'!$C:$C,0)))</f>
        <v>% reduction in downtime</v>
      </c>
      <c r="P274" s="394" t="str">
        <f>IF(ISBLANK(INDEX('Policy Characteristics'!J:J,MATCH($C274,'Policy Characteristics'!$C:$C,0))),"",INDEX('Policy Characteristics'!J:J,MATCH($C274,'Policy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4" s="394" t="str">
        <f>IF(ISBLANK(INDEX('Policy Characteristics'!K:K,MATCH($C274,'Policy Characteristics'!$C:$C,0))),"",INDEX('Policy Characteristics'!K:K,MATCH($C274,'Policy Characteristics'!$C:$C,0)))</f>
        <v>electricity-sector-main.html#red-downtime</v>
      </c>
      <c r="R274" s="394" t="str">
        <f>IF(ISBLANK(INDEX('Policy Characteristics'!L:L,MATCH($C274,'Policy Characteristics'!$C:$C,0))),"",INDEX('Policy Characteristics'!L:L,MATCH($C274,'Policy Characteristics'!$C:$C,0)))</f>
        <v>reduce-downtime.html</v>
      </c>
    </row>
    <row r="275" customHeight="1" spans="1:18">
      <c r="A275" s="394" t="str">
        <f>IF(ISBLANK(INDEX('Policy Characteristics'!A:A,MATCH($C275,'Policy Characteristics'!$C:$C,0))),"",INDEX('Policy Characteristics'!A:A,MATCH($C275,'Policy Characteristics'!$C:$C,0)))</f>
        <v>Electricity Supply</v>
      </c>
      <c r="B275" s="395" t="str">
        <f>IF(ISBLANK(INDEX('Policy Characteristics'!B:B,MATCH($C275,'Policy Characteristics'!$C:$C,0))),"",INDEX('Policy Characteristics'!B:B,MATCH($C275,'Policy Characteristics'!$C:$C,0)))</f>
        <v>Reduce Plant Downtime</v>
      </c>
      <c r="C275" s="402" t="str">
        <f t="shared" si="22"/>
        <v>Percentage Reduction in Plant Downtime</v>
      </c>
      <c r="D275" s="399" t="s">
        <v>707</v>
      </c>
      <c r="E275" s="399" t="s">
        <v>734</v>
      </c>
      <c r="F275" s="399"/>
      <c r="G275" s="399"/>
      <c r="H275" s="377">
        <v>659</v>
      </c>
      <c r="I275" s="396" t="s">
        <v>658</v>
      </c>
      <c r="J275" s="397" t="str">
        <f>IF(ISBLANK(INDEX('Policy Characteristics'!D:D,MATCH($C275,'Policy Characteristics'!$C:$C,0))),"",INDEX('Policy Characteristics'!D:D,MATCH($C275,'Policy Characteristics'!$C:$C,0)))</f>
        <v>Reduce Plant Downtime</v>
      </c>
      <c r="K275" s="394" t="str">
        <f>IF(ISBLANK(INDEX('Policy Characteristics'!E:E,MATCH($C275,'Policy Characteristics'!$C:$C,0))),"",INDEX('Policy Characteristics'!E:E,MATCH($C275,'Policy Characteristics'!$C:$C,0)))</f>
        <v>elec reduce plant downtime</v>
      </c>
      <c r="L275" s="398">
        <f>IF(ISBLANK(INDEX('Policy Characteristics'!F:F,MATCH($C275,'Policy Characteristics'!$C:$C,0))),"",INDEX('Policy Characteristics'!F:F,MATCH($C275,'Policy Characteristics'!$C:$C,0)))</f>
        <v>0</v>
      </c>
      <c r="M275" s="398">
        <f>IF(ISBLANK(INDEX('Policy Characteristics'!G:G,MATCH($C275,'Policy Characteristics'!$C:$C,0))),"",INDEX('Policy Characteristics'!G:G,MATCH($C275,'Policy Characteristics'!$C:$C,0)))</f>
        <v>0.6</v>
      </c>
      <c r="N275" s="398">
        <f>IF(ISBLANK(INDEX('Policy Characteristics'!H:H,MATCH($C275,'Policy Characteristics'!$C:$C,0))),"",INDEX('Policy Characteristics'!H:H,MATCH($C275,'Policy Characteristics'!$C:$C,0)))</f>
        <v>0.01</v>
      </c>
      <c r="O275" s="394" t="str">
        <f>IF(ISBLANK(INDEX('Policy Characteristics'!I:I,MATCH($C275,'Policy Characteristics'!$C:$C,0))),"",INDEX('Policy Characteristics'!I:I,MATCH($C275,'Policy Characteristics'!$C:$C,0)))</f>
        <v>% reduction in downtime</v>
      </c>
      <c r="P275" s="394" t="str">
        <f>IF(ISBLANK(INDEX('Policy Characteristics'!J:J,MATCH($C275,'Policy Characteristics'!$C:$C,0))),"",INDEX('Policy Characteristics'!J:J,MATCH($C275,'Policy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5" s="394" t="str">
        <f>IF(ISBLANK(INDEX('Policy Characteristics'!K:K,MATCH($C275,'Policy Characteristics'!$C:$C,0))),"",INDEX('Policy Characteristics'!K:K,MATCH($C275,'Policy Characteristics'!$C:$C,0)))</f>
        <v>electricity-sector-main.html#red-downtime</v>
      </c>
      <c r="R275" s="394" t="str">
        <f>IF(ISBLANK(INDEX('Policy Characteristics'!L:L,MATCH($C275,'Policy Characteristics'!$C:$C,0))),"",INDEX('Policy Characteristics'!L:L,MATCH($C275,'Policy Characteristics'!$C:$C,0)))</f>
        <v>reduce-downtime.html</v>
      </c>
    </row>
    <row r="276" customHeight="1" spans="1:18">
      <c r="A276" s="394" t="str">
        <f>IF(ISBLANK(INDEX('Policy Characteristics'!A:A,MATCH($C276,'Policy Characteristics'!$C:$C,0))),"",INDEX('Policy Characteristics'!A:A,MATCH($C276,'Policy Characteristics'!$C:$C,0)))</f>
        <v>Electricity Supply</v>
      </c>
      <c r="B276" s="395" t="str">
        <f>IF(ISBLANK(INDEX('Policy Characteristics'!B:B,MATCH($C276,'Policy Characteristics'!$C:$C,0))),"",INDEX('Policy Characteristics'!B:B,MATCH($C276,'Policy Characteristics'!$C:$C,0)))</f>
        <v>Reduce Plant Downtime</v>
      </c>
      <c r="C276" s="402" t="str">
        <f t="shared" si="22"/>
        <v>Percentage Reduction in Plant Downtime</v>
      </c>
      <c r="D276" s="399" t="s">
        <v>707</v>
      </c>
      <c r="E276" s="399" t="s">
        <v>735</v>
      </c>
      <c r="F276" s="399"/>
      <c r="G276" s="399"/>
      <c r="H276" s="377">
        <v>660</v>
      </c>
      <c r="I276" s="396" t="s">
        <v>658</v>
      </c>
      <c r="J276" s="397" t="str">
        <f>IF(ISBLANK(INDEX('Policy Characteristics'!D:D,MATCH($C276,'Policy Characteristics'!$C:$C,0))),"",INDEX('Policy Characteristics'!D:D,MATCH($C276,'Policy Characteristics'!$C:$C,0)))</f>
        <v>Reduce Plant Downtime</v>
      </c>
      <c r="K276" s="394" t="str">
        <f>IF(ISBLANK(INDEX('Policy Characteristics'!E:E,MATCH($C276,'Policy Characteristics'!$C:$C,0))),"",INDEX('Policy Characteristics'!E:E,MATCH($C276,'Policy Characteristics'!$C:$C,0)))</f>
        <v>elec reduce plant downtime</v>
      </c>
      <c r="L276" s="398">
        <f>IF(ISBLANK(INDEX('Policy Characteristics'!F:F,MATCH($C276,'Policy Characteristics'!$C:$C,0))),"",INDEX('Policy Characteristics'!F:F,MATCH($C276,'Policy Characteristics'!$C:$C,0)))</f>
        <v>0</v>
      </c>
      <c r="M276" s="398">
        <f>IF(ISBLANK(INDEX('Policy Characteristics'!G:G,MATCH($C276,'Policy Characteristics'!$C:$C,0))),"",INDEX('Policy Characteristics'!G:G,MATCH($C276,'Policy Characteristics'!$C:$C,0)))</f>
        <v>0.6</v>
      </c>
      <c r="N276" s="398">
        <f>IF(ISBLANK(INDEX('Policy Characteristics'!H:H,MATCH($C276,'Policy Characteristics'!$C:$C,0))),"",INDEX('Policy Characteristics'!H:H,MATCH($C276,'Policy Characteristics'!$C:$C,0)))</f>
        <v>0.01</v>
      </c>
      <c r="O276" s="394" t="str">
        <f>IF(ISBLANK(INDEX('Policy Characteristics'!I:I,MATCH($C276,'Policy Characteristics'!$C:$C,0))),"",INDEX('Policy Characteristics'!I:I,MATCH($C276,'Policy Characteristics'!$C:$C,0)))</f>
        <v>% reduction in downtime</v>
      </c>
      <c r="P276" s="394" t="str">
        <f>IF(ISBLANK(INDEX('Policy Characteristics'!J:J,MATCH($C276,'Policy Characteristics'!$C:$C,0))),"",INDEX('Policy Characteristics'!J:J,MATCH($C276,'Policy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6" s="394" t="str">
        <f>IF(ISBLANK(INDEX('Policy Characteristics'!K:K,MATCH($C276,'Policy Characteristics'!$C:$C,0))),"",INDEX('Policy Characteristics'!K:K,MATCH($C276,'Policy Characteristics'!$C:$C,0)))</f>
        <v>electricity-sector-main.html#red-downtime</v>
      </c>
      <c r="R276" s="394" t="str">
        <f>IF(ISBLANK(INDEX('Policy Characteristics'!L:L,MATCH($C276,'Policy Characteristics'!$C:$C,0))),"",INDEX('Policy Characteristics'!L:L,MATCH($C276,'Policy Characteristics'!$C:$C,0)))</f>
        <v>reduce-downtime.html</v>
      </c>
    </row>
    <row r="277" customHeight="1" spans="1:18">
      <c r="A277" s="394" t="str">
        <f>IF(ISBLANK(INDEX('Policy Characteristics'!A:A,MATCH($C277,'Policy Characteristics'!$C:$C,0))),"",INDEX('Policy Characteristics'!A:A,MATCH($C277,'Policy Characteristics'!$C:$C,0)))</f>
        <v>Electricity Supply</v>
      </c>
      <c r="B277" s="395" t="str">
        <f>IF(ISBLANK(INDEX('Policy Characteristics'!B:B,MATCH($C277,'Policy Characteristics'!$C:$C,0))),"",INDEX('Policy Characteristics'!B:B,MATCH($C277,'Policy Characteristics'!$C:$C,0)))</f>
        <v>Reduce Plant Downtime</v>
      </c>
      <c r="C277" s="402" t="str">
        <f t="shared" si="22"/>
        <v>Percentage Reduction in Plant Downtime</v>
      </c>
      <c r="D277" s="399" t="s">
        <v>709</v>
      </c>
      <c r="E277" s="399" t="s">
        <v>733</v>
      </c>
      <c r="F277" s="399"/>
      <c r="G277" s="399"/>
      <c r="H277" s="377">
        <v>661</v>
      </c>
      <c r="I277" s="396" t="s">
        <v>658</v>
      </c>
      <c r="J277" s="397" t="str">
        <f>IF(ISBLANK(INDEX('Policy Characteristics'!D:D,MATCH($C277,'Policy Characteristics'!$C:$C,0))),"",INDEX('Policy Characteristics'!D:D,MATCH($C277,'Policy Characteristics'!$C:$C,0)))</f>
        <v>Reduce Plant Downtime</v>
      </c>
      <c r="K277" s="394" t="str">
        <f>IF(ISBLANK(INDEX('Policy Characteristics'!E:E,MATCH($C277,'Policy Characteristics'!$C:$C,0))),"",INDEX('Policy Characteristics'!E:E,MATCH($C277,'Policy Characteristics'!$C:$C,0)))</f>
        <v>elec reduce plant downtime</v>
      </c>
      <c r="L277" s="398">
        <f>IF(ISBLANK(INDEX('Policy Characteristics'!F:F,MATCH($C277,'Policy Characteristics'!$C:$C,0))),"",INDEX('Policy Characteristics'!F:F,MATCH($C277,'Policy Characteristics'!$C:$C,0)))</f>
        <v>0</v>
      </c>
      <c r="M277" s="398">
        <f>IF(ISBLANK(INDEX('Policy Characteristics'!G:G,MATCH($C277,'Policy Characteristics'!$C:$C,0))),"",INDEX('Policy Characteristics'!G:G,MATCH($C277,'Policy Characteristics'!$C:$C,0)))</f>
        <v>0.6</v>
      </c>
      <c r="N277" s="398">
        <f>IF(ISBLANK(INDEX('Policy Characteristics'!H:H,MATCH($C277,'Policy Characteristics'!$C:$C,0))),"",INDEX('Policy Characteristics'!H:H,MATCH($C277,'Policy Characteristics'!$C:$C,0)))</f>
        <v>0.01</v>
      </c>
      <c r="O277" s="394" t="str">
        <f>IF(ISBLANK(INDEX('Policy Characteristics'!I:I,MATCH($C277,'Policy Characteristics'!$C:$C,0))),"",INDEX('Policy Characteristics'!I:I,MATCH($C277,'Policy Characteristics'!$C:$C,0)))</f>
        <v>% reduction in downtime</v>
      </c>
      <c r="P277" s="394" t="str">
        <f>IF(ISBLANK(INDEX('Policy Characteristics'!J:J,MATCH($C277,'Policy Characteristics'!$C:$C,0))),"",INDEX('Policy Characteristics'!J:J,MATCH($C277,'Policy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7" s="394" t="str">
        <f>IF(ISBLANK(INDEX('Policy Characteristics'!K:K,MATCH($C277,'Policy Characteristics'!$C:$C,0))),"",INDEX('Policy Characteristics'!K:K,MATCH($C277,'Policy Characteristics'!$C:$C,0)))</f>
        <v>electricity-sector-main.html#red-downtime</v>
      </c>
      <c r="R277" s="394" t="str">
        <f>IF(ISBLANK(INDEX('Policy Characteristics'!L:L,MATCH($C277,'Policy Characteristics'!$C:$C,0))),"",INDEX('Policy Characteristics'!L:L,MATCH($C277,'Policy Characteristics'!$C:$C,0)))</f>
        <v>reduce-downtime.html</v>
      </c>
    </row>
    <row r="278" customHeight="1" spans="1:18">
      <c r="A278" s="394" t="str">
        <f>IF(ISBLANK(INDEX('Policy Characteristics'!A:A,MATCH($C278,'Policy Characteristics'!$C:$C,0))),"",INDEX('Policy Characteristics'!A:A,MATCH($C278,'Policy Characteristics'!$C:$C,0)))</f>
        <v>Electricity Supply</v>
      </c>
      <c r="B278" s="395" t="str">
        <f>IF(ISBLANK(INDEX('Policy Characteristics'!B:B,MATCH($C278,'Policy Characteristics'!$C:$C,0))),"",INDEX('Policy Characteristics'!B:B,MATCH($C278,'Policy Characteristics'!$C:$C,0)))</f>
        <v>Reduce Plant Downtime</v>
      </c>
      <c r="C278" s="402" t="str">
        <f t="shared" si="22"/>
        <v>Percentage Reduction in Plant Downtime</v>
      </c>
      <c r="D278" s="399" t="s">
        <v>709</v>
      </c>
      <c r="E278" s="399" t="s">
        <v>734</v>
      </c>
      <c r="F278" s="399"/>
      <c r="G278" s="399"/>
      <c r="H278" s="377">
        <v>662</v>
      </c>
      <c r="I278" s="396" t="s">
        <v>658</v>
      </c>
      <c r="J278" s="397" t="str">
        <f>IF(ISBLANK(INDEX('Policy Characteristics'!D:D,MATCH($C278,'Policy Characteristics'!$C:$C,0))),"",INDEX('Policy Characteristics'!D:D,MATCH($C278,'Policy Characteristics'!$C:$C,0)))</f>
        <v>Reduce Plant Downtime</v>
      </c>
      <c r="K278" s="394" t="str">
        <f>IF(ISBLANK(INDEX('Policy Characteristics'!E:E,MATCH($C278,'Policy Characteristics'!$C:$C,0))),"",INDEX('Policy Characteristics'!E:E,MATCH($C278,'Policy Characteristics'!$C:$C,0)))</f>
        <v>elec reduce plant downtime</v>
      </c>
      <c r="L278" s="398">
        <f>IF(ISBLANK(INDEX('Policy Characteristics'!F:F,MATCH($C278,'Policy Characteristics'!$C:$C,0))),"",INDEX('Policy Characteristics'!F:F,MATCH($C278,'Policy Characteristics'!$C:$C,0)))</f>
        <v>0</v>
      </c>
      <c r="M278" s="398">
        <f>IF(ISBLANK(INDEX('Policy Characteristics'!G:G,MATCH($C278,'Policy Characteristics'!$C:$C,0))),"",INDEX('Policy Characteristics'!G:G,MATCH($C278,'Policy Characteristics'!$C:$C,0)))</f>
        <v>0.6</v>
      </c>
      <c r="N278" s="398">
        <f>IF(ISBLANK(INDEX('Policy Characteristics'!H:H,MATCH($C278,'Policy Characteristics'!$C:$C,0))),"",INDEX('Policy Characteristics'!H:H,MATCH($C278,'Policy Characteristics'!$C:$C,0)))</f>
        <v>0.01</v>
      </c>
      <c r="O278" s="394" t="str">
        <f>IF(ISBLANK(INDEX('Policy Characteristics'!I:I,MATCH($C278,'Policy Characteristics'!$C:$C,0))),"",INDEX('Policy Characteristics'!I:I,MATCH($C278,'Policy Characteristics'!$C:$C,0)))</f>
        <v>% reduction in downtime</v>
      </c>
      <c r="P278" s="394" t="str">
        <f>IF(ISBLANK(INDEX('Policy Characteristics'!J:J,MATCH($C278,'Policy Characteristics'!$C:$C,0))),"",INDEX('Policy Characteristics'!J:J,MATCH($C278,'Policy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8" s="394" t="str">
        <f>IF(ISBLANK(INDEX('Policy Characteristics'!K:K,MATCH($C278,'Policy Characteristics'!$C:$C,0))),"",INDEX('Policy Characteristics'!K:K,MATCH($C278,'Policy Characteristics'!$C:$C,0)))</f>
        <v>electricity-sector-main.html#red-downtime</v>
      </c>
      <c r="R278" s="394" t="str">
        <f>IF(ISBLANK(INDEX('Policy Characteristics'!L:L,MATCH($C278,'Policy Characteristics'!$C:$C,0))),"",INDEX('Policy Characteristics'!L:L,MATCH($C278,'Policy Characteristics'!$C:$C,0)))</f>
        <v>reduce-downtime.html</v>
      </c>
    </row>
    <row r="279" customHeight="1" spans="1:18">
      <c r="A279" s="394" t="str">
        <f>IF(ISBLANK(INDEX('Policy Characteristics'!A:A,MATCH($C279,'Policy Characteristics'!$C:$C,0))),"",INDEX('Policy Characteristics'!A:A,MATCH($C279,'Policy Characteristics'!$C:$C,0)))</f>
        <v>Electricity Supply</v>
      </c>
      <c r="B279" s="395" t="str">
        <f>IF(ISBLANK(INDEX('Policy Characteristics'!B:B,MATCH($C279,'Policy Characteristics'!$C:$C,0))),"",INDEX('Policy Characteristics'!B:B,MATCH($C279,'Policy Characteristics'!$C:$C,0)))</f>
        <v>Reduce Plant Downtime</v>
      </c>
      <c r="C279" s="402" t="str">
        <f t="shared" si="22"/>
        <v>Percentage Reduction in Plant Downtime</v>
      </c>
      <c r="D279" s="399" t="s">
        <v>709</v>
      </c>
      <c r="E279" s="399" t="s">
        <v>735</v>
      </c>
      <c r="F279" s="399" t="s">
        <v>710</v>
      </c>
      <c r="G279" s="399" t="s">
        <v>737</v>
      </c>
      <c r="H279" s="377">
        <v>143</v>
      </c>
      <c r="I279" s="396" t="s">
        <v>648</v>
      </c>
      <c r="J279" s="397" t="str">
        <f>IF(ISBLANK(INDEX('Policy Characteristics'!D:D,MATCH($C279,'Policy Characteristics'!$C:$C,0))),"",INDEX('Policy Characteristics'!D:D,MATCH($C279,'Policy Characteristics'!$C:$C,0)))</f>
        <v>Reduce Plant Downtime</v>
      </c>
      <c r="K279" s="394" t="str">
        <f>IF(ISBLANK(INDEX('Policy Characteristics'!E:E,MATCH($C279,'Policy Characteristics'!$C:$C,0))),"",INDEX('Policy Characteristics'!E:E,MATCH($C279,'Policy Characteristics'!$C:$C,0)))</f>
        <v>elec reduce plant downtime</v>
      </c>
      <c r="L279" s="398">
        <f>IF(ISBLANK(INDEX('Policy Characteristics'!F:F,MATCH($C279,'Policy Characteristics'!$C:$C,0))),"",INDEX('Policy Characteristics'!F:F,MATCH($C279,'Policy Characteristics'!$C:$C,0)))</f>
        <v>0</v>
      </c>
      <c r="M279" s="398">
        <f>IF(ISBLANK(INDEX('Policy Characteristics'!G:G,MATCH($C279,'Policy Characteristics'!$C:$C,0))),"",INDEX('Policy Characteristics'!G:G,MATCH($C279,'Policy Characteristics'!$C:$C,0)))</f>
        <v>0.6</v>
      </c>
      <c r="N279" s="398">
        <f>IF(ISBLANK(INDEX('Policy Characteristics'!H:H,MATCH($C279,'Policy Characteristics'!$C:$C,0))),"",INDEX('Policy Characteristics'!H:H,MATCH($C279,'Policy Characteristics'!$C:$C,0)))</f>
        <v>0.01</v>
      </c>
      <c r="O279" s="394" t="str">
        <f>IF(ISBLANK(INDEX('Policy Characteristics'!I:I,MATCH($C279,'Policy Characteristics'!$C:$C,0))),"",INDEX('Policy Characteristics'!I:I,MATCH($C279,'Policy Characteristics'!$C:$C,0)))</f>
        <v>% reduction in downtime</v>
      </c>
      <c r="P279" s="394" t="str">
        <f>IF(ISBLANK(INDEX('Policy Characteristics'!J:J,MATCH($C279,'Policy Characteristics'!$C:$C,0))),"",INDEX('Policy Characteristics'!J:J,MATCH($C279,'Policy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9" s="394" t="str">
        <f>IF(ISBLANK(INDEX('Policy Characteristics'!K:K,MATCH($C279,'Policy Characteristics'!$C:$C,0))),"",INDEX('Policy Characteristics'!K:K,MATCH($C279,'Policy Characteristics'!$C:$C,0)))</f>
        <v>electricity-sector-main.html#red-downtime</v>
      </c>
      <c r="R279" s="394" t="str">
        <f>IF(ISBLANK(INDEX('Policy Characteristics'!L:L,MATCH($C279,'Policy Characteristics'!$C:$C,0))),"",INDEX('Policy Characteristics'!L:L,MATCH($C279,'Policy Characteristics'!$C:$C,0)))</f>
        <v>reduce-downtime.html</v>
      </c>
    </row>
    <row r="280" customHeight="1" spans="1:18">
      <c r="A280" s="394" t="str">
        <f>IF(ISBLANK(INDEX('Policy Characteristics'!A:A,MATCH($C280,'Policy Characteristics'!$C:$C,0))),"",INDEX('Policy Characteristics'!A:A,MATCH($C280,'Policy Characteristics'!$C:$C,0)))</f>
        <v>Electricity Supply</v>
      </c>
      <c r="B280" s="395" t="str">
        <f>IF(ISBLANK(INDEX('Policy Characteristics'!B:B,MATCH($C280,'Policy Characteristics'!$C:$C,0))),"",INDEX('Policy Characteristics'!B:B,MATCH($C280,'Policy Characteristics'!$C:$C,0)))</f>
        <v>Reduce Plant Downtime</v>
      </c>
      <c r="C280" s="402" t="str">
        <f t="shared" si="22"/>
        <v>Percentage Reduction in Plant Downtime</v>
      </c>
      <c r="D280" s="399" t="s">
        <v>711</v>
      </c>
      <c r="E280" s="399" t="s">
        <v>733</v>
      </c>
      <c r="F280" s="399"/>
      <c r="G280" s="399"/>
      <c r="H280" s="377">
        <v>663</v>
      </c>
      <c r="I280" s="396" t="s">
        <v>658</v>
      </c>
      <c r="J280" s="397" t="str">
        <f>IF(ISBLANK(INDEX('Policy Characteristics'!D:D,MATCH($C280,'Policy Characteristics'!$C:$C,0))),"",INDEX('Policy Characteristics'!D:D,MATCH($C280,'Policy Characteristics'!$C:$C,0)))</f>
        <v>Reduce Plant Downtime</v>
      </c>
      <c r="K280" s="394" t="str">
        <f>IF(ISBLANK(INDEX('Policy Characteristics'!E:E,MATCH($C280,'Policy Characteristics'!$C:$C,0))),"",INDEX('Policy Characteristics'!E:E,MATCH($C280,'Policy Characteristics'!$C:$C,0)))</f>
        <v>elec reduce plant downtime</v>
      </c>
      <c r="L280" s="398">
        <f>IF(ISBLANK(INDEX('Policy Characteristics'!F:F,MATCH($C280,'Policy Characteristics'!$C:$C,0))),"",INDEX('Policy Characteristics'!F:F,MATCH($C280,'Policy Characteristics'!$C:$C,0)))</f>
        <v>0</v>
      </c>
      <c r="M280" s="398">
        <f>IF(ISBLANK(INDEX('Policy Characteristics'!G:G,MATCH($C280,'Policy Characteristics'!$C:$C,0))),"",INDEX('Policy Characteristics'!G:G,MATCH($C280,'Policy Characteristics'!$C:$C,0)))</f>
        <v>0.6</v>
      </c>
      <c r="N280" s="398">
        <f>IF(ISBLANK(INDEX('Policy Characteristics'!H:H,MATCH($C280,'Policy Characteristics'!$C:$C,0))),"",INDEX('Policy Characteristics'!H:H,MATCH($C280,'Policy Characteristics'!$C:$C,0)))</f>
        <v>0.01</v>
      </c>
      <c r="O280" s="394" t="str">
        <f>IF(ISBLANK(INDEX('Policy Characteristics'!I:I,MATCH($C280,'Policy Characteristics'!$C:$C,0))),"",INDEX('Policy Characteristics'!I:I,MATCH($C280,'Policy Characteristics'!$C:$C,0)))</f>
        <v>% reduction in downtime</v>
      </c>
      <c r="P280" s="394" t="str">
        <f>IF(ISBLANK(INDEX('Policy Characteristics'!J:J,MATCH($C280,'Policy Characteristics'!$C:$C,0))),"",INDEX('Policy Characteristics'!J:J,MATCH($C280,'Policy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0" s="394" t="str">
        <f>IF(ISBLANK(INDEX('Policy Characteristics'!K:K,MATCH($C280,'Policy Characteristics'!$C:$C,0))),"",INDEX('Policy Characteristics'!K:K,MATCH($C280,'Policy Characteristics'!$C:$C,0)))</f>
        <v>electricity-sector-main.html#red-downtime</v>
      </c>
      <c r="R280" s="394" t="str">
        <f>IF(ISBLANK(INDEX('Policy Characteristics'!L:L,MATCH($C280,'Policy Characteristics'!$C:$C,0))),"",INDEX('Policy Characteristics'!L:L,MATCH($C280,'Policy Characteristics'!$C:$C,0)))</f>
        <v>reduce-downtime.html</v>
      </c>
    </row>
    <row r="281" customHeight="1" spans="1:18">
      <c r="A281" s="394" t="str">
        <f>IF(ISBLANK(INDEX('Policy Characteristics'!A:A,MATCH($C281,'Policy Characteristics'!$C:$C,0))),"",INDEX('Policy Characteristics'!A:A,MATCH($C281,'Policy Characteristics'!$C:$C,0)))</f>
        <v>Electricity Supply</v>
      </c>
      <c r="B281" s="395" t="str">
        <f>IF(ISBLANK(INDEX('Policy Characteristics'!B:B,MATCH($C281,'Policy Characteristics'!$C:$C,0))),"",INDEX('Policy Characteristics'!B:B,MATCH($C281,'Policy Characteristics'!$C:$C,0)))</f>
        <v>Reduce Plant Downtime</v>
      </c>
      <c r="C281" s="402" t="str">
        <f t="shared" si="22"/>
        <v>Percentage Reduction in Plant Downtime</v>
      </c>
      <c r="D281" s="399" t="s">
        <v>711</v>
      </c>
      <c r="E281" s="399" t="s">
        <v>734</v>
      </c>
      <c r="F281" s="399"/>
      <c r="G281" s="399"/>
      <c r="H281" s="377">
        <v>664</v>
      </c>
      <c r="I281" s="396" t="s">
        <v>658</v>
      </c>
      <c r="J281" s="397" t="str">
        <f>IF(ISBLANK(INDEX('Policy Characteristics'!D:D,MATCH($C281,'Policy Characteristics'!$C:$C,0))),"",INDEX('Policy Characteristics'!D:D,MATCH($C281,'Policy Characteristics'!$C:$C,0)))</f>
        <v>Reduce Plant Downtime</v>
      </c>
      <c r="K281" s="394" t="str">
        <f>IF(ISBLANK(INDEX('Policy Characteristics'!E:E,MATCH($C281,'Policy Characteristics'!$C:$C,0))),"",INDEX('Policy Characteristics'!E:E,MATCH($C281,'Policy Characteristics'!$C:$C,0)))</f>
        <v>elec reduce plant downtime</v>
      </c>
      <c r="L281" s="398">
        <f>IF(ISBLANK(INDEX('Policy Characteristics'!F:F,MATCH($C281,'Policy Characteristics'!$C:$C,0))),"",INDEX('Policy Characteristics'!F:F,MATCH($C281,'Policy Characteristics'!$C:$C,0)))</f>
        <v>0</v>
      </c>
      <c r="M281" s="398">
        <f>IF(ISBLANK(INDEX('Policy Characteristics'!G:G,MATCH($C281,'Policy Characteristics'!$C:$C,0))),"",INDEX('Policy Characteristics'!G:G,MATCH($C281,'Policy Characteristics'!$C:$C,0)))</f>
        <v>0.6</v>
      </c>
      <c r="N281" s="398">
        <f>IF(ISBLANK(INDEX('Policy Characteristics'!H:H,MATCH($C281,'Policy Characteristics'!$C:$C,0))),"",INDEX('Policy Characteristics'!H:H,MATCH($C281,'Policy Characteristics'!$C:$C,0)))</f>
        <v>0.01</v>
      </c>
      <c r="O281" s="394" t="str">
        <f>IF(ISBLANK(INDEX('Policy Characteristics'!I:I,MATCH($C281,'Policy Characteristics'!$C:$C,0))),"",INDEX('Policy Characteristics'!I:I,MATCH($C281,'Policy Characteristics'!$C:$C,0)))</f>
        <v>% reduction in downtime</v>
      </c>
      <c r="P281" s="394" t="str">
        <f>IF(ISBLANK(INDEX('Policy Characteristics'!J:J,MATCH($C281,'Policy Characteristics'!$C:$C,0))),"",INDEX('Policy Characteristics'!J:J,MATCH($C281,'Policy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1" s="394" t="str">
        <f>IF(ISBLANK(INDEX('Policy Characteristics'!K:K,MATCH($C281,'Policy Characteristics'!$C:$C,0))),"",INDEX('Policy Characteristics'!K:K,MATCH($C281,'Policy Characteristics'!$C:$C,0)))</f>
        <v>electricity-sector-main.html#red-downtime</v>
      </c>
      <c r="R281" s="394" t="str">
        <f>IF(ISBLANK(INDEX('Policy Characteristics'!L:L,MATCH($C281,'Policy Characteristics'!$C:$C,0))),"",INDEX('Policy Characteristics'!L:L,MATCH($C281,'Policy Characteristics'!$C:$C,0)))</f>
        <v>reduce-downtime.html</v>
      </c>
    </row>
    <row r="282" customHeight="1" spans="1:18">
      <c r="A282" s="394" t="str">
        <f>IF(ISBLANK(INDEX('Policy Characteristics'!A:A,MATCH($C282,'Policy Characteristics'!$C:$C,0))),"",INDEX('Policy Characteristics'!A:A,MATCH($C282,'Policy Characteristics'!$C:$C,0)))</f>
        <v>Electricity Supply</v>
      </c>
      <c r="B282" s="395" t="str">
        <f>IF(ISBLANK(INDEX('Policy Characteristics'!B:B,MATCH($C282,'Policy Characteristics'!$C:$C,0))),"",INDEX('Policy Characteristics'!B:B,MATCH($C282,'Policy Characteristics'!$C:$C,0)))</f>
        <v>Reduce Plant Downtime</v>
      </c>
      <c r="C282" s="402" t="str">
        <f t="shared" si="22"/>
        <v>Percentage Reduction in Plant Downtime</v>
      </c>
      <c r="D282" s="399" t="s">
        <v>711</v>
      </c>
      <c r="E282" s="399" t="s">
        <v>735</v>
      </c>
      <c r="F282" s="399" t="s">
        <v>712</v>
      </c>
      <c r="G282" s="399" t="s">
        <v>737</v>
      </c>
      <c r="H282" s="377">
        <v>144</v>
      </c>
      <c r="I282" s="396" t="s">
        <v>648</v>
      </c>
      <c r="J282" s="397" t="str">
        <f>IF(ISBLANK(INDEX('Policy Characteristics'!D:D,MATCH($C282,'Policy Characteristics'!$C:$C,0))),"",INDEX('Policy Characteristics'!D:D,MATCH($C282,'Policy Characteristics'!$C:$C,0)))</f>
        <v>Reduce Plant Downtime</v>
      </c>
      <c r="K282" s="394" t="str">
        <f>IF(ISBLANK(INDEX('Policy Characteristics'!E:E,MATCH($C282,'Policy Characteristics'!$C:$C,0))),"",INDEX('Policy Characteristics'!E:E,MATCH($C282,'Policy Characteristics'!$C:$C,0)))</f>
        <v>elec reduce plant downtime</v>
      </c>
      <c r="L282" s="398">
        <f>IF(ISBLANK(INDEX('Policy Characteristics'!F:F,MATCH($C282,'Policy Characteristics'!$C:$C,0))),"",INDEX('Policy Characteristics'!F:F,MATCH($C282,'Policy Characteristics'!$C:$C,0)))</f>
        <v>0</v>
      </c>
      <c r="M282" s="398">
        <f>IF(ISBLANK(INDEX('Policy Characteristics'!G:G,MATCH($C282,'Policy Characteristics'!$C:$C,0))),"",INDEX('Policy Characteristics'!G:G,MATCH($C282,'Policy Characteristics'!$C:$C,0)))</f>
        <v>0.6</v>
      </c>
      <c r="N282" s="398">
        <f>IF(ISBLANK(INDEX('Policy Characteristics'!H:H,MATCH($C282,'Policy Characteristics'!$C:$C,0))),"",INDEX('Policy Characteristics'!H:H,MATCH($C282,'Policy Characteristics'!$C:$C,0)))</f>
        <v>0.01</v>
      </c>
      <c r="O282" s="394" t="str">
        <f>IF(ISBLANK(INDEX('Policy Characteristics'!I:I,MATCH($C282,'Policy Characteristics'!$C:$C,0))),"",INDEX('Policy Characteristics'!I:I,MATCH($C282,'Policy Characteristics'!$C:$C,0)))</f>
        <v>% reduction in downtime</v>
      </c>
      <c r="P282" s="394" t="str">
        <f>IF(ISBLANK(INDEX('Policy Characteristics'!J:J,MATCH($C282,'Policy Characteristics'!$C:$C,0))),"",INDEX('Policy Characteristics'!J:J,MATCH($C282,'Policy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2" s="394" t="str">
        <f>IF(ISBLANK(INDEX('Policy Characteristics'!K:K,MATCH($C282,'Policy Characteristics'!$C:$C,0))),"",INDEX('Policy Characteristics'!K:K,MATCH($C282,'Policy Characteristics'!$C:$C,0)))</f>
        <v>electricity-sector-main.html#red-downtime</v>
      </c>
      <c r="R282" s="394" t="str">
        <f>IF(ISBLANK(INDEX('Policy Characteristics'!L:L,MATCH($C282,'Policy Characteristics'!$C:$C,0))),"",INDEX('Policy Characteristics'!L:L,MATCH($C282,'Policy Characteristics'!$C:$C,0)))</f>
        <v>reduce-downtime.html</v>
      </c>
    </row>
    <row r="283" customHeight="1" spans="1:18">
      <c r="A283" s="394" t="str">
        <f>IF(ISBLANK(INDEX('Policy Characteristics'!A:A,MATCH($C283,'Policy Characteristics'!$C:$C,0))),"",INDEX('Policy Characteristics'!A:A,MATCH($C283,'Policy Characteristics'!$C:$C,0)))</f>
        <v>Electricity Supply</v>
      </c>
      <c r="B283" s="395" t="str">
        <f>IF(ISBLANK(INDEX('Policy Characteristics'!B:B,MATCH($C283,'Policy Characteristics'!$C:$C,0))),"",INDEX('Policy Characteristics'!B:B,MATCH($C283,'Policy Characteristics'!$C:$C,0)))</f>
        <v>Reduce Plant Downtime</v>
      </c>
      <c r="C283" s="402" t="str">
        <f t="shared" si="22"/>
        <v>Percentage Reduction in Plant Downtime</v>
      </c>
      <c r="D283" s="399" t="s">
        <v>713</v>
      </c>
      <c r="E283" s="399" t="s">
        <v>733</v>
      </c>
      <c r="F283" s="399"/>
      <c r="G283" s="399"/>
      <c r="H283" s="377">
        <v>665</v>
      </c>
      <c r="I283" s="396" t="s">
        <v>658</v>
      </c>
      <c r="J283" s="397" t="str">
        <f>IF(ISBLANK(INDEX('Policy Characteristics'!D:D,MATCH($C283,'Policy Characteristics'!$C:$C,0))),"",INDEX('Policy Characteristics'!D:D,MATCH($C283,'Policy Characteristics'!$C:$C,0)))</f>
        <v>Reduce Plant Downtime</v>
      </c>
      <c r="K283" s="394" t="str">
        <f>IF(ISBLANK(INDEX('Policy Characteristics'!E:E,MATCH($C283,'Policy Characteristics'!$C:$C,0))),"",INDEX('Policy Characteristics'!E:E,MATCH($C283,'Policy Characteristics'!$C:$C,0)))</f>
        <v>elec reduce plant downtime</v>
      </c>
      <c r="L283" s="398">
        <f>IF(ISBLANK(INDEX('Policy Characteristics'!F:F,MATCH($C283,'Policy Characteristics'!$C:$C,0))),"",INDEX('Policy Characteristics'!F:F,MATCH($C283,'Policy Characteristics'!$C:$C,0)))</f>
        <v>0</v>
      </c>
      <c r="M283" s="398">
        <f>IF(ISBLANK(INDEX('Policy Characteristics'!G:G,MATCH($C283,'Policy Characteristics'!$C:$C,0))),"",INDEX('Policy Characteristics'!G:G,MATCH($C283,'Policy Characteristics'!$C:$C,0)))</f>
        <v>0.6</v>
      </c>
      <c r="N283" s="398">
        <f>IF(ISBLANK(INDEX('Policy Characteristics'!H:H,MATCH($C283,'Policy Characteristics'!$C:$C,0))),"",INDEX('Policy Characteristics'!H:H,MATCH($C283,'Policy Characteristics'!$C:$C,0)))</f>
        <v>0.01</v>
      </c>
      <c r="O283" s="394" t="str">
        <f>IF(ISBLANK(INDEX('Policy Characteristics'!I:I,MATCH($C283,'Policy Characteristics'!$C:$C,0))),"",INDEX('Policy Characteristics'!I:I,MATCH($C283,'Policy Characteristics'!$C:$C,0)))</f>
        <v>% reduction in downtime</v>
      </c>
      <c r="P283" s="394" t="str">
        <f>IF(ISBLANK(INDEX('Policy Characteristics'!J:J,MATCH($C283,'Policy Characteristics'!$C:$C,0))),"",INDEX('Policy Characteristics'!J:J,MATCH($C283,'Policy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3" s="394" t="str">
        <f>IF(ISBLANK(INDEX('Policy Characteristics'!K:K,MATCH($C283,'Policy Characteristics'!$C:$C,0))),"",INDEX('Policy Characteristics'!K:K,MATCH($C283,'Policy Characteristics'!$C:$C,0)))</f>
        <v>electricity-sector-main.html#red-downtime</v>
      </c>
      <c r="R283" s="394" t="str">
        <f>IF(ISBLANK(INDEX('Policy Characteristics'!L:L,MATCH($C283,'Policy Characteristics'!$C:$C,0))),"",INDEX('Policy Characteristics'!L:L,MATCH($C283,'Policy Characteristics'!$C:$C,0)))</f>
        <v>reduce-downtime.html</v>
      </c>
    </row>
    <row r="284" customHeight="1" spans="1:18">
      <c r="A284" s="394" t="str">
        <f>IF(ISBLANK(INDEX('Policy Characteristics'!A:A,MATCH($C284,'Policy Characteristics'!$C:$C,0))),"",INDEX('Policy Characteristics'!A:A,MATCH($C284,'Policy Characteristics'!$C:$C,0)))</f>
        <v>Electricity Supply</v>
      </c>
      <c r="B284" s="395" t="str">
        <f>IF(ISBLANK(INDEX('Policy Characteristics'!B:B,MATCH($C284,'Policy Characteristics'!$C:$C,0))),"",INDEX('Policy Characteristics'!B:B,MATCH($C284,'Policy Characteristics'!$C:$C,0)))</f>
        <v>Reduce Plant Downtime</v>
      </c>
      <c r="C284" s="402" t="str">
        <f t="shared" si="22"/>
        <v>Percentage Reduction in Plant Downtime</v>
      </c>
      <c r="D284" s="399" t="s">
        <v>713</v>
      </c>
      <c r="E284" s="399" t="s">
        <v>734</v>
      </c>
      <c r="F284" s="399"/>
      <c r="G284" s="399"/>
      <c r="H284" s="377">
        <v>666</v>
      </c>
      <c r="I284" s="396" t="s">
        <v>658</v>
      </c>
      <c r="J284" s="397" t="str">
        <f>IF(ISBLANK(INDEX('Policy Characteristics'!D:D,MATCH($C284,'Policy Characteristics'!$C:$C,0))),"",INDEX('Policy Characteristics'!D:D,MATCH($C284,'Policy Characteristics'!$C:$C,0)))</f>
        <v>Reduce Plant Downtime</v>
      </c>
      <c r="K284" s="394" t="str">
        <f>IF(ISBLANK(INDEX('Policy Characteristics'!E:E,MATCH($C284,'Policy Characteristics'!$C:$C,0))),"",INDEX('Policy Characteristics'!E:E,MATCH($C284,'Policy Characteristics'!$C:$C,0)))</f>
        <v>elec reduce plant downtime</v>
      </c>
      <c r="L284" s="398">
        <f>IF(ISBLANK(INDEX('Policy Characteristics'!F:F,MATCH($C284,'Policy Characteristics'!$C:$C,0))),"",INDEX('Policy Characteristics'!F:F,MATCH($C284,'Policy Characteristics'!$C:$C,0)))</f>
        <v>0</v>
      </c>
      <c r="M284" s="398">
        <f>IF(ISBLANK(INDEX('Policy Characteristics'!G:G,MATCH($C284,'Policy Characteristics'!$C:$C,0))),"",INDEX('Policy Characteristics'!G:G,MATCH($C284,'Policy Characteristics'!$C:$C,0)))</f>
        <v>0.6</v>
      </c>
      <c r="N284" s="398">
        <f>IF(ISBLANK(INDEX('Policy Characteristics'!H:H,MATCH($C284,'Policy Characteristics'!$C:$C,0))),"",INDEX('Policy Characteristics'!H:H,MATCH($C284,'Policy Characteristics'!$C:$C,0)))</f>
        <v>0.01</v>
      </c>
      <c r="O284" s="394" t="str">
        <f>IF(ISBLANK(INDEX('Policy Characteristics'!I:I,MATCH($C284,'Policy Characteristics'!$C:$C,0))),"",INDEX('Policy Characteristics'!I:I,MATCH($C284,'Policy Characteristics'!$C:$C,0)))</f>
        <v>% reduction in downtime</v>
      </c>
      <c r="P284" s="394" t="str">
        <f>IF(ISBLANK(INDEX('Policy Characteristics'!J:J,MATCH($C284,'Policy Characteristics'!$C:$C,0))),"",INDEX('Policy Characteristics'!J:J,MATCH($C284,'Policy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4" s="394" t="str">
        <f>IF(ISBLANK(INDEX('Policy Characteristics'!K:K,MATCH($C284,'Policy Characteristics'!$C:$C,0))),"",INDEX('Policy Characteristics'!K:K,MATCH($C284,'Policy Characteristics'!$C:$C,0)))</f>
        <v>electricity-sector-main.html#red-downtime</v>
      </c>
      <c r="R284" s="394" t="str">
        <f>IF(ISBLANK(INDEX('Policy Characteristics'!L:L,MATCH($C284,'Policy Characteristics'!$C:$C,0))),"",INDEX('Policy Characteristics'!L:L,MATCH($C284,'Policy Characteristics'!$C:$C,0)))</f>
        <v>reduce-downtime.html</v>
      </c>
    </row>
    <row r="285" customHeight="1" spans="1:18">
      <c r="A285" s="394" t="str">
        <f>IF(ISBLANK(INDEX('Policy Characteristics'!A:A,MATCH($C285,'Policy Characteristics'!$C:$C,0))),"",INDEX('Policy Characteristics'!A:A,MATCH($C285,'Policy Characteristics'!$C:$C,0)))</f>
        <v>Electricity Supply</v>
      </c>
      <c r="B285" s="395" t="str">
        <f>IF(ISBLANK(INDEX('Policy Characteristics'!B:B,MATCH($C285,'Policy Characteristics'!$C:$C,0))),"",INDEX('Policy Characteristics'!B:B,MATCH($C285,'Policy Characteristics'!$C:$C,0)))</f>
        <v>Reduce Plant Downtime</v>
      </c>
      <c r="C285" s="402" t="str">
        <f t="shared" si="22"/>
        <v>Percentage Reduction in Plant Downtime</v>
      </c>
      <c r="D285" s="399" t="s">
        <v>713</v>
      </c>
      <c r="E285" s="399" t="s">
        <v>735</v>
      </c>
      <c r="F285" s="399"/>
      <c r="G285" s="399"/>
      <c r="H285" s="377">
        <v>667</v>
      </c>
      <c r="I285" s="396" t="s">
        <v>658</v>
      </c>
      <c r="J285" s="397" t="str">
        <f>IF(ISBLANK(INDEX('Policy Characteristics'!D:D,MATCH($C285,'Policy Characteristics'!$C:$C,0))),"",INDEX('Policy Characteristics'!D:D,MATCH($C285,'Policy Characteristics'!$C:$C,0)))</f>
        <v>Reduce Plant Downtime</v>
      </c>
      <c r="K285" s="394" t="str">
        <f>IF(ISBLANK(INDEX('Policy Characteristics'!E:E,MATCH($C285,'Policy Characteristics'!$C:$C,0))),"",INDEX('Policy Characteristics'!E:E,MATCH($C285,'Policy Characteristics'!$C:$C,0)))</f>
        <v>elec reduce plant downtime</v>
      </c>
      <c r="L285" s="398">
        <f>IF(ISBLANK(INDEX('Policy Characteristics'!F:F,MATCH($C285,'Policy Characteristics'!$C:$C,0))),"",INDEX('Policy Characteristics'!F:F,MATCH($C285,'Policy Characteristics'!$C:$C,0)))</f>
        <v>0</v>
      </c>
      <c r="M285" s="398">
        <f>IF(ISBLANK(INDEX('Policy Characteristics'!G:G,MATCH($C285,'Policy Characteristics'!$C:$C,0))),"",INDEX('Policy Characteristics'!G:G,MATCH($C285,'Policy Characteristics'!$C:$C,0)))</f>
        <v>0.6</v>
      </c>
      <c r="N285" s="398">
        <f>IF(ISBLANK(INDEX('Policy Characteristics'!H:H,MATCH($C285,'Policy Characteristics'!$C:$C,0))),"",INDEX('Policy Characteristics'!H:H,MATCH($C285,'Policy Characteristics'!$C:$C,0)))</f>
        <v>0.01</v>
      </c>
      <c r="O285" s="394" t="str">
        <f>IF(ISBLANK(INDEX('Policy Characteristics'!I:I,MATCH($C285,'Policy Characteristics'!$C:$C,0))),"",INDEX('Policy Characteristics'!I:I,MATCH($C285,'Policy Characteristics'!$C:$C,0)))</f>
        <v>% reduction in downtime</v>
      </c>
      <c r="P285" s="394" t="str">
        <f>IF(ISBLANK(INDEX('Policy Characteristics'!J:J,MATCH($C285,'Policy Characteristics'!$C:$C,0))),"",INDEX('Policy Characteristics'!J:J,MATCH($C285,'Policy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5" s="394" t="str">
        <f>IF(ISBLANK(INDEX('Policy Characteristics'!K:K,MATCH($C285,'Policy Characteristics'!$C:$C,0))),"",INDEX('Policy Characteristics'!K:K,MATCH($C285,'Policy Characteristics'!$C:$C,0)))</f>
        <v>electricity-sector-main.html#red-downtime</v>
      </c>
      <c r="R285" s="394" t="str">
        <f>IF(ISBLANK(INDEX('Policy Characteristics'!L:L,MATCH($C285,'Policy Characteristics'!$C:$C,0))),"",INDEX('Policy Characteristics'!L:L,MATCH($C285,'Policy Characteristics'!$C:$C,0)))</f>
        <v>reduce-downtime.html</v>
      </c>
    </row>
    <row r="286" customHeight="1" spans="1:18">
      <c r="A286" s="394" t="str">
        <f>IF(ISBLANK(INDEX('Policy Characteristics'!A:A,MATCH($C286,'Policy Characteristics'!$C:$C,0))),"",INDEX('Policy Characteristics'!A:A,MATCH($C286,'Policy Characteristics'!$C:$C,0)))</f>
        <v>Electricity Supply</v>
      </c>
      <c r="B286" s="395" t="str">
        <f>IF(ISBLANK(INDEX('Policy Characteristics'!B:B,MATCH($C286,'Policy Characteristics'!$C:$C,0))),"",INDEX('Policy Characteristics'!B:B,MATCH($C286,'Policy Characteristics'!$C:$C,0)))</f>
        <v>Reduce Plant Downtime</v>
      </c>
      <c r="C286" s="402" t="str">
        <f t="shared" si="22"/>
        <v>Percentage Reduction in Plant Downtime</v>
      </c>
      <c r="D286" s="399" t="s">
        <v>715</v>
      </c>
      <c r="E286" s="399" t="s">
        <v>733</v>
      </c>
      <c r="F286" s="399"/>
      <c r="G286" s="399"/>
      <c r="H286" s="377">
        <v>668</v>
      </c>
      <c r="I286" s="396" t="s">
        <v>658</v>
      </c>
      <c r="J286" s="397" t="str">
        <f>IF(ISBLANK(INDEX('Policy Characteristics'!D:D,MATCH($C286,'Policy Characteristics'!$C:$C,0))),"",INDEX('Policy Characteristics'!D:D,MATCH($C286,'Policy Characteristics'!$C:$C,0)))</f>
        <v>Reduce Plant Downtime</v>
      </c>
      <c r="K286" s="394" t="str">
        <f>IF(ISBLANK(INDEX('Policy Characteristics'!E:E,MATCH($C286,'Policy Characteristics'!$C:$C,0))),"",INDEX('Policy Characteristics'!E:E,MATCH($C286,'Policy Characteristics'!$C:$C,0)))</f>
        <v>elec reduce plant downtime</v>
      </c>
      <c r="L286" s="398">
        <f>IF(ISBLANK(INDEX('Policy Characteristics'!F:F,MATCH($C286,'Policy Characteristics'!$C:$C,0))),"",INDEX('Policy Characteristics'!F:F,MATCH($C286,'Policy Characteristics'!$C:$C,0)))</f>
        <v>0</v>
      </c>
      <c r="M286" s="398">
        <f>IF(ISBLANK(INDEX('Policy Characteristics'!G:G,MATCH($C286,'Policy Characteristics'!$C:$C,0))),"",INDEX('Policy Characteristics'!G:G,MATCH($C286,'Policy Characteristics'!$C:$C,0)))</f>
        <v>0.6</v>
      </c>
      <c r="N286" s="398">
        <f>IF(ISBLANK(INDEX('Policy Characteristics'!H:H,MATCH($C286,'Policy Characteristics'!$C:$C,0))),"",INDEX('Policy Characteristics'!H:H,MATCH($C286,'Policy Characteristics'!$C:$C,0)))</f>
        <v>0.01</v>
      </c>
      <c r="O286" s="394" t="str">
        <f>IF(ISBLANK(INDEX('Policy Characteristics'!I:I,MATCH($C286,'Policy Characteristics'!$C:$C,0))),"",INDEX('Policy Characteristics'!I:I,MATCH($C286,'Policy Characteristics'!$C:$C,0)))</f>
        <v>% reduction in downtime</v>
      </c>
      <c r="P286" s="394" t="str">
        <f>IF(ISBLANK(INDEX('Policy Characteristics'!J:J,MATCH($C286,'Policy Characteristics'!$C:$C,0))),"",INDEX('Policy Characteristics'!J:J,MATCH($C286,'Policy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6" s="394" t="str">
        <f>IF(ISBLANK(INDEX('Policy Characteristics'!K:K,MATCH($C286,'Policy Characteristics'!$C:$C,0))),"",INDEX('Policy Characteristics'!K:K,MATCH($C286,'Policy Characteristics'!$C:$C,0)))</f>
        <v>electricity-sector-main.html#red-downtime</v>
      </c>
      <c r="R286" s="394" t="str">
        <f>IF(ISBLANK(INDEX('Policy Characteristics'!L:L,MATCH($C286,'Policy Characteristics'!$C:$C,0))),"",INDEX('Policy Characteristics'!L:L,MATCH($C286,'Policy Characteristics'!$C:$C,0)))</f>
        <v>reduce-downtime.html</v>
      </c>
    </row>
    <row r="287" customHeight="1" spans="1:18">
      <c r="A287" s="394" t="str">
        <f>IF(ISBLANK(INDEX('Policy Characteristics'!A:A,MATCH($C287,'Policy Characteristics'!$C:$C,0))),"",INDEX('Policy Characteristics'!A:A,MATCH($C287,'Policy Characteristics'!$C:$C,0)))</f>
        <v>Electricity Supply</v>
      </c>
      <c r="B287" s="395" t="str">
        <f>IF(ISBLANK(INDEX('Policy Characteristics'!B:B,MATCH($C287,'Policy Characteristics'!$C:$C,0))),"",INDEX('Policy Characteristics'!B:B,MATCH($C287,'Policy Characteristics'!$C:$C,0)))</f>
        <v>Reduce Plant Downtime</v>
      </c>
      <c r="C287" s="402" t="str">
        <f t="shared" si="22"/>
        <v>Percentage Reduction in Plant Downtime</v>
      </c>
      <c r="D287" s="399" t="s">
        <v>715</v>
      </c>
      <c r="E287" s="399" t="s">
        <v>734</v>
      </c>
      <c r="F287" s="399"/>
      <c r="G287" s="399"/>
      <c r="H287" s="377">
        <v>669</v>
      </c>
      <c r="I287" s="396" t="s">
        <v>658</v>
      </c>
      <c r="J287" s="397" t="str">
        <f>IF(ISBLANK(INDEX('Policy Characteristics'!D:D,MATCH($C287,'Policy Characteristics'!$C:$C,0))),"",INDEX('Policy Characteristics'!D:D,MATCH($C287,'Policy Characteristics'!$C:$C,0)))</f>
        <v>Reduce Plant Downtime</v>
      </c>
      <c r="K287" s="394" t="str">
        <f>IF(ISBLANK(INDEX('Policy Characteristics'!E:E,MATCH($C287,'Policy Characteristics'!$C:$C,0))),"",INDEX('Policy Characteristics'!E:E,MATCH($C287,'Policy Characteristics'!$C:$C,0)))</f>
        <v>elec reduce plant downtime</v>
      </c>
      <c r="L287" s="398">
        <f>IF(ISBLANK(INDEX('Policy Characteristics'!F:F,MATCH($C287,'Policy Characteristics'!$C:$C,0))),"",INDEX('Policy Characteristics'!F:F,MATCH($C287,'Policy Characteristics'!$C:$C,0)))</f>
        <v>0</v>
      </c>
      <c r="M287" s="398">
        <f>IF(ISBLANK(INDEX('Policy Characteristics'!G:G,MATCH($C287,'Policy Characteristics'!$C:$C,0))),"",INDEX('Policy Characteristics'!G:G,MATCH($C287,'Policy Characteristics'!$C:$C,0)))</f>
        <v>0.6</v>
      </c>
      <c r="N287" s="398">
        <f>IF(ISBLANK(INDEX('Policy Characteristics'!H:H,MATCH($C287,'Policy Characteristics'!$C:$C,0))),"",INDEX('Policy Characteristics'!H:H,MATCH($C287,'Policy Characteristics'!$C:$C,0)))</f>
        <v>0.01</v>
      </c>
      <c r="O287" s="394" t="str">
        <f>IF(ISBLANK(INDEX('Policy Characteristics'!I:I,MATCH($C287,'Policy Characteristics'!$C:$C,0))),"",INDEX('Policy Characteristics'!I:I,MATCH($C287,'Policy Characteristics'!$C:$C,0)))</f>
        <v>% reduction in downtime</v>
      </c>
      <c r="P287" s="394" t="str">
        <f>IF(ISBLANK(INDEX('Policy Characteristics'!J:J,MATCH($C287,'Policy Characteristics'!$C:$C,0))),"",INDEX('Policy Characteristics'!J:J,MATCH($C287,'Policy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7" s="394" t="str">
        <f>IF(ISBLANK(INDEX('Policy Characteristics'!K:K,MATCH($C287,'Policy Characteristics'!$C:$C,0))),"",INDEX('Policy Characteristics'!K:K,MATCH($C287,'Policy Characteristics'!$C:$C,0)))</f>
        <v>electricity-sector-main.html#red-downtime</v>
      </c>
      <c r="R287" s="394" t="str">
        <f>IF(ISBLANK(INDEX('Policy Characteristics'!L:L,MATCH($C287,'Policy Characteristics'!$C:$C,0))),"",INDEX('Policy Characteristics'!L:L,MATCH($C287,'Policy Characteristics'!$C:$C,0)))</f>
        <v>reduce-downtime.html</v>
      </c>
    </row>
    <row r="288" customHeight="1" spans="1:18">
      <c r="A288" s="394" t="str">
        <f>IF(ISBLANK(INDEX('Policy Characteristics'!A:A,MATCH($C288,'Policy Characteristics'!$C:$C,0))),"",INDEX('Policy Characteristics'!A:A,MATCH($C288,'Policy Characteristics'!$C:$C,0)))</f>
        <v>Electricity Supply</v>
      </c>
      <c r="B288" s="395" t="str">
        <f>IF(ISBLANK(INDEX('Policy Characteristics'!B:B,MATCH($C288,'Policy Characteristics'!$C:$C,0))),"",INDEX('Policy Characteristics'!B:B,MATCH($C288,'Policy Characteristics'!$C:$C,0)))</f>
        <v>Reduce Plant Downtime</v>
      </c>
      <c r="C288" s="402" t="str">
        <f t="shared" si="22"/>
        <v>Percentage Reduction in Plant Downtime</v>
      </c>
      <c r="D288" s="399" t="s">
        <v>715</v>
      </c>
      <c r="E288" s="399" t="s">
        <v>735</v>
      </c>
      <c r="F288" s="399"/>
      <c r="G288" s="399"/>
      <c r="H288" s="377">
        <v>670</v>
      </c>
      <c r="I288" s="396" t="s">
        <v>658</v>
      </c>
      <c r="J288" s="397" t="str">
        <f>IF(ISBLANK(INDEX('Policy Characteristics'!D:D,MATCH($C288,'Policy Characteristics'!$C:$C,0))),"",INDEX('Policy Characteristics'!D:D,MATCH($C288,'Policy Characteristics'!$C:$C,0)))</f>
        <v>Reduce Plant Downtime</v>
      </c>
      <c r="K288" s="394" t="str">
        <f>IF(ISBLANK(INDEX('Policy Characteristics'!E:E,MATCH($C288,'Policy Characteristics'!$C:$C,0))),"",INDEX('Policy Characteristics'!E:E,MATCH($C288,'Policy Characteristics'!$C:$C,0)))</f>
        <v>elec reduce plant downtime</v>
      </c>
      <c r="L288" s="398">
        <f>IF(ISBLANK(INDEX('Policy Characteristics'!F:F,MATCH($C288,'Policy Characteristics'!$C:$C,0))),"",INDEX('Policy Characteristics'!F:F,MATCH($C288,'Policy Characteristics'!$C:$C,0)))</f>
        <v>0</v>
      </c>
      <c r="M288" s="398">
        <f>IF(ISBLANK(INDEX('Policy Characteristics'!G:G,MATCH($C288,'Policy Characteristics'!$C:$C,0))),"",INDEX('Policy Characteristics'!G:G,MATCH($C288,'Policy Characteristics'!$C:$C,0)))</f>
        <v>0.6</v>
      </c>
      <c r="N288" s="398">
        <f>IF(ISBLANK(INDEX('Policy Characteristics'!H:H,MATCH($C288,'Policy Characteristics'!$C:$C,0))),"",INDEX('Policy Characteristics'!H:H,MATCH($C288,'Policy Characteristics'!$C:$C,0)))</f>
        <v>0.01</v>
      </c>
      <c r="O288" s="394" t="str">
        <f>IF(ISBLANK(INDEX('Policy Characteristics'!I:I,MATCH($C288,'Policy Characteristics'!$C:$C,0))),"",INDEX('Policy Characteristics'!I:I,MATCH($C288,'Policy Characteristics'!$C:$C,0)))</f>
        <v>% reduction in downtime</v>
      </c>
      <c r="P288" s="394" t="str">
        <f>IF(ISBLANK(INDEX('Policy Characteristics'!J:J,MATCH($C288,'Policy Characteristics'!$C:$C,0))),"",INDEX('Policy Characteristics'!J:J,MATCH($C288,'Policy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8" s="394" t="str">
        <f>IF(ISBLANK(INDEX('Policy Characteristics'!K:K,MATCH($C288,'Policy Characteristics'!$C:$C,0))),"",INDEX('Policy Characteristics'!K:K,MATCH($C288,'Policy Characteristics'!$C:$C,0)))</f>
        <v>electricity-sector-main.html#red-downtime</v>
      </c>
      <c r="R288" s="394" t="str">
        <f>IF(ISBLANK(INDEX('Policy Characteristics'!L:L,MATCH($C288,'Policy Characteristics'!$C:$C,0))),"",INDEX('Policy Characteristics'!L:L,MATCH($C288,'Policy Characteristics'!$C:$C,0)))</f>
        <v>reduce-downtime.html</v>
      </c>
    </row>
    <row r="289" customHeight="1" spans="1:18">
      <c r="A289" s="394" t="str">
        <f>IF(ISBLANK(INDEX('Policy Characteristics'!A:A,MATCH($C289,'Policy Characteristics'!$C:$C,0))),"",INDEX('Policy Characteristics'!A:A,MATCH($C289,'Policy Characteristics'!$C:$C,0)))</f>
        <v>Electricity Supply</v>
      </c>
      <c r="B289" s="395" t="str">
        <f>IF(ISBLANK(INDEX('Policy Characteristics'!B:B,MATCH($C289,'Policy Characteristics'!$C:$C,0))),"",INDEX('Policy Characteristics'!B:B,MATCH($C289,'Policy Characteristics'!$C:$C,0)))</f>
        <v>Reduce Plant Downtime</v>
      </c>
      <c r="C289" s="402" t="str">
        <f t="shared" si="22"/>
        <v>Percentage Reduction in Plant Downtime</v>
      </c>
      <c r="D289" s="399" t="s">
        <v>719</v>
      </c>
      <c r="E289" s="399" t="s">
        <v>733</v>
      </c>
      <c r="F289" s="399"/>
      <c r="G289" s="399"/>
      <c r="H289" s="377">
        <v>671</v>
      </c>
      <c r="I289" s="396" t="s">
        <v>658</v>
      </c>
      <c r="J289" s="397" t="str">
        <f>IF(ISBLANK(INDEX('Policy Characteristics'!D:D,MATCH($C289,'Policy Characteristics'!$C:$C,0))),"",INDEX('Policy Characteristics'!D:D,MATCH($C289,'Policy Characteristics'!$C:$C,0)))</f>
        <v>Reduce Plant Downtime</v>
      </c>
      <c r="K289" s="394" t="str">
        <f>IF(ISBLANK(INDEX('Policy Characteristics'!E:E,MATCH($C289,'Policy Characteristics'!$C:$C,0))),"",INDEX('Policy Characteristics'!E:E,MATCH($C289,'Policy Characteristics'!$C:$C,0)))</f>
        <v>elec reduce plant downtime</v>
      </c>
      <c r="L289" s="398">
        <f>IF(ISBLANK(INDEX('Policy Characteristics'!F:F,MATCH($C289,'Policy Characteristics'!$C:$C,0))),"",INDEX('Policy Characteristics'!F:F,MATCH($C289,'Policy Characteristics'!$C:$C,0)))</f>
        <v>0</v>
      </c>
      <c r="M289" s="398">
        <f>IF(ISBLANK(INDEX('Policy Characteristics'!G:G,MATCH($C289,'Policy Characteristics'!$C:$C,0))),"",INDEX('Policy Characteristics'!G:G,MATCH($C289,'Policy Characteristics'!$C:$C,0)))</f>
        <v>0.6</v>
      </c>
      <c r="N289" s="398">
        <f>IF(ISBLANK(INDEX('Policy Characteristics'!H:H,MATCH($C289,'Policy Characteristics'!$C:$C,0))),"",INDEX('Policy Characteristics'!H:H,MATCH($C289,'Policy Characteristics'!$C:$C,0)))</f>
        <v>0.01</v>
      </c>
      <c r="O289" s="394" t="str">
        <f>IF(ISBLANK(INDEX('Policy Characteristics'!I:I,MATCH($C289,'Policy Characteristics'!$C:$C,0))),"",INDEX('Policy Characteristics'!I:I,MATCH($C289,'Policy Characteristics'!$C:$C,0)))</f>
        <v>% reduction in downtime</v>
      </c>
      <c r="P289" s="394" t="str">
        <f>IF(ISBLANK(INDEX('Policy Characteristics'!J:J,MATCH($C289,'Policy Characteristics'!$C:$C,0))),"",INDEX('Policy Characteristics'!J:J,MATCH($C289,'Policy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9" s="394" t="str">
        <f>IF(ISBLANK(INDEX('Policy Characteristics'!K:K,MATCH($C289,'Policy Characteristics'!$C:$C,0))),"",INDEX('Policy Characteristics'!K:K,MATCH($C289,'Policy Characteristics'!$C:$C,0)))</f>
        <v>electricity-sector-main.html#red-downtime</v>
      </c>
      <c r="R289" s="394" t="str">
        <f>IF(ISBLANK(INDEX('Policy Characteristics'!L:L,MATCH($C289,'Policy Characteristics'!$C:$C,0))),"",INDEX('Policy Characteristics'!L:L,MATCH($C289,'Policy Characteristics'!$C:$C,0)))</f>
        <v>reduce-downtime.html</v>
      </c>
    </row>
    <row r="290" customHeight="1" spans="1:18">
      <c r="A290" s="394" t="str">
        <f>IF(ISBLANK(INDEX('Policy Characteristics'!A:A,MATCH($C290,'Policy Characteristics'!$C:$C,0))),"",INDEX('Policy Characteristics'!A:A,MATCH($C290,'Policy Characteristics'!$C:$C,0)))</f>
        <v>Electricity Supply</v>
      </c>
      <c r="B290" s="395" t="str">
        <f>IF(ISBLANK(INDEX('Policy Characteristics'!B:B,MATCH($C290,'Policy Characteristics'!$C:$C,0))),"",INDEX('Policy Characteristics'!B:B,MATCH($C290,'Policy Characteristics'!$C:$C,0)))</f>
        <v>Reduce Plant Downtime</v>
      </c>
      <c r="C290" s="402" t="str">
        <f t="shared" si="22"/>
        <v>Percentage Reduction in Plant Downtime</v>
      </c>
      <c r="D290" s="399" t="s">
        <v>719</v>
      </c>
      <c r="E290" s="399" t="s">
        <v>734</v>
      </c>
      <c r="F290" s="399"/>
      <c r="G290" s="399"/>
      <c r="H290" s="377">
        <v>672</v>
      </c>
      <c r="I290" s="396" t="s">
        <v>658</v>
      </c>
      <c r="J290" s="397" t="str">
        <f>IF(ISBLANK(INDEX('Policy Characteristics'!D:D,MATCH($C290,'Policy Characteristics'!$C:$C,0))),"",INDEX('Policy Characteristics'!D:D,MATCH($C290,'Policy Characteristics'!$C:$C,0)))</f>
        <v>Reduce Plant Downtime</v>
      </c>
      <c r="K290" s="394" t="str">
        <f>IF(ISBLANK(INDEX('Policy Characteristics'!E:E,MATCH($C290,'Policy Characteristics'!$C:$C,0))),"",INDEX('Policy Characteristics'!E:E,MATCH($C290,'Policy Characteristics'!$C:$C,0)))</f>
        <v>elec reduce plant downtime</v>
      </c>
      <c r="L290" s="398">
        <f>IF(ISBLANK(INDEX('Policy Characteristics'!F:F,MATCH($C290,'Policy Characteristics'!$C:$C,0))),"",INDEX('Policy Characteristics'!F:F,MATCH($C290,'Policy Characteristics'!$C:$C,0)))</f>
        <v>0</v>
      </c>
      <c r="M290" s="398">
        <f>IF(ISBLANK(INDEX('Policy Characteristics'!G:G,MATCH($C290,'Policy Characteristics'!$C:$C,0))),"",INDEX('Policy Characteristics'!G:G,MATCH($C290,'Policy Characteristics'!$C:$C,0)))</f>
        <v>0.6</v>
      </c>
      <c r="N290" s="398">
        <f>IF(ISBLANK(INDEX('Policy Characteristics'!H:H,MATCH($C290,'Policy Characteristics'!$C:$C,0))),"",INDEX('Policy Characteristics'!H:H,MATCH($C290,'Policy Characteristics'!$C:$C,0)))</f>
        <v>0.01</v>
      </c>
      <c r="O290" s="394" t="str">
        <f>IF(ISBLANK(INDEX('Policy Characteristics'!I:I,MATCH($C290,'Policy Characteristics'!$C:$C,0))),"",INDEX('Policy Characteristics'!I:I,MATCH($C290,'Policy Characteristics'!$C:$C,0)))</f>
        <v>% reduction in downtime</v>
      </c>
      <c r="P290" s="394" t="str">
        <f>IF(ISBLANK(INDEX('Policy Characteristics'!J:J,MATCH($C290,'Policy Characteristics'!$C:$C,0))),"",INDEX('Policy Characteristics'!J:J,MATCH($C290,'Policy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0" s="394" t="str">
        <f>IF(ISBLANK(INDEX('Policy Characteristics'!K:K,MATCH($C290,'Policy Characteristics'!$C:$C,0))),"",INDEX('Policy Characteristics'!K:K,MATCH($C290,'Policy Characteristics'!$C:$C,0)))</f>
        <v>electricity-sector-main.html#red-downtime</v>
      </c>
      <c r="R290" s="394" t="str">
        <f>IF(ISBLANK(INDEX('Policy Characteristics'!L:L,MATCH($C290,'Policy Characteristics'!$C:$C,0))),"",INDEX('Policy Characteristics'!L:L,MATCH($C290,'Policy Characteristics'!$C:$C,0)))</f>
        <v>reduce-downtime.html</v>
      </c>
    </row>
    <row r="291" customHeight="1" spans="1:18">
      <c r="A291" s="394" t="str">
        <f>IF(ISBLANK(INDEX('Policy Characteristics'!A:A,MATCH($C291,'Policy Characteristics'!$C:$C,0))),"",INDEX('Policy Characteristics'!A:A,MATCH($C291,'Policy Characteristics'!$C:$C,0)))</f>
        <v>Electricity Supply</v>
      </c>
      <c r="B291" s="395" t="str">
        <f>IF(ISBLANK(INDEX('Policy Characteristics'!B:B,MATCH($C291,'Policy Characteristics'!$C:$C,0))),"",INDEX('Policy Characteristics'!B:B,MATCH($C291,'Policy Characteristics'!$C:$C,0)))</f>
        <v>Reduce Plant Downtime</v>
      </c>
      <c r="C291" s="402" t="str">
        <f t="shared" si="22"/>
        <v>Percentage Reduction in Plant Downtime</v>
      </c>
      <c r="D291" s="399" t="s">
        <v>719</v>
      </c>
      <c r="E291" s="399" t="s">
        <v>735</v>
      </c>
      <c r="F291" s="399"/>
      <c r="G291" s="399"/>
      <c r="H291" s="377">
        <v>673</v>
      </c>
      <c r="I291" s="396" t="s">
        <v>658</v>
      </c>
      <c r="J291" s="397" t="str">
        <f>IF(ISBLANK(INDEX('Policy Characteristics'!D:D,MATCH($C291,'Policy Characteristics'!$C:$C,0))),"",INDEX('Policy Characteristics'!D:D,MATCH($C291,'Policy Characteristics'!$C:$C,0)))</f>
        <v>Reduce Plant Downtime</v>
      </c>
      <c r="K291" s="394" t="str">
        <f>IF(ISBLANK(INDEX('Policy Characteristics'!E:E,MATCH($C291,'Policy Characteristics'!$C:$C,0))),"",INDEX('Policy Characteristics'!E:E,MATCH($C291,'Policy Characteristics'!$C:$C,0)))</f>
        <v>elec reduce plant downtime</v>
      </c>
      <c r="L291" s="398">
        <f>IF(ISBLANK(INDEX('Policy Characteristics'!F:F,MATCH($C291,'Policy Characteristics'!$C:$C,0))),"",INDEX('Policy Characteristics'!F:F,MATCH($C291,'Policy Characteristics'!$C:$C,0)))</f>
        <v>0</v>
      </c>
      <c r="M291" s="398">
        <f>IF(ISBLANK(INDEX('Policy Characteristics'!G:G,MATCH($C291,'Policy Characteristics'!$C:$C,0))),"",INDEX('Policy Characteristics'!G:G,MATCH($C291,'Policy Characteristics'!$C:$C,0)))</f>
        <v>0.6</v>
      </c>
      <c r="N291" s="398">
        <f>IF(ISBLANK(INDEX('Policy Characteristics'!H:H,MATCH($C291,'Policy Characteristics'!$C:$C,0))),"",INDEX('Policy Characteristics'!H:H,MATCH($C291,'Policy Characteristics'!$C:$C,0)))</f>
        <v>0.01</v>
      </c>
      <c r="O291" s="394" t="str">
        <f>IF(ISBLANK(INDEX('Policy Characteristics'!I:I,MATCH($C291,'Policy Characteristics'!$C:$C,0))),"",INDEX('Policy Characteristics'!I:I,MATCH($C291,'Policy Characteristics'!$C:$C,0)))</f>
        <v>% reduction in downtime</v>
      </c>
      <c r="P291" s="394" t="str">
        <f>IF(ISBLANK(INDEX('Policy Characteristics'!J:J,MATCH($C291,'Policy Characteristics'!$C:$C,0))),"",INDEX('Policy Characteristics'!J:J,MATCH($C291,'Policy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1" s="394" t="str">
        <f>IF(ISBLANK(INDEX('Policy Characteristics'!K:K,MATCH($C291,'Policy Characteristics'!$C:$C,0))),"",INDEX('Policy Characteristics'!K:K,MATCH($C291,'Policy Characteristics'!$C:$C,0)))</f>
        <v>electricity-sector-main.html#red-downtime</v>
      </c>
      <c r="R291" s="394" t="str">
        <f>IF(ISBLANK(INDEX('Policy Characteristics'!L:L,MATCH($C291,'Policy Characteristics'!$C:$C,0))),"",INDEX('Policy Characteristics'!L:L,MATCH($C291,'Policy Characteristics'!$C:$C,0)))</f>
        <v>reduce-downtime.html</v>
      </c>
    </row>
    <row r="292" customHeight="1" spans="1:18">
      <c r="A292" s="394" t="str">
        <f>IF(ISBLANK(INDEX('Policy Characteristics'!A:A,MATCH($C292,'Policy Characteristics'!$C:$C,0))),"",INDEX('Policy Characteristics'!A:A,MATCH($C292,'Policy Characteristics'!$C:$C,0)))</f>
        <v>Electricity Supply</v>
      </c>
      <c r="B292" s="395" t="str">
        <f>IF(ISBLANK(INDEX('Policy Characteristics'!B:B,MATCH($C292,'Policy Characteristics'!$C:$C,0))),"",INDEX('Policy Characteristics'!B:B,MATCH($C292,'Policy Characteristics'!$C:$C,0)))</f>
        <v>Reduce Plant Downtime</v>
      </c>
      <c r="C292" s="402" t="str">
        <f t="shared" si="22"/>
        <v>Percentage Reduction in Plant Downtime</v>
      </c>
      <c r="D292" s="399" t="s">
        <v>721</v>
      </c>
      <c r="E292" s="399" t="s">
        <v>733</v>
      </c>
      <c r="F292" s="399"/>
      <c r="G292" s="399"/>
      <c r="H292" s="377">
        <v>674</v>
      </c>
      <c r="I292" s="396" t="s">
        <v>658</v>
      </c>
      <c r="J292" s="397" t="str">
        <f>IF(ISBLANK(INDEX('Policy Characteristics'!D:D,MATCH($C292,'Policy Characteristics'!$C:$C,0))),"",INDEX('Policy Characteristics'!D:D,MATCH($C292,'Policy Characteristics'!$C:$C,0)))</f>
        <v>Reduce Plant Downtime</v>
      </c>
      <c r="K292" s="394" t="str">
        <f>IF(ISBLANK(INDEX('Policy Characteristics'!E:E,MATCH($C292,'Policy Characteristics'!$C:$C,0))),"",INDEX('Policy Characteristics'!E:E,MATCH($C292,'Policy Characteristics'!$C:$C,0)))</f>
        <v>elec reduce plant downtime</v>
      </c>
      <c r="L292" s="398">
        <f>IF(ISBLANK(INDEX('Policy Characteristics'!F:F,MATCH($C292,'Policy Characteristics'!$C:$C,0))),"",INDEX('Policy Characteristics'!F:F,MATCH($C292,'Policy Characteristics'!$C:$C,0)))</f>
        <v>0</v>
      </c>
      <c r="M292" s="398">
        <f>IF(ISBLANK(INDEX('Policy Characteristics'!G:G,MATCH($C292,'Policy Characteristics'!$C:$C,0))),"",INDEX('Policy Characteristics'!G:G,MATCH($C292,'Policy Characteristics'!$C:$C,0)))</f>
        <v>0.6</v>
      </c>
      <c r="N292" s="398">
        <f>IF(ISBLANK(INDEX('Policy Characteristics'!H:H,MATCH($C292,'Policy Characteristics'!$C:$C,0))),"",INDEX('Policy Characteristics'!H:H,MATCH($C292,'Policy Characteristics'!$C:$C,0)))</f>
        <v>0.01</v>
      </c>
      <c r="O292" s="394" t="str">
        <f>IF(ISBLANK(INDEX('Policy Characteristics'!I:I,MATCH($C292,'Policy Characteristics'!$C:$C,0))),"",INDEX('Policy Characteristics'!I:I,MATCH($C292,'Policy Characteristics'!$C:$C,0)))</f>
        <v>% reduction in downtime</v>
      </c>
      <c r="P292" s="394" t="str">
        <f>IF(ISBLANK(INDEX('Policy Characteristics'!J:J,MATCH($C292,'Policy Characteristics'!$C:$C,0))),"",INDEX('Policy Characteristics'!J:J,MATCH($C292,'Policy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2" s="394" t="str">
        <f>IF(ISBLANK(INDEX('Policy Characteristics'!K:K,MATCH($C292,'Policy Characteristics'!$C:$C,0))),"",INDEX('Policy Characteristics'!K:K,MATCH($C292,'Policy Characteristics'!$C:$C,0)))</f>
        <v>electricity-sector-main.html#red-downtime</v>
      </c>
      <c r="R292" s="394" t="str">
        <f>IF(ISBLANK(INDEX('Policy Characteristics'!L:L,MATCH($C292,'Policy Characteristics'!$C:$C,0))),"",INDEX('Policy Characteristics'!L:L,MATCH($C292,'Policy Characteristics'!$C:$C,0)))</f>
        <v>reduce-downtime.html</v>
      </c>
    </row>
    <row r="293" customHeight="1" spans="1:18">
      <c r="A293" s="394" t="str">
        <f>IF(ISBLANK(INDEX('Policy Characteristics'!A:A,MATCH($C293,'Policy Characteristics'!$C:$C,0))),"",INDEX('Policy Characteristics'!A:A,MATCH($C293,'Policy Characteristics'!$C:$C,0)))</f>
        <v>Electricity Supply</v>
      </c>
      <c r="B293" s="395" t="str">
        <f>IF(ISBLANK(INDEX('Policy Characteristics'!B:B,MATCH($C293,'Policy Characteristics'!$C:$C,0))),"",INDEX('Policy Characteristics'!B:B,MATCH($C293,'Policy Characteristics'!$C:$C,0)))</f>
        <v>Reduce Plant Downtime</v>
      </c>
      <c r="C293" s="402" t="str">
        <f t="shared" si="22"/>
        <v>Percentage Reduction in Plant Downtime</v>
      </c>
      <c r="D293" s="399" t="s">
        <v>721</v>
      </c>
      <c r="E293" s="399" t="s">
        <v>734</v>
      </c>
      <c r="F293" s="399"/>
      <c r="G293" s="399"/>
      <c r="H293" s="377">
        <v>675</v>
      </c>
      <c r="I293" s="396" t="s">
        <v>658</v>
      </c>
      <c r="J293" s="397" t="str">
        <f>IF(ISBLANK(INDEX('Policy Characteristics'!D:D,MATCH($C293,'Policy Characteristics'!$C:$C,0))),"",INDEX('Policy Characteristics'!D:D,MATCH($C293,'Policy Characteristics'!$C:$C,0)))</f>
        <v>Reduce Plant Downtime</v>
      </c>
      <c r="K293" s="394" t="str">
        <f>IF(ISBLANK(INDEX('Policy Characteristics'!E:E,MATCH($C293,'Policy Characteristics'!$C:$C,0))),"",INDEX('Policy Characteristics'!E:E,MATCH($C293,'Policy Characteristics'!$C:$C,0)))</f>
        <v>elec reduce plant downtime</v>
      </c>
      <c r="L293" s="398">
        <f>IF(ISBLANK(INDEX('Policy Characteristics'!F:F,MATCH($C293,'Policy Characteristics'!$C:$C,0))),"",INDEX('Policy Characteristics'!F:F,MATCH($C293,'Policy Characteristics'!$C:$C,0)))</f>
        <v>0</v>
      </c>
      <c r="M293" s="398">
        <f>IF(ISBLANK(INDEX('Policy Characteristics'!G:G,MATCH($C293,'Policy Characteristics'!$C:$C,0))),"",INDEX('Policy Characteristics'!G:G,MATCH($C293,'Policy Characteristics'!$C:$C,0)))</f>
        <v>0.6</v>
      </c>
      <c r="N293" s="398">
        <f>IF(ISBLANK(INDEX('Policy Characteristics'!H:H,MATCH($C293,'Policy Characteristics'!$C:$C,0))),"",INDEX('Policy Characteristics'!H:H,MATCH($C293,'Policy Characteristics'!$C:$C,0)))</f>
        <v>0.01</v>
      </c>
      <c r="O293" s="394" t="str">
        <f>IF(ISBLANK(INDEX('Policy Characteristics'!I:I,MATCH($C293,'Policy Characteristics'!$C:$C,0))),"",INDEX('Policy Characteristics'!I:I,MATCH($C293,'Policy Characteristics'!$C:$C,0)))</f>
        <v>% reduction in downtime</v>
      </c>
      <c r="P293" s="394" t="str">
        <f>IF(ISBLANK(INDEX('Policy Characteristics'!J:J,MATCH($C293,'Policy Characteristics'!$C:$C,0))),"",INDEX('Policy Characteristics'!J:J,MATCH($C293,'Policy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3" s="394" t="str">
        <f>IF(ISBLANK(INDEX('Policy Characteristics'!K:K,MATCH($C293,'Policy Characteristics'!$C:$C,0))),"",INDEX('Policy Characteristics'!K:K,MATCH($C293,'Policy Characteristics'!$C:$C,0)))</f>
        <v>electricity-sector-main.html#red-downtime</v>
      </c>
      <c r="R293" s="394" t="str">
        <f>IF(ISBLANK(INDEX('Policy Characteristics'!L:L,MATCH($C293,'Policy Characteristics'!$C:$C,0))),"",INDEX('Policy Characteristics'!L:L,MATCH($C293,'Policy Characteristics'!$C:$C,0)))</f>
        <v>reduce-downtime.html</v>
      </c>
    </row>
    <row r="294" customHeight="1" spans="1:18">
      <c r="A294" s="394" t="str">
        <f>IF(ISBLANK(INDEX('Policy Characteristics'!A:A,MATCH($C294,'Policy Characteristics'!$C:$C,0))),"",INDEX('Policy Characteristics'!A:A,MATCH($C294,'Policy Characteristics'!$C:$C,0)))</f>
        <v>Electricity Supply</v>
      </c>
      <c r="B294" s="395" t="str">
        <f>IF(ISBLANK(INDEX('Policy Characteristics'!B:B,MATCH($C294,'Policy Characteristics'!$C:$C,0))),"",INDEX('Policy Characteristics'!B:B,MATCH($C294,'Policy Characteristics'!$C:$C,0)))</f>
        <v>Reduce Plant Downtime</v>
      </c>
      <c r="C294" s="402" t="str">
        <f t="shared" si="22"/>
        <v>Percentage Reduction in Plant Downtime</v>
      </c>
      <c r="D294" s="399" t="s">
        <v>721</v>
      </c>
      <c r="E294" s="399" t="s">
        <v>735</v>
      </c>
      <c r="F294" s="399"/>
      <c r="G294" s="399"/>
      <c r="H294" s="377">
        <v>676</v>
      </c>
      <c r="I294" s="396" t="s">
        <v>658</v>
      </c>
      <c r="J294" s="397" t="str">
        <f>IF(ISBLANK(INDEX('Policy Characteristics'!D:D,MATCH($C294,'Policy Characteristics'!$C:$C,0))),"",INDEX('Policy Characteristics'!D:D,MATCH($C294,'Policy Characteristics'!$C:$C,0)))</f>
        <v>Reduce Plant Downtime</v>
      </c>
      <c r="K294" s="394" t="str">
        <f>IF(ISBLANK(INDEX('Policy Characteristics'!E:E,MATCH($C294,'Policy Characteristics'!$C:$C,0))),"",INDEX('Policy Characteristics'!E:E,MATCH($C294,'Policy Characteristics'!$C:$C,0)))</f>
        <v>elec reduce plant downtime</v>
      </c>
      <c r="L294" s="398">
        <f>IF(ISBLANK(INDEX('Policy Characteristics'!F:F,MATCH($C294,'Policy Characteristics'!$C:$C,0))),"",INDEX('Policy Characteristics'!F:F,MATCH($C294,'Policy Characteristics'!$C:$C,0)))</f>
        <v>0</v>
      </c>
      <c r="M294" s="398">
        <f>IF(ISBLANK(INDEX('Policy Characteristics'!G:G,MATCH($C294,'Policy Characteristics'!$C:$C,0))),"",INDEX('Policy Characteristics'!G:G,MATCH($C294,'Policy Characteristics'!$C:$C,0)))</f>
        <v>0.6</v>
      </c>
      <c r="N294" s="398">
        <f>IF(ISBLANK(INDEX('Policy Characteristics'!H:H,MATCH($C294,'Policy Characteristics'!$C:$C,0))),"",INDEX('Policy Characteristics'!H:H,MATCH($C294,'Policy Characteristics'!$C:$C,0)))</f>
        <v>0.01</v>
      </c>
      <c r="O294" s="394" t="str">
        <f>IF(ISBLANK(INDEX('Policy Characteristics'!I:I,MATCH($C294,'Policy Characteristics'!$C:$C,0))),"",INDEX('Policy Characteristics'!I:I,MATCH($C294,'Policy Characteristics'!$C:$C,0)))</f>
        <v>% reduction in downtime</v>
      </c>
      <c r="P294" s="394" t="str">
        <f>IF(ISBLANK(INDEX('Policy Characteristics'!J:J,MATCH($C294,'Policy Characteristics'!$C:$C,0))),"",INDEX('Policy Characteristics'!J:J,MATCH($C294,'Policy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4" s="394" t="str">
        <f>IF(ISBLANK(INDEX('Policy Characteristics'!K:K,MATCH($C294,'Policy Characteristics'!$C:$C,0))),"",INDEX('Policy Characteristics'!K:K,MATCH($C294,'Policy Characteristics'!$C:$C,0)))</f>
        <v>electricity-sector-main.html#red-downtime</v>
      </c>
      <c r="R294" s="394" t="str">
        <f>IF(ISBLANK(INDEX('Policy Characteristics'!L:L,MATCH($C294,'Policy Characteristics'!$C:$C,0))),"",INDEX('Policy Characteristics'!L:L,MATCH($C294,'Policy Characteristics'!$C:$C,0)))</f>
        <v>reduce-downtime.html</v>
      </c>
    </row>
    <row r="295" customHeight="1" spans="1:18">
      <c r="A295" s="394" t="str">
        <f>IF(ISBLANK(INDEX('Policy Characteristics'!A:A,MATCH($C295,'Policy Characteristics'!$C:$C,0))),"",INDEX('Policy Characteristics'!A:A,MATCH($C295,'Policy Characteristics'!$C:$C,0)))</f>
        <v>Electricity Supply</v>
      </c>
      <c r="B295" s="395" t="str">
        <f>IF(ISBLANK(INDEX('Policy Characteristics'!B:B,MATCH($C295,'Policy Characteristics'!$C:$C,0))),"",INDEX('Policy Characteristics'!B:B,MATCH($C295,'Policy Characteristics'!$C:$C,0)))</f>
        <v>Reduce Plant Downtime</v>
      </c>
      <c r="C295" s="402" t="str">
        <f t="shared" si="22"/>
        <v>Percentage Reduction in Plant Downtime</v>
      </c>
      <c r="D295" s="399" t="s">
        <v>723</v>
      </c>
      <c r="E295" s="399" t="s">
        <v>733</v>
      </c>
      <c r="F295" s="400" t="s">
        <v>724</v>
      </c>
      <c r="G295" s="399"/>
      <c r="H295" s="377">
        <v>677</v>
      </c>
      <c r="I295" s="396" t="s">
        <v>658</v>
      </c>
      <c r="J295" s="397" t="str">
        <f>IF(ISBLANK(INDEX('Policy Characteristics'!D:D,MATCH($C295,'Policy Characteristics'!$C:$C,0))),"",INDEX('Policy Characteristics'!D:D,MATCH($C295,'Policy Characteristics'!$C:$C,0)))</f>
        <v>Reduce Plant Downtime</v>
      </c>
      <c r="K295" s="394" t="str">
        <f>IF(ISBLANK(INDEX('Policy Characteristics'!E:E,MATCH($C295,'Policy Characteristics'!$C:$C,0))),"",INDEX('Policy Characteristics'!E:E,MATCH($C295,'Policy Characteristics'!$C:$C,0)))</f>
        <v>elec reduce plant downtime</v>
      </c>
      <c r="L295" s="398">
        <f>IF(ISBLANK(INDEX('Policy Characteristics'!F:F,MATCH($C295,'Policy Characteristics'!$C:$C,0))),"",INDEX('Policy Characteristics'!F:F,MATCH($C295,'Policy Characteristics'!$C:$C,0)))</f>
        <v>0</v>
      </c>
      <c r="M295" s="398">
        <f>IF(ISBLANK(INDEX('Policy Characteristics'!G:G,MATCH($C295,'Policy Characteristics'!$C:$C,0))),"",INDEX('Policy Characteristics'!G:G,MATCH($C295,'Policy Characteristics'!$C:$C,0)))</f>
        <v>0.6</v>
      </c>
      <c r="N295" s="398">
        <f>IF(ISBLANK(INDEX('Policy Characteristics'!H:H,MATCH($C295,'Policy Characteristics'!$C:$C,0))),"",INDEX('Policy Characteristics'!H:H,MATCH($C295,'Policy Characteristics'!$C:$C,0)))</f>
        <v>0.01</v>
      </c>
      <c r="O295" s="394" t="str">
        <f>IF(ISBLANK(INDEX('Policy Characteristics'!I:I,MATCH($C295,'Policy Characteristics'!$C:$C,0))),"",INDEX('Policy Characteristics'!I:I,MATCH($C295,'Policy Characteristics'!$C:$C,0)))</f>
        <v>% reduction in downtime</v>
      </c>
      <c r="P295" s="394" t="str">
        <f>IF(ISBLANK(INDEX('Policy Characteristics'!J:J,MATCH($C295,'Policy Characteristics'!$C:$C,0))),"",INDEX('Policy Characteristics'!J:J,MATCH($C295,'Policy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5" s="394" t="str">
        <f>IF(ISBLANK(INDEX('Policy Characteristics'!K:K,MATCH($C295,'Policy Characteristics'!$C:$C,0))),"",INDEX('Policy Characteristics'!K:K,MATCH($C295,'Policy Characteristics'!$C:$C,0)))</f>
        <v>electricity-sector-main.html#red-downtime</v>
      </c>
      <c r="R295" s="394" t="str">
        <f>IF(ISBLANK(INDEX('Policy Characteristics'!L:L,MATCH($C295,'Policy Characteristics'!$C:$C,0))),"",INDEX('Policy Characteristics'!L:L,MATCH($C295,'Policy Characteristics'!$C:$C,0)))</f>
        <v>reduce-downtime.html</v>
      </c>
    </row>
    <row r="296" customHeight="1" spans="1:18">
      <c r="A296" s="394" t="str">
        <f>IF(ISBLANK(INDEX('Policy Characteristics'!A:A,MATCH($C296,'Policy Characteristics'!$C:$C,0))),"",INDEX('Policy Characteristics'!A:A,MATCH($C296,'Policy Characteristics'!$C:$C,0)))</f>
        <v>Electricity Supply</v>
      </c>
      <c r="B296" s="395" t="str">
        <f>IF(ISBLANK(INDEX('Policy Characteristics'!B:B,MATCH($C296,'Policy Characteristics'!$C:$C,0))),"",INDEX('Policy Characteristics'!B:B,MATCH($C296,'Policy Characteristics'!$C:$C,0)))</f>
        <v>Reduce Plant Downtime</v>
      </c>
      <c r="C296" s="402" t="str">
        <f t="shared" ref="C296:C309" si="23">C$265</f>
        <v>Percentage Reduction in Plant Downtime</v>
      </c>
      <c r="D296" s="399" t="s">
        <v>723</v>
      </c>
      <c r="E296" s="399" t="s">
        <v>734</v>
      </c>
      <c r="F296" s="400" t="s">
        <v>724</v>
      </c>
      <c r="G296" s="399"/>
      <c r="H296" s="377">
        <v>678</v>
      </c>
      <c r="I296" s="396" t="s">
        <v>658</v>
      </c>
      <c r="J296" s="397" t="str">
        <f>IF(ISBLANK(INDEX('Policy Characteristics'!D:D,MATCH($C296,'Policy Characteristics'!$C:$C,0))),"",INDEX('Policy Characteristics'!D:D,MATCH($C296,'Policy Characteristics'!$C:$C,0)))</f>
        <v>Reduce Plant Downtime</v>
      </c>
      <c r="K296" s="394" t="str">
        <f>IF(ISBLANK(INDEX('Policy Characteristics'!E:E,MATCH($C296,'Policy Characteristics'!$C:$C,0))),"",INDEX('Policy Characteristics'!E:E,MATCH($C296,'Policy Characteristics'!$C:$C,0)))</f>
        <v>elec reduce plant downtime</v>
      </c>
      <c r="L296" s="398">
        <f>IF(ISBLANK(INDEX('Policy Characteristics'!F:F,MATCH($C296,'Policy Characteristics'!$C:$C,0))),"",INDEX('Policy Characteristics'!F:F,MATCH($C296,'Policy Characteristics'!$C:$C,0)))</f>
        <v>0</v>
      </c>
      <c r="M296" s="398">
        <f>IF(ISBLANK(INDEX('Policy Characteristics'!G:G,MATCH($C296,'Policy Characteristics'!$C:$C,0))),"",INDEX('Policy Characteristics'!G:G,MATCH($C296,'Policy Characteristics'!$C:$C,0)))</f>
        <v>0.6</v>
      </c>
      <c r="N296" s="398">
        <f>IF(ISBLANK(INDEX('Policy Characteristics'!H:H,MATCH($C296,'Policy Characteristics'!$C:$C,0))),"",INDEX('Policy Characteristics'!H:H,MATCH($C296,'Policy Characteristics'!$C:$C,0)))</f>
        <v>0.01</v>
      </c>
      <c r="O296" s="394" t="str">
        <f>IF(ISBLANK(INDEX('Policy Characteristics'!I:I,MATCH($C296,'Policy Characteristics'!$C:$C,0))),"",INDEX('Policy Characteristics'!I:I,MATCH($C296,'Policy Characteristics'!$C:$C,0)))</f>
        <v>% reduction in downtime</v>
      </c>
      <c r="P296" s="394" t="str">
        <f>IF(ISBLANK(INDEX('Policy Characteristics'!J:J,MATCH($C296,'Policy Characteristics'!$C:$C,0))),"",INDEX('Policy Characteristics'!J:J,MATCH($C296,'Policy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6" s="394" t="str">
        <f>IF(ISBLANK(INDEX('Policy Characteristics'!K:K,MATCH($C296,'Policy Characteristics'!$C:$C,0))),"",INDEX('Policy Characteristics'!K:K,MATCH($C296,'Policy Characteristics'!$C:$C,0)))</f>
        <v>electricity-sector-main.html#red-downtime</v>
      </c>
      <c r="R296" s="394" t="str">
        <f>IF(ISBLANK(INDEX('Policy Characteristics'!L:L,MATCH($C296,'Policy Characteristics'!$C:$C,0))),"",INDEX('Policy Characteristics'!L:L,MATCH($C296,'Policy Characteristics'!$C:$C,0)))</f>
        <v>reduce-downtime.html</v>
      </c>
    </row>
    <row r="297" customHeight="1" spans="1:18">
      <c r="A297" s="394" t="str">
        <f>IF(ISBLANK(INDEX('Policy Characteristics'!A:A,MATCH($C297,'Policy Characteristics'!$C:$C,0))),"",INDEX('Policy Characteristics'!A:A,MATCH($C297,'Policy Characteristics'!$C:$C,0)))</f>
        <v>Electricity Supply</v>
      </c>
      <c r="B297" s="395" t="str">
        <f>IF(ISBLANK(INDEX('Policy Characteristics'!B:B,MATCH($C297,'Policy Characteristics'!$C:$C,0))),"",INDEX('Policy Characteristics'!B:B,MATCH($C297,'Policy Characteristics'!$C:$C,0)))</f>
        <v>Reduce Plant Downtime</v>
      </c>
      <c r="C297" s="402" t="str">
        <f t="shared" si="23"/>
        <v>Percentage Reduction in Plant Downtime</v>
      </c>
      <c r="D297" s="399" t="s">
        <v>723</v>
      </c>
      <c r="E297" s="399" t="s">
        <v>735</v>
      </c>
      <c r="F297" s="400" t="s">
        <v>724</v>
      </c>
      <c r="G297" s="399"/>
      <c r="H297" s="377">
        <v>679</v>
      </c>
      <c r="I297" s="396" t="s">
        <v>658</v>
      </c>
      <c r="J297" s="397" t="str">
        <f>IF(ISBLANK(INDEX('Policy Characteristics'!D:D,MATCH($C297,'Policy Characteristics'!$C:$C,0))),"",INDEX('Policy Characteristics'!D:D,MATCH($C297,'Policy Characteristics'!$C:$C,0)))</f>
        <v>Reduce Plant Downtime</v>
      </c>
      <c r="K297" s="394" t="str">
        <f>IF(ISBLANK(INDEX('Policy Characteristics'!E:E,MATCH($C297,'Policy Characteristics'!$C:$C,0))),"",INDEX('Policy Characteristics'!E:E,MATCH($C297,'Policy Characteristics'!$C:$C,0)))</f>
        <v>elec reduce plant downtime</v>
      </c>
      <c r="L297" s="398">
        <f>IF(ISBLANK(INDEX('Policy Characteristics'!F:F,MATCH($C297,'Policy Characteristics'!$C:$C,0))),"",INDEX('Policy Characteristics'!F:F,MATCH($C297,'Policy Characteristics'!$C:$C,0)))</f>
        <v>0</v>
      </c>
      <c r="M297" s="398">
        <f>IF(ISBLANK(INDEX('Policy Characteristics'!G:G,MATCH($C297,'Policy Characteristics'!$C:$C,0))),"",INDEX('Policy Characteristics'!G:G,MATCH($C297,'Policy Characteristics'!$C:$C,0)))</f>
        <v>0.6</v>
      </c>
      <c r="N297" s="398">
        <f>IF(ISBLANK(INDEX('Policy Characteristics'!H:H,MATCH($C297,'Policy Characteristics'!$C:$C,0))),"",INDEX('Policy Characteristics'!H:H,MATCH($C297,'Policy Characteristics'!$C:$C,0)))</f>
        <v>0.01</v>
      </c>
      <c r="O297" s="394" t="str">
        <f>IF(ISBLANK(INDEX('Policy Characteristics'!I:I,MATCH($C297,'Policy Characteristics'!$C:$C,0))),"",INDEX('Policy Characteristics'!I:I,MATCH($C297,'Policy Characteristics'!$C:$C,0)))</f>
        <v>% reduction in downtime</v>
      </c>
      <c r="P297" s="394" t="str">
        <f>IF(ISBLANK(INDEX('Policy Characteristics'!J:J,MATCH($C297,'Policy Characteristics'!$C:$C,0))),"",INDEX('Policy Characteristics'!J:J,MATCH($C297,'Policy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7" s="394" t="str">
        <f>IF(ISBLANK(INDEX('Policy Characteristics'!K:K,MATCH($C297,'Policy Characteristics'!$C:$C,0))),"",INDEX('Policy Characteristics'!K:K,MATCH($C297,'Policy Characteristics'!$C:$C,0)))</f>
        <v>electricity-sector-main.html#red-downtime</v>
      </c>
      <c r="R297" s="394" t="str">
        <f>IF(ISBLANK(INDEX('Policy Characteristics'!L:L,MATCH($C297,'Policy Characteristics'!$C:$C,0))),"",INDEX('Policy Characteristics'!L:L,MATCH($C297,'Policy Characteristics'!$C:$C,0)))</f>
        <v>reduce-downtime.html</v>
      </c>
    </row>
    <row r="298" customHeight="1" spans="1:18">
      <c r="A298" s="394" t="str">
        <f>IF(ISBLANK(INDEX('Policy Characteristics'!A:A,MATCH($C298,'Policy Characteristics'!$C:$C,0))),"",INDEX('Policy Characteristics'!A:A,MATCH($C298,'Policy Characteristics'!$C:$C,0)))</f>
        <v>Electricity Supply</v>
      </c>
      <c r="B298" s="395" t="str">
        <f>IF(ISBLANK(INDEX('Policy Characteristics'!B:B,MATCH($C298,'Policy Characteristics'!$C:$C,0))),"",INDEX('Policy Characteristics'!B:B,MATCH($C298,'Policy Characteristics'!$C:$C,0)))</f>
        <v>Reduce Plant Downtime</v>
      </c>
      <c r="C298" s="402" t="str">
        <f t="shared" si="23"/>
        <v>Percentage Reduction in Plant Downtime</v>
      </c>
      <c r="D298" s="399" t="s">
        <v>725</v>
      </c>
      <c r="E298" s="399" t="s">
        <v>733</v>
      </c>
      <c r="F298" s="399"/>
      <c r="G298" s="399"/>
      <c r="H298" s="377">
        <v>680</v>
      </c>
      <c r="I298" s="396" t="s">
        <v>658</v>
      </c>
      <c r="J298" s="397" t="str">
        <f>IF(ISBLANK(INDEX('Policy Characteristics'!D:D,MATCH($C298,'Policy Characteristics'!$C:$C,0))),"",INDEX('Policy Characteristics'!D:D,MATCH($C298,'Policy Characteristics'!$C:$C,0)))</f>
        <v>Reduce Plant Downtime</v>
      </c>
      <c r="K298" s="394" t="str">
        <f>IF(ISBLANK(INDEX('Policy Characteristics'!E:E,MATCH($C298,'Policy Characteristics'!$C:$C,0))),"",INDEX('Policy Characteristics'!E:E,MATCH($C298,'Policy Characteristics'!$C:$C,0)))</f>
        <v>elec reduce plant downtime</v>
      </c>
      <c r="L298" s="398">
        <f>IF(ISBLANK(INDEX('Policy Characteristics'!F:F,MATCH($C298,'Policy Characteristics'!$C:$C,0))),"",INDEX('Policy Characteristics'!F:F,MATCH($C298,'Policy Characteristics'!$C:$C,0)))</f>
        <v>0</v>
      </c>
      <c r="M298" s="398">
        <f>IF(ISBLANK(INDEX('Policy Characteristics'!G:G,MATCH($C298,'Policy Characteristics'!$C:$C,0))),"",INDEX('Policy Characteristics'!G:G,MATCH($C298,'Policy Characteristics'!$C:$C,0)))</f>
        <v>0.6</v>
      </c>
      <c r="N298" s="398">
        <f>IF(ISBLANK(INDEX('Policy Characteristics'!H:H,MATCH($C298,'Policy Characteristics'!$C:$C,0))),"",INDEX('Policy Characteristics'!H:H,MATCH($C298,'Policy Characteristics'!$C:$C,0)))</f>
        <v>0.01</v>
      </c>
      <c r="O298" s="394" t="str">
        <f>IF(ISBLANK(INDEX('Policy Characteristics'!I:I,MATCH($C298,'Policy Characteristics'!$C:$C,0))),"",INDEX('Policy Characteristics'!I:I,MATCH($C298,'Policy Characteristics'!$C:$C,0)))</f>
        <v>% reduction in downtime</v>
      </c>
      <c r="P298" s="394" t="str">
        <f>IF(ISBLANK(INDEX('Policy Characteristics'!J:J,MATCH($C298,'Policy Characteristics'!$C:$C,0))),"",INDEX('Policy Characteristics'!J:J,MATCH($C298,'Policy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8" s="394" t="str">
        <f>IF(ISBLANK(INDEX('Policy Characteristics'!K:K,MATCH($C298,'Policy Characteristics'!$C:$C,0))),"",INDEX('Policy Characteristics'!K:K,MATCH($C298,'Policy Characteristics'!$C:$C,0)))</f>
        <v>electricity-sector-main.html#red-downtime</v>
      </c>
      <c r="R298" s="394" t="str">
        <f>IF(ISBLANK(INDEX('Policy Characteristics'!L:L,MATCH($C298,'Policy Characteristics'!$C:$C,0))),"",INDEX('Policy Characteristics'!L:L,MATCH($C298,'Policy Characteristics'!$C:$C,0)))</f>
        <v>reduce-downtime.html</v>
      </c>
    </row>
    <row r="299" customHeight="1" spans="1:18">
      <c r="A299" s="394" t="str">
        <f>IF(ISBLANK(INDEX('Policy Characteristics'!A:A,MATCH($C299,'Policy Characteristics'!$C:$C,0))),"",INDEX('Policy Characteristics'!A:A,MATCH($C299,'Policy Characteristics'!$C:$C,0)))</f>
        <v>Electricity Supply</v>
      </c>
      <c r="B299" s="395" t="str">
        <f>IF(ISBLANK(INDEX('Policy Characteristics'!B:B,MATCH($C299,'Policy Characteristics'!$C:$C,0))),"",INDEX('Policy Characteristics'!B:B,MATCH($C299,'Policy Characteristics'!$C:$C,0)))</f>
        <v>Reduce Plant Downtime</v>
      </c>
      <c r="C299" s="402" t="str">
        <f t="shared" si="23"/>
        <v>Percentage Reduction in Plant Downtime</v>
      </c>
      <c r="D299" s="399" t="s">
        <v>725</v>
      </c>
      <c r="E299" s="399" t="s">
        <v>734</v>
      </c>
      <c r="F299" s="399"/>
      <c r="G299" s="399"/>
      <c r="H299" s="377">
        <v>681</v>
      </c>
      <c r="I299" s="396" t="s">
        <v>658</v>
      </c>
      <c r="J299" s="397" t="str">
        <f>IF(ISBLANK(INDEX('Policy Characteristics'!D:D,MATCH($C299,'Policy Characteristics'!$C:$C,0))),"",INDEX('Policy Characteristics'!D:D,MATCH($C299,'Policy Characteristics'!$C:$C,0)))</f>
        <v>Reduce Plant Downtime</v>
      </c>
      <c r="K299" s="394" t="str">
        <f>IF(ISBLANK(INDEX('Policy Characteristics'!E:E,MATCH($C299,'Policy Characteristics'!$C:$C,0))),"",INDEX('Policy Characteristics'!E:E,MATCH($C299,'Policy Characteristics'!$C:$C,0)))</f>
        <v>elec reduce plant downtime</v>
      </c>
      <c r="L299" s="398">
        <f>IF(ISBLANK(INDEX('Policy Characteristics'!F:F,MATCH($C299,'Policy Characteristics'!$C:$C,0))),"",INDEX('Policy Characteristics'!F:F,MATCH($C299,'Policy Characteristics'!$C:$C,0)))</f>
        <v>0</v>
      </c>
      <c r="M299" s="398">
        <f>IF(ISBLANK(INDEX('Policy Characteristics'!G:G,MATCH($C299,'Policy Characteristics'!$C:$C,0))),"",INDEX('Policy Characteristics'!G:G,MATCH($C299,'Policy Characteristics'!$C:$C,0)))</f>
        <v>0.6</v>
      </c>
      <c r="N299" s="398">
        <f>IF(ISBLANK(INDEX('Policy Characteristics'!H:H,MATCH($C299,'Policy Characteristics'!$C:$C,0))),"",INDEX('Policy Characteristics'!H:H,MATCH($C299,'Policy Characteristics'!$C:$C,0)))</f>
        <v>0.01</v>
      </c>
      <c r="O299" s="394" t="str">
        <f>IF(ISBLANK(INDEX('Policy Characteristics'!I:I,MATCH($C299,'Policy Characteristics'!$C:$C,0))),"",INDEX('Policy Characteristics'!I:I,MATCH($C299,'Policy Characteristics'!$C:$C,0)))</f>
        <v>% reduction in downtime</v>
      </c>
      <c r="P299" s="394" t="str">
        <f>IF(ISBLANK(INDEX('Policy Characteristics'!J:J,MATCH($C299,'Policy Characteristics'!$C:$C,0))),"",INDEX('Policy Characteristics'!J:J,MATCH($C299,'Policy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9" s="394" t="str">
        <f>IF(ISBLANK(INDEX('Policy Characteristics'!K:K,MATCH($C299,'Policy Characteristics'!$C:$C,0))),"",INDEX('Policy Characteristics'!K:K,MATCH($C299,'Policy Characteristics'!$C:$C,0)))</f>
        <v>electricity-sector-main.html#red-downtime</v>
      </c>
      <c r="R299" s="394" t="str">
        <f>IF(ISBLANK(INDEX('Policy Characteristics'!L:L,MATCH($C299,'Policy Characteristics'!$C:$C,0))),"",INDEX('Policy Characteristics'!L:L,MATCH($C299,'Policy Characteristics'!$C:$C,0)))</f>
        <v>reduce-downtime.html</v>
      </c>
    </row>
    <row r="300" customHeight="1" spans="1:18">
      <c r="A300" s="394" t="str">
        <f>IF(ISBLANK(INDEX('Policy Characteristics'!A:A,MATCH($C300,'Policy Characteristics'!$C:$C,0))),"",INDEX('Policy Characteristics'!A:A,MATCH($C300,'Policy Characteristics'!$C:$C,0)))</f>
        <v>Electricity Supply</v>
      </c>
      <c r="B300" s="395" t="str">
        <f>IF(ISBLANK(INDEX('Policy Characteristics'!B:B,MATCH($C300,'Policy Characteristics'!$C:$C,0))),"",INDEX('Policy Characteristics'!B:B,MATCH($C300,'Policy Characteristics'!$C:$C,0)))</f>
        <v>Reduce Plant Downtime</v>
      </c>
      <c r="C300" s="402" t="str">
        <f t="shared" si="23"/>
        <v>Percentage Reduction in Plant Downtime</v>
      </c>
      <c r="D300" s="399" t="s">
        <v>725</v>
      </c>
      <c r="E300" s="399" t="s">
        <v>735</v>
      </c>
      <c r="F300" s="399" t="s">
        <v>726</v>
      </c>
      <c r="G300" s="399" t="s">
        <v>737</v>
      </c>
      <c r="H300" s="377">
        <v>182</v>
      </c>
      <c r="I300" s="396" t="s">
        <v>648</v>
      </c>
      <c r="J300" s="397" t="str">
        <f>IF(ISBLANK(INDEX('Policy Characteristics'!D:D,MATCH($C300,'Policy Characteristics'!$C:$C,0))),"",INDEX('Policy Characteristics'!D:D,MATCH($C300,'Policy Characteristics'!$C:$C,0)))</f>
        <v>Reduce Plant Downtime</v>
      </c>
      <c r="K300" s="394" t="str">
        <f>IF(ISBLANK(INDEX('Policy Characteristics'!E:E,MATCH($C300,'Policy Characteristics'!$C:$C,0))),"",INDEX('Policy Characteristics'!E:E,MATCH($C300,'Policy Characteristics'!$C:$C,0)))</f>
        <v>elec reduce plant downtime</v>
      </c>
      <c r="L300" s="398">
        <f>IF(ISBLANK(INDEX('Policy Characteristics'!F:F,MATCH($C300,'Policy Characteristics'!$C:$C,0))),"",INDEX('Policy Characteristics'!F:F,MATCH($C300,'Policy Characteristics'!$C:$C,0)))</f>
        <v>0</v>
      </c>
      <c r="M300" s="398">
        <f>IF(ISBLANK(INDEX('Policy Characteristics'!G:G,MATCH($C300,'Policy Characteristics'!$C:$C,0))),"",INDEX('Policy Characteristics'!G:G,MATCH($C300,'Policy Characteristics'!$C:$C,0)))</f>
        <v>0.6</v>
      </c>
      <c r="N300" s="398">
        <f>IF(ISBLANK(INDEX('Policy Characteristics'!H:H,MATCH($C300,'Policy Characteristics'!$C:$C,0))),"",INDEX('Policy Characteristics'!H:H,MATCH($C300,'Policy Characteristics'!$C:$C,0)))</f>
        <v>0.01</v>
      </c>
      <c r="O300" s="394" t="str">
        <f>IF(ISBLANK(INDEX('Policy Characteristics'!I:I,MATCH($C300,'Policy Characteristics'!$C:$C,0))),"",INDEX('Policy Characteristics'!I:I,MATCH($C300,'Policy Characteristics'!$C:$C,0)))</f>
        <v>% reduction in downtime</v>
      </c>
      <c r="P300" s="394" t="str">
        <f>IF(ISBLANK(INDEX('Policy Characteristics'!J:J,MATCH($C300,'Policy Characteristics'!$C:$C,0))),"",INDEX('Policy Characteristics'!J:J,MATCH($C300,'Policy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0" s="394" t="str">
        <f>IF(ISBLANK(INDEX('Policy Characteristics'!K:K,MATCH($C300,'Policy Characteristics'!$C:$C,0))),"",INDEX('Policy Characteristics'!K:K,MATCH($C300,'Policy Characteristics'!$C:$C,0)))</f>
        <v>electricity-sector-main.html#red-downtime</v>
      </c>
      <c r="R300" s="394" t="str">
        <f>IF(ISBLANK(INDEX('Policy Characteristics'!L:L,MATCH($C300,'Policy Characteristics'!$C:$C,0))),"",INDEX('Policy Characteristics'!L:L,MATCH($C300,'Policy Characteristics'!$C:$C,0)))</f>
        <v>reduce-downtime.html</v>
      </c>
    </row>
    <row r="301" customHeight="1" spans="1:18">
      <c r="A301" s="394" t="str">
        <f>IF(ISBLANK(INDEX('Policy Characteristics'!A:A,MATCH($C301,'Policy Characteristics'!$C:$C,0))),"",INDEX('Policy Characteristics'!A:A,MATCH($C301,'Policy Characteristics'!$C:$C,0)))</f>
        <v>Electricity Supply</v>
      </c>
      <c r="B301" s="395" t="str">
        <f>IF(ISBLANK(INDEX('Policy Characteristics'!B:B,MATCH($C301,'Policy Characteristics'!$C:$C,0))),"",INDEX('Policy Characteristics'!B:B,MATCH($C301,'Policy Characteristics'!$C:$C,0)))</f>
        <v>Reduce Plant Downtime</v>
      </c>
      <c r="C301" s="402" t="str">
        <f t="shared" si="23"/>
        <v>Percentage Reduction in Plant Downtime</v>
      </c>
      <c r="D301" s="399" t="s">
        <v>727</v>
      </c>
      <c r="E301" s="399" t="s">
        <v>733</v>
      </c>
      <c r="G301" s="399"/>
      <c r="H301" s="377">
        <v>682</v>
      </c>
      <c r="I301" s="396" t="s">
        <v>658</v>
      </c>
      <c r="J301" s="397" t="str">
        <f>IF(ISBLANK(INDEX('Policy Characteristics'!D:D,MATCH($C301,'Policy Characteristics'!$C:$C,0))),"",INDEX('Policy Characteristics'!D:D,MATCH($C301,'Policy Characteristics'!$C:$C,0)))</f>
        <v>Reduce Plant Downtime</v>
      </c>
      <c r="K301" s="394" t="str">
        <f>IF(ISBLANK(INDEX('Policy Characteristics'!E:E,MATCH($C301,'Policy Characteristics'!$C:$C,0))),"",INDEX('Policy Characteristics'!E:E,MATCH($C301,'Policy Characteristics'!$C:$C,0)))</f>
        <v>elec reduce plant downtime</v>
      </c>
      <c r="L301" s="398">
        <f>IF(ISBLANK(INDEX('Policy Characteristics'!F:F,MATCH($C301,'Policy Characteristics'!$C:$C,0))),"",INDEX('Policy Characteristics'!F:F,MATCH($C301,'Policy Characteristics'!$C:$C,0)))</f>
        <v>0</v>
      </c>
      <c r="M301" s="398">
        <f>IF(ISBLANK(INDEX('Policy Characteristics'!G:G,MATCH($C301,'Policy Characteristics'!$C:$C,0))),"",INDEX('Policy Characteristics'!G:G,MATCH($C301,'Policy Characteristics'!$C:$C,0)))</f>
        <v>0.6</v>
      </c>
      <c r="N301" s="398">
        <f>IF(ISBLANK(INDEX('Policy Characteristics'!H:H,MATCH($C301,'Policy Characteristics'!$C:$C,0))),"",INDEX('Policy Characteristics'!H:H,MATCH($C301,'Policy Characteristics'!$C:$C,0)))</f>
        <v>0.01</v>
      </c>
      <c r="O301" s="394" t="str">
        <f>IF(ISBLANK(INDEX('Policy Characteristics'!I:I,MATCH($C301,'Policy Characteristics'!$C:$C,0))),"",INDEX('Policy Characteristics'!I:I,MATCH($C301,'Policy Characteristics'!$C:$C,0)))</f>
        <v>% reduction in downtime</v>
      </c>
      <c r="P301" s="394" t="str">
        <f>IF(ISBLANK(INDEX('Policy Characteristics'!J:J,MATCH($C301,'Policy Characteristics'!$C:$C,0))),"",INDEX('Policy Characteristics'!J:J,MATCH($C301,'Policy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1" s="394" t="str">
        <f>IF(ISBLANK(INDEX('Policy Characteristics'!K:K,MATCH($C301,'Policy Characteristics'!$C:$C,0))),"",INDEX('Policy Characteristics'!K:K,MATCH($C301,'Policy Characteristics'!$C:$C,0)))</f>
        <v>electricity-sector-main.html#red-downtime</v>
      </c>
      <c r="R301" s="394" t="str">
        <f>IF(ISBLANK(INDEX('Policy Characteristics'!L:L,MATCH($C301,'Policy Characteristics'!$C:$C,0))),"",INDEX('Policy Characteristics'!L:L,MATCH($C301,'Policy Characteristics'!$C:$C,0)))</f>
        <v>reduce-downtime.html</v>
      </c>
    </row>
    <row r="302" customHeight="1" spans="1:18">
      <c r="A302" s="394" t="str">
        <f>IF(ISBLANK(INDEX('Policy Characteristics'!A:A,MATCH($C302,'Policy Characteristics'!$C:$C,0))),"",INDEX('Policy Characteristics'!A:A,MATCH($C302,'Policy Characteristics'!$C:$C,0)))</f>
        <v>Electricity Supply</v>
      </c>
      <c r="B302" s="395" t="str">
        <f>IF(ISBLANK(INDEX('Policy Characteristics'!B:B,MATCH($C302,'Policy Characteristics'!$C:$C,0))),"",INDEX('Policy Characteristics'!B:B,MATCH($C302,'Policy Characteristics'!$C:$C,0)))</f>
        <v>Reduce Plant Downtime</v>
      </c>
      <c r="C302" s="402" t="str">
        <f t="shared" si="23"/>
        <v>Percentage Reduction in Plant Downtime</v>
      </c>
      <c r="D302" s="399" t="s">
        <v>727</v>
      </c>
      <c r="E302" s="399" t="s">
        <v>734</v>
      </c>
      <c r="H302" s="377">
        <v>683</v>
      </c>
      <c r="I302" s="396" t="s">
        <v>658</v>
      </c>
      <c r="J302" s="397" t="str">
        <f>IF(ISBLANK(INDEX('Policy Characteristics'!D:D,MATCH($C302,'Policy Characteristics'!$C:$C,0))),"",INDEX('Policy Characteristics'!D:D,MATCH($C302,'Policy Characteristics'!$C:$C,0)))</f>
        <v>Reduce Plant Downtime</v>
      </c>
      <c r="K302" s="394" t="str">
        <f>IF(ISBLANK(INDEX('Policy Characteristics'!E:E,MATCH($C302,'Policy Characteristics'!$C:$C,0))),"",INDEX('Policy Characteristics'!E:E,MATCH($C302,'Policy Characteristics'!$C:$C,0)))</f>
        <v>elec reduce plant downtime</v>
      </c>
      <c r="L302" s="398">
        <f>IF(ISBLANK(INDEX('Policy Characteristics'!F:F,MATCH($C302,'Policy Characteristics'!$C:$C,0))),"",INDEX('Policy Characteristics'!F:F,MATCH($C302,'Policy Characteristics'!$C:$C,0)))</f>
        <v>0</v>
      </c>
      <c r="M302" s="398">
        <f>IF(ISBLANK(INDEX('Policy Characteristics'!G:G,MATCH($C302,'Policy Characteristics'!$C:$C,0))),"",INDEX('Policy Characteristics'!G:G,MATCH($C302,'Policy Characteristics'!$C:$C,0)))</f>
        <v>0.6</v>
      </c>
      <c r="N302" s="398">
        <f>IF(ISBLANK(INDEX('Policy Characteristics'!H:H,MATCH($C302,'Policy Characteristics'!$C:$C,0))),"",INDEX('Policy Characteristics'!H:H,MATCH($C302,'Policy Characteristics'!$C:$C,0)))</f>
        <v>0.01</v>
      </c>
      <c r="O302" s="394" t="str">
        <f>IF(ISBLANK(INDEX('Policy Characteristics'!I:I,MATCH($C302,'Policy Characteristics'!$C:$C,0))),"",INDEX('Policy Characteristics'!I:I,MATCH($C302,'Policy Characteristics'!$C:$C,0)))</f>
        <v>% reduction in downtime</v>
      </c>
      <c r="P302" s="394" t="str">
        <f>IF(ISBLANK(INDEX('Policy Characteristics'!J:J,MATCH($C302,'Policy Characteristics'!$C:$C,0))),"",INDEX('Policy Characteristics'!J:J,MATCH($C302,'Policy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2" s="394" t="str">
        <f>IF(ISBLANK(INDEX('Policy Characteristics'!K:K,MATCH($C302,'Policy Characteristics'!$C:$C,0))),"",INDEX('Policy Characteristics'!K:K,MATCH($C302,'Policy Characteristics'!$C:$C,0)))</f>
        <v>electricity-sector-main.html#red-downtime</v>
      </c>
      <c r="R302" s="394" t="str">
        <f>IF(ISBLANK(INDEX('Policy Characteristics'!L:L,MATCH($C302,'Policy Characteristics'!$C:$C,0))),"",INDEX('Policy Characteristics'!L:L,MATCH($C302,'Policy Characteristics'!$C:$C,0)))</f>
        <v>reduce-downtime.html</v>
      </c>
    </row>
    <row r="303" customHeight="1" spans="1:18">
      <c r="A303" s="394" t="str">
        <f>IF(ISBLANK(INDEX('Policy Characteristics'!A:A,MATCH($C303,'Policy Characteristics'!$C:$C,0))),"",INDEX('Policy Characteristics'!A:A,MATCH($C303,'Policy Characteristics'!$C:$C,0)))</f>
        <v>Electricity Supply</v>
      </c>
      <c r="B303" s="395" t="str">
        <f>IF(ISBLANK(INDEX('Policy Characteristics'!B:B,MATCH($C303,'Policy Characteristics'!$C:$C,0))),"",INDEX('Policy Characteristics'!B:B,MATCH($C303,'Policy Characteristics'!$C:$C,0)))</f>
        <v>Reduce Plant Downtime</v>
      </c>
      <c r="C303" s="402" t="str">
        <f t="shared" si="23"/>
        <v>Percentage Reduction in Plant Downtime</v>
      </c>
      <c r="D303" s="399" t="s">
        <v>727</v>
      </c>
      <c r="E303" s="399" t="s">
        <v>735</v>
      </c>
      <c r="H303" s="377">
        <v>684</v>
      </c>
      <c r="I303" s="396" t="s">
        <v>658</v>
      </c>
      <c r="J303" s="397" t="str">
        <f>IF(ISBLANK(INDEX('Policy Characteristics'!D:D,MATCH($C303,'Policy Characteristics'!$C:$C,0))),"",INDEX('Policy Characteristics'!D:D,MATCH($C303,'Policy Characteristics'!$C:$C,0)))</f>
        <v>Reduce Plant Downtime</v>
      </c>
      <c r="K303" s="394" t="str">
        <f>IF(ISBLANK(INDEX('Policy Characteristics'!E:E,MATCH($C303,'Policy Characteristics'!$C:$C,0))),"",INDEX('Policy Characteristics'!E:E,MATCH($C303,'Policy Characteristics'!$C:$C,0)))</f>
        <v>elec reduce plant downtime</v>
      </c>
      <c r="L303" s="398">
        <f>IF(ISBLANK(INDEX('Policy Characteristics'!F:F,MATCH($C303,'Policy Characteristics'!$C:$C,0))),"",INDEX('Policy Characteristics'!F:F,MATCH($C303,'Policy Characteristics'!$C:$C,0)))</f>
        <v>0</v>
      </c>
      <c r="M303" s="398">
        <f>IF(ISBLANK(INDEX('Policy Characteristics'!G:G,MATCH($C303,'Policy Characteristics'!$C:$C,0))),"",INDEX('Policy Characteristics'!G:G,MATCH($C303,'Policy Characteristics'!$C:$C,0)))</f>
        <v>0.6</v>
      </c>
      <c r="N303" s="398">
        <f>IF(ISBLANK(INDEX('Policy Characteristics'!H:H,MATCH($C303,'Policy Characteristics'!$C:$C,0))),"",INDEX('Policy Characteristics'!H:H,MATCH($C303,'Policy Characteristics'!$C:$C,0)))</f>
        <v>0.01</v>
      </c>
      <c r="O303" s="394" t="str">
        <f>IF(ISBLANK(INDEX('Policy Characteristics'!I:I,MATCH($C303,'Policy Characteristics'!$C:$C,0))),"",INDEX('Policy Characteristics'!I:I,MATCH($C303,'Policy Characteristics'!$C:$C,0)))</f>
        <v>% reduction in downtime</v>
      </c>
      <c r="P303" s="394" t="str">
        <f>IF(ISBLANK(INDEX('Policy Characteristics'!J:J,MATCH($C303,'Policy Characteristics'!$C:$C,0))),"",INDEX('Policy Characteristics'!J:J,MATCH($C303,'Policy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3" s="394" t="str">
        <f>IF(ISBLANK(INDEX('Policy Characteristics'!K:K,MATCH($C303,'Policy Characteristics'!$C:$C,0))),"",INDEX('Policy Characteristics'!K:K,MATCH($C303,'Policy Characteristics'!$C:$C,0)))</f>
        <v>electricity-sector-main.html#red-downtime</v>
      </c>
      <c r="R303" s="394" t="str">
        <f>IF(ISBLANK(INDEX('Policy Characteristics'!L:L,MATCH($C303,'Policy Characteristics'!$C:$C,0))),"",INDEX('Policy Characteristics'!L:L,MATCH($C303,'Policy Characteristics'!$C:$C,0)))</f>
        <v>reduce-downtime.html</v>
      </c>
    </row>
    <row r="304" customHeight="1" spans="1:18">
      <c r="A304" s="394" t="str">
        <f>IF(ISBLANK(INDEX('Policy Characteristics'!A:A,MATCH($C304,'Policy Characteristics'!$C:$C,0))),"",INDEX('Policy Characteristics'!A:A,MATCH($C304,'Policy Characteristics'!$C:$C,0)))</f>
        <v>Electricity Supply</v>
      </c>
      <c r="B304" s="395" t="str">
        <f>IF(ISBLANK(INDEX('Policy Characteristics'!B:B,MATCH($C304,'Policy Characteristics'!$C:$C,0))),"",INDEX('Policy Characteristics'!B:B,MATCH($C304,'Policy Characteristics'!$C:$C,0)))</f>
        <v>Reduce Plant Downtime</v>
      </c>
      <c r="C304" s="402" t="str">
        <f t="shared" si="23"/>
        <v>Percentage Reduction in Plant Downtime</v>
      </c>
      <c r="D304" s="399" t="s">
        <v>729</v>
      </c>
      <c r="E304" s="399" t="s">
        <v>733</v>
      </c>
      <c r="G304" s="399"/>
      <c r="H304" s="377">
        <v>685</v>
      </c>
      <c r="I304" s="396" t="s">
        <v>658</v>
      </c>
      <c r="J304" s="397" t="str">
        <f>IF(ISBLANK(INDEX('Policy Characteristics'!D:D,MATCH($C304,'Policy Characteristics'!$C:$C,0))),"",INDEX('Policy Characteristics'!D:D,MATCH($C304,'Policy Characteristics'!$C:$C,0)))</f>
        <v>Reduce Plant Downtime</v>
      </c>
      <c r="K304" s="394" t="str">
        <f>IF(ISBLANK(INDEX('Policy Characteristics'!E:E,MATCH($C304,'Policy Characteristics'!$C:$C,0))),"",INDEX('Policy Characteristics'!E:E,MATCH($C304,'Policy Characteristics'!$C:$C,0)))</f>
        <v>elec reduce plant downtime</v>
      </c>
      <c r="L304" s="398">
        <f>IF(ISBLANK(INDEX('Policy Characteristics'!F:F,MATCH($C304,'Policy Characteristics'!$C:$C,0))),"",INDEX('Policy Characteristics'!F:F,MATCH($C304,'Policy Characteristics'!$C:$C,0)))</f>
        <v>0</v>
      </c>
      <c r="M304" s="398">
        <f>IF(ISBLANK(INDEX('Policy Characteristics'!G:G,MATCH($C304,'Policy Characteristics'!$C:$C,0))),"",INDEX('Policy Characteristics'!G:G,MATCH($C304,'Policy Characteristics'!$C:$C,0)))</f>
        <v>0.6</v>
      </c>
      <c r="N304" s="398">
        <f>IF(ISBLANK(INDEX('Policy Characteristics'!H:H,MATCH($C304,'Policy Characteristics'!$C:$C,0))),"",INDEX('Policy Characteristics'!H:H,MATCH($C304,'Policy Characteristics'!$C:$C,0)))</f>
        <v>0.01</v>
      </c>
      <c r="O304" s="394" t="str">
        <f>IF(ISBLANK(INDEX('Policy Characteristics'!I:I,MATCH($C304,'Policy Characteristics'!$C:$C,0))),"",INDEX('Policy Characteristics'!I:I,MATCH($C304,'Policy Characteristics'!$C:$C,0)))</f>
        <v>% reduction in downtime</v>
      </c>
      <c r="P304" s="394" t="str">
        <f>IF(ISBLANK(INDEX('Policy Characteristics'!J:J,MATCH($C304,'Policy Characteristics'!$C:$C,0))),"",INDEX('Policy Characteristics'!J:J,MATCH($C304,'Policy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4" s="394" t="str">
        <f>IF(ISBLANK(INDEX('Policy Characteristics'!K:K,MATCH($C304,'Policy Characteristics'!$C:$C,0))),"",INDEX('Policy Characteristics'!K:K,MATCH($C304,'Policy Characteristics'!$C:$C,0)))</f>
        <v>electricity-sector-main.html#red-downtime</v>
      </c>
      <c r="R304" s="394" t="str">
        <f>IF(ISBLANK(INDEX('Policy Characteristics'!L:L,MATCH($C304,'Policy Characteristics'!$C:$C,0))),"",INDEX('Policy Characteristics'!L:L,MATCH($C304,'Policy Characteristics'!$C:$C,0)))</f>
        <v>reduce-downtime.html</v>
      </c>
    </row>
    <row r="305" customHeight="1" spans="1:18">
      <c r="A305" s="394" t="str">
        <f>IF(ISBLANK(INDEX('Policy Characteristics'!A:A,MATCH($C305,'Policy Characteristics'!$C:$C,0))),"",INDEX('Policy Characteristics'!A:A,MATCH($C305,'Policy Characteristics'!$C:$C,0)))</f>
        <v>Electricity Supply</v>
      </c>
      <c r="B305" s="395" t="str">
        <f>IF(ISBLANK(INDEX('Policy Characteristics'!B:B,MATCH($C305,'Policy Characteristics'!$C:$C,0))),"",INDEX('Policy Characteristics'!B:B,MATCH($C305,'Policy Characteristics'!$C:$C,0)))</f>
        <v>Reduce Plant Downtime</v>
      </c>
      <c r="C305" s="402" t="str">
        <f t="shared" si="23"/>
        <v>Percentage Reduction in Plant Downtime</v>
      </c>
      <c r="D305" s="399" t="s">
        <v>729</v>
      </c>
      <c r="E305" s="399" t="s">
        <v>734</v>
      </c>
      <c r="H305" s="377">
        <v>686</v>
      </c>
      <c r="I305" s="396" t="s">
        <v>658</v>
      </c>
      <c r="J305" s="397" t="str">
        <f>IF(ISBLANK(INDEX('Policy Characteristics'!D:D,MATCH($C305,'Policy Characteristics'!$C:$C,0))),"",INDEX('Policy Characteristics'!D:D,MATCH($C305,'Policy Characteristics'!$C:$C,0)))</f>
        <v>Reduce Plant Downtime</v>
      </c>
      <c r="K305" s="394" t="str">
        <f>IF(ISBLANK(INDEX('Policy Characteristics'!E:E,MATCH($C305,'Policy Characteristics'!$C:$C,0))),"",INDEX('Policy Characteristics'!E:E,MATCH($C305,'Policy Characteristics'!$C:$C,0)))</f>
        <v>elec reduce plant downtime</v>
      </c>
      <c r="L305" s="398">
        <f>IF(ISBLANK(INDEX('Policy Characteristics'!F:F,MATCH($C305,'Policy Characteristics'!$C:$C,0))),"",INDEX('Policy Characteristics'!F:F,MATCH($C305,'Policy Characteristics'!$C:$C,0)))</f>
        <v>0</v>
      </c>
      <c r="M305" s="398">
        <f>IF(ISBLANK(INDEX('Policy Characteristics'!G:G,MATCH($C305,'Policy Characteristics'!$C:$C,0))),"",INDEX('Policy Characteristics'!G:G,MATCH($C305,'Policy Characteristics'!$C:$C,0)))</f>
        <v>0.6</v>
      </c>
      <c r="N305" s="398">
        <f>IF(ISBLANK(INDEX('Policy Characteristics'!H:H,MATCH($C305,'Policy Characteristics'!$C:$C,0))),"",INDEX('Policy Characteristics'!H:H,MATCH($C305,'Policy Characteristics'!$C:$C,0)))</f>
        <v>0.01</v>
      </c>
      <c r="O305" s="394" t="str">
        <f>IF(ISBLANK(INDEX('Policy Characteristics'!I:I,MATCH($C305,'Policy Characteristics'!$C:$C,0))),"",INDEX('Policy Characteristics'!I:I,MATCH($C305,'Policy Characteristics'!$C:$C,0)))</f>
        <v>% reduction in downtime</v>
      </c>
      <c r="P305" s="394" t="str">
        <f>IF(ISBLANK(INDEX('Policy Characteristics'!J:J,MATCH($C305,'Policy Characteristics'!$C:$C,0))),"",INDEX('Policy Characteristics'!J:J,MATCH($C305,'Policy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5" s="394" t="str">
        <f>IF(ISBLANK(INDEX('Policy Characteristics'!K:K,MATCH($C305,'Policy Characteristics'!$C:$C,0))),"",INDEX('Policy Characteristics'!K:K,MATCH($C305,'Policy Characteristics'!$C:$C,0)))</f>
        <v>electricity-sector-main.html#red-downtime</v>
      </c>
      <c r="R305" s="394" t="str">
        <f>IF(ISBLANK(INDEX('Policy Characteristics'!L:L,MATCH($C305,'Policy Characteristics'!$C:$C,0))),"",INDEX('Policy Characteristics'!L:L,MATCH($C305,'Policy Characteristics'!$C:$C,0)))</f>
        <v>reduce-downtime.html</v>
      </c>
    </row>
    <row r="306" customHeight="1" spans="1:18">
      <c r="A306" s="394" t="str">
        <f>IF(ISBLANK(INDEX('Policy Characteristics'!A:A,MATCH($C306,'Policy Characteristics'!$C:$C,0))),"",INDEX('Policy Characteristics'!A:A,MATCH($C306,'Policy Characteristics'!$C:$C,0)))</f>
        <v>Electricity Supply</v>
      </c>
      <c r="B306" s="395" t="str">
        <f>IF(ISBLANK(INDEX('Policy Characteristics'!B:B,MATCH($C306,'Policy Characteristics'!$C:$C,0))),"",INDEX('Policy Characteristics'!B:B,MATCH($C306,'Policy Characteristics'!$C:$C,0)))</f>
        <v>Reduce Plant Downtime</v>
      </c>
      <c r="C306" s="402" t="str">
        <f t="shared" si="23"/>
        <v>Percentage Reduction in Plant Downtime</v>
      </c>
      <c r="D306" s="399" t="s">
        <v>729</v>
      </c>
      <c r="E306" s="399" t="s">
        <v>735</v>
      </c>
      <c r="G306" s="399"/>
      <c r="H306" s="377">
        <v>687</v>
      </c>
      <c r="I306" s="396" t="s">
        <v>658</v>
      </c>
      <c r="J306" s="397" t="str">
        <f>IF(ISBLANK(INDEX('Policy Characteristics'!D:D,MATCH($C306,'Policy Characteristics'!$C:$C,0))),"",INDEX('Policy Characteristics'!D:D,MATCH($C306,'Policy Characteristics'!$C:$C,0)))</f>
        <v>Reduce Plant Downtime</v>
      </c>
      <c r="K306" s="394" t="str">
        <f>IF(ISBLANK(INDEX('Policy Characteristics'!E:E,MATCH($C306,'Policy Characteristics'!$C:$C,0))),"",INDEX('Policy Characteristics'!E:E,MATCH($C306,'Policy Characteristics'!$C:$C,0)))</f>
        <v>elec reduce plant downtime</v>
      </c>
      <c r="L306" s="398">
        <f>IF(ISBLANK(INDEX('Policy Characteristics'!F:F,MATCH($C306,'Policy Characteristics'!$C:$C,0))),"",INDEX('Policy Characteristics'!F:F,MATCH($C306,'Policy Characteristics'!$C:$C,0)))</f>
        <v>0</v>
      </c>
      <c r="M306" s="398">
        <f>IF(ISBLANK(INDEX('Policy Characteristics'!G:G,MATCH($C306,'Policy Characteristics'!$C:$C,0))),"",INDEX('Policy Characteristics'!G:G,MATCH($C306,'Policy Characteristics'!$C:$C,0)))</f>
        <v>0.6</v>
      </c>
      <c r="N306" s="398">
        <f>IF(ISBLANK(INDEX('Policy Characteristics'!H:H,MATCH($C306,'Policy Characteristics'!$C:$C,0))),"",INDEX('Policy Characteristics'!H:H,MATCH($C306,'Policy Characteristics'!$C:$C,0)))</f>
        <v>0.01</v>
      </c>
      <c r="O306" s="394" t="str">
        <f>IF(ISBLANK(INDEX('Policy Characteristics'!I:I,MATCH($C306,'Policy Characteristics'!$C:$C,0))),"",INDEX('Policy Characteristics'!I:I,MATCH($C306,'Policy Characteristics'!$C:$C,0)))</f>
        <v>% reduction in downtime</v>
      </c>
      <c r="P306" s="394" t="str">
        <f>IF(ISBLANK(INDEX('Policy Characteristics'!J:J,MATCH($C306,'Policy Characteristics'!$C:$C,0))),"",INDEX('Policy Characteristics'!J:J,MATCH($C306,'Policy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6" s="394" t="str">
        <f>IF(ISBLANK(INDEX('Policy Characteristics'!K:K,MATCH($C306,'Policy Characteristics'!$C:$C,0))),"",INDEX('Policy Characteristics'!K:K,MATCH($C306,'Policy Characteristics'!$C:$C,0)))</f>
        <v>electricity-sector-main.html#red-downtime</v>
      </c>
      <c r="R306" s="394" t="str">
        <f>IF(ISBLANK(INDEX('Policy Characteristics'!L:L,MATCH($C306,'Policy Characteristics'!$C:$C,0))),"",INDEX('Policy Characteristics'!L:L,MATCH($C306,'Policy Characteristics'!$C:$C,0)))</f>
        <v>reduce-downtime.html</v>
      </c>
    </row>
    <row r="307" customHeight="1" spans="1:18">
      <c r="A307" s="394" t="str">
        <f>IF(ISBLANK(INDEX('Policy Characteristics'!A:A,MATCH($C307,'Policy Characteristics'!$C:$C,0))),"",INDEX('Policy Characteristics'!A:A,MATCH($C307,'Policy Characteristics'!$C:$C,0)))</f>
        <v>Electricity Supply</v>
      </c>
      <c r="B307" s="395" t="str">
        <f>IF(ISBLANK(INDEX('Policy Characteristics'!B:B,MATCH($C307,'Policy Characteristics'!$C:$C,0))),"",INDEX('Policy Characteristics'!B:B,MATCH($C307,'Policy Characteristics'!$C:$C,0)))</f>
        <v>Reduce Plant Downtime</v>
      </c>
      <c r="C307" s="402" t="str">
        <f t="shared" si="23"/>
        <v>Percentage Reduction in Plant Downtime</v>
      </c>
      <c r="D307" s="399" t="s">
        <v>731</v>
      </c>
      <c r="E307" s="399" t="s">
        <v>733</v>
      </c>
      <c r="G307" s="399"/>
      <c r="H307" s="377">
        <v>688</v>
      </c>
      <c r="I307" s="396" t="s">
        <v>658</v>
      </c>
      <c r="J307" s="397" t="str">
        <f>IF(ISBLANK(INDEX('Policy Characteristics'!D:D,MATCH($C307,'Policy Characteristics'!$C:$C,0))),"",INDEX('Policy Characteristics'!D:D,MATCH($C307,'Policy Characteristics'!$C:$C,0)))</f>
        <v>Reduce Plant Downtime</v>
      </c>
      <c r="K307" s="394" t="str">
        <f>IF(ISBLANK(INDEX('Policy Characteristics'!E:E,MATCH($C307,'Policy Characteristics'!$C:$C,0))),"",INDEX('Policy Characteristics'!E:E,MATCH($C307,'Policy Characteristics'!$C:$C,0)))</f>
        <v>elec reduce plant downtime</v>
      </c>
      <c r="L307" s="398">
        <f>IF(ISBLANK(INDEX('Policy Characteristics'!F:F,MATCH($C307,'Policy Characteristics'!$C:$C,0))),"",INDEX('Policy Characteristics'!F:F,MATCH($C307,'Policy Characteristics'!$C:$C,0)))</f>
        <v>0</v>
      </c>
      <c r="M307" s="398">
        <f>IF(ISBLANK(INDEX('Policy Characteristics'!G:G,MATCH($C307,'Policy Characteristics'!$C:$C,0))),"",INDEX('Policy Characteristics'!G:G,MATCH($C307,'Policy Characteristics'!$C:$C,0)))</f>
        <v>0.6</v>
      </c>
      <c r="N307" s="398">
        <f>IF(ISBLANK(INDEX('Policy Characteristics'!H:H,MATCH($C307,'Policy Characteristics'!$C:$C,0))),"",INDEX('Policy Characteristics'!H:H,MATCH($C307,'Policy Characteristics'!$C:$C,0)))</f>
        <v>0.01</v>
      </c>
      <c r="O307" s="394" t="str">
        <f>IF(ISBLANK(INDEX('Policy Characteristics'!I:I,MATCH($C307,'Policy Characteristics'!$C:$C,0))),"",INDEX('Policy Characteristics'!I:I,MATCH($C307,'Policy Characteristics'!$C:$C,0)))</f>
        <v>% reduction in downtime</v>
      </c>
      <c r="P307" s="394" t="str">
        <f>IF(ISBLANK(INDEX('Policy Characteristics'!J:J,MATCH($C307,'Policy Characteristics'!$C:$C,0))),"",INDEX('Policy Characteristics'!J:J,MATCH($C307,'Policy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7" s="394" t="str">
        <f>IF(ISBLANK(INDEX('Policy Characteristics'!K:K,MATCH($C307,'Policy Characteristics'!$C:$C,0))),"",INDEX('Policy Characteristics'!K:K,MATCH($C307,'Policy Characteristics'!$C:$C,0)))</f>
        <v>electricity-sector-main.html#red-downtime</v>
      </c>
      <c r="R307" s="394" t="str">
        <f>IF(ISBLANK(INDEX('Policy Characteristics'!L:L,MATCH($C307,'Policy Characteristics'!$C:$C,0))),"",INDEX('Policy Characteristics'!L:L,MATCH($C307,'Policy Characteristics'!$C:$C,0)))</f>
        <v>reduce-downtime.html</v>
      </c>
    </row>
    <row r="308" customHeight="1" spans="1:18">
      <c r="A308" s="394" t="str">
        <f>IF(ISBLANK(INDEX('Policy Characteristics'!A:A,MATCH($C308,'Policy Characteristics'!$C:$C,0))),"",INDEX('Policy Characteristics'!A:A,MATCH($C308,'Policy Characteristics'!$C:$C,0)))</f>
        <v>Electricity Supply</v>
      </c>
      <c r="B308" s="395" t="str">
        <f>IF(ISBLANK(INDEX('Policy Characteristics'!B:B,MATCH($C308,'Policy Characteristics'!$C:$C,0))),"",INDEX('Policy Characteristics'!B:B,MATCH($C308,'Policy Characteristics'!$C:$C,0)))</f>
        <v>Reduce Plant Downtime</v>
      </c>
      <c r="C308" s="402" t="str">
        <f t="shared" si="23"/>
        <v>Percentage Reduction in Plant Downtime</v>
      </c>
      <c r="D308" s="399" t="s">
        <v>731</v>
      </c>
      <c r="E308" s="399" t="s">
        <v>734</v>
      </c>
      <c r="F308" s="399"/>
      <c r="G308" s="399"/>
      <c r="H308" s="377">
        <v>689</v>
      </c>
      <c r="I308" s="396" t="s">
        <v>658</v>
      </c>
      <c r="J308" s="397" t="str">
        <f>IF(ISBLANK(INDEX('Policy Characteristics'!D:D,MATCH($C308,'Policy Characteristics'!$C:$C,0))),"",INDEX('Policy Characteristics'!D:D,MATCH($C308,'Policy Characteristics'!$C:$C,0)))</f>
        <v>Reduce Plant Downtime</v>
      </c>
      <c r="K308" s="394" t="str">
        <f>IF(ISBLANK(INDEX('Policy Characteristics'!E:E,MATCH($C308,'Policy Characteristics'!$C:$C,0))),"",INDEX('Policy Characteristics'!E:E,MATCH($C308,'Policy Characteristics'!$C:$C,0)))</f>
        <v>elec reduce plant downtime</v>
      </c>
      <c r="L308" s="398">
        <f>IF(ISBLANK(INDEX('Policy Characteristics'!F:F,MATCH($C308,'Policy Characteristics'!$C:$C,0))),"",INDEX('Policy Characteristics'!F:F,MATCH($C308,'Policy Characteristics'!$C:$C,0)))</f>
        <v>0</v>
      </c>
      <c r="M308" s="398">
        <f>IF(ISBLANK(INDEX('Policy Characteristics'!G:G,MATCH($C308,'Policy Characteristics'!$C:$C,0))),"",INDEX('Policy Characteristics'!G:G,MATCH($C308,'Policy Characteristics'!$C:$C,0)))</f>
        <v>0.6</v>
      </c>
      <c r="N308" s="398">
        <f>IF(ISBLANK(INDEX('Policy Characteristics'!H:H,MATCH($C308,'Policy Characteristics'!$C:$C,0))),"",INDEX('Policy Characteristics'!H:H,MATCH($C308,'Policy Characteristics'!$C:$C,0)))</f>
        <v>0.01</v>
      </c>
      <c r="O308" s="394" t="str">
        <f>IF(ISBLANK(INDEX('Policy Characteristics'!I:I,MATCH($C308,'Policy Characteristics'!$C:$C,0))),"",INDEX('Policy Characteristics'!I:I,MATCH($C308,'Policy Characteristics'!$C:$C,0)))</f>
        <v>% reduction in downtime</v>
      </c>
      <c r="P308" s="394" t="str">
        <f>IF(ISBLANK(INDEX('Policy Characteristics'!J:J,MATCH($C308,'Policy Characteristics'!$C:$C,0))),"",INDEX('Policy Characteristics'!J:J,MATCH($C308,'Policy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8" s="394" t="str">
        <f>IF(ISBLANK(INDEX('Policy Characteristics'!K:K,MATCH($C308,'Policy Characteristics'!$C:$C,0))),"",INDEX('Policy Characteristics'!K:K,MATCH($C308,'Policy Characteristics'!$C:$C,0)))</f>
        <v>electricity-sector-main.html#red-downtime</v>
      </c>
      <c r="R308" s="394" t="str">
        <f>IF(ISBLANK(INDEX('Policy Characteristics'!L:L,MATCH($C308,'Policy Characteristics'!$C:$C,0))),"",INDEX('Policy Characteristics'!L:L,MATCH($C308,'Policy Characteristics'!$C:$C,0)))</f>
        <v>reduce-downtime.html</v>
      </c>
    </row>
    <row r="309" customHeight="1" spans="1:18">
      <c r="A309" s="394" t="str">
        <f>IF(ISBLANK(INDEX('Policy Characteristics'!A:A,MATCH($C309,'Policy Characteristics'!$C:$C,0))),"",INDEX('Policy Characteristics'!A:A,MATCH($C309,'Policy Characteristics'!$C:$C,0)))</f>
        <v>Electricity Supply</v>
      </c>
      <c r="B309" s="395" t="str">
        <f>IF(ISBLANK(INDEX('Policy Characteristics'!B:B,MATCH($C309,'Policy Characteristics'!$C:$C,0))),"",INDEX('Policy Characteristics'!B:B,MATCH($C309,'Policy Characteristics'!$C:$C,0)))</f>
        <v>Reduce Plant Downtime</v>
      </c>
      <c r="C309" s="402" t="str">
        <f t="shared" si="23"/>
        <v>Percentage Reduction in Plant Downtime</v>
      </c>
      <c r="D309" s="399" t="s">
        <v>731</v>
      </c>
      <c r="E309" s="399" t="s">
        <v>735</v>
      </c>
      <c r="F309" s="399"/>
      <c r="G309" s="399"/>
      <c r="H309" s="377">
        <v>690</v>
      </c>
      <c r="I309" s="396" t="s">
        <v>658</v>
      </c>
      <c r="J309" s="397" t="str">
        <f>IF(ISBLANK(INDEX('Policy Characteristics'!D:D,MATCH($C309,'Policy Characteristics'!$C:$C,0))),"",INDEX('Policy Characteristics'!D:D,MATCH($C309,'Policy Characteristics'!$C:$C,0)))</f>
        <v>Reduce Plant Downtime</v>
      </c>
      <c r="K309" s="394" t="str">
        <f>IF(ISBLANK(INDEX('Policy Characteristics'!E:E,MATCH($C309,'Policy Characteristics'!$C:$C,0))),"",INDEX('Policy Characteristics'!E:E,MATCH($C309,'Policy Characteristics'!$C:$C,0)))</f>
        <v>elec reduce plant downtime</v>
      </c>
      <c r="L309" s="398">
        <f>IF(ISBLANK(INDEX('Policy Characteristics'!F:F,MATCH($C309,'Policy Characteristics'!$C:$C,0))),"",INDEX('Policy Characteristics'!F:F,MATCH($C309,'Policy Characteristics'!$C:$C,0)))</f>
        <v>0</v>
      </c>
      <c r="M309" s="398">
        <f>IF(ISBLANK(INDEX('Policy Characteristics'!G:G,MATCH($C309,'Policy Characteristics'!$C:$C,0))),"",INDEX('Policy Characteristics'!G:G,MATCH($C309,'Policy Characteristics'!$C:$C,0)))</f>
        <v>0.6</v>
      </c>
      <c r="N309" s="398">
        <f>IF(ISBLANK(INDEX('Policy Characteristics'!H:H,MATCH($C309,'Policy Characteristics'!$C:$C,0))),"",INDEX('Policy Characteristics'!H:H,MATCH($C309,'Policy Characteristics'!$C:$C,0)))</f>
        <v>0.01</v>
      </c>
      <c r="O309" s="394" t="str">
        <f>IF(ISBLANK(INDEX('Policy Characteristics'!I:I,MATCH($C309,'Policy Characteristics'!$C:$C,0))),"",INDEX('Policy Characteristics'!I:I,MATCH($C309,'Policy Characteristics'!$C:$C,0)))</f>
        <v>% reduction in downtime</v>
      </c>
      <c r="P309" s="394" t="str">
        <f>IF(ISBLANK(INDEX('Policy Characteristics'!J:J,MATCH($C309,'Policy Characteristics'!$C:$C,0))),"",INDEX('Policy Characteristics'!J:J,MATCH($C309,'Policy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9" s="394" t="str">
        <f>IF(ISBLANK(INDEX('Policy Characteristics'!K:K,MATCH($C309,'Policy Characteristics'!$C:$C,0))),"",INDEX('Policy Characteristics'!K:K,MATCH($C309,'Policy Characteristics'!$C:$C,0)))</f>
        <v>electricity-sector-main.html#red-downtime</v>
      </c>
      <c r="R309" s="394" t="str">
        <f>IF(ISBLANK(INDEX('Policy Characteristics'!L:L,MATCH($C309,'Policy Characteristics'!$C:$C,0))),"",INDEX('Policy Characteristics'!L:L,MATCH($C309,'Policy Characteristics'!$C:$C,0)))</f>
        <v>reduce-downtime.html</v>
      </c>
    </row>
    <row r="310" customHeight="1" spans="1:18">
      <c r="A310" s="394" t="str">
        <f>IF(ISBLANK(INDEX('Policy Characteristics'!A:A,MATCH($C310,'Policy Characteristics'!$C:$C,0))),"",INDEX('Policy Characteristics'!A:A,MATCH($C310,'Policy Characteristics'!$C:$C,0)))</f>
        <v>Electricity Supply</v>
      </c>
      <c r="B310" s="395" t="str">
        <f>IF(ISBLANK(INDEX('Policy Characteristics'!B:B,MATCH($C310,'Policy Characteristics'!$C:$C,0))),"",INDEX('Policy Characteristics'!B:B,MATCH($C310,'Policy Characteristics'!$C:$C,0)))</f>
        <v>Reduce Soft Costs</v>
      </c>
      <c r="C310" s="30" t="s">
        <v>305</v>
      </c>
      <c r="D310" s="399" t="s">
        <v>709</v>
      </c>
      <c r="E310" s="399"/>
      <c r="F310" s="399" t="s">
        <v>710</v>
      </c>
      <c r="G310" s="399"/>
      <c r="H310" s="377">
        <v>194</v>
      </c>
      <c r="I310" s="396" t="s">
        <v>648</v>
      </c>
      <c r="J310" s="397" t="str">
        <f>IF(ISBLANK(INDEX('Policy Characteristics'!D:D,MATCH($C310,'Policy Characteristics'!$C:$C,0))),"",INDEX('Policy Characteristics'!D:D,MATCH($C310,'Policy Characteristics'!$C:$C,0)))</f>
        <v>Reduce Soft Costs</v>
      </c>
      <c r="K310" s="394" t="str">
        <f>IF(ISBLANK(INDEX('Policy Characteristics'!E:E,MATCH($C310,'Policy Characteristics'!$C:$C,0))),"",INDEX('Policy Characteristics'!E:E,MATCH($C310,'Policy Characteristics'!$C:$C,0)))</f>
        <v>elec reduce soft costs</v>
      </c>
      <c r="L310" s="398">
        <f>IF(ISBLANK(INDEX('Policy Characteristics'!F:F,MATCH($C310,'Policy Characteristics'!$C:$C,0))),"",INDEX('Policy Characteristics'!F:F,MATCH($C310,'Policy Characteristics'!$C:$C,0)))</f>
        <v>0</v>
      </c>
      <c r="M310" s="398">
        <f>IF(ISBLANK(INDEX('Policy Characteristics'!G:G,MATCH($C310,'Policy Characteristics'!$C:$C,0))),"",INDEX('Policy Characteristics'!G:G,MATCH($C310,'Policy Characteristics'!$C:$C,0)))</f>
        <v>0.9</v>
      </c>
      <c r="N310" s="398">
        <f>IF(ISBLANK(INDEX('Policy Characteristics'!H:H,MATCH($C310,'Policy Characteristics'!$C:$C,0))),"",INDEX('Policy Characteristics'!H:H,MATCH($C310,'Policy Characteristics'!$C:$C,0)))</f>
        <v>0.01</v>
      </c>
      <c r="O310" s="394" t="str">
        <f>IF(ISBLANK(INDEX('Policy Characteristics'!I:I,MATCH($C310,'Policy Characteristics'!$C:$C,0))),"",INDEX('Policy Characteristics'!I:I,MATCH($C310,'Policy Characteristics'!$C:$C,0)))</f>
        <v>% reduction in soft costs</v>
      </c>
      <c r="P310" s="394" t="str">
        <f>IF(ISBLANK(INDEX('Policy Characteristics'!J:J,MATCH($C310,'Policy Characteristics'!$C:$C,0))),"",INDEX('Policy Characteristics'!J:J,MATCH($C310,'Policy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10" s="394" t="str">
        <f>IF(ISBLANK(INDEX('Policy Characteristics'!K:K,MATCH($C310,'Policy Characteristics'!$C:$C,0))),"",INDEX('Policy Characteristics'!K:K,MATCH($C310,'Policy Characteristics'!$C:$C,0)))</f>
        <v>endogenous-learning.html#red-soft-costs</v>
      </c>
      <c r="R310" s="394" t="str">
        <f>IF(ISBLANK(INDEX('Policy Characteristics'!L:L,MATCH($C310,'Policy Characteristics'!$C:$C,0))),"",INDEX('Policy Characteristics'!L:L,MATCH($C310,'Policy Characteristics'!$C:$C,0)))</f>
        <v>reduce-soft-costs.html</v>
      </c>
    </row>
    <row r="311" customHeight="1" spans="1:18">
      <c r="A311" s="394" t="str">
        <f>IF(ISBLANK(INDEX('Policy Characteristics'!A:A,MATCH($C311,'Policy Characteristics'!$C:$C,0))),"",INDEX('Policy Characteristics'!A:A,MATCH($C311,'Policy Characteristics'!$C:$C,0)))</f>
        <v>Electricity Supply</v>
      </c>
      <c r="B311" s="395" t="str">
        <f>IF(ISBLANK(INDEX('Policy Characteristics'!B:B,MATCH($C311,'Policy Characteristics'!$C:$C,0))),"",INDEX('Policy Characteristics'!B:B,MATCH($C311,'Policy Characteristics'!$C:$C,0)))</f>
        <v>Reduce Soft Costs</v>
      </c>
      <c r="C311" s="402" t="str">
        <f t="shared" ref="C311:C312" si="24">C$310</f>
        <v>Percent Reduction in Soft Costs of Capacity Construction</v>
      </c>
      <c r="D311" s="399" t="s">
        <v>711</v>
      </c>
      <c r="E311" s="399"/>
      <c r="F311" s="399" t="s">
        <v>712</v>
      </c>
      <c r="G311" s="399"/>
      <c r="H311" s="377">
        <v>195</v>
      </c>
      <c r="I311" s="396" t="s">
        <v>648</v>
      </c>
      <c r="J311" s="397" t="str">
        <f>IF(ISBLANK(INDEX('Policy Characteristics'!D:D,MATCH($C311,'Policy Characteristics'!$C:$C,0))),"",INDEX('Policy Characteristics'!D:D,MATCH($C311,'Policy Characteristics'!$C:$C,0)))</f>
        <v>Reduce Soft Costs</v>
      </c>
      <c r="K311" s="394" t="str">
        <f>IF(ISBLANK(INDEX('Policy Characteristics'!E:E,MATCH($C311,'Policy Characteristics'!$C:$C,0))),"",INDEX('Policy Characteristics'!E:E,MATCH($C311,'Policy Characteristics'!$C:$C,0)))</f>
        <v>elec reduce soft costs</v>
      </c>
      <c r="L311" s="398">
        <f>IF(ISBLANK(INDEX('Policy Characteristics'!F:F,MATCH($C311,'Policy Characteristics'!$C:$C,0))),"",INDEX('Policy Characteristics'!F:F,MATCH($C311,'Policy Characteristics'!$C:$C,0)))</f>
        <v>0</v>
      </c>
      <c r="M311" s="398">
        <f>IF(ISBLANK(INDEX('Policy Characteristics'!G:G,MATCH($C311,'Policy Characteristics'!$C:$C,0))),"",INDEX('Policy Characteristics'!G:G,MATCH($C311,'Policy Characteristics'!$C:$C,0)))</f>
        <v>0.9</v>
      </c>
      <c r="N311" s="398">
        <f>IF(ISBLANK(INDEX('Policy Characteristics'!H:H,MATCH($C311,'Policy Characteristics'!$C:$C,0))),"",INDEX('Policy Characteristics'!H:H,MATCH($C311,'Policy Characteristics'!$C:$C,0)))</f>
        <v>0.01</v>
      </c>
      <c r="O311" s="394" t="str">
        <f>IF(ISBLANK(INDEX('Policy Characteristics'!I:I,MATCH($C311,'Policy Characteristics'!$C:$C,0))),"",INDEX('Policy Characteristics'!I:I,MATCH($C311,'Policy Characteristics'!$C:$C,0)))</f>
        <v>% reduction in soft costs</v>
      </c>
      <c r="P311" s="394" t="str">
        <f>IF(ISBLANK(INDEX('Policy Characteristics'!J:J,MATCH($C311,'Policy Characteristics'!$C:$C,0))),"",INDEX('Policy Characteristics'!J:J,MATCH($C311,'Policy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11" s="394" t="str">
        <f>IF(ISBLANK(INDEX('Policy Characteristics'!K:K,MATCH($C311,'Policy Characteristics'!$C:$C,0))),"",INDEX('Policy Characteristics'!K:K,MATCH($C311,'Policy Characteristics'!$C:$C,0)))</f>
        <v>endogenous-learning.html#red-soft-costs</v>
      </c>
      <c r="R311" s="394" t="str">
        <f>IF(ISBLANK(INDEX('Policy Characteristics'!L:L,MATCH($C311,'Policy Characteristics'!$C:$C,0))),"",INDEX('Policy Characteristics'!L:L,MATCH($C311,'Policy Characteristics'!$C:$C,0)))</f>
        <v>reduce-soft-costs.html</v>
      </c>
    </row>
    <row r="312" customHeight="1" spans="1:18">
      <c r="A312" s="394" t="str">
        <f>IF(ISBLANK(INDEX('Policy Characteristics'!A:A,MATCH($C312,'Policy Characteristics'!$C:$C,0))),"",INDEX('Policy Characteristics'!A:A,MATCH($C312,'Policy Characteristics'!$C:$C,0)))</f>
        <v>Electricity Supply</v>
      </c>
      <c r="B312" s="395" t="str">
        <f>IF(ISBLANK(INDEX('Policy Characteristics'!B:B,MATCH($C312,'Policy Characteristics'!$C:$C,0))),"",INDEX('Policy Characteristics'!B:B,MATCH($C312,'Policy Characteristics'!$C:$C,0)))</f>
        <v>Reduce Soft Costs</v>
      </c>
      <c r="C312" s="402" t="str">
        <f t="shared" si="24"/>
        <v>Percent Reduction in Soft Costs of Capacity Construction</v>
      </c>
      <c r="D312" s="399" t="s">
        <v>725</v>
      </c>
      <c r="E312" s="399"/>
      <c r="F312" s="399" t="s">
        <v>726</v>
      </c>
      <c r="G312" s="399"/>
      <c r="H312" s="377">
        <v>196</v>
      </c>
      <c r="I312" s="396" t="s">
        <v>648</v>
      </c>
      <c r="J312" s="397" t="str">
        <f>IF(ISBLANK(INDEX('Policy Characteristics'!D:D,MATCH($C312,'Policy Characteristics'!$C:$C,0))),"",INDEX('Policy Characteristics'!D:D,MATCH($C312,'Policy Characteristics'!$C:$C,0)))</f>
        <v>Reduce Soft Costs</v>
      </c>
      <c r="K312" s="394" t="str">
        <f>IF(ISBLANK(INDEX('Policy Characteristics'!E:E,MATCH($C312,'Policy Characteristics'!$C:$C,0))),"",INDEX('Policy Characteristics'!E:E,MATCH($C312,'Policy Characteristics'!$C:$C,0)))</f>
        <v>elec reduce soft costs</v>
      </c>
      <c r="L312" s="398">
        <f>IF(ISBLANK(INDEX('Policy Characteristics'!F:F,MATCH($C312,'Policy Characteristics'!$C:$C,0))),"",INDEX('Policy Characteristics'!F:F,MATCH($C312,'Policy Characteristics'!$C:$C,0)))</f>
        <v>0</v>
      </c>
      <c r="M312" s="398">
        <f>IF(ISBLANK(INDEX('Policy Characteristics'!G:G,MATCH($C312,'Policy Characteristics'!$C:$C,0))),"",INDEX('Policy Characteristics'!G:G,MATCH($C312,'Policy Characteristics'!$C:$C,0)))</f>
        <v>0.9</v>
      </c>
      <c r="N312" s="398">
        <f>IF(ISBLANK(INDEX('Policy Characteristics'!H:H,MATCH($C312,'Policy Characteristics'!$C:$C,0))),"",INDEX('Policy Characteristics'!H:H,MATCH($C312,'Policy Characteristics'!$C:$C,0)))</f>
        <v>0.01</v>
      </c>
      <c r="O312" s="394" t="str">
        <f>IF(ISBLANK(INDEX('Policy Characteristics'!I:I,MATCH($C312,'Policy Characteristics'!$C:$C,0))),"",INDEX('Policy Characteristics'!I:I,MATCH($C312,'Policy Characteristics'!$C:$C,0)))</f>
        <v>% reduction in soft costs</v>
      </c>
      <c r="P312" s="394" t="str">
        <f>IF(ISBLANK(INDEX('Policy Characteristics'!J:J,MATCH($C312,'Policy Characteristics'!$C:$C,0))),"",INDEX('Policy Characteristics'!J:J,MATCH($C312,'Policy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12" s="394" t="str">
        <f>IF(ISBLANK(INDEX('Policy Characteristics'!K:K,MATCH($C312,'Policy Characteristics'!$C:$C,0))),"",INDEX('Policy Characteristics'!K:K,MATCH($C312,'Policy Characteristics'!$C:$C,0)))</f>
        <v>endogenous-learning.html#red-soft-costs</v>
      </c>
      <c r="R312" s="394" t="str">
        <f>IF(ISBLANK(INDEX('Policy Characteristics'!L:L,MATCH($C312,'Policy Characteristics'!$C:$C,0))),"",INDEX('Policy Characteristics'!L:L,MATCH($C312,'Policy Characteristics'!$C:$C,0)))</f>
        <v>reduce-soft-costs.html</v>
      </c>
    </row>
    <row r="313" customHeight="1" spans="1:18">
      <c r="A313" s="394" t="str">
        <f>IF(ISBLANK(INDEX('Policy Characteristics'!A:A,MATCH($C313,'Policy Characteristics'!$C:$C,0))),"",INDEX('Policy Characteristics'!A:A,MATCH($C313,'Policy Characteristics'!$C:$C,0)))</f>
        <v>Electricity Supply</v>
      </c>
      <c r="B313" s="395" t="str">
        <f>IF(ISBLANK(INDEX('Policy Characteristics'!B:B,MATCH($C313,'Policy Characteristics'!$C:$C,0))),"",INDEX('Policy Characteristics'!B:B,MATCH($C313,'Policy Characteristics'!$C:$C,0)))</f>
        <v>Reduce Transmission &amp; Distribution Losses</v>
      </c>
      <c r="C313" t="s">
        <v>312</v>
      </c>
      <c r="D313" s="399"/>
      <c r="E313" s="399"/>
      <c r="F313" s="399"/>
      <c r="G313" s="399"/>
      <c r="H313" s="377">
        <v>145</v>
      </c>
      <c r="I313" s="396" t="s">
        <v>648</v>
      </c>
      <c r="J313" s="397" t="str">
        <f>IF(ISBLANK(INDEX('Policy Characteristics'!D:D,MATCH($C313,'Policy Characteristics'!$C:$C,0))),"",INDEX('Policy Characteristics'!D:D,MATCH($C313,'Policy Characteristics'!$C:$C,0)))</f>
        <v>Reduce T&amp;D Losses</v>
      </c>
      <c r="K313" s="394" t="str">
        <f>IF(ISBLANK(INDEX('Policy Characteristics'!E:E,MATCH($C313,'Policy Characteristics'!$C:$C,0))),"",INDEX('Policy Characteristics'!E:E,MATCH($C313,'Policy Characteristics'!$C:$C,0)))</f>
        <v>elec avoid TND loss</v>
      </c>
      <c r="L313" s="398">
        <f>IF(ISBLANK(INDEX('Policy Characteristics'!F:F,MATCH($C313,'Policy Characteristics'!$C:$C,0))),"",INDEX('Policy Characteristics'!F:F,MATCH($C313,'Policy Characteristics'!$C:$C,0)))</f>
        <v>0</v>
      </c>
      <c r="M313" s="398">
        <f>IF(ISBLANK(INDEX('Policy Characteristics'!G:G,MATCH($C313,'Policy Characteristics'!$C:$C,0))),"",INDEX('Policy Characteristics'!G:G,MATCH($C313,'Policy Characteristics'!$C:$C,0)))</f>
        <v>0.4</v>
      </c>
      <c r="N313" s="398">
        <f>IF(ISBLANK(INDEX('Policy Characteristics'!H:H,MATCH($C313,'Policy Characteristics'!$C:$C,0))),"",INDEX('Policy Characteristics'!H:H,MATCH($C313,'Policy Characteristics'!$C:$C,0)))</f>
        <v>0.01</v>
      </c>
      <c r="O313" s="394" t="str">
        <f>IF(ISBLANK(INDEX('Policy Characteristics'!I:I,MATCH($C313,'Policy Characteristics'!$C:$C,0))),"",INDEX('Policy Characteristics'!I:I,MATCH($C313,'Policy Characteristics'!$C:$C,0)))</f>
        <v>% of losses avoided</v>
      </c>
      <c r="P313" s="394" t="str">
        <f>IF(ISBLANK(INDEX('Policy Characteristics'!J:J,MATCH($C313,'Policy Characteristics'!$C:$C,0))),"",INDEX('Policy Characteristics'!J:J,MATCH($C313,'Policy Characteristics'!$C:$C,0)))</f>
        <v>**Description:** This policy specifies the reduction in transmission and distribution losses that will be achieved by 2050. // **Guidance for setting values:** In 2020, Inner Mongolia's electricity transmission losses is about 3.82% according to statistics, which is lower than the national average by 1.4%. In its 14th FYP, the Autonomous Region announced to reduce losses to 3.5% by 2025, or 8.46% decrease compared to BAU.</v>
      </c>
      <c r="Q313" s="394" t="str">
        <f>IF(ISBLANK(INDEX('Policy Characteristics'!K:K,MATCH($C313,'Policy Characteristics'!$C:$C,0))),"",INDEX('Policy Characteristics'!K:K,MATCH($C313,'Policy Characteristics'!$C:$C,0)))</f>
        <v>electricity-sector-main.html#red-tnd-losses</v>
      </c>
      <c r="R313" s="394" t="str">
        <f>IF(ISBLANK(INDEX('Policy Characteristics'!L:L,MATCH($C313,'Policy Characteristics'!$C:$C,0))),"",INDEX('Policy Characteristics'!L:L,MATCH($C313,'Policy Characteristics'!$C:$C,0)))</f>
        <v>reduce-tnd-losses.html</v>
      </c>
    </row>
    <row r="314" customHeight="1" spans="1:18">
      <c r="A314" s="394" t="str">
        <f>IF(ISBLANK(INDEX('Policy Characteristics'!A:A,MATCH($C314,'Policy Characteristics'!$C:$C,0))),"",INDEX('Policy Characteristics'!A:A,MATCH($C314,'Policy Characteristics'!$C:$C,0)))</f>
        <v>Electricity Supply</v>
      </c>
      <c r="B314" s="395" t="str">
        <f>IF(ISBLANK(INDEX('Policy Characteristics'!B:B,MATCH($C314,'Policy Characteristics'!$C:$C,0))),"",INDEX('Policy Characteristics'!B:B,MATCH($C314,'Policy Characteristics'!$C:$C,0)))</f>
        <v>Subsidy for Capacity Construction</v>
      </c>
      <c r="C314" t="s">
        <v>321</v>
      </c>
      <c r="D314" s="399" t="s">
        <v>701</v>
      </c>
      <c r="E314" s="399"/>
      <c r="F314" s="399" t="s">
        <v>702</v>
      </c>
      <c r="G314" s="399"/>
      <c r="H314" s="377">
        <v>691</v>
      </c>
      <c r="I314" s="396" t="s">
        <v>658</v>
      </c>
      <c r="J314" s="397" t="str">
        <f>IF(ISBLANK(INDEX('Policy Characteristics'!D:D,MATCH($C314,'Policy Characteristics'!$C:$C,0))),"",INDEX('Policy Characteristics'!D:D,MATCH($C314,'Policy Characteristics'!$C:$C,0)))</f>
        <v>Subsidy for Capacity Construction</v>
      </c>
      <c r="K314" s="394" t="str">
        <f>IF(ISBLANK(INDEX('Policy Characteristics'!E:E,MATCH($C314,'Policy Characteristics'!$C:$C,0))),"",INDEX('Policy Characteristics'!E:E,MATCH($C314,'Policy Characteristics'!$C:$C,0)))</f>
        <v>elec capacity construction subsidy</v>
      </c>
      <c r="L314" s="398">
        <f>IF(ISBLANK(INDEX('Policy Characteristics'!F:F,MATCH($C314,'Policy Characteristics'!$C:$C,0))),"",INDEX('Policy Characteristics'!F:F,MATCH($C314,'Policy Characteristics'!$C:$C,0)))</f>
        <v>0</v>
      </c>
      <c r="M314" s="398">
        <f>IF(ISBLANK(INDEX('Policy Characteristics'!G:G,MATCH($C314,'Policy Characteristics'!$C:$C,0))),"",INDEX('Policy Characteristics'!G:G,MATCH($C314,'Policy Characteristics'!$C:$C,0)))</f>
        <v>0.95</v>
      </c>
      <c r="N314" s="398">
        <f>IF(ISBLANK(INDEX('Policy Characteristics'!H:H,MATCH($C314,'Policy Characteristics'!$C:$C,0))),"",INDEX('Policy Characteristics'!H:H,MATCH($C314,'Policy Characteristics'!$C:$C,0)))</f>
        <v>0.01</v>
      </c>
      <c r="O314" s="394" t="str">
        <f>IF(ISBLANK(INDEX('Policy Characteristics'!I:I,MATCH($C314,'Policy Characteristics'!$C:$C,0))),"",INDEX('Policy Characteristics'!I:I,MATCH($C314,'Policy Characteristics'!$C:$C,0)))</f>
        <v>% of construction cost</v>
      </c>
      <c r="P314" s="394" t="str">
        <f>IF(ISBLANK(INDEX('Policy Characteristics'!J:J,MATCH($C314,'Policy Characteristics'!$C:$C,0))),"",INDEX('Policy Characteristics'!J:J,MATCH($C314,'Policy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4" s="394" t="str">
        <f>IF(ISBLANK(INDEX('Policy Characteristics'!K:K,MATCH($C314,'Policy Characteristics'!$C:$C,0))),"",INDEX('Policy Characteristics'!K:K,MATCH($C314,'Policy Characteristics'!$C:$C,0)))</f>
        <v>electricity-sector-main.html#subsidies</v>
      </c>
      <c r="R314" s="394" t="str">
        <f>IF(ISBLANK(INDEX('Policy Characteristics'!L:L,MATCH($C314,'Policy Characteristics'!$C:$C,0))),"",INDEX('Policy Characteristics'!L:L,MATCH($C314,'Policy Characteristics'!$C:$C,0)))</f>
        <v/>
      </c>
    </row>
    <row r="315" customHeight="1" spans="1:18">
      <c r="A315" s="394" t="str">
        <f>IF(ISBLANK(INDEX('Policy Characteristics'!A:A,MATCH($C315,'Policy Characteristics'!$C:$C,0))),"",INDEX('Policy Characteristics'!A:A,MATCH($C315,'Policy Characteristics'!$C:$C,0)))</f>
        <v>Electricity Supply</v>
      </c>
      <c r="B315" s="395" t="str">
        <f>IF(ISBLANK(INDEX('Policy Characteristics'!B:B,MATCH($C315,'Policy Characteristics'!$C:$C,0))),"",INDEX('Policy Characteristics'!B:B,MATCH($C315,'Policy Characteristics'!$C:$C,0)))</f>
        <v>Subsidy for Capacity Construction</v>
      </c>
      <c r="C315" s="402" t="str">
        <f t="shared" ref="C315:C329" si="25">C$314</f>
        <v>Perc Subsidy for Elec Capacity Construction</v>
      </c>
      <c r="D315" s="399" t="s">
        <v>703</v>
      </c>
      <c r="E315" s="401"/>
      <c r="F315" s="399" t="s">
        <v>704</v>
      </c>
      <c r="G315" s="399"/>
      <c r="H315" s="377">
        <v>692</v>
      </c>
      <c r="I315" s="396" t="s">
        <v>658</v>
      </c>
      <c r="J315" s="397" t="str">
        <f>IF(ISBLANK(INDEX('Policy Characteristics'!D:D,MATCH($C315,'Policy Characteristics'!$C:$C,0))),"",INDEX('Policy Characteristics'!D:D,MATCH($C315,'Policy Characteristics'!$C:$C,0)))</f>
        <v>Subsidy for Capacity Construction</v>
      </c>
      <c r="K315" s="394" t="str">
        <f>IF(ISBLANK(INDEX('Policy Characteristics'!E:E,MATCH($C315,'Policy Characteristics'!$C:$C,0))),"",INDEX('Policy Characteristics'!E:E,MATCH($C315,'Policy Characteristics'!$C:$C,0)))</f>
        <v>elec capacity construction subsidy</v>
      </c>
      <c r="L315" s="398">
        <f>IF(ISBLANK(INDEX('Policy Characteristics'!F:F,MATCH($C315,'Policy Characteristics'!$C:$C,0))),"",INDEX('Policy Characteristics'!F:F,MATCH($C315,'Policy Characteristics'!$C:$C,0)))</f>
        <v>0</v>
      </c>
      <c r="M315" s="398">
        <f>IF(ISBLANK(INDEX('Policy Characteristics'!G:G,MATCH($C315,'Policy Characteristics'!$C:$C,0))),"",INDEX('Policy Characteristics'!G:G,MATCH($C315,'Policy Characteristics'!$C:$C,0)))</f>
        <v>0.95</v>
      </c>
      <c r="N315" s="398">
        <f>IF(ISBLANK(INDEX('Policy Characteristics'!H:H,MATCH($C315,'Policy Characteristics'!$C:$C,0))),"",INDEX('Policy Characteristics'!H:H,MATCH($C315,'Policy Characteristics'!$C:$C,0)))</f>
        <v>0.01</v>
      </c>
      <c r="O315" s="394" t="str">
        <f>IF(ISBLANK(INDEX('Policy Characteristics'!I:I,MATCH($C315,'Policy Characteristics'!$C:$C,0))),"",INDEX('Policy Characteristics'!I:I,MATCH($C315,'Policy Characteristics'!$C:$C,0)))</f>
        <v>% of construction cost</v>
      </c>
      <c r="P315" s="394" t="str">
        <f>IF(ISBLANK(INDEX('Policy Characteristics'!J:J,MATCH($C315,'Policy Characteristics'!$C:$C,0))),"",INDEX('Policy Characteristics'!J:J,MATCH($C315,'Policy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5" s="394" t="str">
        <f>IF(ISBLANK(INDEX('Policy Characteristics'!K:K,MATCH($C315,'Policy Characteristics'!$C:$C,0))),"",INDEX('Policy Characteristics'!K:K,MATCH($C315,'Policy Characteristics'!$C:$C,0)))</f>
        <v>electricity-sector-main.html#subsidies</v>
      </c>
      <c r="R315" s="394" t="str">
        <f>IF(ISBLANK(INDEX('Policy Characteristics'!L:L,MATCH($C315,'Policy Characteristics'!$C:$C,0))),"",INDEX('Policy Characteristics'!L:L,MATCH($C315,'Policy Characteristics'!$C:$C,0)))</f>
        <v/>
      </c>
    </row>
    <row r="316" customHeight="1" spans="1:18">
      <c r="A316" s="394" t="str">
        <f>IF(ISBLANK(INDEX('Policy Characteristics'!A:A,MATCH($C316,'Policy Characteristics'!$C:$C,0))),"",INDEX('Policy Characteristics'!A:A,MATCH($C316,'Policy Characteristics'!$C:$C,0)))</f>
        <v>Electricity Supply</v>
      </c>
      <c r="B316" s="395" t="str">
        <f>IF(ISBLANK(INDEX('Policy Characteristics'!B:B,MATCH($C316,'Policy Characteristics'!$C:$C,0))),"",INDEX('Policy Characteristics'!B:B,MATCH($C316,'Policy Characteristics'!$C:$C,0)))</f>
        <v>Subsidy for Capacity Construction</v>
      </c>
      <c r="C316" s="402" t="str">
        <f t="shared" si="25"/>
        <v>Perc Subsidy for Elec Capacity Construction</v>
      </c>
      <c r="D316" s="399" t="s">
        <v>705</v>
      </c>
      <c r="E316" s="401"/>
      <c r="F316" s="399" t="s">
        <v>706</v>
      </c>
      <c r="G316" s="399"/>
      <c r="H316" s="377">
        <v>517</v>
      </c>
      <c r="I316" s="396" t="s">
        <v>648</v>
      </c>
      <c r="J316" s="397" t="str">
        <f>IF(ISBLANK(INDEX('Policy Characteristics'!D:D,MATCH($C316,'Policy Characteristics'!$C:$C,0))),"",INDEX('Policy Characteristics'!D:D,MATCH($C316,'Policy Characteristics'!$C:$C,0)))</f>
        <v>Subsidy for Capacity Construction</v>
      </c>
      <c r="K316" s="394" t="str">
        <f>IF(ISBLANK(INDEX('Policy Characteristics'!E:E,MATCH($C316,'Policy Characteristics'!$C:$C,0))),"",INDEX('Policy Characteristics'!E:E,MATCH($C316,'Policy Characteristics'!$C:$C,0)))</f>
        <v>elec capacity construction subsidy</v>
      </c>
      <c r="L316" s="398">
        <f>IF(ISBLANK(INDEX('Policy Characteristics'!F:F,MATCH($C316,'Policy Characteristics'!$C:$C,0))),"",INDEX('Policy Characteristics'!F:F,MATCH($C316,'Policy Characteristics'!$C:$C,0)))</f>
        <v>0</v>
      </c>
      <c r="M316" s="398">
        <f>IF(ISBLANK(INDEX('Policy Characteristics'!G:G,MATCH($C316,'Policy Characteristics'!$C:$C,0))),"",INDEX('Policy Characteristics'!G:G,MATCH($C316,'Policy Characteristics'!$C:$C,0)))</f>
        <v>0.95</v>
      </c>
      <c r="N316" s="398">
        <f>IF(ISBLANK(INDEX('Policy Characteristics'!H:H,MATCH($C316,'Policy Characteristics'!$C:$C,0))),"",INDEX('Policy Characteristics'!H:H,MATCH($C316,'Policy Characteristics'!$C:$C,0)))</f>
        <v>0.01</v>
      </c>
      <c r="O316" s="394" t="str">
        <f>IF(ISBLANK(INDEX('Policy Characteristics'!I:I,MATCH($C316,'Policy Characteristics'!$C:$C,0))),"",INDEX('Policy Characteristics'!I:I,MATCH($C316,'Policy Characteristics'!$C:$C,0)))</f>
        <v>% of construction cost</v>
      </c>
      <c r="P316" s="394" t="str">
        <f>IF(ISBLANK(INDEX('Policy Characteristics'!J:J,MATCH($C316,'Policy Characteristics'!$C:$C,0))),"",INDEX('Policy Characteristics'!J:J,MATCH($C316,'Policy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6" s="394" t="str">
        <f>IF(ISBLANK(INDEX('Policy Characteristics'!K:K,MATCH($C316,'Policy Characteristics'!$C:$C,0))),"",INDEX('Policy Characteristics'!K:K,MATCH($C316,'Policy Characteristics'!$C:$C,0)))</f>
        <v>electricity-sector-main.html#subsidies</v>
      </c>
      <c r="R316" s="394" t="str">
        <f>IF(ISBLANK(INDEX('Policy Characteristics'!L:L,MATCH($C316,'Policy Characteristics'!$C:$C,0))),"",INDEX('Policy Characteristics'!L:L,MATCH($C316,'Policy Characteristics'!$C:$C,0)))</f>
        <v/>
      </c>
    </row>
    <row r="317" customHeight="1" spans="1:18">
      <c r="A317" s="394" t="str">
        <f>IF(ISBLANK(INDEX('Policy Characteristics'!A:A,MATCH($C317,'Policy Characteristics'!$C:$C,0))),"",INDEX('Policy Characteristics'!A:A,MATCH($C317,'Policy Characteristics'!$C:$C,0)))</f>
        <v>Electricity Supply</v>
      </c>
      <c r="B317" s="395" t="str">
        <f>IF(ISBLANK(INDEX('Policy Characteristics'!B:B,MATCH($C317,'Policy Characteristics'!$C:$C,0))),"",INDEX('Policy Characteristics'!B:B,MATCH($C317,'Policy Characteristics'!$C:$C,0)))</f>
        <v>Subsidy for Capacity Construction</v>
      </c>
      <c r="C317" s="402" t="str">
        <f t="shared" si="25"/>
        <v>Perc Subsidy for Elec Capacity Construction</v>
      </c>
      <c r="D317" s="399" t="s">
        <v>707</v>
      </c>
      <c r="E317" s="401"/>
      <c r="F317" s="399" t="s">
        <v>708</v>
      </c>
      <c r="G317" s="399"/>
      <c r="H317" s="377">
        <v>693</v>
      </c>
      <c r="I317" s="396" t="s">
        <v>658</v>
      </c>
      <c r="J317" s="397" t="str">
        <f>IF(ISBLANK(INDEX('Policy Characteristics'!D:D,MATCH($C317,'Policy Characteristics'!$C:$C,0))),"",INDEX('Policy Characteristics'!D:D,MATCH($C317,'Policy Characteristics'!$C:$C,0)))</f>
        <v>Subsidy for Capacity Construction</v>
      </c>
      <c r="K317" s="394" t="str">
        <f>IF(ISBLANK(INDEX('Policy Characteristics'!E:E,MATCH($C317,'Policy Characteristics'!$C:$C,0))),"",INDEX('Policy Characteristics'!E:E,MATCH($C317,'Policy Characteristics'!$C:$C,0)))</f>
        <v>elec capacity construction subsidy</v>
      </c>
      <c r="L317" s="398">
        <f>IF(ISBLANK(INDEX('Policy Characteristics'!F:F,MATCH($C317,'Policy Characteristics'!$C:$C,0))),"",INDEX('Policy Characteristics'!F:F,MATCH($C317,'Policy Characteristics'!$C:$C,0)))</f>
        <v>0</v>
      </c>
      <c r="M317" s="398">
        <f>IF(ISBLANK(INDEX('Policy Characteristics'!G:G,MATCH($C317,'Policy Characteristics'!$C:$C,0))),"",INDEX('Policy Characteristics'!G:G,MATCH($C317,'Policy Characteristics'!$C:$C,0)))</f>
        <v>0.95</v>
      </c>
      <c r="N317" s="398">
        <f>IF(ISBLANK(INDEX('Policy Characteristics'!H:H,MATCH($C317,'Policy Characteristics'!$C:$C,0))),"",INDEX('Policy Characteristics'!H:H,MATCH($C317,'Policy Characteristics'!$C:$C,0)))</f>
        <v>0.01</v>
      </c>
      <c r="O317" s="394" t="str">
        <f>IF(ISBLANK(INDEX('Policy Characteristics'!I:I,MATCH($C317,'Policy Characteristics'!$C:$C,0))),"",INDEX('Policy Characteristics'!I:I,MATCH($C317,'Policy Characteristics'!$C:$C,0)))</f>
        <v>% of construction cost</v>
      </c>
      <c r="P317" s="394" t="str">
        <f>IF(ISBLANK(INDEX('Policy Characteristics'!J:J,MATCH($C317,'Policy Characteristics'!$C:$C,0))),"",INDEX('Policy Characteristics'!J:J,MATCH($C317,'Policy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7" s="394" t="str">
        <f>IF(ISBLANK(INDEX('Policy Characteristics'!K:K,MATCH($C317,'Policy Characteristics'!$C:$C,0))),"",INDEX('Policy Characteristics'!K:K,MATCH($C317,'Policy Characteristics'!$C:$C,0)))</f>
        <v>electricity-sector-main.html#subsidies</v>
      </c>
      <c r="R317" s="394" t="str">
        <f>IF(ISBLANK(INDEX('Policy Characteristics'!L:L,MATCH($C317,'Policy Characteristics'!$C:$C,0))),"",INDEX('Policy Characteristics'!L:L,MATCH($C317,'Policy Characteristics'!$C:$C,0)))</f>
        <v/>
      </c>
    </row>
    <row r="318" customHeight="1" spans="1:18">
      <c r="A318" s="394" t="str">
        <f>IF(ISBLANK(INDEX('Policy Characteristics'!A:A,MATCH($C318,'Policy Characteristics'!$C:$C,0))),"",INDEX('Policy Characteristics'!A:A,MATCH($C318,'Policy Characteristics'!$C:$C,0)))</f>
        <v>Electricity Supply</v>
      </c>
      <c r="B318" s="395" t="str">
        <f>IF(ISBLANK(INDEX('Policy Characteristics'!B:B,MATCH($C318,'Policy Characteristics'!$C:$C,0))),"",INDEX('Policy Characteristics'!B:B,MATCH($C318,'Policy Characteristics'!$C:$C,0)))</f>
        <v>Subsidy for Capacity Construction</v>
      </c>
      <c r="C318" s="402" t="str">
        <f t="shared" si="25"/>
        <v>Perc Subsidy for Elec Capacity Construction</v>
      </c>
      <c r="D318" s="399" t="s">
        <v>709</v>
      </c>
      <c r="E318" s="401"/>
      <c r="F318" s="399" t="s">
        <v>710</v>
      </c>
      <c r="G318" s="399"/>
      <c r="H318" s="377">
        <v>518</v>
      </c>
      <c r="I318" s="396" t="s">
        <v>648</v>
      </c>
      <c r="J318" s="397" t="str">
        <f>IF(ISBLANK(INDEX('Policy Characteristics'!D:D,MATCH($C318,'Policy Characteristics'!$C:$C,0))),"",INDEX('Policy Characteristics'!D:D,MATCH($C318,'Policy Characteristics'!$C:$C,0)))</f>
        <v>Subsidy for Capacity Construction</v>
      </c>
      <c r="K318" s="394" t="str">
        <f>IF(ISBLANK(INDEX('Policy Characteristics'!E:E,MATCH($C318,'Policy Characteristics'!$C:$C,0))),"",INDEX('Policy Characteristics'!E:E,MATCH($C318,'Policy Characteristics'!$C:$C,0)))</f>
        <v>elec capacity construction subsidy</v>
      </c>
      <c r="L318" s="398">
        <f>IF(ISBLANK(INDEX('Policy Characteristics'!F:F,MATCH($C318,'Policy Characteristics'!$C:$C,0))),"",INDEX('Policy Characteristics'!F:F,MATCH($C318,'Policy Characteristics'!$C:$C,0)))</f>
        <v>0</v>
      </c>
      <c r="M318" s="398">
        <f>IF(ISBLANK(INDEX('Policy Characteristics'!G:G,MATCH($C318,'Policy Characteristics'!$C:$C,0))),"",INDEX('Policy Characteristics'!G:G,MATCH($C318,'Policy Characteristics'!$C:$C,0)))</f>
        <v>0.95</v>
      </c>
      <c r="N318" s="398">
        <f>IF(ISBLANK(INDEX('Policy Characteristics'!H:H,MATCH($C318,'Policy Characteristics'!$C:$C,0))),"",INDEX('Policy Characteristics'!H:H,MATCH($C318,'Policy Characteristics'!$C:$C,0)))</f>
        <v>0.01</v>
      </c>
      <c r="O318" s="394" t="str">
        <f>IF(ISBLANK(INDEX('Policy Characteristics'!I:I,MATCH($C318,'Policy Characteristics'!$C:$C,0))),"",INDEX('Policy Characteristics'!I:I,MATCH($C318,'Policy Characteristics'!$C:$C,0)))</f>
        <v>% of construction cost</v>
      </c>
      <c r="P318" s="394" t="str">
        <f>IF(ISBLANK(INDEX('Policy Characteristics'!J:J,MATCH($C318,'Policy Characteristics'!$C:$C,0))),"",INDEX('Policy Characteristics'!J:J,MATCH($C318,'Policy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8" s="394" t="str">
        <f>IF(ISBLANK(INDEX('Policy Characteristics'!K:K,MATCH($C318,'Policy Characteristics'!$C:$C,0))),"",INDEX('Policy Characteristics'!K:K,MATCH($C318,'Policy Characteristics'!$C:$C,0)))</f>
        <v>electricity-sector-main.html#subsidies</v>
      </c>
      <c r="R318" s="394" t="str">
        <f>IF(ISBLANK(INDEX('Policy Characteristics'!L:L,MATCH($C318,'Policy Characteristics'!$C:$C,0))),"",INDEX('Policy Characteristics'!L:L,MATCH($C318,'Policy Characteristics'!$C:$C,0)))</f>
        <v/>
      </c>
    </row>
    <row r="319" customHeight="1" spans="1:18">
      <c r="A319" s="394" t="str">
        <f>IF(ISBLANK(INDEX('Policy Characteristics'!A:A,MATCH($C319,'Policy Characteristics'!$C:$C,0))),"",INDEX('Policy Characteristics'!A:A,MATCH($C319,'Policy Characteristics'!$C:$C,0)))</f>
        <v>Electricity Supply</v>
      </c>
      <c r="B319" s="395" t="str">
        <f>IF(ISBLANK(INDEX('Policy Characteristics'!B:B,MATCH($C319,'Policy Characteristics'!$C:$C,0))),"",INDEX('Policy Characteristics'!B:B,MATCH($C319,'Policy Characteristics'!$C:$C,0)))</f>
        <v>Subsidy for Capacity Construction</v>
      </c>
      <c r="C319" s="402" t="str">
        <f t="shared" si="25"/>
        <v>Perc Subsidy for Elec Capacity Construction</v>
      </c>
      <c r="D319" s="399" t="s">
        <v>711</v>
      </c>
      <c r="E319" s="401"/>
      <c r="F319" s="399" t="s">
        <v>712</v>
      </c>
      <c r="G319" s="399"/>
      <c r="H319" s="377">
        <v>519</v>
      </c>
      <c r="I319" s="396" t="s">
        <v>648</v>
      </c>
      <c r="J319" s="397" t="str">
        <f>IF(ISBLANK(INDEX('Policy Characteristics'!D:D,MATCH($C319,'Policy Characteristics'!$C:$C,0))),"",INDEX('Policy Characteristics'!D:D,MATCH($C319,'Policy Characteristics'!$C:$C,0)))</f>
        <v>Subsidy for Capacity Construction</v>
      </c>
      <c r="K319" s="394" t="str">
        <f>IF(ISBLANK(INDEX('Policy Characteristics'!E:E,MATCH($C319,'Policy Characteristics'!$C:$C,0))),"",INDEX('Policy Characteristics'!E:E,MATCH($C319,'Policy Characteristics'!$C:$C,0)))</f>
        <v>elec capacity construction subsidy</v>
      </c>
      <c r="L319" s="398">
        <f>IF(ISBLANK(INDEX('Policy Characteristics'!F:F,MATCH($C319,'Policy Characteristics'!$C:$C,0))),"",INDEX('Policy Characteristics'!F:F,MATCH($C319,'Policy Characteristics'!$C:$C,0)))</f>
        <v>0</v>
      </c>
      <c r="M319" s="398">
        <f>IF(ISBLANK(INDEX('Policy Characteristics'!G:G,MATCH($C319,'Policy Characteristics'!$C:$C,0))),"",INDEX('Policy Characteristics'!G:G,MATCH($C319,'Policy Characteristics'!$C:$C,0)))</f>
        <v>0.95</v>
      </c>
      <c r="N319" s="398">
        <f>IF(ISBLANK(INDEX('Policy Characteristics'!H:H,MATCH($C319,'Policy Characteristics'!$C:$C,0))),"",INDEX('Policy Characteristics'!H:H,MATCH($C319,'Policy Characteristics'!$C:$C,0)))</f>
        <v>0.01</v>
      </c>
      <c r="O319" s="394" t="str">
        <f>IF(ISBLANK(INDEX('Policy Characteristics'!I:I,MATCH($C319,'Policy Characteristics'!$C:$C,0))),"",INDEX('Policy Characteristics'!I:I,MATCH($C319,'Policy Characteristics'!$C:$C,0)))</f>
        <v>% of construction cost</v>
      </c>
      <c r="P319" s="394" t="str">
        <f>IF(ISBLANK(INDEX('Policy Characteristics'!J:J,MATCH($C319,'Policy Characteristics'!$C:$C,0))),"",INDEX('Policy Characteristics'!J:J,MATCH($C319,'Policy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9" s="394" t="str">
        <f>IF(ISBLANK(INDEX('Policy Characteristics'!K:K,MATCH($C319,'Policy Characteristics'!$C:$C,0))),"",INDEX('Policy Characteristics'!K:K,MATCH($C319,'Policy Characteristics'!$C:$C,0)))</f>
        <v>electricity-sector-main.html#subsidies</v>
      </c>
      <c r="R319" s="394" t="str">
        <f>IF(ISBLANK(INDEX('Policy Characteristics'!L:L,MATCH($C319,'Policy Characteristics'!$C:$C,0))),"",INDEX('Policy Characteristics'!L:L,MATCH($C319,'Policy Characteristics'!$C:$C,0)))</f>
        <v/>
      </c>
    </row>
    <row r="320" customHeight="1" spans="1:18">
      <c r="A320" s="394" t="str">
        <f>IF(ISBLANK(INDEX('Policy Characteristics'!A:A,MATCH($C320,'Policy Characteristics'!$C:$C,0))),"",INDEX('Policy Characteristics'!A:A,MATCH($C320,'Policy Characteristics'!$C:$C,0)))</f>
        <v>Electricity Supply</v>
      </c>
      <c r="B320" s="395" t="str">
        <f>IF(ISBLANK(INDEX('Policy Characteristics'!B:B,MATCH($C320,'Policy Characteristics'!$C:$C,0))),"",INDEX('Policy Characteristics'!B:B,MATCH($C320,'Policy Characteristics'!$C:$C,0)))</f>
        <v>Subsidy for Capacity Construction</v>
      </c>
      <c r="C320" s="402" t="str">
        <f t="shared" si="25"/>
        <v>Perc Subsidy for Elec Capacity Construction</v>
      </c>
      <c r="D320" s="399" t="s">
        <v>713</v>
      </c>
      <c r="E320" s="401"/>
      <c r="F320" s="399" t="s">
        <v>714</v>
      </c>
      <c r="G320" s="399"/>
      <c r="H320" s="377">
        <v>520</v>
      </c>
      <c r="I320" s="396" t="s">
        <v>648</v>
      </c>
      <c r="J320" s="397" t="str">
        <f>IF(ISBLANK(INDEX('Policy Characteristics'!D:D,MATCH($C320,'Policy Characteristics'!$C:$C,0))),"",INDEX('Policy Characteristics'!D:D,MATCH($C320,'Policy Characteristics'!$C:$C,0)))</f>
        <v>Subsidy for Capacity Construction</v>
      </c>
      <c r="K320" s="394" t="str">
        <f>IF(ISBLANK(INDEX('Policy Characteristics'!E:E,MATCH($C320,'Policy Characteristics'!$C:$C,0))),"",INDEX('Policy Characteristics'!E:E,MATCH($C320,'Policy Characteristics'!$C:$C,0)))</f>
        <v>elec capacity construction subsidy</v>
      </c>
      <c r="L320" s="398">
        <f>IF(ISBLANK(INDEX('Policy Characteristics'!F:F,MATCH($C320,'Policy Characteristics'!$C:$C,0))),"",INDEX('Policy Characteristics'!F:F,MATCH($C320,'Policy Characteristics'!$C:$C,0)))</f>
        <v>0</v>
      </c>
      <c r="M320" s="398">
        <f>IF(ISBLANK(INDEX('Policy Characteristics'!G:G,MATCH($C320,'Policy Characteristics'!$C:$C,0))),"",INDEX('Policy Characteristics'!G:G,MATCH($C320,'Policy Characteristics'!$C:$C,0)))</f>
        <v>0.95</v>
      </c>
      <c r="N320" s="398">
        <f>IF(ISBLANK(INDEX('Policy Characteristics'!H:H,MATCH($C320,'Policy Characteristics'!$C:$C,0))),"",INDEX('Policy Characteristics'!H:H,MATCH($C320,'Policy Characteristics'!$C:$C,0)))</f>
        <v>0.01</v>
      </c>
      <c r="O320" s="394" t="str">
        <f>IF(ISBLANK(INDEX('Policy Characteristics'!I:I,MATCH($C320,'Policy Characteristics'!$C:$C,0))),"",INDEX('Policy Characteristics'!I:I,MATCH($C320,'Policy Characteristics'!$C:$C,0)))</f>
        <v>% of construction cost</v>
      </c>
      <c r="P320" s="394" t="str">
        <f>IF(ISBLANK(INDEX('Policy Characteristics'!J:J,MATCH($C320,'Policy Characteristics'!$C:$C,0))),"",INDEX('Policy Characteristics'!J:J,MATCH($C320,'Policy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0" s="394" t="str">
        <f>IF(ISBLANK(INDEX('Policy Characteristics'!K:K,MATCH($C320,'Policy Characteristics'!$C:$C,0))),"",INDEX('Policy Characteristics'!K:K,MATCH($C320,'Policy Characteristics'!$C:$C,0)))</f>
        <v>electricity-sector-main.html#subsidies</v>
      </c>
      <c r="R320" s="394" t="str">
        <f>IF(ISBLANK(INDEX('Policy Characteristics'!L:L,MATCH($C320,'Policy Characteristics'!$C:$C,0))),"",INDEX('Policy Characteristics'!L:L,MATCH($C320,'Policy Characteristics'!$C:$C,0)))</f>
        <v/>
      </c>
    </row>
    <row r="321" customHeight="1" spans="1:19">
      <c r="A321" s="394" t="str">
        <f>IF(ISBLANK(INDEX('Policy Characteristics'!A:A,MATCH($C321,'Policy Characteristics'!$C:$C,0))),"",INDEX('Policy Characteristics'!A:A,MATCH($C321,'Policy Characteristics'!$C:$C,0)))</f>
        <v>Electricity Supply</v>
      </c>
      <c r="B321" s="395" t="str">
        <f>IF(ISBLANK(INDEX('Policy Characteristics'!B:B,MATCH($C321,'Policy Characteristics'!$C:$C,0))),"",INDEX('Policy Characteristics'!B:B,MATCH($C321,'Policy Characteristics'!$C:$C,0)))</f>
        <v>Subsidy for Capacity Construction</v>
      </c>
      <c r="C321" s="402" t="str">
        <f t="shared" si="25"/>
        <v>Perc Subsidy for Elec Capacity Construction</v>
      </c>
      <c r="D321" s="399" t="s">
        <v>715</v>
      </c>
      <c r="E321" s="401"/>
      <c r="F321" s="399" t="s">
        <v>716</v>
      </c>
      <c r="G321" s="399"/>
      <c r="H321" s="377">
        <v>521</v>
      </c>
      <c r="I321" s="396" t="s">
        <v>648</v>
      </c>
      <c r="J321" s="397" t="str">
        <f>IF(ISBLANK(INDEX('Policy Characteristics'!D:D,MATCH($C321,'Policy Characteristics'!$C:$C,0))),"",INDEX('Policy Characteristics'!D:D,MATCH($C321,'Policy Characteristics'!$C:$C,0)))</f>
        <v>Subsidy for Capacity Construction</v>
      </c>
      <c r="K321" s="394" t="str">
        <f>IF(ISBLANK(INDEX('Policy Characteristics'!E:E,MATCH($C321,'Policy Characteristics'!$C:$C,0))),"",INDEX('Policy Characteristics'!E:E,MATCH($C321,'Policy Characteristics'!$C:$C,0)))</f>
        <v>elec capacity construction subsidy</v>
      </c>
      <c r="L321" s="398">
        <f>IF(ISBLANK(INDEX('Policy Characteristics'!F:F,MATCH($C321,'Policy Characteristics'!$C:$C,0))),"",INDEX('Policy Characteristics'!F:F,MATCH($C321,'Policy Characteristics'!$C:$C,0)))</f>
        <v>0</v>
      </c>
      <c r="M321" s="398">
        <f>IF(ISBLANK(INDEX('Policy Characteristics'!G:G,MATCH($C321,'Policy Characteristics'!$C:$C,0))),"",INDEX('Policy Characteristics'!G:G,MATCH($C321,'Policy Characteristics'!$C:$C,0)))</f>
        <v>0.95</v>
      </c>
      <c r="N321" s="398">
        <f>IF(ISBLANK(INDEX('Policy Characteristics'!H:H,MATCH($C321,'Policy Characteristics'!$C:$C,0))),"",INDEX('Policy Characteristics'!H:H,MATCH($C321,'Policy Characteristics'!$C:$C,0)))</f>
        <v>0.01</v>
      </c>
      <c r="O321" s="394" t="str">
        <f>IF(ISBLANK(INDEX('Policy Characteristics'!I:I,MATCH($C321,'Policy Characteristics'!$C:$C,0))),"",INDEX('Policy Characteristics'!I:I,MATCH($C321,'Policy Characteristics'!$C:$C,0)))</f>
        <v>% of construction cost</v>
      </c>
      <c r="P321" s="394" t="str">
        <f>IF(ISBLANK(INDEX('Policy Characteristics'!J:J,MATCH($C321,'Policy Characteristics'!$C:$C,0))),"",INDEX('Policy Characteristics'!J:J,MATCH($C321,'Policy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1" s="394" t="str">
        <f>IF(ISBLANK(INDEX('Policy Characteristics'!K:K,MATCH($C321,'Policy Characteristics'!$C:$C,0))),"",INDEX('Policy Characteristics'!K:K,MATCH($C321,'Policy Characteristics'!$C:$C,0)))</f>
        <v>electricity-sector-main.html#subsidies</v>
      </c>
      <c r="R321" s="394" t="str">
        <f>IF(ISBLANK(INDEX('Policy Characteristics'!L:L,MATCH($C321,'Policy Characteristics'!$C:$C,0))),"",INDEX('Policy Characteristics'!L:L,MATCH($C321,'Policy Characteristics'!$C:$C,0)))</f>
        <v/>
      </c>
    </row>
    <row r="322" customHeight="1" spans="1:19">
      <c r="A322" s="394" t="str">
        <f>IF(ISBLANK(INDEX('Policy Characteristics'!A:A,MATCH($C322,'Policy Characteristics'!$C:$C,0))),"",INDEX('Policy Characteristics'!A:A,MATCH($C322,'Policy Characteristics'!$C:$C,0)))</f>
        <v>Electricity Supply</v>
      </c>
      <c r="B322" s="395" t="str">
        <f>IF(ISBLANK(INDEX('Policy Characteristics'!B:B,MATCH($C322,'Policy Characteristics'!$C:$C,0))),"",INDEX('Policy Characteristics'!B:B,MATCH($C322,'Policy Characteristics'!$C:$C,0)))</f>
        <v>Subsidy for Capacity Construction</v>
      </c>
      <c r="C322" s="402" t="str">
        <f t="shared" si="25"/>
        <v>Perc Subsidy for Elec Capacity Construction</v>
      </c>
      <c r="D322" s="399" t="s">
        <v>717</v>
      </c>
      <c r="E322" s="401"/>
      <c r="F322" s="399" t="s">
        <v>718</v>
      </c>
      <c r="G322" s="399"/>
      <c r="H322" s="377">
        <v>1598</v>
      </c>
      <c r="I322" s="396" t="s">
        <v>648</v>
      </c>
      <c r="J322" s="397" t="str">
        <f>IF(ISBLANK(INDEX('Policy Characteristics'!D:D,MATCH($C322,'Policy Characteristics'!$C:$C,0))),"",INDEX('Policy Characteristics'!D:D,MATCH($C322,'Policy Characteristics'!$C:$C,0)))</f>
        <v>Subsidy for Capacity Construction</v>
      </c>
      <c r="K322" s="394" t="str">
        <f>IF(ISBLANK(INDEX('Policy Characteristics'!E:E,MATCH($C322,'Policy Characteristics'!$C:$C,0))),"",INDEX('Policy Characteristics'!E:E,MATCH($C322,'Policy Characteristics'!$C:$C,0)))</f>
        <v>elec capacity construction subsidy</v>
      </c>
      <c r="L322" s="398">
        <f>IF(ISBLANK(INDEX('Policy Characteristics'!F:F,MATCH($C322,'Policy Characteristics'!$C:$C,0))),"",INDEX('Policy Characteristics'!F:F,MATCH($C322,'Policy Characteristics'!$C:$C,0)))</f>
        <v>0</v>
      </c>
      <c r="M322" s="398">
        <f>IF(ISBLANK(INDEX('Policy Characteristics'!G:G,MATCH($C322,'Policy Characteristics'!$C:$C,0))),"",INDEX('Policy Characteristics'!G:G,MATCH($C322,'Policy Characteristics'!$C:$C,0)))</f>
        <v>0.95</v>
      </c>
      <c r="N322" s="398">
        <f>IF(ISBLANK(INDEX('Policy Characteristics'!H:H,MATCH($C322,'Policy Characteristics'!$C:$C,0))),"",INDEX('Policy Characteristics'!H:H,MATCH($C322,'Policy Characteristics'!$C:$C,0)))</f>
        <v>0.01</v>
      </c>
      <c r="O322" s="394" t="str">
        <f>IF(ISBLANK(INDEX('Policy Characteristics'!I:I,MATCH($C322,'Policy Characteristics'!$C:$C,0))),"",INDEX('Policy Characteristics'!I:I,MATCH($C322,'Policy Characteristics'!$C:$C,0)))</f>
        <v>% of construction cost</v>
      </c>
      <c r="P322" s="394" t="str">
        <f>IF(ISBLANK(INDEX('Policy Characteristics'!J:J,MATCH($C322,'Policy Characteristics'!$C:$C,0))),"",INDEX('Policy Characteristics'!J:J,MATCH($C322,'Policy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2" s="394" t="str">
        <f>IF(ISBLANK(INDEX('Policy Characteristics'!K:K,MATCH($C322,'Policy Characteristics'!$C:$C,0))),"",INDEX('Policy Characteristics'!K:K,MATCH($C322,'Policy Characteristics'!$C:$C,0)))</f>
        <v>electricity-sector-main.html#subsidies</v>
      </c>
      <c r="R322" s="394" t="str">
        <f>IF(ISBLANK(INDEX('Policy Characteristics'!L:L,MATCH($C322,'Policy Characteristics'!$C:$C,0))),"",INDEX('Policy Characteristics'!L:L,MATCH($C322,'Policy Characteristics'!$C:$C,0)))</f>
        <v/>
      </c>
    </row>
    <row r="323" customHeight="1" spans="1:19">
      <c r="A323" s="394" t="str">
        <f>IF(ISBLANK(INDEX('Policy Characteristics'!A:A,MATCH($C323,'Policy Characteristics'!$C:$C,0))),"",INDEX('Policy Characteristics'!A:A,MATCH($C323,'Policy Characteristics'!$C:$C,0)))</f>
        <v>Electricity Supply</v>
      </c>
      <c r="B323" s="395" t="str">
        <f>IF(ISBLANK(INDEX('Policy Characteristics'!B:B,MATCH($C323,'Policy Characteristics'!$C:$C,0))),"",INDEX('Policy Characteristics'!B:B,MATCH($C323,'Policy Characteristics'!$C:$C,0)))</f>
        <v>Subsidy for Capacity Construction</v>
      </c>
      <c r="C323" s="402" t="str">
        <f t="shared" si="25"/>
        <v>Perc Subsidy for Elec Capacity Construction</v>
      </c>
      <c r="D323" s="399" t="s">
        <v>719</v>
      </c>
      <c r="E323" s="401"/>
      <c r="F323" s="399" t="s">
        <v>720</v>
      </c>
      <c r="G323" s="399"/>
      <c r="H323" s="377">
        <v>1599</v>
      </c>
      <c r="I323" s="396" t="s">
        <v>658</v>
      </c>
      <c r="J323" s="397" t="str">
        <f>IF(ISBLANK(INDEX('Policy Characteristics'!D:D,MATCH($C323,'Policy Characteristics'!$C:$C,0))),"",INDEX('Policy Characteristics'!D:D,MATCH($C323,'Policy Characteristics'!$C:$C,0)))</f>
        <v>Subsidy for Capacity Construction</v>
      </c>
      <c r="K323" s="394" t="str">
        <f>IF(ISBLANK(INDEX('Policy Characteristics'!E:E,MATCH($C323,'Policy Characteristics'!$C:$C,0))),"",INDEX('Policy Characteristics'!E:E,MATCH($C323,'Policy Characteristics'!$C:$C,0)))</f>
        <v>elec capacity construction subsidy</v>
      </c>
      <c r="L323" s="398">
        <f>IF(ISBLANK(INDEX('Policy Characteristics'!F:F,MATCH($C323,'Policy Characteristics'!$C:$C,0))),"",INDEX('Policy Characteristics'!F:F,MATCH($C323,'Policy Characteristics'!$C:$C,0)))</f>
        <v>0</v>
      </c>
      <c r="M323" s="398">
        <f>IF(ISBLANK(INDEX('Policy Characteristics'!G:G,MATCH($C323,'Policy Characteristics'!$C:$C,0))),"",INDEX('Policy Characteristics'!G:G,MATCH($C323,'Policy Characteristics'!$C:$C,0)))</f>
        <v>0.95</v>
      </c>
      <c r="N323" s="398">
        <f>IF(ISBLANK(INDEX('Policy Characteristics'!H:H,MATCH($C323,'Policy Characteristics'!$C:$C,0))),"",INDEX('Policy Characteristics'!H:H,MATCH($C323,'Policy Characteristics'!$C:$C,0)))</f>
        <v>0.01</v>
      </c>
      <c r="O323" s="394" t="str">
        <f>IF(ISBLANK(INDEX('Policy Characteristics'!I:I,MATCH($C323,'Policy Characteristics'!$C:$C,0))),"",INDEX('Policy Characteristics'!I:I,MATCH($C323,'Policy Characteristics'!$C:$C,0)))</f>
        <v>% of construction cost</v>
      </c>
      <c r="P323" s="394" t="str">
        <f>IF(ISBLANK(INDEX('Policy Characteristics'!J:J,MATCH($C323,'Policy Characteristics'!$C:$C,0))),"",INDEX('Policy Characteristics'!J:J,MATCH($C323,'Policy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3" s="394" t="str">
        <f>IF(ISBLANK(INDEX('Policy Characteristics'!K:K,MATCH($C323,'Policy Characteristics'!$C:$C,0))),"",INDEX('Policy Characteristics'!K:K,MATCH($C323,'Policy Characteristics'!$C:$C,0)))</f>
        <v>electricity-sector-main.html#subsidies</v>
      </c>
      <c r="R323" s="394" t="str">
        <f>IF(ISBLANK(INDEX('Policy Characteristics'!L:L,MATCH($C323,'Policy Characteristics'!$C:$C,0))),"",INDEX('Policy Characteristics'!L:L,MATCH($C323,'Policy Characteristics'!$C:$C,0)))</f>
        <v/>
      </c>
    </row>
    <row r="324" customHeight="1" spans="1:19">
      <c r="A324" s="394" t="str">
        <f>IF(ISBLANK(INDEX('Policy Characteristics'!A:A,MATCH($C324,'Policy Characteristics'!$C:$C,0))),"",INDEX('Policy Characteristics'!A:A,MATCH($C324,'Policy Characteristics'!$C:$C,0)))</f>
        <v>Electricity Supply</v>
      </c>
      <c r="B324" s="395" t="str">
        <f>IF(ISBLANK(INDEX('Policy Characteristics'!B:B,MATCH($C324,'Policy Characteristics'!$C:$C,0))),"",INDEX('Policy Characteristics'!B:B,MATCH($C324,'Policy Characteristics'!$C:$C,0)))</f>
        <v>Subsidy for Capacity Construction</v>
      </c>
      <c r="C324" s="402" t="str">
        <f t="shared" si="25"/>
        <v>Perc Subsidy for Elec Capacity Construction</v>
      </c>
      <c r="D324" s="399" t="s">
        <v>721</v>
      </c>
      <c r="E324" s="401"/>
      <c r="F324" s="399" t="s">
        <v>722</v>
      </c>
      <c r="G324" s="399"/>
      <c r="H324" s="377">
        <v>1600</v>
      </c>
      <c r="I324" s="396" t="s">
        <v>658</v>
      </c>
      <c r="J324" s="397" t="str">
        <f>IF(ISBLANK(INDEX('Policy Characteristics'!D:D,MATCH($C324,'Policy Characteristics'!$C:$C,0))),"",INDEX('Policy Characteristics'!D:D,MATCH($C324,'Policy Characteristics'!$C:$C,0)))</f>
        <v>Subsidy for Capacity Construction</v>
      </c>
      <c r="K324" s="394" t="str">
        <f>IF(ISBLANK(INDEX('Policy Characteristics'!E:E,MATCH($C324,'Policy Characteristics'!$C:$C,0))),"",INDEX('Policy Characteristics'!E:E,MATCH($C324,'Policy Characteristics'!$C:$C,0)))</f>
        <v>elec capacity construction subsidy</v>
      </c>
      <c r="L324" s="398">
        <f>IF(ISBLANK(INDEX('Policy Characteristics'!F:F,MATCH($C324,'Policy Characteristics'!$C:$C,0))),"",INDEX('Policy Characteristics'!F:F,MATCH($C324,'Policy Characteristics'!$C:$C,0)))</f>
        <v>0</v>
      </c>
      <c r="M324" s="398">
        <f>IF(ISBLANK(INDEX('Policy Characteristics'!G:G,MATCH($C324,'Policy Characteristics'!$C:$C,0))),"",INDEX('Policy Characteristics'!G:G,MATCH($C324,'Policy Characteristics'!$C:$C,0)))</f>
        <v>0.95</v>
      </c>
      <c r="N324" s="398">
        <f>IF(ISBLANK(INDEX('Policy Characteristics'!H:H,MATCH($C324,'Policy Characteristics'!$C:$C,0))),"",INDEX('Policy Characteristics'!H:H,MATCH($C324,'Policy Characteristics'!$C:$C,0)))</f>
        <v>0.01</v>
      </c>
      <c r="O324" s="394" t="str">
        <f>IF(ISBLANK(INDEX('Policy Characteristics'!I:I,MATCH($C324,'Policy Characteristics'!$C:$C,0))),"",INDEX('Policy Characteristics'!I:I,MATCH($C324,'Policy Characteristics'!$C:$C,0)))</f>
        <v>% of construction cost</v>
      </c>
      <c r="P324" s="394" t="str">
        <f>IF(ISBLANK(INDEX('Policy Characteristics'!J:J,MATCH($C324,'Policy Characteristics'!$C:$C,0))),"",INDEX('Policy Characteristics'!J:J,MATCH($C324,'Policy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4" s="394" t="str">
        <f>IF(ISBLANK(INDEX('Policy Characteristics'!K:K,MATCH($C324,'Policy Characteristics'!$C:$C,0))),"",INDEX('Policy Characteristics'!K:K,MATCH($C324,'Policy Characteristics'!$C:$C,0)))</f>
        <v>electricity-sector-main.html#subsidies</v>
      </c>
      <c r="R324" s="394" t="str">
        <f>IF(ISBLANK(INDEX('Policy Characteristics'!L:L,MATCH($C324,'Policy Characteristics'!$C:$C,0))),"",INDEX('Policy Characteristics'!L:L,MATCH($C324,'Policy Characteristics'!$C:$C,0)))</f>
        <v/>
      </c>
    </row>
    <row r="325" customHeight="1" spans="1:19">
      <c r="A325" s="394" t="str">
        <f>IF(ISBLANK(INDEX('Policy Characteristics'!A:A,MATCH($C325,'Policy Characteristics'!$C:$C,0))),"",INDEX('Policy Characteristics'!A:A,MATCH($C325,'Policy Characteristics'!$C:$C,0)))</f>
        <v>Electricity Supply</v>
      </c>
      <c r="B325" s="395" t="str">
        <f>IF(ISBLANK(INDEX('Policy Characteristics'!B:B,MATCH($C325,'Policy Characteristics'!$C:$C,0))),"",INDEX('Policy Characteristics'!B:B,MATCH($C325,'Policy Characteristics'!$C:$C,0)))</f>
        <v>Subsidy for Capacity Construction</v>
      </c>
      <c r="C325" s="402" t="str">
        <f t="shared" si="25"/>
        <v>Perc Subsidy for Elec Capacity Construction</v>
      </c>
      <c r="D325" s="399" t="s">
        <v>723</v>
      </c>
      <c r="E325" s="401"/>
      <c r="F325" s="400" t="s">
        <v>724</v>
      </c>
      <c r="G325" s="399"/>
      <c r="H325" s="377">
        <v>694</v>
      </c>
      <c r="I325" s="396" t="s">
        <v>658</v>
      </c>
      <c r="J325" s="397" t="str">
        <f>IF(ISBLANK(INDEX('Policy Characteristics'!D:D,MATCH($C325,'Policy Characteristics'!$C:$C,0))),"",INDEX('Policy Characteristics'!D:D,MATCH($C325,'Policy Characteristics'!$C:$C,0)))</f>
        <v>Subsidy for Capacity Construction</v>
      </c>
      <c r="K325" s="394" t="str">
        <f>IF(ISBLANK(INDEX('Policy Characteristics'!E:E,MATCH($C325,'Policy Characteristics'!$C:$C,0))),"",INDEX('Policy Characteristics'!E:E,MATCH($C325,'Policy Characteristics'!$C:$C,0)))</f>
        <v>elec capacity construction subsidy</v>
      </c>
      <c r="L325" s="398">
        <f>IF(ISBLANK(INDEX('Policy Characteristics'!F:F,MATCH($C325,'Policy Characteristics'!$C:$C,0))),"",INDEX('Policy Characteristics'!F:F,MATCH($C325,'Policy Characteristics'!$C:$C,0)))</f>
        <v>0</v>
      </c>
      <c r="M325" s="398">
        <f>IF(ISBLANK(INDEX('Policy Characteristics'!G:G,MATCH($C325,'Policy Characteristics'!$C:$C,0))),"",INDEX('Policy Characteristics'!G:G,MATCH($C325,'Policy Characteristics'!$C:$C,0)))</f>
        <v>0.95</v>
      </c>
      <c r="N325" s="398">
        <f>IF(ISBLANK(INDEX('Policy Characteristics'!H:H,MATCH($C325,'Policy Characteristics'!$C:$C,0))),"",INDEX('Policy Characteristics'!H:H,MATCH($C325,'Policy Characteristics'!$C:$C,0)))</f>
        <v>0.01</v>
      </c>
      <c r="O325" s="394" t="str">
        <f>IF(ISBLANK(INDEX('Policy Characteristics'!I:I,MATCH($C325,'Policy Characteristics'!$C:$C,0))),"",INDEX('Policy Characteristics'!I:I,MATCH($C325,'Policy Characteristics'!$C:$C,0)))</f>
        <v>% of construction cost</v>
      </c>
      <c r="P325" s="394" t="str">
        <f>IF(ISBLANK(INDEX('Policy Characteristics'!J:J,MATCH($C325,'Policy Characteristics'!$C:$C,0))),"",INDEX('Policy Characteristics'!J:J,MATCH($C325,'Policy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5" s="394" t="str">
        <f>IF(ISBLANK(INDEX('Policy Characteristics'!K:K,MATCH($C325,'Policy Characteristics'!$C:$C,0))),"",INDEX('Policy Characteristics'!K:K,MATCH($C325,'Policy Characteristics'!$C:$C,0)))</f>
        <v>electricity-sector-main.html#subsidies</v>
      </c>
      <c r="R325" s="394" t="str">
        <f>IF(ISBLANK(INDEX('Policy Characteristics'!L:L,MATCH($C325,'Policy Characteristics'!$C:$C,0))),"",INDEX('Policy Characteristics'!L:L,MATCH($C325,'Policy Characteristics'!$C:$C,0)))</f>
        <v/>
      </c>
    </row>
    <row r="326" customHeight="1" spans="1:19">
      <c r="A326" s="394" t="str">
        <f>IF(ISBLANK(INDEX('Policy Characteristics'!A:A,MATCH($C326,'Policy Characteristics'!$C:$C,0))),"",INDEX('Policy Characteristics'!A:A,MATCH($C326,'Policy Characteristics'!$C:$C,0)))</f>
        <v>Electricity Supply</v>
      </c>
      <c r="B326" s="395" t="str">
        <f>IF(ISBLANK(INDEX('Policy Characteristics'!B:B,MATCH($C326,'Policy Characteristics'!$C:$C,0))),"",INDEX('Policy Characteristics'!B:B,MATCH($C326,'Policy Characteristics'!$C:$C,0)))</f>
        <v>Subsidy for Capacity Construction</v>
      </c>
      <c r="C326" s="402" t="str">
        <f t="shared" si="25"/>
        <v>Perc Subsidy for Elec Capacity Construction</v>
      </c>
      <c r="D326" s="399" t="s">
        <v>725</v>
      </c>
      <c r="E326" s="401"/>
      <c r="F326" s="399" t="s">
        <v>726</v>
      </c>
      <c r="G326" s="399"/>
      <c r="H326" s="377">
        <v>522</v>
      </c>
      <c r="I326" s="396" t="s">
        <v>648</v>
      </c>
      <c r="J326" s="397" t="str">
        <f>IF(ISBLANK(INDEX('Policy Characteristics'!D:D,MATCH($C326,'Policy Characteristics'!$C:$C,0))),"",INDEX('Policy Characteristics'!D:D,MATCH($C326,'Policy Characteristics'!$C:$C,0)))</f>
        <v>Subsidy for Capacity Construction</v>
      </c>
      <c r="K326" s="394" t="str">
        <f>IF(ISBLANK(INDEX('Policy Characteristics'!E:E,MATCH($C326,'Policy Characteristics'!$C:$C,0))),"",INDEX('Policy Characteristics'!E:E,MATCH($C326,'Policy Characteristics'!$C:$C,0)))</f>
        <v>elec capacity construction subsidy</v>
      </c>
      <c r="L326" s="398">
        <f>IF(ISBLANK(INDEX('Policy Characteristics'!F:F,MATCH($C326,'Policy Characteristics'!$C:$C,0))),"",INDEX('Policy Characteristics'!F:F,MATCH($C326,'Policy Characteristics'!$C:$C,0)))</f>
        <v>0</v>
      </c>
      <c r="M326" s="398">
        <f>IF(ISBLANK(INDEX('Policy Characteristics'!G:G,MATCH($C326,'Policy Characteristics'!$C:$C,0))),"",INDEX('Policy Characteristics'!G:G,MATCH($C326,'Policy Characteristics'!$C:$C,0)))</f>
        <v>0.95</v>
      </c>
      <c r="N326" s="398">
        <f>IF(ISBLANK(INDEX('Policy Characteristics'!H:H,MATCH($C326,'Policy Characteristics'!$C:$C,0))),"",INDEX('Policy Characteristics'!H:H,MATCH($C326,'Policy Characteristics'!$C:$C,0)))</f>
        <v>0.01</v>
      </c>
      <c r="O326" s="394" t="str">
        <f>IF(ISBLANK(INDEX('Policy Characteristics'!I:I,MATCH($C326,'Policy Characteristics'!$C:$C,0))),"",INDEX('Policy Characteristics'!I:I,MATCH($C326,'Policy Characteristics'!$C:$C,0)))</f>
        <v>% of construction cost</v>
      </c>
      <c r="P326" s="394" t="str">
        <f>IF(ISBLANK(INDEX('Policy Characteristics'!J:J,MATCH($C326,'Policy Characteristics'!$C:$C,0))),"",INDEX('Policy Characteristics'!J:J,MATCH($C326,'Policy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6" s="394" t="str">
        <f>IF(ISBLANK(INDEX('Policy Characteristics'!K:K,MATCH($C326,'Policy Characteristics'!$C:$C,0))),"",INDEX('Policy Characteristics'!K:K,MATCH($C326,'Policy Characteristics'!$C:$C,0)))</f>
        <v>electricity-sector-main.html#subsidies</v>
      </c>
      <c r="R326" s="394" t="str">
        <f>IF(ISBLANK(INDEX('Policy Characteristics'!L:L,MATCH($C326,'Policy Characteristics'!$C:$C,0))),"",INDEX('Policy Characteristics'!L:L,MATCH($C326,'Policy Characteristics'!$C:$C,0)))</f>
        <v/>
      </c>
    </row>
    <row r="327" customHeight="1" spans="1:19">
      <c r="A327" s="394" t="str">
        <f>IF(ISBLANK(INDEX('Policy Characteristics'!A:A,MATCH($C327,'Policy Characteristics'!$C:$C,0))),"",INDEX('Policy Characteristics'!A:A,MATCH($C327,'Policy Characteristics'!$C:$C,0)))</f>
        <v>Electricity Supply</v>
      </c>
      <c r="B327" s="395" t="str">
        <f>IF(ISBLANK(INDEX('Policy Characteristics'!B:B,MATCH($C327,'Policy Characteristics'!$C:$C,0))),"",INDEX('Policy Characteristics'!B:B,MATCH($C327,'Policy Characteristics'!$C:$C,0)))</f>
        <v>Subsidy for Capacity Construction</v>
      </c>
      <c r="C327" s="402" t="str">
        <f t="shared" si="25"/>
        <v>Perc Subsidy for Elec Capacity Construction</v>
      </c>
      <c r="D327" s="399" t="s">
        <v>727</v>
      </c>
      <c r="E327" s="399"/>
      <c r="F327" s="399" t="s">
        <v>728</v>
      </c>
      <c r="G327" s="399"/>
      <c r="H327" s="377">
        <v>695</v>
      </c>
      <c r="I327" s="396" t="s">
        <v>658</v>
      </c>
      <c r="J327" s="397" t="str">
        <f>IF(ISBLANK(INDEX('Policy Characteristics'!D:D,MATCH($C327,'Policy Characteristics'!$C:$C,0))),"",INDEX('Policy Characteristics'!D:D,MATCH($C327,'Policy Characteristics'!$C:$C,0)))</f>
        <v>Subsidy for Capacity Construction</v>
      </c>
      <c r="K327" s="394" t="str">
        <f>IF(ISBLANK(INDEX('Policy Characteristics'!E:E,MATCH($C327,'Policy Characteristics'!$C:$C,0))),"",INDEX('Policy Characteristics'!E:E,MATCH($C327,'Policy Characteristics'!$C:$C,0)))</f>
        <v>elec capacity construction subsidy</v>
      </c>
      <c r="L327" s="398">
        <f>IF(ISBLANK(INDEX('Policy Characteristics'!F:F,MATCH($C327,'Policy Characteristics'!$C:$C,0))),"",INDEX('Policy Characteristics'!F:F,MATCH($C327,'Policy Characteristics'!$C:$C,0)))</f>
        <v>0</v>
      </c>
      <c r="M327" s="398">
        <f>IF(ISBLANK(INDEX('Policy Characteristics'!G:G,MATCH($C327,'Policy Characteristics'!$C:$C,0))),"",INDEX('Policy Characteristics'!G:G,MATCH($C327,'Policy Characteristics'!$C:$C,0)))</f>
        <v>0.95</v>
      </c>
      <c r="N327" s="398">
        <f>IF(ISBLANK(INDEX('Policy Characteristics'!H:H,MATCH($C327,'Policy Characteristics'!$C:$C,0))),"",INDEX('Policy Characteristics'!H:H,MATCH($C327,'Policy Characteristics'!$C:$C,0)))</f>
        <v>0.01</v>
      </c>
      <c r="O327" s="394" t="str">
        <f>IF(ISBLANK(INDEX('Policy Characteristics'!I:I,MATCH($C327,'Policy Characteristics'!$C:$C,0))),"",INDEX('Policy Characteristics'!I:I,MATCH($C327,'Policy Characteristics'!$C:$C,0)))</f>
        <v>% of construction cost</v>
      </c>
      <c r="P327" s="394" t="str">
        <f>IF(ISBLANK(INDEX('Policy Characteristics'!J:J,MATCH($C327,'Policy Characteristics'!$C:$C,0))),"",INDEX('Policy Characteristics'!J:J,MATCH($C327,'Policy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7" s="394" t="str">
        <f>IF(ISBLANK(INDEX('Policy Characteristics'!K:K,MATCH($C327,'Policy Characteristics'!$C:$C,0))),"",INDEX('Policy Characteristics'!K:K,MATCH($C327,'Policy Characteristics'!$C:$C,0)))</f>
        <v>electricity-sector-main.html#subsidies</v>
      </c>
      <c r="R327" s="394" t="str">
        <f>IF(ISBLANK(INDEX('Policy Characteristics'!L:L,MATCH($C327,'Policy Characteristics'!$C:$C,0))),"",INDEX('Policy Characteristics'!L:L,MATCH($C327,'Policy Characteristics'!$C:$C,0)))</f>
        <v/>
      </c>
    </row>
    <row r="328" customHeight="1" spans="1:19">
      <c r="A328" s="394" t="str">
        <f>IF(ISBLANK(INDEX('Policy Characteristics'!A:A,MATCH($C328,'Policy Characteristics'!$C:$C,0))),"",INDEX('Policy Characteristics'!A:A,MATCH($C328,'Policy Characteristics'!$C:$C,0)))</f>
        <v>Electricity Supply</v>
      </c>
      <c r="B328" s="395" t="str">
        <f>IF(ISBLANK(INDEX('Policy Characteristics'!B:B,MATCH($C328,'Policy Characteristics'!$C:$C,0))),"",INDEX('Policy Characteristics'!B:B,MATCH($C328,'Policy Characteristics'!$C:$C,0)))</f>
        <v>Subsidy for Capacity Construction</v>
      </c>
      <c r="C328" s="402" t="str">
        <f t="shared" si="25"/>
        <v>Perc Subsidy for Elec Capacity Construction</v>
      </c>
      <c r="D328" s="399" t="s">
        <v>729</v>
      </c>
      <c r="E328" s="399"/>
      <c r="F328" s="399" t="s">
        <v>730</v>
      </c>
      <c r="G328" s="399"/>
      <c r="H328" s="377">
        <v>696</v>
      </c>
      <c r="I328" s="396" t="s">
        <v>658</v>
      </c>
      <c r="J328" s="397" t="str">
        <f>IF(ISBLANK(INDEX('Policy Characteristics'!D:D,MATCH($C328,'Policy Characteristics'!$C:$C,0))),"",INDEX('Policy Characteristics'!D:D,MATCH($C328,'Policy Characteristics'!$C:$C,0)))</f>
        <v>Subsidy for Capacity Construction</v>
      </c>
      <c r="K328" s="394" t="str">
        <f>IF(ISBLANK(INDEX('Policy Characteristics'!E:E,MATCH($C328,'Policy Characteristics'!$C:$C,0))),"",INDEX('Policy Characteristics'!E:E,MATCH($C328,'Policy Characteristics'!$C:$C,0)))</f>
        <v>elec capacity construction subsidy</v>
      </c>
      <c r="L328" s="398">
        <f>IF(ISBLANK(INDEX('Policy Characteristics'!F:F,MATCH($C328,'Policy Characteristics'!$C:$C,0))),"",INDEX('Policy Characteristics'!F:F,MATCH($C328,'Policy Characteristics'!$C:$C,0)))</f>
        <v>0</v>
      </c>
      <c r="M328" s="398">
        <f>IF(ISBLANK(INDEX('Policy Characteristics'!G:G,MATCH($C328,'Policy Characteristics'!$C:$C,0))),"",INDEX('Policy Characteristics'!G:G,MATCH($C328,'Policy Characteristics'!$C:$C,0)))</f>
        <v>0.95</v>
      </c>
      <c r="N328" s="398">
        <f>IF(ISBLANK(INDEX('Policy Characteristics'!H:H,MATCH($C328,'Policy Characteristics'!$C:$C,0))),"",INDEX('Policy Characteristics'!H:H,MATCH($C328,'Policy Characteristics'!$C:$C,0)))</f>
        <v>0.01</v>
      </c>
      <c r="O328" s="394" t="str">
        <f>IF(ISBLANK(INDEX('Policy Characteristics'!I:I,MATCH($C328,'Policy Characteristics'!$C:$C,0))),"",INDEX('Policy Characteristics'!I:I,MATCH($C328,'Policy Characteristics'!$C:$C,0)))</f>
        <v>% of construction cost</v>
      </c>
      <c r="P328" s="394" t="str">
        <f>IF(ISBLANK(INDEX('Policy Characteristics'!J:J,MATCH($C328,'Policy Characteristics'!$C:$C,0))),"",INDEX('Policy Characteristics'!J:J,MATCH($C328,'Policy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8" s="394" t="str">
        <f>IF(ISBLANK(INDEX('Policy Characteristics'!K:K,MATCH($C328,'Policy Characteristics'!$C:$C,0))),"",INDEX('Policy Characteristics'!K:K,MATCH($C328,'Policy Characteristics'!$C:$C,0)))</f>
        <v>electricity-sector-main.html#subsidies</v>
      </c>
      <c r="R328" s="394" t="str">
        <f>IF(ISBLANK(INDEX('Policy Characteristics'!L:L,MATCH($C328,'Policy Characteristics'!$C:$C,0))),"",INDEX('Policy Characteristics'!L:L,MATCH($C328,'Policy Characteristics'!$C:$C,0)))</f>
        <v/>
      </c>
    </row>
    <row r="329" customHeight="1" spans="1:19">
      <c r="A329" s="394" t="str">
        <f>IF(ISBLANK(INDEX('Policy Characteristics'!A:A,MATCH($C329,'Policy Characteristics'!$C:$C,0))),"",INDEX('Policy Characteristics'!A:A,MATCH($C329,'Policy Characteristics'!$C:$C,0)))</f>
        <v>Electricity Supply</v>
      </c>
      <c r="B329" s="395" t="str">
        <f>IF(ISBLANK(INDEX('Policy Characteristics'!B:B,MATCH($C329,'Policy Characteristics'!$C:$C,0))),"",INDEX('Policy Characteristics'!B:B,MATCH($C329,'Policy Characteristics'!$C:$C,0)))</f>
        <v>Subsidy for Capacity Construction</v>
      </c>
      <c r="C329" s="402" t="str">
        <f t="shared" si="25"/>
        <v>Perc Subsidy for Elec Capacity Construction</v>
      </c>
      <c r="D329" s="399" t="s">
        <v>731</v>
      </c>
      <c r="E329" s="399"/>
      <c r="F329" s="399" t="s">
        <v>732</v>
      </c>
      <c r="G329" s="399"/>
      <c r="H329" s="377">
        <v>697</v>
      </c>
      <c r="I329" s="396" t="s">
        <v>658</v>
      </c>
      <c r="J329" s="397" t="str">
        <f>IF(ISBLANK(INDEX('Policy Characteristics'!D:D,MATCH($C329,'Policy Characteristics'!$C:$C,0))),"",INDEX('Policy Characteristics'!D:D,MATCH($C329,'Policy Characteristics'!$C:$C,0)))</f>
        <v>Subsidy for Capacity Construction</v>
      </c>
      <c r="K329" s="394" t="str">
        <f>IF(ISBLANK(INDEX('Policy Characteristics'!E:E,MATCH($C329,'Policy Characteristics'!$C:$C,0))),"",INDEX('Policy Characteristics'!E:E,MATCH($C329,'Policy Characteristics'!$C:$C,0)))</f>
        <v>elec capacity construction subsidy</v>
      </c>
      <c r="L329" s="398">
        <f>IF(ISBLANK(INDEX('Policy Characteristics'!F:F,MATCH($C329,'Policy Characteristics'!$C:$C,0))),"",INDEX('Policy Characteristics'!F:F,MATCH($C329,'Policy Characteristics'!$C:$C,0)))</f>
        <v>0</v>
      </c>
      <c r="M329" s="398">
        <f>IF(ISBLANK(INDEX('Policy Characteristics'!G:G,MATCH($C329,'Policy Characteristics'!$C:$C,0))),"",INDEX('Policy Characteristics'!G:G,MATCH($C329,'Policy Characteristics'!$C:$C,0)))</f>
        <v>0.95</v>
      </c>
      <c r="N329" s="398">
        <f>IF(ISBLANK(INDEX('Policy Characteristics'!H:H,MATCH($C329,'Policy Characteristics'!$C:$C,0))),"",INDEX('Policy Characteristics'!H:H,MATCH($C329,'Policy Characteristics'!$C:$C,0)))</f>
        <v>0.01</v>
      </c>
      <c r="O329" s="394" t="str">
        <f>IF(ISBLANK(INDEX('Policy Characteristics'!I:I,MATCH($C329,'Policy Characteristics'!$C:$C,0))),"",INDEX('Policy Characteristics'!I:I,MATCH($C329,'Policy Characteristics'!$C:$C,0)))</f>
        <v>% of construction cost</v>
      </c>
      <c r="P329" s="394" t="str">
        <f>IF(ISBLANK(INDEX('Policy Characteristics'!J:J,MATCH($C329,'Policy Characteristics'!$C:$C,0))),"",INDEX('Policy Characteristics'!J:J,MATCH($C329,'Policy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9" s="394" t="str">
        <f>IF(ISBLANK(INDEX('Policy Characteristics'!K:K,MATCH($C329,'Policy Characteristics'!$C:$C,0))),"",INDEX('Policy Characteristics'!K:K,MATCH($C329,'Policy Characteristics'!$C:$C,0)))</f>
        <v>electricity-sector-main.html#subsidies</v>
      </c>
      <c r="R329" s="394" t="str">
        <f>IF(ISBLANK(INDEX('Policy Characteristics'!L:L,MATCH($C329,'Policy Characteristics'!$C:$C,0))),"",INDEX('Policy Characteristics'!L:L,MATCH($C329,'Policy Characteristics'!$C:$C,0)))</f>
        <v/>
      </c>
    </row>
    <row r="330" s="384" customFormat="1" customHeight="1" spans="1:19">
      <c r="A330" s="394" t="str">
        <f>IF(ISBLANK(INDEX('Policy Characteristics'!A:A,MATCH($C330,'Policy Characteristics'!$C:$C,0))),"",INDEX('Policy Characteristics'!A:A,MATCH($C330,'Policy Characteristics'!$C:$C,0)))</f>
        <v>Electricity Supply</v>
      </c>
      <c r="B330" s="395" t="str">
        <f>IF(ISBLANK(INDEX('Policy Characteristics'!B:B,MATCH($C330,'Policy Characteristics'!$C:$C,0))),"",INDEX('Policy Characteristics'!B:B,MATCH($C330,'Policy Characteristics'!$C:$C,0)))</f>
        <v>Subsidy for Electricity Production</v>
      </c>
      <c r="C330" t="s">
        <v>328</v>
      </c>
      <c r="D330" s="399" t="s">
        <v>701</v>
      </c>
      <c r="E330" s="399" t="s">
        <v>733</v>
      </c>
      <c r="F330" s="399" t="s">
        <v>702</v>
      </c>
      <c r="G330" s="403" t="s">
        <v>736</v>
      </c>
      <c r="H330" s="377">
        <v>698</v>
      </c>
      <c r="I330" s="396" t="s">
        <v>658</v>
      </c>
      <c r="J330" s="397" t="str">
        <f>IF(ISBLANK(INDEX('Policy Characteristics'!D:D,MATCH($C330,'Policy Characteristics'!$C:$C,0))),"",INDEX('Policy Characteristics'!D:D,MATCH($C330,'Policy Characteristics'!$C:$C,0)))</f>
        <v>Subsidy for Electricity Production</v>
      </c>
      <c r="K330" s="394" t="str">
        <f>IF(ISBLANK(INDEX('Policy Characteristics'!E:E,MATCH($C330,'Policy Characteristics'!$C:$C,0))),"",INDEX('Policy Characteristics'!E:E,MATCH($C330,'Policy Characteristics'!$C:$C,0)))</f>
        <v>elec generation subsidy</v>
      </c>
      <c r="L330" s="394">
        <f>IF(ISBLANK(INDEX('Policy Characteristics'!F:F,MATCH($C330,'Policy Characteristics'!$C:$C,0))),"",INDEX('Policy Characteristics'!F:F,MATCH($C330,'Policy Characteristics'!$C:$C,0)))</f>
        <v>0</v>
      </c>
      <c r="M330" s="394">
        <f>IF(ISBLANK(INDEX('Policy Characteristics'!G:G,MATCH($C330,'Policy Characteristics'!$C:$C,0))),"",INDEX('Policy Characteristics'!G:G,MATCH($C330,'Policy Characteristics'!$C:$C,0)))</f>
        <v>60</v>
      </c>
      <c r="N330" s="394">
        <f>IF(ISBLANK(INDEX('Policy Characteristics'!H:H,MATCH($C330,'Policy Characteristics'!$C:$C,0))),"",INDEX('Policy Characteristics'!H:H,MATCH($C330,'Policy Characteristics'!$C:$C,0)))</f>
        <v>1</v>
      </c>
      <c r="O330" s="394" t="str">
        <f>IF(ISBLANK(INDEX('Policy Characteristics'!I:I,MATCH($C330,'Policy Characteristics'!$C:$C,0))),"",INDEX('Policy Characteristics'!I:I,MATCH($C330,'Policy Characteristics'!$C:$C,0)))</f>
        <v>2020 RMB / MWh</v>
      </c>
      <c r="P330" s="394" t="str">
        <f>IF(ISBLANK(INDEX('Policy Characteristics'!J:J,MATCH($C330,'Policy Characteristics'!$C:$C,0))),"",INDEX('Policy Characteristics'!J:J,MATCH($C330,'Policy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0" s="394" t="str">
        <f>IF(ISBLANK(INDEX('Policy Characteristics'!K:K,MATCH($C330,'Policy Characteristics'!$C:$C,0))),"",INDEX('Policy Characteristics'!K:K,MATCH($C330,'Policy Characteristics'!$C:$C,0)))</f>
        <v>electricity-sector-main.html#subsidies</v>
      </c>
      <c r="R330" s="394" t="str">
        <f>IF(ISBLANK(INDEX('Policy Characteristics'!L:L,MATCH($C330,'Policy Characteristics'!$C:$C,0))),"",INDEX('Policy Characteristics'!L:L,MATCH($C330,'Policy Characteristics'!$C:$C,0)))</f>
        <v>subsidy-for-electricity-production.html</v>
      </c>
      <c r="S330" s="403"/>
    </row>
    <row r="331" s="384" customFormat="1" customHeight="1" spans="1:19">
      <c r="A331" s="394" t="str">
        <f>IF(ISBLANK(INDEX('Policy Characteristics'!A:A,MATCH($C331,'Policy Characteristics'!$C:$C,0))),"",INDEX('Policy Characteristics'!A:A,MATCH($C331,'Policy Characteristics'!$C:$C,0)))</f>
        <v>Electricity Supply</v>
      </c>
      <c r="B331" s="395" t="str">
        <f>IF(ISBLANK(INDEX('Policy Characteristics'!B:B,MATCH($C331,'Policy Characteristics'!$C:$C,0))),"",INDEX('Policy Characteristics'!B:B,MATCH($C331,'Policy Characteristics'!$C:$C,0)))</f>
        <v>Subsidy for Electricity Production</v>
      </c>
      <c r="C331" s="394" t="str">
        <f t="shared" ref="C331:C377" si="26">C$330</f>
        <v>Subsidy for Elec Production by Fuel</v>
      </c>
      <c r="D331" s="399" t="s">
        <v>701</v>
      </c>
      <c r="E331" s="399" t="s">
        <v>734</v>
      </c>
      <c r="F331" s="399" t="s">
        <v>702</v>
      </c>
      <c r="G331" s="403"/>
      <c r="H331" s="377">
        <v>1563</v>
      </c>
      <c r="I331" s="396" t="s">
        <v>658</v>
      </c>
      <c r="J331" s="397" t="str">
        <f>IF(ISBLANK(INDEX('Policy Characteristics'!D:D,MATCH($C331,'Policy Characteristics'!$C:$C,0))),"",INDEX('Policy Characteristics'!D:D,MATCH($C331,'Policy Characteristics'!$C:$C,0)))</f>
        <v>Subsidy for Electricity Production</v>
      </c>
      <c r="K331" s="394" t="str">
        <f>IF(ISBLANK(INDEX('Policy Characteristics'!E:E,MATCH($C331,'Policy Characteristics'!$C:$C,0))),"",INDEX('Policy Characteristics'!E:E,MATCH($C331,'Policy Characteristics'!$C:$C,0)))</f>
        <v>elec generation subsidy</v>
      </c>
      <c r="L331" s="394">
        <f>IF(ISBLANK(INDEX('Policy Characteristics'!F:F,MATCH($C331,'Policy Characteristics'!$C:$C,0))),"",INDEX('Policy Characteristics'!F:F,MATCH($C331,'Policy Characteristics'!$C:$C,0)))</f>
        <v>0</v>
      </c>
      <c r="M331" s="394">
        <f>IF(ISBLANK(INDEX('Policy Characteristics'!G:G,MATCH($C331,'Policy Characteristics'!$C:$C,0))),"",INDEX('Policy Characteristics'!G:G,MATCH($C331,'Policy Characteristics'!$C:$C,0)))</f>
        <v>60</v>
      </c>
      <c r="N331" s="394">
        <f>IF(ISBLANK(INDEX('Policy Characteristics'!H:H,MATCH($C331,'Policy Characteristics'!$C:$C,0))),"",INDEX('Policy Characteristics'!H:H,MATCH($C331,'Policy Characteristics'!$C:$C,0)))</f>
        <v>1</v>
      </c>
      <c r="O331" s="394" t="str">
        <f>IF(ISBLANK(INDEX('Policy Characteristics'!I:I,MATCH($C331,'Policy Characteristics'!$C:$C,0))),"",INDEX('Policy Characteristics'!I:I,MATCH($C331,'Policy Characteristics'!$C:$C,0)))</f>
        <v>2020 RMB / MWh</v>
      </c>
      <c r="P331" s="394" t="str">
        <f>IF(ISBLANK(INDEX('Policy Characteristics'!J:J,MATCH($C331,'Policy Characteristics'!$C:$C,0))),"",INDEX('Policy Characteristics'!J:J,MATCH($C331,'Policy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1" s="394" t="str">
        <f>IF(ISBLANK(INDEX('Policy Characteristics'!K:K,MATCH($C331,'Policy Characteristics'!$C:$C,0))),"",INDEX('Policy Characteristics'!K:K,MATCH($C331,'Policy Characteristics'!$C:$C,0)))</f>
        <v>electricity-sector-main.html#subsidies</v>
      </c>
      <c r="R331" s="394" t="str">
        <f>IF(ISBLANK(INDEX('Policy Characteristics'!L:L,MATCH($C331,'Policy Characteristics'!$C:$C,0))),"",INDEX('Policy Characteristics'!L:L,MATCH($C331,'Policy Characteristics'!$C:$C,0)))</f>
        <v>subsidy-for-electricity-production.html</v>
      </c>
      <c r="S331" s="403"/>
    </row>
    <row r="332" s="384" customFormat="1" customHeight="1" spans="1:19">
      <c r="A332" s="394" t="str">
        <f>IF(ISBLANK(INDEX('Policy Characteristics'!A:A,MATCH($C332,'Policy Characteristics'!$C:$C,0))),"",INDEX('Policy Characteristics'!A:A,MATCH($C332,'Policy Characteristics'!$C:$C,0)))</f>
        <v>Electricity Supply</v>
      </c>
      <c r="B332" s="395" t="str">
        <f>IF(ISBLANK(INDEX('Policy Characteristics'!B:B,MATCH($C332,'Policy Characteristics'!$C:$C,0))),"",INDEX('Policy Characteristics'!B:B,MATCH($C332,'Policy Characteristics'!$C:$C,0)))</f>
        <v>Subsidy for Electricity Production</v>
      </c>
      <c r="C332" s="394" t="str">
        <f t="shared" si="26"/>
        <v>Subsidy for Elec Production by Fuel</v>
      </c>
      <c r="D332" s="399" t="s">
        <v>701</v>
      </c>
      <c r="E332" s="399" t="s">
        <v>735</v>
      </c>
      <c r="F332" s="399" t="s">
        <v>702</v>
      </c>
      <c r="G332" s="403" t="s">
        <v>737</v>
      </c>
      <c r="H332" s="377">
        <v>1564</v>
      </c>
      <c r="I332" s="396" t="s">
        <v>658</v>
      </c>
      <c r="J332" s="397" t="str">
        <f>IF(ISBLANK(INDEX('Policy Characteristics'!D:D,MATCH($C332,'Policy Characteristics'!$C:$C,0))),"",INDEX('Policy Characteristics'!D:D,MATCH($C332,'Policy Characteristics'!$C:$C,0)))</f>
        <v>Subsidy for Electricity Production</v>
      </c>
      <c r="K332" s="394" t="str">
        <f>IF(ISBLANK(INDEX('Policy Characteristics'!E:E,MATCH($C332,'Policy Characteristics'!$C:$C,0))),"",INDEX('Policy Characteristics'!E:E,MATCH($C332,'Policy Characteristics'!$C:$C,0)))</f>
        <v>elec generation subsidy</v>
      </c>
      <c r="L332" s="394">
        <f>IF(ISBLANK(INDEX('Policy Characteristics'!F:F,MATCH($C332,'Policy Characteristics'!$C:$C,0))),"",INDEX('Policy Characteristics'!F:F,MATCH($C332,'Policy Characteristics'!$C:$C,0)))</f>
        <v>0</v>
      </c>
      <c r="M332" s="394">
        <f>IF(ISBLANK(INDEX('Policy Characteristics'!G:G,MATCH($C332,'Policy Characteristics'!$C:$C,0))),"",INDEX('Policy Characteristics'!G:G,MATCH($C332,'Policy Characteristics'!$C:$C,0)))</f>
        <v>60</v>
      </c>
      <c r="N332" s="394">
        <f>IF(ISBLANK(INDEX('Policy Characteristics'!H:H,MATCH($C332,'Policy Characteristics'!$C:$C,0))),"",INDEX('Policy Characteristics'!H:H,MATCH($C332,'Policy Characteristics'!$C:$C,0)))</f>
        <v>1</v>
      </c>
      <c r="O332" s="394" t="str">
        <f>IF(ISBLANK(INDEX('Policy Characteristics'!I:I,MATCH($C332,'Policy Characteristics'!$C:$C,0))),"",INDEX('Policy Characteristics'!I:I,MATCH($C332,'Policy Characteristics'!$C:$C,0)))</f>
        <v>2020 RMB / MWh</v>
      </c>
      <c r="P332" s="394" t="str">
        <f>IF(ISBLANK(INDEX('Policy Characteristics'!J:J,MATCH($C332,'Policy Characteristics'!$C:$C,0))),"",INDEX('Policy Characteristics'!J:J,MATCH($C332,'Policy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2" s="394" t="str">
        <f>IF(ISBLANK(INDEX('Policy Characteristics'!K:K,MATCH($C332,'Policy Characteristics'!$C:$C,0))),"",INDEX('Policy Characteristics'!K:K,MATCH($C332,'Policy Characteristics'!$C:$C,0)))</f>
        <v>electricity-sector-main.html#subsidies</v>
      </c>
      <c r="R332" s="394" t="str">
        <f>IF(ISBLANK(INDEX('Policy Characteristics'!L:L,MATCH($C332,'Policy Characteristics'!$C:$C,0))),"",INDEX('Policy Characteristics'!L:L,MATCH($C332,'Policy Characteristics'!$C:$C,0)))</f>
        <v>subsidy-for-electricity-production.html</v>
      </c>
      <c r="S332" s="403"/>
    </row>
    <row r="333" s="384" customFormat="1" customHeight="1" spans="1:19">
      <c r="A333" s="394" t="str">
        <f>IF(ISBLANK(INDEX('Policy Characteristics'!A:A,MATCH($C333,'Policy Characteristics'!$C:$C,0))),"",INDEX('Policy Characteristics'!A:A,MATCH($C333,'Policy Characteristics'!$C:$C,0)))</f>
        <v>Electricity Supply</v>
      </c>
      <c r="B333" s="395" t="str">
        <f>IF(ISBLANK(INDEX('Policy Characteristics'!B:B,MATCH($C333,'Policy Characteristics'!$C:$C,0))),"",INDEX('Policy Characteristics'!B:B,MATCH($C333,'Policy Characteristics'!$C:$C,0)))</f>
        <v>Subsidy for Electricity Production</v>
      </c>
      <c r="C333" s="394" t="str">
        <f t="shared" si="26"/>
        <v>Subsidy for Elec Production by Fuel</v>
      </c>
      <c r="D333" s="399" t="s">
        <v>703</v>
      </c>
      <c r="E333" s="399" t="s">
        <v>733</v>
      </c>
      <c r="F333" s="399" t="s">
        <v>704</v>
      </c>
      <c r="G333" s="403" t="s">
        <v>736</v>
      </c>
      <c r="H333" s="377">
        <v>699</v>
      </c>
      <c r="I333" s="396" t="s">
        <v>658</v>
      </c>
      <c r="J333" s="397" t="str">
        <f>IF(ISBLANK(INDEX('Policy Characteristics'!D:D,MATCH($C333,'Policy Characteristics'!$C:$C,0))),"",INDEX('Policy Characteristics'!D:D,MATCH($C333,'Policy Characteristics'!$C:$C,0)))</f>
        <v>Subsidy for Electricity Production</v>
      </c>
      <c r="K333" s="394" t="str">
        <f>IF(ISBLANK(INDEX('Policy Characteristics'!E:E,MATCH($C333,'Policy Characteristics'!$C:$C,0))),"",INDEX('Policy Characteristics'!E:E,MATCH($C333,'Policy Characteristics'!$C:$C,0)))</f>
        <v>elec generation subsidy</v>
      </c>
      <c r="L333" s="394">
        <f>IF(ISBLANK(INDEX('Policy Characteristics'!F:F,MATCH($C333,'Policy Characteristics'!$C:$C,0))),"",INDEX('Policy Characteristics'!F:F,MATCH($C333,'Policy Characteristics'!$C:$C,0)))</f>
        <v>0</v>
      </c>
      <c r="M333" s="394">
        <f>IF(ISBLANK(INDEX('Policy Characteristics'!G:G,MATCH($C333,'Policy Characteristics'!$C:$C,0))),"",INDEX('Policy Characteristics'!G:G,MATCH($C333,'Policy Characteristics'!$C:$C,0)))</f>
        <v>60</v>
      </c>
      <c r="N333" s="394">
        <f>IF(ISBLANK(INDEX('Policy Characteristics'!H:H,MATCH($C333,'Policy Characteristics'!$C:$C,0))),"",INDEX('Policy Characteristics'!H:H,MATCH($C333,'Policy Characteristics'!$C:$C,0)))</f>
        <v>1</v>
      </c>
      <c r="O333" s="394" t="str">
        <f>IF(ISBLANK(INDEX('Policy Characteristics'!I:I,MATCH($C333,'Policy Characteristics'!$C:$C,0))),"",INDEX('Policy Characteristics'!I:I,MATCH($C333,'Policy Characteristics'!$C:$C,0)))</f>
        <v>2020 RMB / MWh</v>
      </c>
      <c r="P333" s="394" t="str">
        <f>IF(ISBLANK(INDEX('Policy Characteristics'!J:J,MATCH($C333,'Policy Characteristics'!$C:$C,0))),"",INDEX('Policy Characteristics'!J:J,MATCH($C333,'Policy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3" s="394" t="str">
        <f>IF(ISBLANK(INDEX('Policy Characteristics'!K:K,MATCH($C333,'Policy Characteristics'!$C:$C,0))),"",INDEX('Policy Characteristics'!K:K,MATCH($C333,'Policy Characteristics'!$C:$C,0)))</f>
        <v>electricity-sector-main.html#subsidies</v>
      </c>
      <c r="R333" s="394" t="str">
        <f>IF(ISBLANK(INDEX('Policy Characteristics'!L:L,MATCH($C333,'Policy Characteristics'!$C:$C,0))),"",INDEX('Policy Characteristics'!L:L,MATCH($C333,'Policy Characteristics'!$C:$C,0)))</f>
        <v>subsidy-for-electricity-production.html</v>
      </c>
      <c r="S333" s="403"/>
    </row>
    <row r="334" customHeight="1" spans="1:19">
      <c r="A334" s="394" t="str">
        <f>IF(ISBLANK(INDEX('Policy Characteristics'!A:A,MATCH($C334,'Policy Characteristics'!$C:$C,0))),"",INDEX('Policy Characteristics'!A:A,MATCH($C334,'Policy Characteristics'!$C:$C,0)))</f>
        <v>Electricity Supply</v>
      </c>
      <c r="B334" s="395" t="str">
        <f>IF(ISBLANK(INDEX('Policy Characteristics'!B:B,MATCH($C334,'Policy Characteristics'!$C:$C,0))),"",INDEX('Policy Characteristics'!B:B,MATCH($C334,'Policy Characteristics'!$C:$C,0)))</f>
        <v>Subsidy for Electricity Production</v>
      </c>
      <c r="C334" s="394" t="str">
        <f t="shared" si="26"/>
        <v>Subsidy for Elec Production by Fuel</v>
      </c>
      <c r="D334" s="399" t="s">
        <v>703</v>
      </c>
      <c r="E334" s="399" t="s">
        <v>734</v>
      </c>
      <c r="F334" s="399" t="s">
        <v>704</v>
      </c>
      <c r="G334" s="403"/>
      <c r="H334" s="377">
        <v>1565</v>
      </c>
      <c r="I334" s="396" t="s">
        <v>658</v>
      </c>
      <c r="J334" s="397" t="str">
        <f>IF(ISBLANK(INDEX('Policy Characteristics'!D:D,MATCH($C334,'Policy Characteristics'!$C:$C,0))),"",INDEX('Policy Characteristics'!D:D,MATCH($C334,'Policy Characteristics'!$C:$C,0)))</f>
        <v>Subsidy for Electricity Production</v>
      </c>
      <c r="K334" s="394" t="str">
        <f>IF(ISBLANK(INDEX('Policy Characteristics'!E:E,MATCH($C334,'Policy Characteristics'!$C:$C,0))),"",INDEX('Policy Characteristics'!E:E,MATCH($C334,'Policy Characteristics'!$C:$C,0)))</f>
        <v>elec generation subsidy</v>
      </c>
      <c r="L334" s="394">
        <f>IF(ISBLANK(INDEX('Policy Characteristics'!F:F,MATCH($C334,'Policy Characteristics'!$C:$C,0))),"",INDEX('Policy Characteristics'!F:F,MATCH($C334,'Policy Characteristics'!$C:$C,0)))</f>
        <v>0</v>
      </c>
      <c r="M334" s="394">
        <f>IF(ISBLANK(INDEX('Policy Characteristics'!G:G,MATCH($C334,'Policy Characteristics'!$C:$C,0))),"",INDEX('Policy Characteristics'!G:G,MATCH($C334,'Policy Characteristics'!$C:$C,0)))</f>
        <v>60</v>
      </c>
      <c r="N334" s="394">
        <f>IF(ISBLANK(INDEX('Policy Characteristics'!H:H,MATCH($C334,'Policy Characteristics'!$C:$C,0))),"",INDEX('Policy Characteristics'!H:H,MATCH($C334,'Policy Characteristics'!$C:$C,0)))</f>
        <v>1</v>
      </c>
      <c r="O334" s="394" t="str">
        <f>IF(ISBLANK(INDEX('Policy Characteristics'!I:I,MATCH($C334,'Policy Characteristics'!$C:$C,0))),"",INDEX('Policy Characteristics'!I:I,MATCH($C334,'Policy Characteristics'!$C:$C,0)))</f>
        <v>2020 RMB / MWh</v>
      </c>
      <c r="P334" s="394" t="str">
        <f>IF(ISBLANK(INDEX('Policy Characteristics'!J:J,MATCH($C334,'Policy Characteristics'!$C:$C,0))),"",INDEX('Policy Characteristics'!J:J,MATCH($C334,'Policy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4" s="394" t="str">
        <f>IF(ISBLANK(INDEX('Policy Characteristics'!K:K,MATCH($C334,'Policy Characteristics'!$C:$C,0))),"",INDEX('Policy Characteristics'!K:K,MATCH($C334,'Policy Characteristics'!$C:$C,0)))</f>
        <v>electricity-sector-main.html#subsidies</v>
      </c>
      <c r="R334" s="394" t="str">
        <f>IF(ISBLANK(INDEX('Policy Characteristics'!L:L,MATCH($C334,'Policy Characteristics'!$C:$C,0))),"",INDEX('Policy Characteristics'!L:L,MATCH($C334,'Policy Characteristics'!$C:$C,0)))</f>
        <v>subsidy-for-electricity-production.html</v>
      </c>
      <c r="S334" s="403"/>
    </row>
    <row r="335" customHeight="1" spans="1:19">
      <c r="A335" s="394" t="str">
        <f>IF(ISBLANK(INDEX('Policy Characteristics'!A:A,MATCH($C335,'Policy Characteristics'!$C:$C,0))),"",INDEX('Policy Characteristics'!A:A,MATCH($C335,'Policy Characteristics'!$C:$C,0)))</f>
        <v>Electricity Supply</v>
      </c>
      <c r="B335" s="395" t="str">
        <f>IF(ISBLANK(INDEX('Policy Characteristics'!B:B,MATCH($C335,'Policy Characteristics'!$C:$C,0))),"",INDEX('Policy Characteristics'!B:B,MATCH($C335,'Policy Characteristics'!$C:$C,0)))</f>
        <v>Subsidy for Electricity Production</v>
      </c>
      <c r="C335" s="394" t="str">
        <f t="shared" si="26"/>
        <v>Subsidy for Elec Production by Fuel</v>
      </c>
      <c r="D335" s="399" t="s">
        <v>703</v>
      </c>
      <c r="E335" s="399" t="s">
        <v>735</v>
      </c>
      <c r="F335" s="399" t="s">
        <v>704</v>
      </c>
      <c r="G335" s="403" t="s">
        <v>737</v>
      </c>
      <c r="H335" s="377">
        <v>1566</v>
      </c>
      <c r="I335" s="396" t="s">
        <v>658</v>
      </c>
      <c r="J335" s="397" t="str">
        <f>IF(ISBLANK(INDEX('Policy Characteristics'!D:D,MATCH($C335,'Policy Characteristics'!$C:$C,0))),"",INDEX('Policy Characteristics'!D:D,MATCH($C335,'Policy Characteristics'!$C:$C,0)))</f>
        <v>Subsidy for Electricity Production</v>
      </c>
      <c r="K335" s="394" t="str">
        <f>IF(ISBLANK(INDEX('Policy Characteristics'!E:E,MATCH($C335,'Policy Characteristics'!$C:$C,0))),"",INDEX('Policy Characteristics'!E:E,MATCH($C335,'Policy Characteristics'!$C:$C,0)))</f>
        <v>elec generation subsidy</v>
      </c>
      <c r="L335" s="394">
        <f>IF(ISBLANK(INDEX('Policy Characteristics'!F:F,MATCH($C335,'Policy Characteristics'!$C:$C,0))),"",INDEX('Policy Characteristics'!F:F,MATCH($C335,'Policy Characteristics'!$C:$C,0)))</f>
        <v>0</v>
      </c>
      <c r="M335" s="394">
        <f>IF(ISBLANK(INDEX('Policy Characteristics'!G:G,MATCH($C335,'Policy Characteristics'!$C:$C,0))),"",INDEX('Policy Characteristics'!G:G,MATCH($C335,'Policy Characteristics'!$C:$C,0)))</f>
        <v>60</v>
      </c>
      <c r="N335" s="394">
        <f>IF(ISBLANK(INDEX('Policy Characteristics'!H:H,MATCH($C335,'Policy Characteristics'!$C:$C,0))),"",INDEX('Policy Characteristics'!H:H,MATCH($C335,'Policy Characteristics'!$C:$C,0)))</f>
        <v>1</v>
      </c>
      <c r="O335" s="394" t="str">
        <f>IF(ISBLANK(INDEX('Policy Characteristics'!I:I,MATCH($C335,'Policy Characteristics'!$C:$C,0))),"",INDEX('Policy Characteristics'!I:I,MATCH($C335,'Policy Characteristics'!$C:$C,0)))</f>
        <v>2020 RMB / MWh</v>
      </c>
      <c r="P335" s="394" t="str">
        <f>IF(ISBLANK(INDEX('Policy Characteristics'!J:J,MATCH($C335,'Policy Characteristics'!$C:$C,0))),"",INDEX('Policy Characteristics'!J:J,MATCH($C335,'Policy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5" s="394" t="str">
        <f>IF(ISBLANK(INDEX('Policy Characteristics'!K:K,MATCH($C335,'Policy Characteristics'!$C:$C,0))),"",INDEX('Policy Characteristics'!K:K,MATCH($C335,'Policy Characteristics'!$C:$C,0)))</f>
        <v>electricity-sector-main.html#subsidies</v>
      </c>
      <c r="R335" s="394" t="str">
        <f>IF(ISBLANK(INDEX('Policy Characteristics'!L:L,MATCH($C335,'Policy Characteristics'!$C:$C,0))),"",INDEX('Policy Characteristics'!L:L,MATCH($C335,'Policy Characteristics'!$C:$C,0)))</f>
        <v>subsidy-for-electricity-production.html</v>
      </c>
      <c r="S335" s="403"/>
    </row>
    <row r="336" customHeight="1" spans="1:19">
      <c r="A336" s="394" t="str">
        <f>IF(ISBLANK(INDEX('Policy Characteristics'!A:A,MATCH($C336,'Policy Characteristics'!$C:$C,0))),"",INDEX('Policy Characteristics'!A:A,MATCH($C336,'Policy Characteristics'!$C:$C,0)))</f>
        <v>Electricity Supply</v>
      </c>
      <c r="B336" s="395" t="str">
        <f>IF(ISBLANK(INDEX('Policy Characteristics'!B:B,MATCH($C336,'Policy Characteristics'!$C:$C,0))),"",INDEX('Policy Characteristics'!B:B,MATCH($C336,'Policy Characteristics'!$C:$C,0)))</f>
        <v>Subsidy for Electricity Production</v>
      </c>
      <c r="C336" s="394" t="str">
        <f t="shared" si="26"/>
        <v>Subsidy for Elec Production by Fuel</v>
      </c>
      <c r="D336" s="399" t="s">
        <v>705</v>
      </c>
      <c r="E336" s="399" t="s">
        <v>733</v>
      </c>
      <c r="F336" s="399" t="s">
        <v>706</v>
      </c>
      <c r="G336" s="403" t="s">
        <v>736</v>
      </c>
      <c r="H336" s="377">
        <v>37</v>
      </c>
      <c r="I336" s="396" t="s">
        <v>648</v>
      </c>
      <c r="J336" s="397" t="str">
        <f>IF(ISBLANK(INDEX('Policy Characteristics'!D:D,MATCH($C336,'Policy Characteristics'!$C:$C,0))),"",INDEX('Policy Characteristics'!D:D,MATCH($C336,'Policy Characteristics'!$C:$C,0)))</f>
        <v>Subsidy for Electricity Production</v>
      </c>
      <c r="K336" s="394" t="str">
        <f>IF(ISBLANK(INDEX('Policy Characteristics'!E:E,MATCH($C336,'Policy Characteristics'!$C:$C,0))),"",INDEX('Policy Characteristics'!E:E,MATCH($C336,'Policy Characteristics'!$C:$C,0)))</f>
        <v>elec generation subsidy</v>
      </c>
      <c r="L336" s="394">
        <f>IF(ISBLANK(INDEX('Policy Characteristics'!F:F,MATCH($C336,'Policy Characteristics'!$C:$C,0))),"",INDEX('Policy Characteristics'!F:F,MATCH($C336,'Policy Characteristics'!$C:$C,0)))</f>
        <v>0</v>
      </c>
      <c r="M336" s="394">
        <f>IF(ISBLANK(INDEX('Policy Characteristics'!G:G,MATCH($C336,'Policy Characteristics'!$C:$C,0))),"",INDEX('Policy Characteristics'!G:G,MATCH($C336,'Policy Characteristics'!$C:$C,0)))</f>
        <v>60</v>
      </c>
      <c r="N336" s="394">
        <f>IF(ISBLANK(INDEX('Policy Characteristics'!H:H,MATCH($C336,'Policy Characteristics'!$C:$C,0))),"",INDEX('Policy Characteristics'!H:H,MATCH($C336,'Policy Characteristics'!$C:$C,0)))</f>
        <v>1</v>
      </c>
      <c r="O336" s="394" t="str">
        <f>IF(ISBLANK(INDEX('Policy Characteristics'!I:I,MATCH($C336,'Policy Characteristics'!$C:$C,0))),"",INDEX('Policy Characteristics'!I:I,MATCH($C336,'Policy Characteristics'!$C:$C,0)))</f>
        <v>2020 RMB / MWh</v>
      </c>
      <c r="P336" s="394" t="str">
        <f>IF(ISBLANK(INDEX('Policy Characteristics'!J:J,MATCH($C336,'Policy Characteristics'!$C:$C,0))),"",INDEX('Policy Characteristics'!J:J,MATCH($C336,'Policy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6" s="394" t="str">
        <f>IF(ISBLANK(INDEX('Policy Characteristics'!K:K,MATCH($C336,'Policy Characteristics'!$C:$C,0))),"",INDEX('Policy Characteristics'!K:K,MATCH($C336,'Policy Characteristics'!$C:$C,0)))</f>
        <v>electricity-sector-main.html#subsidies</v>
      </c>
      <c r="R336" s="394" t="str">
        <f>IF(ISBLANK(INDEX('Policy Characteristics'!L:L,MATCH($C336,'Policy Characteristics'!$C:$C,0))),"",INDEX('Policy Characteristics'!L:L,MATCH($C336,'Policy Characteristics'!$C:$C,0)))</f>
        <v>subsidy-for-electricity-production.html</v>
      </c>
      <c r="S336" s="403"/>
    </row>
    <row r="337" customHeight="1" spans="1:19">
      <c r="A337" s="394" t="str">
        <f>IF(ISBLANK(INDEX('Policy Characteristics'!A:A,MATCH($C337,'Policy Characteristics'!$C:$C,0))),"",INDEX('Policy Characteristics'!A:A,MATCH($C337,'Policy Characteristics'!$C:$C,0)))</f>
        <v>Electricity Supply</v>
      </c>
      <c r="B337" s="395" t="str">
        <f>IF(ISBLANK(INDEX('Policy Characteristics'!B:B,MATCH($C337,'Policy Characteristics'!$C:$C,0))),"",INDEX('Policy Characteristics'!B:B,MATCH($C337,'Policy Characteristics'!$C:$C,0)))</f>
        <v>Subsidy for Electricity Production</v>
      </c>
      <c r="C337" s="394" t="str">
        <f t="shared" si="26"/>
        <v>Subsidy for Elec Production by Fuel</v>
      </c>
      <c r="D337" s="399" t="s">
        <v>705</v>
      </c>
      <c r="E337" s="399" t="s">
        <v>734</v>
      </c>
      <c r="F337" s="399" t="s">
        <v>706</v>
      </c>
      <c r="G337" s="403"/>
      <c r="H337" s="377">
        <v>1567</v>
      </c>
      <c r="I337" s="396" t="s">
        <v>658</v>
      </c>
      <c r="J337" s="397" t="str">
        <f>IF(ISBLANK(INDEX('Policy Characteristics'!D:D,MATCH($C337,'Policy Characteristics'!$C:$C,0))),"",INDEX('Policy Characteristics'!D:D,MATCH($C337,'Policy Characteristics'!$C:$C,0)))</f>
        <v>Subsidy for Electricity Production</v>
      </c>
      <c r="K337" s="394" t="str">
        <f>IF(ISBLANK(INDEX('Policy Characteristics'!E:E,MATCH($C337,'Policy Characteristics'!$C:$C,0))),"",INDEX('Policy Characteristics'!E:E,MATCH($C337,'Policy Characteristics'!$C:$C,0)))</f>
        <v>elec generation subsidy</v>
      </c>
      <c r="L337" s="394">
        <f>IF(ISBLANK(INDEX('Policy Characteristics'!F:F,MATCH($C337,'Policy Characteristics'!$C:$C,0))),"",INDEX('Policy Characteristics'!F:F,MATCH($C337,'Policy Characteristics'!$C:$C,0)))</f>
        <v>0</v>
      </c>
      <c r="M337" s="394">
        <f>IF(ISBLANK(INDEX('Policy Characteristics'!G:G,MATCH($C337,'Policy Characteristics'!$C:$C,0))),"",INDEX('Policy Characteristics'!G:G,MATCH($C337,'Policy Characteristics'!$C:$C,0)))</f>
        <v>60</v>
      </c>
      <c r="N337" s="394">
        <f>IF(ISBLANK(INDEX('Policy Characteristics'!H:H,MATCH($C337,'Policy Characteristics'!$C:$C,0))),"",INDEX('Policy Characteristics'!H:H,MATCH($C337,'Policy Characteristics'!$C:$C,0)))</f>
        <v>1</v>
      </c>
      <c r="O337" s="394" t="str">
        <f>IF(ISBLANK(INDEX('Policy Characteristics'!I:I,MATCH($C337,'Policy Characteristics'!$C:$C,0))),"",INDEX('Policy Characteristics'!I:I,MATCH($C337,'Policy Characteristics'!$C:$C,0)))</f>
        <v>2020 RMB / MWh</v>
      </c>
      <c r="P337" s="394" t="str">
        <f>IF(ISBLANK(INDEX('Policy Characteristics'!J:J,MATCH($C337,'Policy Characteristics'!$C:$C,0))),"",INDEX('Policy Characteristics'!J:J,MATCH($C337,'Policy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7" s="394" t="str">
        <f>IF(ISBLANK(INDEX('Policy Characteristics'!K:K,MATCH($C337,'Policy Characteristics'!$C:$C,0))),"",INDEX('Policy Characteristics'!K:K,MATCH($C337,'Policy Characteristics'!$C:$C,0)))</f>
        <v>electricity-sector-main.html#subsidies</v>
      </c>
      <c r="R337" s="394" t="str">
        <f>IF(ISBLANK(INDEX('Policy Characteristics'!L:L,MATCH($C337,'Policy Characteristics'!$C:$C,0))),"",INDEX('Policy Characteristics'!L:L,MATCH($C337,'Policy Characteristics'!$C:$C,0)))</f>
        <v>subsidy-for-electricity-production.html</v>
      </c>
      <c r="S337" s="403"/>
    </row>
    <row r="338" customHeight="1" spans="1:19">
      <c r="A338" s="394" t="str">
        <f>IF(ISBLANK(INDEX('Policy Characteristics'!A:A,MATCH($C338,'Policy Characteristics'!$C:$C,0))),"",INDEX('Policy Characteristics'!A:A,MATCH($C338,'Policy Characteristics'!$C:$C,0)))</f>
        <v>Electricity Supply</v>
      </c>
      <c r="B338" s="395" t="str">
        <f>IF(ISBLANK(INDEX('Policy Characteristics'!B:B,MATCH($C338,'Policy Characteristics'!$C:$C,0))),"",INDEX('Policy Characteristics'!B:B,MATCH($C338,'Policy Characteristics'!$C:$C,0)))</f>
        <v>Subsidy for Electricity Production</v>
      </c>
      <c r="C338" s="394" t="str">
        <f t="shared" si="26"/>
        <v>Subsidy for Elec Production by Fuel</v>
      </c>
      <c r="D338" s="399" t="s">
        <v>705</v>
      </c>
      <c r="E338" s="399" t="s">
        <v>735</v>
      </c>
      <c r="F338" s="399" t="s">
        <v>706</v>
      </c>
      <c r="G338" s="403" t="s">
        <v>737</v>
      </c>
      <c r="H338" s="377">
        <v>1568</v>
      </c>
      <c r="I338" s="396" t="s">
        <v>648</v>
      </c>
      <c r="J338" s="397" t="str">
        <f>IF(ISBLANK(INDEX('Policy Characteristics'!D:D,MATCH($C338,'Policy Characteristics'!$C:$C,0))),"",INDEX('Policy Characteristics'!D:D,MATCH($C338,'Policy Characteristics'!$C:$C,0)))</f>
        <v>Subsidy for Electricity Production</v>
      </c>
      <c r="K338" s="394" t="str">
        <f>IF(ISBLANK(INDEX('Policy Characteristics'!E:E,MATCH($C338,'Policy Characteristics'!$C:$C,0))),"",INDEX('Policy Characteristics'!E:E,MATCH($C338,'Policy Characteristics'!$C:$C,0)))</f>
        <v>elec generation subsidy</v>
      </c>
      <c r="L338" s="394">
        <f>IF(ISBLANK(INDEX('Policy Characteristics'!F:F,MATCH($C338,'Policy Characteristics'!$C:$C,0))),"",INDEX('Policy Characteristics'!F:F,MATCH($C338,'Policy Characteristics'!$C:$C,0)))</f>
        <v>0</v>
      </c>
      <c r="M338" s="394">
        <f>IF(ISBLANK(INDEX('Policy Characteristics'!G:G,MATCH($C338,'Policy Characteristics'!$C:$C,0))),"",INDEX('Policy Characteristics'!G:G,MATCH($C338,'Policy Characteristics'!$C:$C,0)))</f>
        <v>60</v>
      </c>
      <c r="N338" s="394">
        <f>IF(ISBLANK(INDEX('Policy Characteristics'!H:H,MATCH($C338,'Policy Characteristics'!$C:$C,0))),"",INDEX('Policy Characteristics'!H:H,MATCH($C338,'Policy Characteristics'!$C:$C,0)))</f>
        <v>1</v>
      </c>
      <c r="O338" s="394" t="str">
        <f>IF(ISBLANK(INDEX('Policy Characteristics'!I:I,MATCH($C338,'Policy Characteristics'!$C:$C,0))),"",INDEX('Policy Characteristics'!I:I,MATCH($C338,'Policy Characteristics'!$C:$C,0)))</f>
        <v>2020 RMB / MWh</v>
      </c>
      <c r="P338" s="394" t="str">
        <f>IF(ISBLANK(INDEX('Policy Characteristics'!J:J,MATCH($C338,'Policy Characteristics'!$C:$C,0))),"",INDEX('Policy Characteristics'!J:J,MATCH($C338,'Policy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8" s="394" t="str">
        <f>IF(ISBLANK(INDEX('Policy Characteristics'!K:K,MATCH($C338,'Policy Characteristics'!$C:$C,0))),"",INDEX('Policy Characteristics'!K:K,MATCH($C338,'Policy Characteristics'!$C:$C,0)))</f>
        <v>electricity-sector-main.html#subsidies</v>
      </c>
      <c r="R338" s="394" t="str">
        <f>IF(ISBLANK(INDEX('Policy Characteristics'!L:L,MATCH($C338,'Policy Characteristics'!$C:$C,0))),"",INDEX('Policy Characteristics'!L:L,MATCH($C338,'Policy Characteristics'!$C:$C,0)))</f>
        <v>subsidy-for-electricity-production.html</v>
      </c>
      <c r="S338" s="403"/>
    </row>
    <row r="339" customHeight="1" spans="1:19">
      <c r="A339" s="394" t="str">
        <f>IF(ISBLANK(INDEX('Policy Characteristics'!A:A,MATCH($C339,'Policy Characteristics'!$C:$C,0))),"",INDEX('Policy Characteristics'!A:A,MATCH($C339,'Policy Characteristics'!$C:$C,0)))</f>
        <v>Electricity Supply</v>
      </c>
      <c r="B339" s="395" t="str">
        <f>IF(ISBLANK(INDEX('Policy Characteristics'!B:B,MATCH($C339,'Policy Characteristics'!$C:$C,0))),"",INDEX('Policy Characteristics'!B:B,MATCH($C339,'Policy Characteristics'!$C:$C,0)))</f>
        <v>Subsidy for Electricity Production</v>
      </c>
      <c r="C339" s="394" t="str">
        <f t="shared" si="26"/>
        <v>Subsidy for Elec Production by Fuel</v>
      </c>
      <c r="D339" s="399" t="s">
        <v>707</v>
      </c>
      <c r="E339" s="399" t="s">
        <v>733</v>
      </c>
      <c r="F339" s="399" t="s">
        <v>708</v>
      </c>
      <c r="G339" s="403" t="s">
        <v>736</v>
      </c>
      <c r="H339" s="377">
        <v>700</v>
      </c>
      <c r="I339" s="396" t="s">
        <v>648</v>
      </c>
      <c r="J339" s="397" t="str">
        <f>IF(ISBLANK(INDEX('Policy Characteristics'!D:D,MATCH($C339,'Policy Characteristics'!$C:$C,0))),"",INDEX('Policy Characteristics'!D:D,MATCH($C339,'Policy Characteristics'!$C:$C,0)))</f>
        <v>Subsidy for Electricity Production</v>
      </c>
      <c r="K339" s="394" t="str">
        <f>IF(ISBLANK(INDEX('Policy Characteristics'!E:E,MATCH($C339,'Policy Characteristics'!$C:$C,0))),"",INDEX('Policy Characteristics'!E:E,MATCH($C339,'Policy Characteristics'!$C:$C,0)))</f>
        <v>elec generation subsidy</v>
      </c>
      <c r="L339" s="394">
        <f>IF(ISBLANK(INDEX('Policy Characteristics'!F:F,MATCH($C339,'Policy Characteristics'!$C:$C,0))),"",INDEX('Policy Characteristics'!F:F,MATCH($C339,'Policy Characteristics'!$C:$C,0)))</f>
        <v>0</v>
      </c>
      <c r="M339" s="394">
        <f>IF(ISBLANK(INDEX('Policy Characteristics'!G:G,MATCH($C339,'Policy Characteristics'!$C:$C,0))),"",INDEX('Policy Characteristics'!G:G,MATCH($C339,'Policy Characteristics'!$C:$C,0)))</f>
        <v>60</v>
      </c>
      <c r="N339" s="394">
        <f>IF(ISBLANK(INDEX('Policy Characteristics'!H:H,MATCH($C339,'Policy Characteristics'!$C:$C,0))),"",INDEX('Policy Characteristics'!H:H,MATCH($C339,'Policy Characteristics'!$C:$C,0)))</f>
        <v>1</v>
      </c>
      <c r="O339" s="394" t="str">
        <f>IF(ISBLANK(INDEX('Policy Characteristics'!I:I,MATCH($C339,'Policy Characteristics'!$C:$C,0))),"",INDEX('Policy Characteristics'!I:I,MATCH($C339,'Policy Characteristics'!$C:$C,0)))</f>
        <v>2020 RMB / MWh</v>
      </c>
      <c r="P339" s="394" t="str">
        <f>IF(ISBLANK(INDEX('Policy Characteristics'!J:J,MATCH($C339,'Policy Characteristics'!$C:$C,0))),"",INDEX('Policy Characteristics'!J:J,MATCH($C339,'Policy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9" s="394" t="str">
        <f>IF(ISBLANK(INDEX('Policy Characteristics'!K:K,MATCH($C339,'Policy Characteristics'!$C:$C,0))),"",INDEX('Policy Characteristics'!K:K,MATCH($C339,'Policy Characteristics'!$C:$C,0)))</f>
        <v>electricity-sector-main.html#subsidies</v>
      </c>
      <c r="R339" s="394" t="str">
        <f>IF(ISBLANK(INDEX('Policy Characteristics'!L:L,MATCH($C339,'Policy Characteristics'!$C:$C,0))),"",INDEX('Policy Characteristics'!L:L,MATCH($C339,'Policy Characteristics'!$C:$C,0)))</f>
        <v>subsidy-for-electricity-production.html</v>
      </c>
      <c r="S339" s="403"/>
    </row>
    <row r="340" customHeight="1" spans="1:19">
      <c r="A340" s="394" t="str">
        <f>IF(ISBLANK(INDEX('Policy Characteristics'!A:A,MATCH($C340,'Policy Characteristics'!$C:$C,0))),"",INDEX('Policy Characteristics'!A:A,MATCH($C340,'Policy Characteristics'!$C:$C,0)))</f>
        <v>Electricity Supply</v>
      </c>
      <c r="B340" s="395" t="str">
        <f>IF(ISBLANK(INDEX('Policy Characteristics'!B:B,MATCH($C340,'Policy Characteristics'!$C:$C,0))),"",INDEX('Policy Characteristics'!B:B,MATCH($C340,'Policy Characteristics'!$C:$C,0)))</f>
        <v>Subsidy for Electricity Production</v>
      </c>
      <c r="C340" s="394" t="str">
        <f t="shared" si="26"/>
        <v>Subsidy for Elec Production by Fuel</v>
      </c>
      <c r="D340" s="399" t="s">
        <v>707</v>
      </c>
      <c r="E340" s="399" t="s">
        <v>734</v>
      </c>
      <c r="F340" s="399" t="s">
        <v>708</v>
      </c>
      <c r="G340" s="403"/>
      <c r="H340" s="377">
        <v>1569</v>
      </c>
      <c r="I340" s="396" t="s">
        <v>658</v>
      </c>
      <c r="J340" s="397" t="str">
        <f>IF(ISBLANK(INDEX('Policy Characteristics'!D:D,MATCH($C340,'Policy Characteristics'!$C:$C,0))),"",INDEX('Policy Characteristics'!D:D,MATCH($C340,'Policy Characteristics'!$C:$C,0)))</f>
        <v>Subsidy for Electricity Production</v>
      </c>
      <c r="K340" s="394" t="str">
        <f>IF(ISBLANK(INDEX('Policy Characteristics'!E:E,MATCH($C340,'Policy Characteristics'!$C:$C,0))),"",INDEX('Policy Characteristics'!E:E,MATCH($C340,'Policy Characteristics'!$C:$C,0)))</f>
        <v>elec generation subsidy</v>
      </c>
      <c r="L340" s="394">
        <f>IF(ISBLANK(INDEX('Policy Characteristics'!F:F,MATCH($C340,'Policy Characteristics'!$C:$C,0))),"",INDEX('Policy Characteristics'!F:F,MATCH($C340,'Policy Characteristics'!$C:$C,0)))</f>
        <v>0</v>
      </c>
      <c r="M340" s="394">
        <f>IF(ISBLANK(INDEX('Policy Characteristics'!G:G,MATCH($C340,'Policy Characteristics'!$C:$C,0))),"",INDEX('Policy Characteristics'!G:G,MATCH($C340,'Policy Characteristics'!$C:$C,0)))</f>
        <v>60</v>
      </c>
      <c r="N340" s="394">
        <f>IF(ISBLANK(INDEX('Policy Characteristics'!H:H,MATCH($C340,'Policy Characteristics'!$C:$C,0))),"",INDEX('Policy Characteristics'!H:H,MATCH($C340,'Policy Characteristics'!$C:$C,0)))</f>
        <v>1</v>
      </c>
      <c r="O340" s="394" t="str">
        <f>IF(ISBLANK(INDEX('Policy Characteristics'!I:I,MATCH($C340,'Policy Characteristics'!$C:$C,0))),"",INDEX('Policy Characteristics'!I:I,MATCH($C340,'Policy Characteristics'!$C:$C,0)))</f>
        <v>2020 RMB / MWh</v>
      </c>
      <c r="P340" s="394" t="str">
        <f>IF(ISBLANK(INDEX('Policy Characteristics'!J:J,MATCH($C340,'Policy Characteristics'!$C:$C,0))),"",INDEX('Policy Characteristics'!J:J,MATCH($C340,'Policy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0" s="394" t="str">
        <f>IF(ISBLANK(INDEX('Policy Characteristics'!K:K,MATCH($C340,'Policy Characteristics'!$C:$C,0))),"",INDEX('Policy Characteristics'!K:K,MATCH($C340,'Policy Characteristics'!$C:$C,0)))</f>
        <v>electricity-sector-main.html#subsidies</v>
      </c>
      <c r="R340" s="394" t="str">
        <f>IF(ISBLANK(INDEX('Policy Characteristics'!L:L,MATCH($C340,'Policy Characteristics'!$C:$C,0))),"",INDEX('Policy Characteristics'!L:L,MATCH($C340,'Policy Characteristics'!$C:$C,0)))</f>
        <v>subsidy-for-electricity-production.html</v>
      </c>
      <c r="S340" s="403"/>
    </row>
    <row r="341" customHeight="1" spans="1:19">
      <c r="A341" s="394" t="str">
        <f>IF(ISBLANK(INDEX('Policy Characteristics'!A:A,MATCH($C341,'Policy Characteristics'!$C:$C,0))),"",INDEX('Policy Characteristics'!A:A,MATCH($C341,'Policy Characteristics'!$C:$C,0)))</f>
        <v>Electricity Supply</v>
      </c>
      <c r="B341" s="395" t="str">
        <f>IF(ISBLANK(INDEX('Policy Characteristics'!B:B,MATCH($C341,'Policy Characteristics'!$C:$C,0))),"",INDEX('Policy Characteristics'!B:B,MATCH($C341,'Policy Characteristics'!$C:$C,0)))</f>
        <v>Subsidy for Electricity Production</v>
      </c>
      <c r="C341" s="394" t="str">
        <f t="shared" si="26"/>
        <v>Subsidy for Elec Production by Fuel</v>
      </c>
      <c r="D341" s="399" t="s">
        <v>707</v>
      </c>
      <c r="E341" s="399" t="s">
        <v>735</v>
      </c>
      <c r="F341" s="399" t="s">
        <v>708</v>
      </c>
      <c r="G341" s="403" t="s">
        <v>737</v>
      </c>
      <c r="H341" s="377">
        <v>1570</v>
      </c>
      <c r="I341" s="396" t="s">
        <v>648</v>
      </c>
      <c r="J341" s="397" t="str">
        <f>IF(ISBLANK(INDEX('Policy Characteristics'!D:D,MATCH($C341,'Policy Characteristics'!$C:$C,0))),"",INDEX('Policy Characteristics'!D:D,MATCH($C341,'Policy Characteristics'!$C:$C,0)))</f>
        <v>Subsidy for Electricity Production</v>
      </c>
      <c r="K341" s="394" t="str">
        <f>IF(ISBLANK(INDEX('Policy Characteristics'!E:E,MATCH($C341,'Policy Characteristics'!$C:$C,0))),"",INDEX('Policy Characteristics'!E:E,MATCH($C341,'Policy Characteristics'!$C:$C,0)))</f>
        <v>elec generation subsidy</v>
      </c>
      <c r="L341" s="394">
        <f>IF(ISBLANK(INDEX('Policy Characteristics'!F:F,MATCH($C341,'Policy Characteristics'!$C:$C,0))),"",INDEX('Policy Characteristics'!F:F,MATCH($C341,'Policy Characteristics'!$C:$C,0)))</f>
        <v>0</v>
      </c>
      <c r="M341" s="394">
        <f>IF(ISBLANK(INDEX('Policy Characteristics'!G:G,MATCH($C341,'Policy Characteristics'!$C:$C,0))),"",INDEX('Policy Characteristics'!G:G,MATCH($C341,'Policy Characteristics'!$C:$C,0)))</f>
        <v>60</v>
      </c>
      <c r="N341" s="394">
        <f>IF(ISBLANK(INDEX('Policy Characteristics'!H:H,MATCH($C341,'Policy Characteristics'!$C:$C,0))),"",INDEX('Policy Characteristics'!H:H,MATCH($C341,'Policy Characteristics'!$C:$C,0)))</f>
        <v>1</v>
      </c>
      <c r="O341" s="394" t="str">
        <f>IF(ISBLANK(INDEX('Policy Characteristics'!I:I,MATCH($C341,'Policy Characteristics'!$C:$C,0))),"",INDEX('Policy Characteristics'!I:I,MATCH($C341,'Policy Characteristics'!$C:$C,0)))</f>
        <v>2020 RMB / MWh</v>
      </c>
      <c r="P341" s="394" t="str">
        <f>IF(ISBLANK(INDEX('Policy Characteristics'!J:J,MATCH($C341,'Policy Characteristics'!$C:$C,0))),"",INDEX('Policy Characteristics'!J:J,MATCH($C341,'Policy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1" s="394" t="str">
        <f>IF(ISBLANK(INDEX('Policy Characteristics'!K:K,MATCH($C341,'Policy Characteristics'!$C:$C,0))),"",INDEX('Policy Characteristics'!K:K,MATCH($C341,'Policy Characteristics'!$C:$C,0)))</f>
        <v>electricity-sector-main.html#subsidies</v>
      </c>
      <c r="R341" s="394" t="str">
        <f>IF(ISBLANK(INDEX('Policy Characteristics'!L:L,MATCH($C341,'Policy Characteristics'!$C:$C,0))),"",INDEX('Policy Characteristics'!L:L,MATCH($C341,'Policy Characteristics'!$C:$C,0)))</f>
        <v>subsidy-for-electricity-production.html</v>
      </c>
      <c r="S341" s="403"/>
    </row>
    <row r="342" customHeight="1" spans="1:19">
      <c r="A342" s="394" t="str">
        <f>IF(ISBLANK(INDEX('Policy Characteristics'!A:A,MATCH($C342,'Policy Characteristics'!$C:$C,0))),"",INDEX('Policy Characteristics'!A:A,MATCH($C342,'Policy Characteristics'!$C:$C,0)))</f>
        <v>Electricity Supply</v>
      </c>
      <c r="B342" s="395" t="str">
        <f>IF(ISBLANK(INDEX('Policy Characteristics'!B:B,MATCH($C342,'Policy Characteristics'!$C:$C,0))),"",INDEX('Policy Characteristics'!B:B,MATCH($C342,'Policy Characteristics'!$C:$C,0)))</f>
        <v>Subsidy for Electricity Production</v>
      </c>
      <c r="C342" s="394" t="str">
        <f t="shared" si="26"/>
        <v>Subsidy for Elec Production by Fuel</v>
      </c>
      <c r="D342" s="399" t="s">
        <v>709</v>
      </c>
      <c r="E342" s="399" t="s">
        <v>733</v>
      </c>
      <c r="F342" s="399" t="s">
        <v>710</v>
      </c>
      <c r="G342" s="403" t="s">
        <v>736</v>
      </c>
      <c r="H342" s="377">
        <v>39</v>
      </c>
      <c r="I342" s="396" t="s">
        <v>648</v>
      </c>
      <c r="J342" s="397" t="str">
        <f>IF(ISBLANK(INDEX('Policy Characteristics'!D:D,MATCH($C342,'Policy Characteristics'!$C:$C,0))),"",INDEX('Policy Characteristics'!D:D,MATCH($C342,'Policy Characteristics'!$C:$C,0)))</f>
        <v>Subsidy for Electricity Production</v>
      </c>
      <c r="K342" s="394" t="str">
        <f>IF(ISBLANK(INDEX('Policy Characteristics'!E:E,MATCH($C342,'Policy Characteristics'!$C:$C,0))),"",INDEX('Policy Characteristics'!E:E,MATCH($C342,'Policy Characteristics'!$C:$C,0)))</f>
        <v>elec generation subsidy</v>
      </c>
      <c r="L342" s="394">
        <f>IF(ISBLANK(INDEX('Policy Characteristics'!F:F,MATCH($C342,'Policy Characteristics'!$C:$C,0))),"",INDEX('Policy Characteristics'!F:F,MATCH($C342,'Policy Characteristics'!$C:$C,0)))</f>
        <v>0</v>
      </c>
      <c r="M342" s="394">
        <f>IF(ISBLANK(INDEX('Policy Characteristics'!G:G,MATCH($C342,'Policy Characteristics'!$C:$C,0))),"",INDEX('Policy Characteristics'!G:G,MATCH($C342,'Policy Characteristics'!$C:$C,0)))</f>
        <v>60</v>
      </c>
      <c r="N342" s="394">
        <f>IF(ISBLANK(INDEX('Policy Characteristics'!H:H,MATCH($C342,'Policy Characteristics'!$C:$C,0))),"",INDEX('Policy Characteristics'!H:H,MATCH($C342,'Policy Characteristics'!$C:$C,0)))</f>
        <v>1</v>
      </c>
      <c r="O342" s="394" t="str">
        <f>IF(ISBLANK(INDEX('Policy Characteristics'!I:I,MATCH($C342,'Policy Characteristics'!$C:$C,0))),"",INDEX('Policy Characteristics'!I:I,MATCH($C342,'Policy Characteristics'!$C:$C,0)))</f>
        <v>2020 RMB / MWh</v>
      </c>
      <c r="P342" s="394" t="str">
        <f>IF(ISBLANK(INDEX('Policy Characteristics'!J:J,MATCH($C342,'Policy Characteristics'!$C:$C,0))),"",INDEX('Policy Characteristics'!J:J,MATCH($C342,'Policy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2" s="394" t="str">
        <f>IF(ISBLANK(INDEX('Policy Characteristics'!K:K,MATCH($C342,'Policy Characteristics'!$C:$C,0))),"",INDEX('Policy Characteristics'!K:K,MATCH($C342,'Policy Characteristics'!$C:$C,0)))</f>
        <v>electricity-sector-main.html#subsidies</v>
      </c>
      <c r="R342" s="394" t="str">
        <f>IF(ISBLANK(INDEX('Policy Characteristics'!L:L,MATCH($C342,'Policy Characteristics'!$C:$C,0))),"",INDEX('Policy Characteristics'!L:L,MATCH($C342,'Policy Characteristics'!$C:$C,0)))</f>
        <v>subsidy-for-electricity-production.html</v>
      </c>
      <c r="S342" s="403"/>
    </row>
    <row r="343" customHeight="1" spans="1:19">
      <c r="A343" s="394" t="str">
        <f>IF(ISBLANK(INDEX('Policy Characteristics'!A:A,MATCH($C343,'Policy Characteristics'!$C:$C,0))),"",INDEX('Policy Characteristics'!A:A,MATCH($C343,'Policy Characteristics'!$C:$C,0)))</f>
        <v>Electricity Supply</v>
      </c>
      <c r="B343" s="395" t="str">
        <f>IF(ISBLANK(INDEX('Policy Characteristics'!B:B,MATCH($C343,'Policy Characteristics'!$C:$C,0))),"",INDEX('Policy Characteristics'!B:B,MATCH($C343,'Policy Characteristics'!$C:$C,0)))</f>
        <v>Subsidy for Electricity Production</v>
      </c>
      <c r="C343" s="394" t="str">
        <f t="shared" si="26"/>
        <v>Subsidy for Elec Production by Fuel</v>
      </c>
      <c r="D343" s="399" t="s">
        <v>709</v>
      </c>
      <c r="E343" s="399" t="s">
        <v>734</v>
      </c>
      <c r="F343" s="399" t="s">
        <v>710</v>
      </c>
      <c r="G343" s="403"/>
      <c r="H343" s="377">
        <v>1571</v>
      </c>
      <c r="I343" s="396" t="s">
        <v>658</v>
      </c>
      <c r="J343" s="397" t="str">
        <f>IF(ISBLANK(INDEX('Policy Characteristics'!D:D,MATCH($C343,'Policy Characteristics'!$C:$C,0))),"",INDEX('Policy Characteristics'!D:D,MATCH($C343,'Policy Characteristics'!$C:$C,0)))</f>
        <v>Subsidy for Electricity Production</v>
      </c>
      <c r="K343" s="394" t="str">
        <f>IF(ISBLANK(INDEX('Policy Characteristics'!E:E,MATCH($C343,'Policy Characteristics'!$C:$C,0))),"",INDEX('Policy Characteristics'!E:E,MATCH($C343,'Policy Characteristics'!$C:$C,0)))</f>
        <v>elec generation subsidy</v>
      </c>
      <c r="L343" s="394">
        <f>IF(ISBLANK(INDEX('Policy Characteristics'!F:F,MATCH($C343,'Policy Characteristics'!$C:$C,0))),"",INDEX('Policy Characteristics'!F:F,MATCH($C343,'Policy Characteristics'!$C:$C,0)))</f>
        <v>0</v>
      </c>
      <c r="M343" s="394">
        <f>IF(ISBLANK(INDEX('Policy Characteristics'!G:G,MATCH($C343,'Policy Characteristics'!$C:$C,0))),"",INDEX('Policy Characteristics'!G:G,MATCH($C343,'Policy Characteristics'!$C:$C,0)))</f>
        <v>60</v>
      </c>
      <c r="N343" s="394">
        <f>IF(ISBLANK(INDEX('Policy Characteristics'!H:H,MATCH($C343,'Policy Characteristics'!$C:$C,0))),"",INDEX('Policy Characteristics'!H:H,MATCH($C343,'Policy Characteristics'!$C:$C,0)))</f>
        <v>1</v>
      </c>
      <c r="O343" s="394" t="str">
        <f>IF(ISBLANK(INDEX('Policy Characteristics'!I:I,MATCH($C343,'Policy Characteristics'!$C:$C,0))),"",INDEX('Policy Characteristics'!I:I,MATCH($C343,'Policy Characteristics'!$C:$C,0)))</f>
        <v>2020 RMB / MWh</v>
      </c>
      <c r="P343" s="394" t="str">
        <f>IF(ISBLANK(INDEX('Policy Characteristics'!J:J,MATCH($C343,'Policy Characteristics'!$C:$C,0))),"",INDEX('Policy Characteristics'!J:J,MATCH($C343,'Policy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3" s="394" t="str">
        <f>IF(ISBLANK(INDEX('Policy Characteristics'!K:K,MATCH($C343,'Policy Characteristics'!$C:$C,0))),"",INDEX('Policy Characteristics'!K:K,MATCH($C343,'Policy Characteristics'!$C:$C,0)))</f>
        <v>electricity-sector-main.html#subsidies</v>
      </c>
      <c r="R343" s="394" t="str">
        <f>IF(ISBLANK(INDEX('Policy Characteristics'!L:L,MATCH($C343,'Policy Characteristics'!$C:$C,0))),"",INDEX('Policy Characteristics'!L:L,MATCH($C343,'Policy Characteristics'!$C:$C,0)))</f>
        <v>subsidy-for-electricity-production.html</v>
      </c>
      <c r="S343" s="403"/>
    </row>
    <row r="344" customHeight="1" spans="1:19">
      <c r="A344" s="394" t="str">
        <f>IF(ISBLANK(INDEX('Policy Characteristics'!A:A,MATCH($C344,'Policy Characteristics'!$C:$C,0))),"",INDEX('Policy Characteristics'!A:A,MATCH($C344,'Policy Characteristics'!$C:$C,0)))</f>
        <v>Electricity Supply</v>
      </c>
      <c r="B344" s="395" t="str">
        <f>IF(ISBLANK(INDEX('Policy Characteristics'!B:B,MATCH($C344,'Policy Characteristics'!$C:$C,0))),"",INDEX('Policy Characteristics'!B:B,MATCH($C344,'Policy Characteristics'!$C:$C,0)))</f>
        <v>Subsidy for Electricity Production</v>
      </c>
      <c r="C344" s="394" t="str">
        <f t="shared" si="26"/>
        <v>Subsidy for Elec Production by Fuel</v>
      </c>
      <c r="D344" s="399" t="s">
        <v>709</v>
      </c>
      <c r="E344" s="399" t="s">
        <v>735</v>
      </c>
      <c r="F344" s="399" t="s">
        <v>710</v>
      </c>
      <c r="G344" s="403" t="s">
        <v>737</v>
      </c>
      <c r="H344" s="377">
        <v>1572</v>
      </c>
      <c r="I344" s="396" t="s">
        <v>648</v>
      </c>
      <c r="J344" s="397" t="str">
        <f>IF(ISBLANK(INDEX('Policy Characteristics'!D:D,MATCH($C344,'Policy Characteristics'!$C:$C,0))),"",INDEX('Policy Characteristics'!D:D,MATCH($C344,'Policy Characteristics'!$C:$C,0)))</f>
        <v>Subsidy for Electricity Production</v>
      </c>
      <c r="K344" s="394" t="str">
        <f>IF(ISBLANK(INDEX('Policy Characteristics'!E:E,MATCH($C344,'Policy Characteristics'!$C:$C,0))),"",INDEX('Policy Characteristics'!E:E,MATCH($C344,'Policy Characteristics'!$C:$C,0)))</f>
        <v>elec generation subsidy</v>
      </c>
      <c r="L344" s="394">
        <f>IF(ISBLANK(INDEX('Policy Characteristics'!F:F,MATCH($C344,'Policy Characteristics'!$C:$C,0))),"",INDEX('Policy Characteristics'!F:F,MATCH($C344,'Policy Characteristics'!$C:$C,0)))</f>
        <v>0</v>
      </c>
      <c r="M344" s="394">
        <f>IF(ISBLANK(INDEX('Policy Characteristics'!G:G,MATCH($C344,'Policy Characteristics'!$C:$C,0))),"",INDEX('Policy Characteristics'!G:G,MATCH($C344,'Policy Characteristics'!$C:$C,0)))</f>
        <v>60</v>
      </c>
      <c r="N344" s="394">
        <f>IF(ISBLANK(INDEX('Policy Characteristics'!H:H,MATCH($C344,'Policy Characteristics'!$C:$C,0))),"",INDEX('Policy Characteristics'!H:H,MATCH($C344,'Policy Characteristics'!$C:$C,0)))</f>
        <v>1</v>
      </c>
      <c r="O344" s="394" t="str">
        <f>IF(ISBLANK(INDEX('Policy Characteristics'!I:I,MATCH($C344,'Policy Characteristics'!$C:$C,0))),"",INDEX('Policy Characteristics'!I:I,MATCH($C344,'Policy Characteristics'!$C:$C,0)))</f>
        <v>2020 RMB / MWh</v>
      </c>
      <c r="P344" s="394" t="str">
        <f>IF(ISBLANK(INDEX('Policy Characteristics'!J:J,MATCH($C344,'Policy Characteristics'!$C:$C,0))),"",INDEX('Policy Characteristics'!J:J,MATCH($C344,'Policy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4" s="394" t="str">
        <f>IF(ISBLANK(INDEX('Policy Characteristics'!K:K,MATCH($C344,'Policy Characteristics'!$C:$C,0))),"",INDEX('Policy Characteristics'!K:K,MATCH($C344,'Policy Characteristics'!$C:$C,0)))</f>
        <v>electricity-sector-main.html#subsidies</v>
      </c>
      <c r="R344" s="394" t="str">
        <f>IF(ISBLANK(INDEX('Policy Characteristics'!L:L,MATCH($C344,'Policy Characteristics'!$C:$C,0))),"",INDEX('Policy Characteristics'!L:L,MATCH($C344,'Policy Characteristics'!$C:$C,0)))</f>
        <v>subsidy-for-electricity-production.html</v>
      </c>
      <c r="S344" s="403"/>
    </row>
    <row r="345" customHeight="1" spans="1:19">
      <c r="A345" s="394" t="str">
        <f>IF(ISBLANK(INDEX('Policy Characteristics'!A:A,MATCH($C345,'Policy Characteristics'!$C:$C,0))),"",INDEX('Policy Characteristics'!A:A,MATCH($C345,'Policy Characteristics'!$C:$C,0)))</f>
        <v>Electricity Supply</v>
      </c>
      <c r="B345" s="395" t="str">
        <f>IF(ISBLANK(INDEX('Policy Characteristics'!B:B,MATCH($C345,'Policy Characteristics'!$C:$C,0))),"",INDEX('Policy Characteristics'!B:B,MATCH($C345,'Policy Characteristics'!$C:$C,0)))</f>
        <v>Subsidy for Electricity Production</v>
      </c>
      <c r="C345" s="394" t="str">
        <f t="shared" si="26"/>
        <v>Subsidy for Elec Production by Fuel</v>
      </c>
      <c r="D345" s="399" t="s">
        <v>711</v>
      </c>
      <c r="E345" s="399" t="s">
        <v>733</v>
      </c>
      <c r="F345" s="399" t="s">
        <v>712</v>
      </c>
      <c r="G345" s="403" t="s">
        <v>736</v>
      </c>
      <c r="H345" s="377">
        <v>40</v>
      </c>
      <c r="I345" s="396" t="s">
        <v>648</v>
      </c>
      <c r="J345" s="397" t="str">
        <f>IF(ISBLANK(INDEX('Policy Characteristics'!D:D,MATCH($C345,'Policy Characteristics'!$C:$C,0))),"",INDEX('Policy Characteristics'!D:D,MATCH($C345,'Policy Characteristics'!$C:$C,0)))</f>
        <v>Subsidy for Electricity Production</v>
      </c>
      <c r="K345" s="394" t="str">
        <f>IF(ISBLANK(INDEX('Policy Characteristics'!E:E,MATCH($C345,'Policy Characteristics'!$C:$C,0))),"",INDEX('Policy Characteristics'!E:E,MATCH($C345,'Policy Characteristics'!$C:$C,0)))</f>
        <v>elec generation subsidy</v>
      </c>
      <c r="L345" s="394">
        <f>IF(ISBLANK(INDEX('Policy Characteristics'!F:F,MATCH($C345,'Policy Characteristics'!$C:$C,0))),"",INDEX('Policy Characteristics'!F:F,MATCH($C345,'Policy Characteristics'!$C:$C,0)))</f>
        <v>0</v>
      </c>
      <c r="M345" s="394">
        <f>IF(ISBLANK(INDEX('Policy Characteristics'!G:G,MATCH($C345,'Policy Characteristics'!$C:$C,0))),"",INDEX('Policy Characteristics'!G:G,MATCH($C345,'Policy Characteristics'!$C:$C,0)))</f>
        <v>60</v>
      </c>
      <c r="N345" s="394">
        <f>IF(ISBLANK(INDEX('Policy Characteristics'!H:H,MATCH($C345,'Policy Characteristics'!$C:$C,0))),"",INDEX('Policy Characteristics'!H:H,MATCH($C345,'Policy Characteristics'!$C:$C,0)))</f>
        <v>1</v>
      </c>
      <c r="O345" s="394" t="str">
        <f>IF(ISBLANK(INDEX('Policy Characteristics'!I:I,MATCH($C345,'Policy Characteristics'!$C:$C,0))),"",INDEX('Policy Characteristics'!I:I,MATCH($C345,'Policy Characteristics'!$C:$C,0)))</f>
        <v>2020 RMB / MWh</v>
      </c>
      <c r="P345" s="394" t="str">
        <f>IF(ISBLANK(INDEX('Policy Characteristics'!J:J,MATCH($C345,'Policy Characteristics'!$C:$C,0))),"",INDEX('Policy Characteristics'!J:J,MATCH($C345,'Policy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5" s="394" t="str">
        <f>IF(ISBLANK(INDEX('Policy Characteristics'!K:K,MATCH($C345,'Policy Characteristics'!$C:$C,0))),"",INDEX('Policy Characteristics'!K:K,MATCH($C345,'Policy Characteristics'!$C:$C,0)))</f>
        <v>electricity-sector-main.html#subsidies</v>
      </c>
      <c r="R345" s="394" t="str">
        <f>IF(ISBLANK(INDEX('Policy Characteristics'!L:L,MATCH($C345,'Policy Characteristics'!$C:$C,0))),"",INDEX('Policy Characteristics'!L:L,MATCH($C345,'Policy Characteristics'!$C:$C,0)))</f>
        <v>subsidy-for-electricity-production.html</v>
      </c>
      <c r="S345" s="403"/>
    </row>
    <row r="346" customHeight="1" spans="1:19">
      <c r="A346" s="394" t="str">
        <f>IF(ISBLANK(INDEX('Policy Characteristics'!A:A,MATCH($C346,'Policy Characteristics'!$C:$C,0))),"",INDEX('Policy Characteristics'!A:A,MATCH($C346,'Policy Characteristics'!$C:$C,0)))</f>
        <v>Electricity Supply</v>
      </c>
      <c r="B346" s="395" t="str">
        <f>IF(ISBLANK(INDEX('Policy Characteristics'!B:B,MATCH($C346,'Policy Characteristics'!$C:$C,0))),"",INDEX('Policy Characteristics'!B:B,MATCH($C346,'Policy Characteristics'!$C:$C,0)))</f>
        <v>Subsidy for Electricity Production</v>
      </c>
      <c r="C346" s="394" t="str">
        <f t="shared" si="26"/>
        <v>Subsidy for Elec Production by Fuel</v>
      </c>
      <c r="D346" s="399" t="s">
        <v>711</v>
      </c>
      <c r="E346" s="399" t="s">
        <v>734</v>
      </c>
      <c r="F346" s="399" t="s">
        <v>712</v>
      </c>
      <c r="G346" s="403"/>
      <c r="H346" s="377">
        <v>1573</v>
      </c>
      <c r="I346" s="396" t="s">
        <v>658</v>
      </c>
      <c r="J346" s="397" t="str">
        <f>IF(ISBLANK(INDEX('Policy Characteristics'!D:D,MATCH($C346,'Policy Characteristics'!$C:$C,0))),"",INDEX('Policy Characteristics'!D:D,MATCH($C346,'Policy Characteristics'!$C:$C,0)))</f>
        <v>Subsidy for Electricity Production</v>
      </c>
      <c r="K346" s="394" t="str">
        <f>IF(ISBLANK(INDEX('Policy Characteristics'!E:E,MATCH($C346,'Policy Characteristics'!$C:$C,0))),"",INDEX('Policy Characteristics'!E:E,MATCH($C346,'Policy Characteristics'!$C:$C,0)))</f>
        <v>elec generation subsidy</v>
      </c>
      <c r="L346" s="394">
        <f>IF(ISBLANK(INDEX('Policy Characteristics'!F:F,MATCH($C346,'Policy Characteristics'!$C:$C,0))),"",INDEX('Policy Characteristics'!F:F,MATCH($C346,'Policy Characteristics'!$C:$C,0)))</f>
        <v>0</v>
      </c>
      <c r="M346" s="394">
        <f>IF(ISBLANK(INDEX('Policy Characteristics'!G:G,MATCH($C346,'Policy Characteristics'!$C:$C,0))),"",INDEX('Policy Characteristics'!G:G,MATCH($C346,'Policy Characteristics'!$C:$C,0)))</f>
        <v>60</v>
      </c>
      <c r="N346" s="394">
        <f>IF(ISBLANK(INDEX('Policy Characteristics'!H:H,MATCH($C346,'Policy Characteristics'!$C:$C,0))),"",INDEX('Policy Characteristics'!H:H,MATCH($C346,'Policy Characteristics'!$C:$C,0)))</f>
        <v>1</v>
      </c>
      <c r="O346" s="394" t="str">
        <f>IF(ISBLANK(INDEX('Policy Characteristics'!I:I,MATCH($C346,'Policy Characteristics'!$C:$C,0))),"",INDEX('Policy Characteristics'!I:I,MATCH($C346,'Policy Characteristics'!$C:$C,0)))</f>
        <v>2020 RMB / MWh</v>
      </c>
      <c r="P346" s="394" t="str">
        <f>IF(ISBLANK(INDEX('Policy Characteristics'!J:J,MATCH($C346,'Policy Characteristics'!$C:$C,0))),"",INDEX('Policy Characteristics'!J:J,MATCH($C346,'Policy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6" s="394" t="str">
        <f>IF(ISBLANK(INDEX('Policy Characteristics'!K:K,MATCH($C346,'Policy Characteristics'!$C:$C,0))),"",INDEX('Policy Characteristics'!K:K,MATCH($C346,'Policy Characteristics'!$C:$C,0)))</f>
        <v>electricity-sector-main.html#subsidies</v>
      </c>
      <c r="R346" s="394" t="str">
        <f>IF(ISBLANK(INDEX('Policy Characteristics'!L:L,MATCH($C346,'Policy Characteristics'!$C:$C,0))),"",INDEX('Policy Characteristics'!L:L,MATCH($C346,'Policy Characteristics'!$C:$C,0)))</f>
        <v>subsidy-for-electricity-production.html</v>
      </c>
      <c r="S346" s="403"/>
    </row>
    <row r="347" customHeight="1" spans="1:19">
      <c r="A347" s="394" t="str">
        <f>IF(ISBLANK(INDEX('Policy Characteristics'!A:A,MATCH($C347,'Policy Characteristics'!$C:$C,0))),"",INDEX('Policy Characteristics'!A:A,MATCH($C347,'Policy Characteristics'!$C:$C,0)))</f>
        <v>Electricity Supply</v>
      </c>
      <c r="B347" s="395" t="str">
        <f>IF(ISBLANK(INDEX('Policy Characteristics'!B:B,MATCH($C347,'Policy Characteristics'!$C:$C,0))),"",INDEX('Policy Characteristics'!B:B,MATCH($C347,'Policy Characteristics'!$C:$C,0)))</f>
        <v>Subsidy for Electricity Production</v>
      </c>
      <c r="C347" s="394" t="str">
        <f t="shared" si="26"/>
        <v>Subsidy for Elec Production by Fuel</v>
      </c>
      <c r="D347" s="399" t="s">
        <v>711</v>
      </c>
      <c r="E347" s="399" t="s">
        <v>735</v>
      </c>
      <c r="F347" s="399" t="s">
        <v>712</v>
      </c>
      <c r="G347" s="403" t="s">
        <v>737</v>
      </c>
      <c r="H347" s="377">
        <v>1574</v>
      </c>
      <c r="I347" s="396" t="s">
        <v>648</v>
      </c>
      <c r="J347" s="397" t="str">
        <f>IF(ISBLANK(INDEX('Policy Characteristics'!D:D,MATCH($C347,'Policy Characteristics'!$C:$C,0))),"",INDEX('Policy Characteristics'!D:D,MATCH($C347,'Policy Characteristics'!$C:$C,0)))</f>
        <v>Subsidy for Electricity Production</v>
      </c>
      <c r="K347" s="394" t="str">
        <f>IF(ISBLANK(INDEX('Policy Characteristics'!E:E,MATCH($C347,'Policy Characteristics'!$C:$C,0))),"",INDEX('Policy Characteristics'!E:E,MATCH($C347,'Policy Characteristics'!$C:$C,0)))</f>
        <v>elec generation subsidy</v>
      </c>
      <c r="L347" s="394">
        <f>IF(ISBLANK(INDEX('Policy Characteristics'!F:F,MATCH($C347,'Policy Characteristics'!$C:$C,0))),"",INDEX('Policy Characteristics'!F:F,MATCH($C347,'Policy Characteristics'!$C:$C,0)))</f>
        <v>0</v>
      </c>
      <c r="M347" s="394">
        <f>IF(ISBLANK(INDEX('Policy Characteristics'!G:G,MATCH($C347,'Policy Characteristics'!$C:$C,0))),"",INDEX('Policy Characteristics'!G:G,MATCH($C347,'Policy Characteristics'!$C:$C,0)))</f>
        <v>60</v>
      </c>
      <c r="N347" s="394">
        <f>IF(ISBLANK(INDEX('Policy Characteristics'!H:H,MATCH($C347,'Policy Characteristics'!$C:$C,0))),"",INDEX('Policy Characteristics'!H:H,MATCH($C347,'Policy Characteristics'!$C:$C,0)))</f>
        <v>1</v>
      </c>
      <c r="O347" s="394" t="str">
        <f>IF(ISBLANK(INDEX('Policy Characteristics'!I:I,MATCH($C347,'Policy Characteristics'!$C:$C,0))),"",INDEX('Policy Characteristics'!I:I,MATCH($C347,'Policy Characteristics'!$C:$C,0)))</f>
        <v>2020 RMB / MWh</v>
      </c>
      <c r="P347" s="394" t="str">
        <f>IF(ISBLANK(INDEX('Policy Characteristics'!J:J,MATCH($C347,'Policy Characteristics'!$C:$C,0))),"",INDEX('Policy Characteristics'!J:J,MATCH($C347,'Policy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7" s="394" t="str">
        <f>IF(ISBLANK(INDEX('Policy Characteristics'!K:K,MATCH($C347,'Policy Characteristics'!$C:$C,0))),"",INDEX('Policy Characteristics'!K:K,MATCH($C347,'Policy Characteristics'!$C:$C,0)))</f>
        <v>electricity-sector-main.html#subsidies</v>
      </c>
      <c r="R347" s="394" t="str">
        <f>IF(ISBLANK(INDEX('Policy Characteristics'!L:L,MATCH($C347,'Policy Characteristics'!$C:$C,0))),"",INDEX('Policy Characteristics'!L:L,MATCH($C347,'Policy Characteristics'!$C:$C,0)))</f>
        <v>subsidy-for-electricity-production.html</v>
      </c>
      <c r="S347" s="403"/>
    </row>
    <row r="348" customHeight="1" spans="1:19">
      <c r="A348" s="394" t="str">
        <f>IF(ISBLANK(INDEX('Policy Characteristics'!A:A,MATCH($C348,'Policy Characteristics'!$C:$C,0))),"",INDEX('Policy Characteristics'!A:A,MATCH($C348,'Policy Characteristics'!$C:$C,0)))</f>
        <v>Electricity Supply</v>
      </c>
      <c r="B348" s="395" t="str">
        <f>IF(ISBLANK(INDEX('Policy Characteristics'!B:B,MATCH($C348,'Policy Characteristics'!$C:$C,0))),"",INDEX('Policy Characteristics'!B:B,MATCH($C348,'Policy Characteristics'!$C:$C,0)))</f>
        <v>Subsidy for Electricity Production</v>
      </c>
      <c r="C348" s="394" t="str">
        <f t="shared" si="26"/>
        <v>Subsidy for Elec Production by Fuel</v>
      </c>
      <c r="D348" s="399" t="s">
        <v>713</v>
      </c>
      <c r="E348" s="399" t="s">
        <v>733</v>
      </c>
      <c r="F348" s="399" t="s">
        <v>714</v>
      </c>
      <c r="G348" s="403" t="s">
        <v>736</v>
      </c>
      <c r="H348" s="377">
        <v>41</v>
      </c>
      <c r="I348" s="396" t="s">
        <v>648</v>
      </c>
      <c r="J348" s="397" t="str">
        <f>IF(ISBLANK(INDEX('Policy Characteristics'!D:D,MATCH($C348,'Policy Characteristics'!$C:$C,0))),"",INDEX('Policy Characteristics'!D:D,MATCH($C348,'Policy Characteristics'!$C:$C,0)))</f>
        <v>Subsidy for Electricity Production</v>
      </c>
      <c r="K348" s="394" t="str">
        <f>IF(ISBLANK(INDEX('Policy Characteristics'!E:E,MATCH($C348,'Policy Characteristics'!$C:$C,0))),"",INDEX('Policy Characteristics'!E:E,MATCH($C348,'Policy Characteristics'!$C:$C,0)))</f>
        <v>elec generation subsidy</v>
      </c>
      <c r="L348" s="394">
        <f>IF(ISBLANK(INDEX('Policy Characteristics'!F:F,MATCH($C348,'Policy Characteristics'!$C:$C,0))),"",INDEX('Policy Characteristics'!F:F,MATCH($C348,'Policy Characteristics'!$C:$C,0)))</f>
        <v>0</v>
      </c>
      <c r="M348" s="394">
        <f>IF(ISBLANK(INDEX('Policy Characteristics'!G:G,MATCH($C348,'Policy Characteristics'!$C:$C,0))),"",INDEX('Policy Characteristics'!G:G,MATCH($C348,'Policy Characteristics'!$C:$C,0)))</f>
        <v>60</v>
      </c>
      <c r="N348" s="394">
        <f>IF(ISBLANK(INDEX('Policy Characteristics'!H:H,MATCH($C348,'Policy Characteristics'!$C:$C,0))),"",INDEX('Policy Characteristics'!H:H,MATCH($C348,'Policy Characteristics'!$C:$C,0)))</f>
        <v>1</v>
      </c>
      <c r="O348" s="394" t="str">
        <f>IF(ISBLANK(INDEX('Policy Characteristics'!I:I,MATCH($C348,'Policy Characteristics'!$C:$C,0))),"",INDEX('Policy Characteristics'!I:I,MATCH($C348,'Policy Characteristics'!$C:$C,0)))</f>
        <v>2020 RMB / MWh</v>
      </c>
      <c r="P348" s="394" t="str">
        <f>IF(ISBLANK(INDEX('Policy Characteristics'!J:J,MATCH($C348,'Policy Characteristics'!$C:$C,0))),"",INDEX('Policy Characteristics'!J:J,MATCH($C348,'Policy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8" s="394" t="str">
        <f>IF(ISBLANK(INDEX('Policy Characteristics'!K:K,MATCH($C348,'Policy Characteristics'!$C:$C,0))),"",INDEX('Policy Characteristics'!K:K,MATCH($C348,'Policy Characteristics'!$C:$C,0)))</f>
        <v>electricity-sector-main.html#subsidies</v>
      </c>
      <c r="R348" s="394" t="str">
        <f>IF(ISBLANK(INDEX('Policy Characteristics'!L:L,MATCH($C348,'Policy Characteristics'!$C:$C,0))),"",INDEX('Policy Characteristics'!L:L,MATCH($C348,'Policy Characteristics'!$C:$C,0)))</f>
        <v>subsidy-for-electricity-production.html</v>
      </c>
      <c r="S348" s="403"/>
    </row>
    <row r="349" customHeight="1" spans="1:19">
      <c r="A349" s="394" t="str">
        <f>IF(ISBLANK(INDEX('Policy Characteristics'!A:A,MATCH($C349,'Policy Characteristics'!$C:$C,0))),"",INDEX('Policy Characteristics'!A:A,MATCH($C349,'Policy Characteristics'!$C:$C,0)))</f>
        <v>Electricity Supply</v>
      </c>
      <c r="B349" s="395" t="str">
        <f>IF(ISBLANK(INDEX('Policy Characteristics'!B:B,MATCH($C349,'Policy Characteristics'!$C:$C,0))),"",INDEX('Policy Characteristics'!B:B,MATCH($C349,'Policy Characteristics'!$C:$C,0)))</f>
        <v>Subsidy for Electricity Production</v>
      </c>
      <c r="C349" s="394" t="str">
        <f t="shared" si="26"/>
        <v>Subsidy for Elec Production by Fuel</v>
      </c>
      <c r="D349" s="399" t="s">
        <v>713</v>
      </c>
      <c r="E349" s="399" t="s">
        <v>734</v>
      </c>
      <c r="F349" s="399" t="s">
        <v>714</v>
      </c>
      <c r="G349" s="403"/>
      <c r="H349" s="377">
        <v>1575</v>
      </c>
      <c r="I349" s="396" t="s">
        <v>658</v>
      </c>
      <c r="J349" s="397" t="str">
        <f>IF(ISBLANK(INDEX('Policy Characteristics'!D:D,MATCH($C349,'Policy Characteristics'!$C:$C,0))),"",INDEX('Policy Characteristics'!D:D,MATCH($C349,'Policy Characteristics'!$C:$C,0)))</f>
        <v>Subsidy for Electricity Production</v>
      </c>
      <c r="K349" s="394" t="str">
        <f>IF(ISBLANK(INDEX('Policy Characteristics'!E:E,MATCH($C349,'Policy Characteristics'!$C:$C,0))),"",INDEX('Policy Characteristics'!E:E,MATCH($C349,'Policy Characteristics'!$C:$C,0)))</f>
        <v>elec generation subsidy</v>
      </c>
      <c r="L349" s="394">
        <f>IF(ISBLANK(INDEX('Policy Characteristics'!F:F,MATCH($C349,'Policy Characteristics'!$C:$C,0))),"",INDEX('Policy Characteristics'!F:F,MATCH($C349,'Policy Characteristics'!$C:$C,0)))</f>
        <v>0</v>
      </c>
      <c r="M349" s="394">
        <f>IF(ISBLANK(INDEX('Policy Characteristics'!G:G,MATCH($C349,'Policy Characteristics'!$C:$C,0))),"",INDEX('Policy Characteristics'!G:G,MATCH($C349,'Policy Characteristics'!$C:$C,0)))</f>
        <v>60</v>
      </c>
      <c r="N349" s="394">
        <f>IF(ISBLANK(INDEX('Policy Characteristics'!H:H,MATCH($C349,'Policy Characteristics'!$C:$C,0))),"",INDEX('Policy Characteristics'!H:H,MATCH($C349,'Policy Characteristics'!$C:$C,0)))</f>
        <v>1</v>
      </c>
      <c r="O349" s="394" t="str">
        <f>IF(ISBLANK(INDEX('Policy Characteristics'!I:I,MATCH($C349,'Policy Characteristics'!$C:$C,0))),"",INDEX('Policy Characteristics'!I:I,MATCH($C349,'Policy Characteristics'!$C:$C,0)))</f>
        <v>2020 RMB / MWh</v>
      </c>
      <c r="P349" s="394" t="str">
        <f>IF(ISBLANK(INDEX('Policy Characteristics'!J:J,MATCH($C349,'Policy Characteristics'!$C:$C,0))),"",INDEX('Policy Characteristics'!J:J,MATCH($C349,'Policy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9" s="394" t="str">
        <f>IF(ISBLANK(INDEX('Policy Characteristics'!K:K,MATCH($C349,'Policy Characteristics'!$C:$C,0))),"",INDEX('Policy Characteristics'!K:K,MATCH($C349,'Policy Characteristics'!$C:$C,0)))</f>
        <v>electricity-sector-main.html#subsidies</v>
      </c>
      <c r="R349" s="394" t="str">
        <f>IF(ISBLANK(INDEX('Policy Characteristics'!L:L,MATCH($C349,'Policy Characteristics'!$C:$C,0))),"",INDEX('Policy Characteristics'!L:L,MATCH($C349,'Policy Characteristics'!$C:$C,0)))</f>
        <v>subsidy-for-electricity-production.html</v>
      </c>
      <c r="S349" s="403"/>
    </row>
    <row r="350" customHeight="1" spans="1:19">
      <c r="A350" s="394" t="str">
        <f>IF(ISBLANK(INDEX('Policy Characteristics'!A:A,MATCH($C350,'Policy Characteristics'!$C:$C,0))),"",INDEX('Policy Characteristics'!A:A,MATCH($C350,'Policy Characteristics'!$C:$C,0)))</f>
        <v>Electricity Supply</v>
      </c>
      <c r="B350" s="395" t="str">
        <f>IF(ISBLANK(INDEX('Policy Characteristics'!B:B,MATCH($C350,'Policy Characteristics'!$C:$C,0))),"",INDEX('Policy Characteristics'!B:B,MATCH($C350,'Policy Characteristics'!$C:$C,0)))</f>
        <v>Subsidy for Electricity Production</v>
      </c>
      <c r="C350" s="394" t="str">
        <f t="shared" si="26"/>
        <v>Subsidy for Elec Production by Fuel</v>
      </c>
      <c r="D350" s="399" t="s">
        <v>713</v>
      </c>
      <c r="E350" s="399" t="s">
        <v>735</v>
      </c>
      <c r="F350" s="399" t="s">
        <v>714</v>
      </c>
      <c r="G350" s="403" t="s">
        <v>737</v>
      </c>
      <c r="H350" s="377">
        <v>1576</v>
      </c>
      <c r="I350" s="396" t="s">
        <v>648</v>
      </c>
      <c r="J350" s="397" t="str">
        <f>IF(ISBLANK(INDEX('Policy Characteristics'!D:D,MATCH($C350,'Policy Characteristics'!$C:$C,0))),"",INDEX('Policy Characteristics'!D:D,MATCH($C350,'Policy Characteristics'!$C:$C,0)))</f>
        <v>Subsidy for Electricity Production</v>
      </c>
      <c r="K350" s="394" t="str">
        <f>IF(ISBLANK(INDEX('Policy Characteristics'!E:E,MATCH($C350,'Policy Characteristics'!$C:$C,0))),"",INDEX('Policy Characteristics'!E:E,MATCH($C350,'Policy Characteristics'!$C:$C,0)))</f>
        <v>elec generation subsidy</v>
      </c>
      <c r="L350" s="394">
        <f>IF(ISBLANK(INDEX('Policy Characteristics'!F:F,MATCH($C350,'Policy Characteristics'!$C:$C,0))),"",INDEX('Policy Characteristics'!F:F,MATCH($C350,'Policy Characteristics'!$C:$C,0)))</f>
        <v>0</v>
      </c>
      <c r="M350" s="394">
        <f>IF(ISBLANK(INDEX('Policy Characteristics'!G:G,MATCH($C350,'Policy Characteristics'!$C:$C,0))),"",INDEX('Policy Characteristics'!G:G,MATCH($C350,'Policy Characteristics'!$C:$C,0)))</f>
        <v>60</v>
      </c>
      <c r="N350" s="394">
        <f>IF(ISBLANK(INDEX('Policy Characteristics'!H:H,MATCH($C350,'Policy Characteristics'!$C:$C,0))),"",INDEX('Policy Characteristics'!H:H,MATCH($C350,'Policy Characteristics'!$C:$C,0)))</f>
        <v>1</v>
      </c>
      <c r="O350" s="394" t="str">
        <f>IF(ISBLANK(INDEX('Policy Characteristics'!I:I,MATCH($C350,'Policy Characteristics'!$C:$C,0))),"",INDEX('Policy Characteristics'!I:I,MATCH($C350,'Policy Characteristics'!$C:$C,0)))</f>
        <v>2020 RMB / MWh</v>
      </c>
      <c r="P350" s="394" t="str">
        <f>IF(ISBLANK(INDEX('Policy Characteristics'!J:J,MATCH($C350,'Policy Characteristics'!$C:$C,0))),"",INDEX('Policy Characteristics'!J:J,MATCH($C350,'Policy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0" s="394" t="str">
        <f>IF(ISBLANK(INDEX('Policy Characteristics'!K:K,MATCH($C350,'Policy Characteristics'!$C:$C,0))),"",INDEX('Policy Characteristics'!K:K,MATCH($C350,'Policy Characteristics'!$C:$C,0)))</f>
        <v>electricity-sector-main.html#subsidies</v>
      </c>
      <c r="R350" s="394" t="str">
        <f>IF(ISBLANK(INDEX('Policy Characteristics'!L:L,MATCH($C350,'Policy Characteristics'!$C:$C,0))),"",INDEX('Policy Characteristics'!L:L,MATCH($C350,'Policy Characteristics'!$C:$C,0)))</f>
        <v>subsidy-for-electricity-production.html</v>
      </c>
      <c r="S350" s="403"/>
    </row>
    <row r="351" customHeight="1" spans="1:19">
      <c r="A351" s="394" t="str">
        <f>IF(ISBLANK(INDEX('Policy Characteristics'!A:A,MATCH($C351,'Policy Characteristics'!$C:$C,0))),"",INDEX('Policy Characteristics'!A:A,MATCH($C351,'Policy Characteristics'!$C:$C,0)))</f>
        <v>Electricity Supply</v>
      </c>
      <c r="B351" s="395" t="str">
        <f>IF(ISBLANK(INDEX('Policy Characteristics'!B:B,MATCH($C351,'Policy Characteristics'!$C:$C,0))),"",INDEX('Policy Characteristics'!B:B,MATCH($C351,'Policy Characteristics'!$C:$C,0)))</f>
        <v>Subsidy for Electricity Production</v>
      </c>
      <c r="C351" s="394" t="str">
        <f t="shared" si="26"/>
        <v>Subsidy for Elec Production by Fuel</v>
      </c>
      <c r="D351" s="399" t="s">
        <v>715</v>
      </c>
      <c r="E351" s="399" t="s">
        <v>733</v>
      </c>
      <c r="F351" s="399" t="s">
        <v>716</v>
      </c>
      <c r="G351" s="403" t="s">
        <v>736</v>
      </c>
      <c r="H351" s="377">
        <v>42</v>
      </c>
      <c r="I351" s="396" t="s">
        <v>648</v>
      </c>
      <c r="J351" s="397" t="str">
        <f>IF(ISBLANK(INDEX('Policy Characteristics'!D:D,MATCH($C351,'Policy Characteristics'!$C:$C,0))),"",INDEX('Policy Characteristics'!D:D,MATCH($C351,'Policy Characteristics'!$C:$C,0)))</f>
        <v>Subsidy for Electricity Production</v>
      </c>
      <c r="K351" s="394" t="str">
        <f>IF(ISBLANK(INDEX('Policy Characteristics'!E:E,MATCH($C351,'Policy Characteristics'!$C:$C,0))),"",INDEX('Policy Characteristics'!E:E,MATCH($C351,'Policy Characteristics'!$C:$C,0)))</f>
        <v>elec generation subsidy</v>
      </c>
      <c r="L351" s="394">
        <f>IF(ISBLANK(INDEX('Policy Characteristics'!F:F,MATCH($C351,'Policy Characteristics'!$C:$C,0))),"",INDEX('Policy Characteristics'!F:F,MATCH($C351,'Policy Characteristics'!$C:$C,0)))</f>
        <v>0</v>
      </c>
      <c r="M351" s="394">
        <f>IF(ISBLANK(INDEX('Policy Characteristics'!G:G,MATCH($C351,'Policy Characteristics'!$C:$C,0))),"",INDEX('Policy Characteristics'!G:G,MATCH($C351,'Policy Characteristics'!$C:$C,0)))</f>
        <v>60</v>
      </c>
      <c r="N351" s="394">
        <f>IF(ISBLANK(INDEX('Policy Characteristics'!H:H,MATCH($C351,'Policy Characteristics'!$C:$C,0))),"",INDEX('Policy Characteristics'!H:H,MATCH($C351,'Policy Characteristics'!$C:$C,0)))</f>
        <v>1</v>
      </c>
      <c r="O351" s="394" t="str">
        <f>IF(ISBLANK(INDEX('Policy Characteristics'!I:I,MATCH($C351,'Policy Characteristics'!$C:$C,0))),"",INDEX('Policy Characteristics'!I:I,MATCH($C351,'Policy Characteristics'!$C:$C,0)))</f>
        <v>2020 RMB / MWh</v>
      </c>
      <c r="P351" s="394" t="str">
        <f>IF(ISBLANK(INDEX('Policy Characteristics'!J:J,MATCH($C351,'Policy Characteristics'!$C:$C,0))),"",INDEX('Policy Characteristics'!J:J,MATCH($C351,'Policy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1" s="394" t="str">
        <f>IF(ISBLANK(INDEX('Policy Characteristics'!K:K,MATCH($C351,'Policy Characteristics'!$C:$C,0))),"",INDEX('Policy Characteristics'!K:K,MATCH($C351,'Policy Characteristics'!$C:$C,0)))</f>
        <v>electricity-sector-main.html#subsidies</v>
      </c>
      <c r="R351" s="394" t="str">
        <f>IF(ISBLANK(INDEX('Policy Characteristics'!L:L,MATCH($C351,'Policy Characteristics'!$C:$C,0))),"",INDEX('Policy Characteristics'!L:L,MATCH($C351,'Policy Characteristics'!$C:$C,0)))</f>
        <v>subsidy-for-electricity-production.html</v>
      </c>
      <c r="S351" s="403"/>
    </row>
    <row r="352" customHeight="1" spans="1:19">
      <c r="A352" s="394" t="str">
        <f>IF(ISBLANK(INDEX('Policy Characteristics'!A:A,MATCH($C352,'Policy Characteristics'!$C:$C,0))),"",INDEX('Policy Characteristics'!A:A,MATCH($C352,'Policy Characteristics'!$C:$C,0)))</f>
        <v>Electricity Supply</v>
      </c>
      <c r="B352" s="395" t="str">
        <f>IF(ISBLANK(INDEX('Policy Characteristics'!B:B,MATCH($C352,'Policy Characteristics'!$C:$C,0))),"",INDEX('Policy Characteristics'!B:B,MATCH($C352,'Policy Characteristics'!$C:$C,0)))</f>
        <v>Subsidy for Electricity Production</v>
      </c>
      <c r="C352" s="394" t="str">
        <f t="shared" si="26"/>
        <v>Subsidy for Elec Production by Fuel</v>
      </c>
      <c r="D352" s="399" t="s">
        <v>715</v>
      </c>
      <c r="E352" s="399" t="s">
        <v>734</v>
      </c>
      <c r="F352" s="399" t="s">
        <v>716</v>
      </c>
      <c r="G352" s="403"/>
      <c r="H352" s="377">
        <v>1577</v>
      </c>
      <c r="I352" s="396" t="s">
        <v>658</v>
      </c>
      <c r="J352" s="397" t="str">
        <f>IF(ISBLANK(INDEX('Policy Characteristics'!D:D,MATCH($C352,'Policy Characteristics'!$C:$C,0))),"",INDEX('Policy Characteristics'!D:D,MATCH($C352,'Policy Characteristics'!$C:$C,0)))</f>
        <v>Subsidy for Electricity Production</v>
      </c>
      <c r="K352" s="394" t="str">
        <f>IF(ISBLANK(INDEX('Policy Characteristics'!E:E,MATCH($C352,'Policy Characteristics'!$C:$C,0))),"",INDEX('Policy Characteristics'!E:E,MATCH($C352,'Policy Characteristics'!$C:$C,0)))</f>
        <v>elec generation subsidy</v>
      </c>
      <c r="L352" s="394">
        <f>IF(ISBLANK(INDEX('Policy Characteristics'!F:F,MATCH($C352,'Policy Characteristics'!$C:$C,0))),"",INDEX('Policy Characteristics'!F:F,MATCH($C352,'Policy Characteristics'!$C:$C,0)))</f>
        <v>0</v>
      </c>
      <c r="M352" s="394">
        <f>IF(ISBLANK(INDEX('Policy Characteristics'!G:G,MATCH($C352,'Policy Characteristics'!$C:$C,0))),"",INDEX('Policy Characteristics'!G:G,MATCH($C352,'Policy Characteristics'!$C:$C,0)))</f>
        <v>60</v>
      </c>
      <c r="N352" s="394">
        <f>IF(ISBLANK(INDEX('Policy Characteristics'!H:H,MATCH($C352,'Policy Characteristics'!$C:$C,0))),"",INDEX('Policy Characteristics'!H:H,MATCH($C352,'Policy Characteristics'!$C:$C,0)))</f>
        <v>1</v>
      </c>
      <c r="O352" s="394" t="str">
        <f>IF(ISBLANK(INDEX('Policy Characteristics'!I:I,MATCH($C352,'Policy Characteristics'!$C:$C,0))),"",INDEX('Policy Characteristics'!I:I,MATCH($C352,'Policy Characteristics'!$C:$C,0)))</f>
        <v>2020 RMB / MWh</v>
      </c>
      <c r="P352" s="394" t="str">
        <f>IF(ISBLANK(INDEX('Policy Characteristics'!J:J,MATCH($C352,'Policy Characteristics'!$C:$C,0))),"",INDEX('Policy Characteristics'!J:J,MATCH($C352,'Policy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2" s="394" t="str">
        <f>IF(ISBLANK(INDEX('Policy Characteristics'!K:K,MATCH($C352,'Policy Characteristics'!$C:$C,0))),"",INDEX('Policy Characteristics'!K:K,MATCH($C352,'Policy Characteristics'!$C:$C,0)))</f>
        <v>electricity-sector-main.html#subsidies</v>
      </c>
      <c r="R352" s="394" t="str">
        <f>IF(ISBLANK(INDEX('Policy Characteristics'!L:L,MATCH($C352,'Policy Characteristics'!$C:$C,0))),"",INDEX('Policy Characteristics'!L:L,MATCH($C352,'Policy Characteristics'!$C:$C,0)))</f>
        <v>subsidy-for-electricity-production.html</v>
      </c>
      <c r="S352" s="403"/>
    </row>
    <row r="353" customHeight="1" spans="1:19">
      <c r="A353" s="394" t="str">
        <f>IF(ISBLANK(INDEX('Policy Characteristics'!A:A,MATCH($C353,'Policy Characteristics'!$C:$C,0))),"",INDEX('Policy Characteristics'!A:A,MATCH($C353,'Policy Characteristics'!$C:$C,0)))</f>
        <v>Electricity Supply</v>
      </c>
      <c r="B353" s="395" t="str">
        <f>IF(ISBLANK(INDEX('Policy Characteristics'!B:B,MATCH($C353,'Policy Characteristics'!$C:$C,0))),"",INDEX('Policy Characteristics'!B:B,MATCH($C353,'Policy Characteristics'!$C:$C,0)))</f>
        <v>Subsidy for Electricity Production</v>
      </c>
      <c r="C353" s="394" t="str">
        <f t="shared" si="26"/>
        <v>Subsidy for Elec Production by Fuel</v>
      </c>
      <c r="D353" s="399" t="s">
        <v>715</v>
      </c>
      <c r="E353" s="399" t="s">
        <v>735</v>
      </c>
      <c r="F353" s="399" t="s">
        <v>716</v>
      </c>
      <c r="G353" s="403" t="s">
        <v>737</v>
      </c>
      <c r="H353" s="377">
        <v>1578</v>
      </c>
      <c r="I353" s="396" t="s">
        <v>648</v>
      </c>
      <c r="J353" s="397" t="str">
        <f>IF(ISBLANK(INDEX('Policy Characteristics'!D:D,MATCH($C353,'Policy Characteristics'!$C:$C,0))),"",INDEX('Policy Characteristics'!D:D,MATCH($C353,'Policy Characteristics'!$C:$C,0)))</f>
        <v>Subsidy for Electricity Production</v>
      </c>
      <c r="K353" s="394" t="str">
        <f>IF(ISBLANK(INDEX('Policy Characteristics'!E:E,MATCH($C353,'Policy Characteristics'!$C:$C,0))),"",INDEX('Policy Characteristics'!E:E,MATCH($C353,'Policy Characteristics'!$C:$C,0)))</f>
        <v>elec generation subsidy</v>
      </c>
      <c r="L353" s="394">
        <f>IF(ISBLANK(INDEX('Policy Characteristics'!F:F,MATCH($C353,'Policy Characteristics'!$C:$C,0))),"",INDEX('Policy Characteristics'!F:F,MATCH($C353,'Policy Characteristics'!$C:$C,0)))</f>
        <v>0</v>
      </c>
      <c r="M353" s="394">
        <f>IF(ISBLANK(INDEX('Policy Characteristics'!G:G,MATCH($C353,'Policy Characteristics'!$C:$C,0))),"",INDEX('Policy Characteristics'!G:G,MATCH($C353,'Policy Characteristics'!$C:$C,0)))</f>
        <v>60</v>
      </c>
      <c r="N353" s="394">
        <f>IF(ISBLANK(INDEX('Policy Characteristics'!H:H,MATCH($C353,'Policy Characteristics'!$C:$C,0))),"",INDEX('Policy Characteristics'!H:H,MATCH($C353,'Policy Characteristics'!$C:$C,0)))</f>
        <v>1</v>
      </c>
      <c r="O353" s="394" t="str">
        <f>IF(ISBLANK(INDEX('Policy Characteristics'!I:I,MATCH($C353,'Policy Characteristics'!$C:$C,0))),"",INDEX('Policy Characteristics'!I:I,MATCH($C353,'Policy Characteristics'!$C:$C,0)))</f>
        <v>2020 RMB / MWh</v>
      </c>
      <c r="P353" s="394" t="str">
        <f>IF(ISBLANK(INDEX('Policy Characteristics'!J:J,MATCH($C353,'Policy Characteristics'!$C:$C,0))),"",INDEX('Policy Characteristics'!J:J,MATCH($C353,'Policy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3" s="394" t="str">
        <f>IF(ISBLANK(INDEX('Policy Characteristics'!K:K,MATCH($C353,'Policy Characteristics'!$C:$C,0))),"",INDEX('Policy Characteristics'!K:K,MATCH($C353,'Policy Characteristics'!$C:$C,0)))</f>
        <v>electricity-sector-main.html#subsidies</v>
      </c>
      <c r="R353" s="394" t="str">
        <f>IF(ISBLANK(INDEX('Policy Characteristics'!L:L,MATCH($C353,'Policy Characteristics'!$C:$C,0))),"",INDEX('Policy Characteristics'!L:L,MATCH($C353,'Policy Characteristics'!$C:$C,0)))</f>
        <v>subsidy-for-electricity-production.html</v>
      </c>
      <c r="S353" s="403"/>
    </row>
    <row r="354" customHeight="1" spans="1:19">
      <c r="A354" s="394" t="str">
        <f>IF(ISBLANK(INDEX('Policy Characteristics'!A:A,MATCH($C354,'Policy Characteristics'!$C:$C,0))),"",INDEX('Policy Characteristics'!A:A,MATCH($C354,'Policy Characteristics'!$C:$C,0)))</f>
        <v>Electricity Supply</v>
      </c>
      <c r="B354" s="395" t="str">
        <f>IF(ISBLANK(INDEX('Policy Characteristics'!B:B,MATCH($C354,'Policy Characteristics'!$C:$C,0))),"",INDEX('Policy Characteristics'!B:B,MATCH($C354,'Policy Characteristics'!$C:$C,0)))</f>
        <v>Subsidy for Electricity Production</v>
      </c>
      <c r="C354" s="394" t="str">
        <f t="shared" si="26"/>
        <v>Subsidy for Elec Production by Fuel</v>
      </c>
      <c r="D354" s="399" t="s">
        <v>717</v>
      </c>
      <c r="E354" s="399" t="s">
        <v>733</v>
      </c>
      <c r="F354" s="399" t="s">
        <v>718</v>
      </c>
      <c r="G354" s="403" t="s">
        <v>736</v>
      </c>
      <c r="H354" s="377">
        <v>1589</v>
      </c>
      <c r="I354" s="396" t="s">
        <v>648</v>
      </c>
      <c r="J354" s="397" t="str">
        <f>IF(ISBLANK(INDEX('Policy Characteristics'!D:D,MATCH($C354,'Policy Characteristics'!$C:$C,0))),"",INDEX('Policy Characteristics'!D:D,MATCH($C354,'Policy Characteristics'!$C:$C,0)))</f>
        <v>Subsidy for Electricity Production</v>
      </c>
      <c r="K354" s="394" t="str">
        <f>IF(ISBLANK(INDEX('Policy Characteristics'!E:E,MATCH($C354,'Policy Characteristics'!$C:$C,0))),"",INDEX('Policy Characteristics'!E:E,MATCH($C354,'Policy Characteristics'!$C:$C,0)))</f>
        <v>elec generation subsidy</v>
      </c>
      <c r="L354" s="394">
        <f>IF(ISBLANK(INDEX('Policy Characteristics'!F:F,MATCH($C354,'Policy Characteristics'!$C:$C,0))),"",INDEX('Policy Characteristics'!F:F,MATCH($C354,'Policy Characteristics'!$C:$C,0)))</f>
        <v>0</v>
      </c>
      <c r="M354" s="394">
        <f>IF(ISBLANK(INDEX('Policy Characteristics'!G:G,MATCH($C354,'Policy Characteristics'!$C:$C,0))),"",INDEX('Policy Characteristics'!G:G,MATCH($C354,'Policy Characteristics'!$C:$C,0)))</f>
        <v>60</v>
      </c>
      <c r="N354" s="394">
        <f>IF(ISBLANK(INDEX('Policy Characteristics'!H:H,MATCH($C354,'Policy Characteristics'!$C:$C,0))),"",INDEX('Policy Characteristics'!H:H,MATCH($C354,'Policy Characteristics'!$C:$C,0)))</f>
        <v>1</v>
      </c>
      <c r="O354" s="394" t="str">
        <f>IF(ISBLANK(INDEX('Policy Characteristics'!I:I,MATCH($C354,'Policy Characteristics'!$C:$C,0))),"",INDEX('Policy Characteristics'!I:I,MATCH($C354,'Policy Characteristics'!$C:$C,0)))</f>
        <v>2020 RMB / MWh</v>
      </c>
      <c r="P354" s="394" t="str">
        <f>IF(ISBLANK(INDEX('Policy Characteristics'!J:J,MATCH($C354,'Policy Characteristics'!$C:$C,0))),"",INDEX('Policy Characteristics'!J:J,MATCH($C354,'Policy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4" s="394" t="str">
        <f>IF(ISBLANK(INDEX('Policy Characteristics'!K:K,MATCH($C354,'Policy Characteristics'!$C:$C,0))),"",INDEX('Policy Characteristics'!K:K,MATCH($C354,'Policy Characteristics'!$C:$C,0)))</f>
        <v>electricity-sector-main.html#subsidies</v>
      </c>
      <c r="R354" s="394" t="str">
        <f>IF(ISBLANK(INDEX('Policy Characteristics'!L:L,MATCH($C354,'Policy Characteristics'!$C:$C,0))),"",INDEX('Policy Characteristics'!L:L,MATCH($C354,'Policy Characteristics'!$C:$C,0)))</f>
        <v>subsidy-for-electricity-production.html</v>
      </c>
      <c r="S354" s="403"/>
    </row>
    <row r="355" customHeight="1" spans="1:19">
      <c r="A355" s="394" t="str">
        <f>IF(ISBLANK(INDEX('Policy Characteristics'!A:A,MATCH($C355,'Policy Characteristics'!$C:$C,0))),"",INDEX('Policy Characteristics'!A:A,MATCH($C355,'Policy Characteristics'!$C:$C,0)))</f>
        <v>Electricity Supply</v>
      </c>
      <c r="B355" s="395" t="str">
        <f>IF(ISBLANK(INDEX('Policy Characteristics'!B:B,MATCH($C355,'Policy Characteristics'!$C:$C,0))),"",INDEX('Policy Characteristics'!B:B,MATCH($C355,'Policy Characteristics'!$C:$C,0)))</f>
        <v>Subsidy for Electricity Production</v>
      </c>
      <c r="C355" s="394" t="str">
        <f t="shared" si="26"/>
        <v>Subsidy for Elec Production by Fuel</v>
      </c>
      <c r="D355" s="399" t="s">
        <v>717</v>
      </c>
      <c r="E355" s="399" t="s">
        <v>734</v>
      </c>
      <c r="F355" s="399" t="s">
        <v>718</v>
      </c>
      <c r="G355" s="403"/>
      <c r="H355" s="377">
        <v>1590</v>
      </c>
      <c r="I355" s="396" t="s">
        <v>658</v>
      </c>
      <c r="J355" s="397" t="str">
        <f>IF(ISBLANK(INDEX('Policy Characteristics'!D:D,MATCH($C355,'Policy Characteristics'!$C:$C,0))),"",INDEX('Policy Characteristics'!D:D,MATCH($C355,'Policy Characteristics'!$C:$C,0)))</f>
        <v>Subsidy for Electricity Production</v>
      </c>
      <c r="K355" s="394" t="str">
        <f>IF(ISBLANK(INDEX('Policy Characteristics'!E:E,MATCH($C355,'Policy Characteristics'!$C:$C,0))),"",INDEX('Policy Characteristics'!E:E,MATCH($C355,'Policy Characteristics'!$C:$C,0)))</f>
        <v>elec generation subsidy</v>
      </c>
      <c r="L355" s="394">
        <f>IF(ISBLANK(INDEX('Policy Characteristics'!F:F,MATCH($C355,'Policy Characteristics'!$C:$C,0))),"",INDEX('Policy Characteristics'!F:F,MATCH($C355,'Policy Characteristics'!$C:$C,0)))</f>
        <v>0</v>
      </c>
      <c r="M355" s="394">
        <f>IF(ISBLANK(INDEX('Policy Characteristics'!G:G,MATCH($C355,'Policy Characteristics'!$C:$C,0))),"",INDEX('Policy Characteristics'!G:G,MATCH($C355,'Policy Characteristics'!$C:$C,0)))</f>
        <v>60</v>
      </c>
      <c r="N355" s="394">
        <f>IF(ISBLANK(INDEX('Policy Characteristics'!H:H,MATCH($C355,'Policy Characteristics'!$C:$C,0))),"",INDEX('Policy Characteristics'!H:H,MATCH($C355,'Policy Characteristics'!$C:$C,0)))</f>
        <v>1</v>
      </c>
      <c r="O355" s="394" t="str">
        <f>IF(ISBLANK(INDEX('Policy Characteristics'!I:I,MATCH($C355,'Policy Characteristics'!$C:$C,0))),"",INDEX('Policy Characteristics'!I:I,MATCH($C355,'Policy Characteristics'!$C:$C,0)))</f>
        <v>2020 RMB / MWh</v>
      </c>
      <c r="P355" s="394" t="str">
        <f>IF(ISBLANK(INDEX('Policy Characteristics'!J:J,MATCH($C355,'Policy Characteristics'!$C:$C,0))),"",INDEX('Policy Characteristics'!J:J,MATCH($C355,'Policy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5" s="394" t="str">
        <f>IF(ISBLANK(INDEX('Policy Characteristics'!K:K,MATCH($C355,'Policy Characteristics'!$C:$C,0))),"",INDEX('Policy Characteristics'!K:K,MATCH($C355,'Policy Characteristics'!$C:$C,0)))</f>
        <v>electricity-sector-main.html#subsidies</v>
      </c>
      <c r="R355" s="394" t="str">
        <f>IF(ISBLANK(INDEX('Policy Characteristics'!L:L,MATCH($C355,'Policy Characteristics'!$C:$C,0))),"",INDEX('Policy Characteristics'!L:L,MATCH($C355,'Policy Characteristics'!$C:$C,0)))</f>
        <v>subsidy-for-electricity-production.html</v>
      </c>
      <c r="S355" s="403"/>
    </row>
    <row r="356" customHeight="1" spans="1:19">
      <c r="A356" s="394" t="str">
        <f>IF(ISBLANK(INDEX('Policy Characteristics'!A:A,MATCH($C356,'Policy Characteristics'!$C:$C,0))),"",INDEX('Policy Characteristics'!A:A,MATCH($C356,'Policy Characteristics'!$C:$C,0)))</f>
        <v>Electricity Supply</v>
      </c>
      <c r="B356" s="395" t="str">
        <f>IF(ISBLANK(INDEX('Policy Characteristics'!B:B,MATCH($C356,'Policy Characteristics'!$C:$C,0))),"",INDEX('Policy Characteristics'!B:B,MATCH($C356,'Policy Characteristics'!$C:$C,0)))</f>
        <v>Subsidy for Electricity Production</v>
      </c>
      <c r="C356" s="394" t="str">
        <f t="shared" si="26"/>
        <v>Subsidy for Elec Production by Fuel</v>
      </c>
      <c r="D356" s="399" t="s">
        <v>717</v>
      </c>
      <c r="E356" s="399" t="s">
        <v>735</v>
      </c>
      <c r="F356" s="399" t="s">
        <v>718</v>
      </c>
      <c r="G356" s="403" t="s">
        <v>737</v>
      </c>
      <c r="H356" s="377">
        <v>1591</v>
      </c>
      <c r="I356" s="396" t="s">
        <v>648</v>
      </c>
      <c r="J356" s="397" t="str">
        <f>IF(ISBLANK(INDEX('Policy Characteristics'!D:D,MATCH($C356,'Policy Characteristics'!$C:$C,0))),"",INDEX('Policy Characteristics'!D:D,MATCH($C356,'Policy Characteristics'!$C:$C,0)))</f>
        <v>Subsidy for Electricity Production</v>
      </c>
      <c r="K356" s="394" t="str">
        <f>IF(ISBLANK(INDEX('Policy Characteristics'!E:E,MATCH($C356,'Policy Characteristics'!$C:$C,0))),"",INDEX('Policy Characteristics'!E:E,MATCH($C356,'Policy Characteristics'!$C:$C,0)))</f>
        <v>elec generation subsidy</v>
      </c>
      <c r="L356" s="394">
        <f>IF(ISBLANK(INDEX('Policy Characteristics'!F:F,MATCH($C356,'Policy Characteristics'!$C:$C,0))),"",INDEX('Policy Characteristics'!F:F,MATCH($C356,'Policy Characteristics'!$C:$C,0)))</f>
        <v>0</v>
      </c>
      <c r="M356" s="394">
        <f>IF(ISBLANK(INDEX('Policy Characteristics'!G:G,MATCH($C356,'Policy Characteristics'!$C:$C,0))),"",INDEX('Policy Characteristics'!G:G,MATCH($C356,'Policy Characteristics'!$C:$C,0)))</f>
        <v>60</v>
      </c>
      <c r="N356" s="394">
        <f>IF(ISBLANK(INDEX('Policy Characteristics'!H:H,MATCH($C356,'Policy Characteristics'!$C:$C,0))),"",INDEX('Policy Characteristics'!H:H,MATCH($C356,'Policy Characteristics'!$C:$C,0)))</f>
        <v>1</v>
      </c>
      <c r="O356" s="394" t="str">
        <f>IF(ISBLANK(INDEX('Policy Characteristics'!I:I,MATCH($C356,'Policy Characteristics'!$C:$C,0))),"",INDEX('Policy Characteristics'!I:I,MATCH($C356,'Policy Characteristics'!$C:$C,0)))</f>
        <v>2020 RMB / MWh</v>
      </c>
      <c r="P356" s="394"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6" s="394" t="str">
        <f>IF(ISBLANK(INDEX('Policy Characteristics'!K:K,MATCH($C356,'Policy Characteristics'!$C:$C,0))),"",INDEX('Policy Characteristics'!K:K,MATCH($C356,'Policy Characteristics'!$C:$C,0)))</f>
        <v>electricity-sector-main.html#subsidies</v>
      </c>
      <c r="R356" s="394" t="str">
        <f>IF(ISBLANK(INDEX('Policy Characteristics'!L:L,MATCH($C356,'Policy Characteristics'!$C:$C,0))),"",INDEX('Policy Characteristics'!L:L,MATCH($C356,'Policy Characteristics'!$C:$C,0)))</f>
        <v>subsidy-for-electricity-production.html</v>
      </c>
      <c r="S356" s="403"/>
    </row>
    <row r="357" customHeight="1" spans="1:19">
      <c r="A357" s="394" t="str">
        <f>IF(ISBLANK(INDEX('Policy Characteristics'!A:A,MATCH($C357,'Policy Characteristics'!$C:$C,0))),"",INDEX('Policy Characteristics'!A:A,MATCH($C357,'Policy Characteristics'!$C:$C,0)))</f>
        <v>Electricity Supply</v>
      </c>
      <c r="B357" s="395" t="str">
        <f>IF(ISBLANK(INDEX('Policy Characteristics'!B:B,MATCH($C357,'Policy Characteristics'!$C:$C,0))),"",INDEX('Policy Characteristics'!B:B,MATCH($C357,'Policy Characteristics'!$C:$C,0)))</f>
        <v>Subsidy for Electricity Production</v>
      </c>
      <c r="C357" s="394" t="str">
        <f t="shared" si="26"/>
        <v>Subsidy for Elec Production by Fuel</v>
      </c>
      <c r="D357" s="399" t="s">
        <v>719</v>
      </c>
      <c r="E357" s="399" t="s">
        <v>733</v>
      </c>
      <c r="F357" s="399" t="s">
        <v>720</v>
      </c>
      <c r="G357" s="403" t="s">
        <v>736</v>
      </c>
      <c r="H357" s="377">
        <v>1592</v>
      </c>
      <c r="I357" s="396" t="s">
        <v>658</v>
      </c>
      <c r="J357" s="397" t="str">
        <f>IF(ISBLANK(INDEX('Policy Characteristics'!D:D,MATCH($C357,'Policy Characteristics'!$C:$C,0))),"",INDEX('Policy Characteristics'!D:D,MATCH($C357,'Policy Characteristics'!$C:$C,0)))</f>
        <v>Subsidy for Electricity Production</v>
      </c>
      <c r="K357" s="394" t="str">
        <f>IF(ISBLANK(INDEX('Policy Characteristics'!E:E,MATCH($C357,'Policy Characteristics'!$C:$C,0))),"",INDEX('Policy Characteristics'!E:E,MATCH($C357,'Policy Characteristics'!$C:$C,0)))</f>
        <v>elec generation subsidy</v>
      </c>
      <c r="L357" s="394">
        <f>IF(ISBLANK(INDEX('Policy Characteristics'!F:F,MATCH($C357,'Policy Characteristics'!$C:$C,0))),"",INDEX('Policy Characteristics'!F:F,MATCH($C357,'Policy Characteristics'!$C:$C,0)))</f>
        <v>0</v>
      </c>
      <c r="M357" s="394">
        <f>IF(ISBLANK(INDEX('Policy Characteristics'!G:G,MATCH($C357,'Policy Characteristics'!$C:$C,0))),"",INDEX('Policy Characteristics'!G:G,MATCH($C357,'Policy Characteristics'!$C:$C,0)))</f>
        <v>60</v>
      </c>
      <c r="N357" s="394">
        <f>IF(ISBLANK(INDEX('Policy Characteristics'!H:H,MATCH($C357,'Policy Characteristics'!$C:$C,0))),"",INDEX('Policy Characteristics'!H:H,MATCH($C357,'Policy Characteristics'!$C:$C,0)))</f>
        <v>1</v>
      </c>
      <c r="O357" s="394" t="str">
        <f>IF(ISBLANK(INDEX('Policy Characteristics'!I:I,MATCH($C357,'Policy Characteristics'!$C:$C,0))),"",INDEX('Policy Characteristics'!I:I,MATCH($C357,'Policy Characteristics'!$C:$C,0)))</f>
        <v>2020 RMB / MWh</v>
      </c>
      <c r="P357" s="394"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7" s="394" t="str">
        <f>IF(ISBLANK(INDEX('Policy Characteristics'!K:K,MATCH($C357,'Policy Characteristics'!$C:$C,0))),"",INDEX('Policy Characteristics'!K:K,MATCH($C357,'Policy Characteristics'!$C:$C,0)))</f>
        <v>electricity-sector-main.html#subsidies</v>
      </c>
      <c r="R357" s="394" t="str">
        <f>IF(ISBLANK(INDEX('Policy Characteristics'!L:L,MATCH($C357,'Policy Characteristics'!$C:$C,0))),"",INDEX('Policy Characteristics'!L:L,MATCH($C357,'Policy Characteristics'!$C:$C,0)))</f>
        <v>subsidy-for-electricity-production.html</v>
      </c>
      <c r="S357" s="403"/>
    </row>
    <row r="358" customHeight="1" spans="1:19">
      <c r="A358" s="394" t="str">
        <f>IF(ISBLANK(INDEX('Policy Characteristics'!A:A,MATCH($C358,'Policy Characteristics'!$C:$C,0))),"",INDEX('Policy Characteristics'!A:A,MATCH($C358,'Policy Characteristics'!$C:$C,0)))</f>
        <v>Electricity Supply</v>
      </c>
      <c r="B358" s="395" t="str">
        <f>IF(ISBLANK(INDEX('Policy Characteristics'!B:B,MATCH($C358,'Policy Characteristics'!$C:$C,0))),"",INDEX('Policy Characteristics'!B:B,MATCH($C358,'Policy Characteristics'!$C:$C,0)))</f>
        <v>Subsidy for Electricity Production</v>
      </c>
      <c r="C358" s="394" t="str">
        <f t="shared" si="26"/>
        <v>Subsidy for Elec Production by Fuel</v>
      </c>
      <c r="D358" s="399" t="s">
        <v>719</v>
      </c>
      <c r="E358" s="399" t="s">
        <v>734</v>
      </c>
      <c r="F358" s="399" t="s">
        <v>720</v>
      </c>
      <c r="G358" s="403"/>
      <c r="H358" s="377">
        <v>1593</v>
      </c>
      <c r="I358" s="396" t="s">
        <v>658</v>
      </c>
      <c r="J358" s="397" t="str">
        <f>IF(ISBLANK(INDEX('Policy Characteristics'!D:D,MATCH($C358,'Policy Characteristics'!$C:$C,0))),"",INDEX('Policy Characteristics'!D:D,MATCH($C358,'Policy Characteristics'!$C:$C,0)))</f>
        <v>Subsidy for Electricity Production</v>
      </c>
      <c r="K358" s="394" t="str">
        <f>IF(ISBLANK(INDEX('Policy Characteristics'!E:E,MATCH($C358,'Policy Characteristics'!$C:$C,0))),"",INDEX('Policy Characteristics'!E:E,MATCH($C358,'Policy Characteristics'!$C:$C,0)))</f>
        <v>elec generation subsidy</v>
      </c>
      <c r="L358" s="394">
        <f>IF(ISBLANK(INDEX('Policy Characteristics'!F:F,MATCH($C358,'Policy Characteristics'!$C:$C,0))),"",INDEX('Policy Characteristics'!F:F,MATCH($C358,'Policy Characteristics'!$C:$C,0)))</f>
        <v>0</v>
      </c>
      <c r="M358" s="394">
        <f>IF(ISBLANK(INDEX('Policy Characteristics'!G:G,MATCH($C358,'Policy Characteristics'!$C:$C,0))),"",INDEX('Policy Characteristics'!G:G,MATCH($C358,'Policy Characteristics'!$C:$C,0)))</f>
        <v>60</v>
      </c>
      <c r="N358" s="394">
        <f>IF(ISBLANK(INDEX('Policy Characteristics'!H:H,MATCH($C358,'Policy Characteristics'!$C:$C,0))),"",INDEX('Policy Characteristics'!H:H,MATCH($C358,'Policy Characteristics'!$C:$C,0)))</f>
        <v>1</v>
      </c>
      <c r="O358" s="394" t="str">
        <f>IF(ISBLANK(INDEX('Policy Characteristics'!I:I,MATCH($C358,'Policy Characteristics'!$C:$C,0))),"",INDEX('Policy Characteristics'!I:I,MATCH($C358,'Policy Characteristics'!$C:$C,0)))</f>
        <v>2020 RMB / MWh</v>
      </c>
      <c r="P358" s="394"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8" s="394" t="str">
        <f>IF(ISBLANK(INDEX('Policy Characteristics'!K:K,MATCH($C358,'Policy Characteristics'!$C:$C,0))),"",INDEX('Policy Characteristics'!K:K,MATCH($C358,'Policy Characteristics'!$C:$C,0)))</f>
        <v>electricity-sector-main.html#subsidies</v>
      </c>
      <c r="R358" s="394" t="str">
        <f>IF(ISBLANK(INDEX('Policy Characteristics'!L:L,MATCH($C358,'Policy Characteristics'!$C:$C,0))),"",INDEX('Policy Characteristics'!L:L,MATCH($C358,'Policy Characteristics'!$C:$C,0)))</f>
        <v>subsidy-for-electricity-production.html</v>
      </c>
      <c r="S358" s="403"/>
    </row>
    <row r="359" customHeight="1" spans="1:19">
      <c r="A359" s="394" t="str">
        <f>IF(ISBLANK(INDEX('Policy Characteristics'!A:A,MATCH($C359,'Policy Characteristics'!$C:$C,0))),"",INDEX('Policy Characteristics'!A:A,MATCH($C359,'Policy Characteristics'!$C:$C,0)))</f>
        <v>Electricity Supply</v>
      </c>
      <c r="B359" s="395" t="str">
        <f>IF(ISBLANK(INDEX('Policy Characteristics'!B:B,MATCH($C359,'Policy Characteristics'!$C:$C,0))),"",INDEX('Policy Characteristics'!B:B,MATCH($C359,'Policy Characteristics'!$C:$C,0)))</f>
        <v>Subsidy for Electricity Production</v>
      </c>
      <c r="C359" s="394" t="str">
        <f t="shared" si="26"/>
        <v>Subsidy for Elec Production by Fuel</v>
      </c>
      <c r="D359" s="399" t="s">
        <v>719</v>
      </c>
      <c r="E359" s="399" t="s">
        <v>735</v>
      </c>
      <c r="F359" s="399" t="s">
        <v>720</v>
      </c>
      <c r="G359" s="403" t="s">
        <v>737</v>
      </c>
      <c r="H359" s="377">
        <v>1594</v>
      </c>
      <c r="I359" s="396" t="s">
        <v>658</v>
      </c>
      <c r="J359" s="397" t="str">
        <f>IF(ISBLANK(INDEX('Policy Characteristics'!D:D,MATCH($C359,'Policy Characteristics'!$C:$C,0))),"",INDEX('Policy Characteristics'!D:D,MATCH($C359,'Policy Characteristics'!$C:$C,0)))</f>
        <v>Subsidy for Electricity Production</v>
      </c>
      <c r="K359" s="394" t="str">
        <f>IF(ISBLANK(INDEX('Policy Characteristics'!E:E,MATCH($C359,'Policy Characteristics'!$C:$C,0))),"",INDEX('Policy Characteristics'!E:E,MATCH($C359,'Policy Characteristics'!$C:$C,0)))</f>
        <v>elec generation subsidy</v>
      </c>
      <c r="L359" s="394">
        <f>IF(ISBLANK(INDEX('Policy Characteristics'!F:F,MATCH($C359,'Policy Characteristics'!$C:$C,0))),"",INDEX('Policy Characteristics'!F:F,MATCH($C359,'Policy Characteristics'!$C:$C,0)))</f>
        <v>0</v>
      </c>
      <c r="M359" s="394">
        <f>IF(ISBLANK(INDEX('Policy Characteristics'!G:G,MATCH($C359,'Policy Characteristics'!$C:$C,0))),"",INDEX('Policy Characteristics'!G:G,MATCH($C359,'Policy Characteristics'!$C:$C,0)))</f>
        <v>60</v>
      </c>
      <c r="N359" s="394">
        <f>IF(ISBLANK(INDEX('Policy Characteristics'!H:H,MATCH($C359,'Policy Characteristics'!$C:$C,0))),"",INDEX('Policy Characteristics'!H:H,MATCH($C359,'Policy Characteristics'!$C:$C,0)))</f>
        <v>1</v>
      </c>
      <c r="O359" s="394" t="str">
        <f>IF(ISBLANK(INDEX('Policy Characteristics'!I:I,MATCH($C359,'Policy Characteristics'!$C:$C,0))),"",INDEX('Policy Characteristics'!I:I,MATCH($C359,'Policy Characteristics'!$C:$C,0)))</f>
        <v>2020 RMB / MWh</v>
      </c>
      <c r="P359" s="394"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9" s="394" t="str">
        <f>IF(ISBLANK(INDEX('Policy Characteristics'!K:K,MATCH($C359,'Policy Characteristics'!$C:$C,0))),"",INDEX('Policy Characteristics'!K:K,MATCH($C359,'Policy Characteristics'!$C:$C,0)))</f>
        <v>electricity-sector-main.html#subsidies</v>
      </c>
      <c r="R359" s="394" t="str">
        <f>IF(ISBLANK(INDEX('Policy Characteristics'!L:L,MATCH($C359,'Policy Characteristics'!$C:$C,0))),"",INDEX('Policy Characteristics'!L:L,MATCH($C359,'Policy Characteristics'!$C:$C,0)))</f>
        <v>subsidy-for-electricity-production.html</v>
      </c>
      <c r="S359" s="403"/>
    </row>
    <row r="360" customHeight="1" spans="1:19">
      <c r="A360" s="394" t="str">
        <f>IF(ISBLANK(INDEX('Policy Characteristics'!A:A,MATCH($C360,'Policy Characteristics'!$C:$C,0))),"",INDEX('Policy Characteristics'!A:A,MATCH($C360,'Policy Characteristics'!$C:$C,0)))</f>
        <v>Electricity Supply</v>
      </c>
      <c r="B360" s="395" t="str">
        <f>IF(ISBLANK(INDEX('Policy Characteristics'!B:B,MATCH($C360,'Policy Characteristics'!$C:$C,0))),"",INDEX('Policy Characteristics'!B:B,MATCH($C360,'Policy Characteristics'!$C:$C,0)))</f>
        <v>Subsidy for Electricity Production</v>
      </c>
      <c r="C360" s="394" t="str">
        <f t="shared" si="26"/>
        <v>Subsidy for Elec Production by Fuel</v>
      </c>
      <c r="D360" s="399" t="s">
        <v>721</v>
      </c>
      <c r="E360" s="399" t="s">
        <v>733</v>
      </c>
      <c r="F360" s="399" t="s">
        <v>722</v>
      </c>
      <c r="G360" s="403" t="s">
        <v>736</v>
      </c>
      <c r="H360" s="377">
        <v>1595</v>
      </c>
      <c r="I360" s="396" t="s">
        <v>658</v>
      </c>
      <c r="J360" s="397" t="str">
        <f>IF(ISBLANK(INDEX('Policy Characteristics'!D:D,MATCH($C360,'Policy Characteristics'!$C:$C,0))),"",INDEX('Policy Characteristics'!D:D,MATCH($C360,'Policy Characteristics'!$C:$C,0)))</f>
        <v>Subsidy for Electricity Production</v>
      </c>
      <c r="K360" s="394" t="str">
        <f>IF(ISBLANK(INDEX('Policy Characteristics'!E:E,MATCH($C360,'Policy Characteristics'!$C:$C,0))),"",INDEX('Policy Characteristics'!E:E,MATCH($C360,'Policy Characteristics'!$C:$C,0)))</f>
        <v>elec generation subsidy</v>
      </c>
      <c r="L360" s="394">
        <f>IF(ISBLANK(INDEX('Policy Characteristics'!F:F,MATCH($C360,'Policy Characteristics'!$C:$C,0))),"",INDEX('Policy Characteristics'!F:F,MATCH($C360,'Policy Characteristics'!$C:$C,0)))</f>
        <v>0</v>
      </c>
      <c r="M360" s="394">
        <f>IF(ISBLANK(INDEX('Policy Characteristics'!G:G,MATCH($C360,'Policy Characteristics'!$C:$C,0))),"",INDEX('Policy Characteristics'!G:G,MATCH($C360,'Policy Characteristics'!$C:$C,0)))</f>
        <v>60</v>
      </c>
      <c r="N360" s="394">
        <f>IF(ISBLANK(INDEX('Policy Characteristics'!H:H,MATCH($C360,'Policy Characteristics'!$C:$C,0))),"",INDEX('Policy Characteristics'!H:H,MATCH($C360,'Policy Characteristics'!$C:$C,0)))</f>
        <v>1</v>
      </c>
      <c r="O360" s="394" t="str">
        <f>IF(ISBLANK(INDEX('Policy Characteristics'!I:I,MATCH($C360,'Policy Characteristics'!$C:$C,0))),"",INDEX('Policy Characteristics'!I:I,MATCH($C360,'Policy Characteristics'!$C:$C,0)))</f>
        <v>2020 RMB / MWh</v>
      </c>
      <c r="P360" s="394"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0" s="394" t="str">
        <f>IF(ISBLANK(INDEX('Policy Characteristics'!K:K,MATCH($C360,'Policy Characteristics'!$C:$C,0))),"",INDEX('Policy Characteristics'!K:K,MATCH($C360,'Policy Characteristics'!$C:$C,0)))</f>
        <v>electricity-sector-main.html#subsidies</v>
      </c>
      <c r="R360" s="394" t="str">
        <f>IF(ISBLANK(INDEX('Policy Characteristics'!L:L,MATCH($C360,'Policy Characteristics'!$C:$C,0))),"",INDEX('Policy Characteristics'!L:L,MATCH($C360,'Policy Characteristics'!$C:$C,0)))</f>
        <v>subsidy-for-electricity-production.html</v>
      </c>
      <c r="S360" s="403"/>
    </row>
    <row r="361" customHeight="1" spans="1:19">
      <c r="A361" s="394" t="str">
        <f>IF(ISBLANK(INDEX('Policy Characteristics'!A:A,MATCH($C361,'Policy Characteristics'!$C:$C,0))),"",INDEX('Policy Characteristics'!A:A,MATCH($C361,'Policy Characteristics'!$C:$C,0)))</f>
        <v>Electricity Supply</v>
      </c>
      <c r="B361" s="395" t="str">
        <f>IF(ISBLANK(INDEX('Policy Characteristics'!B:B,MATCH($C361,'Policy Characteristics'!$C:$C,0))),"",INDEX('Policy Characteristics'!B:B,MATCH($C361,'Policy Characteristics'!$C:$C,0)))</f>
        <v>Subsidy for Electricity Production</v>
      </c>
      <c r="C361" s="394" t="str">
        <f t="shared" si="26"/>
        <v>Subsidy for Elec Production by Fuel</v>
      </c>
      <c r="D361" s="399" t="s">
        <v>721</v>
      </c>
      <c r="E361" s="399" t="s">
        <v>734</v>
      </c>
      <c r="F361" s="399" t="s">
        <v>722</v>
      </c>
      <c r="G361" s="403"/>
      <c r="H361" s="377">
        <v>1596</v>
      </c>
      <c r="I361" s="396" t="s">
        <v>658</v>
      </c>
      <c r="J361" s="397" t="str">
        <f>IF(ISBLANK(INDEX('Policy Characteristics'!D:D,MATCH($C361,'Policy Characteristics'!$C:$C,0))),"",INDEX('Policy Characteristics'!D:D,MATCH($C361,'Policy Characteristics'!$C:$C,0)))</f>
        <v>Subsidy for Electricity Production</v>
      </c>
      <c r="K361" s="394" t="str">
        <f>IF(ISBLANK(INDEX('Policy Characteristics'!E:E,MATCH($C361,'Policy Characteristics'!$C:$C,0))),"",INDEX('Policy Characteristics'!E:E,MATCH($C361,'Policy Characteristics'!$C:$C,0)))</f>
        <v>elec generation subsidy</v>
      </c>
      <c r="L361" s="394">
        <f>IF(ISBLANK(INDEX('Policy Characteristics'!F:F,MATCH($C361,'Policy Characteristics'!$C:$C,0))),"",INDEX('Policy Characteristics'!F:F,MATCH($C361,'Policy Characteristics'!$C:$C,0)))</f>
        <v>0</v>
      </c>
      <c r="M361" s="394">
        <f>IF(ISBLANK(INDEX('Policy Characteristics'!G:G,MATCH($C361,'Policy Characteristics'!$C:$C,0))),"",INDEX('Policy Characteristics'!G:G,MATCH($C361,'Policy Characteristics'!$C:$C,0)))</f>
        <v>60</v>
      </c>
      <c r="N361" s="394">
        <f>IF(ISBLANK(INDEX('Policy Characteristics'!H:H,MATCH($C361,'Policy Characteristics'!$C:$C,0))),"",INDEX('Policy Characteristics'!H:H,MATCH($C361,'Policy Characteristics'!$C:$C,0)))</f>
        <v>1</v>
      </c>
      <c r="O361" s="394" t="str">
        <f>IF(ISBLANK(INDEX('Policy Characteristics'!I:I,MATCH($C361,'Policy Characteristics'!$C:$C,0))),"",INDEX('Policy Characteristics'!I:I,MATCH($C361,'Policy Characteristics'!$C:$C,0)))</f>
        <v>2020 RMB / MWh</v>
      </c>
      <c r="P361" s="394"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1" s="394" t="str">
        <f>IF(ISBLANK(INDEX('Policy Characteristics'!K:K,MATCH($C361,'Policy Characteristics'!$C:$C,0))),"",INDEX('Policy Characteristics'!K:K,MATCH($C361,'Policy Characteristics'!$C:$C,0)))</f>
        <v>electricity-sector-main.html#subsidies</v>
      </c>
      <c r="R361" s="394" t="str">
        <f>IF(ISBLANK(INDEX('Policy Characteristics'!L:L,MATCH($C361,'Policy Characteristics'!$C:$C,0))),"",INDEX('Policy Characteristics'!L:L,MATCH($C361,'Policy Characteristics'!$C:$C,0)))</f>
        <v>subsidy-for-electricity-production.html</v>
      </c>
      <c r="S361" s="403"/>
    </row>
    <row r="362" customHeight="1" spans="1:19">
      <c r="A362" s="394" t="str">
        <f>IF(ISBLANK(INDEX('Policy Characteristics'!A:A,MATCH($C362,'Policy Characteristics'!$C:$C,0))),"",INDEX('Policy Characteristics'!A:A,MATCH($C362,'Policy Characteristics'!$C:$C,0)))</f>
        <v>Electricity Supply</v>
      </c>
      <c r="B362" s="395" t="str">
        <f>IF(ISBLANK(INDEX('Policy Characteristics'!B:B,MATCH($C362,'Policy Characteristics'!$C:$C,0))),"",INDEX('Policy Characteristics'!B:B,MATCH($C362,'Policy Characteristics'!$C:$C,0)))</f>
        <v>Subsidy for Electricity Production</v>
      </c>
      <c r="C362" s="394" t="str">
        <f t="shared" si="26"/>
        <v>Subsidy for Elec Production by Fuel</v>
      </c>
      <c r="D362" s="399" t="s">
        <v>721</v>
      </c>
      <c r="E362" s="399" t="s">
        <v>735</v>
      </c>
      <c r="F362" s="399" t="s">
        <v>722</v>
      </c>
      <c r="G362" s="403" t="s">
        <v>737</v>
      </c>
      <c r="H362" s="377">
        <v>1597</v>
      </c>
      <c r="I362" s="396" t="s">
        <v>658</v>
      </c>
      <c r="J362" s="397" t="str">
        <f>IF(ISBLANK(INDEX('Policy Characteristics'!D:D,MATCH($C362,'Policy Characteristics'!$C:$C,0))),"",INDEX('Policy Characteristics'!D:D,MATCH($C362,'Policy Characteristics'!$C:$C,0)))</f>
        <v>Subsidy for Electricity Production</v>
      </c>
      <c r="K362" s="394" t="str">
        <f>IF(ISBLANK(INDEX('Policy Characteristics'!E:E,MATCH($C362,'Policy Characteristics'!$C:$C,0))),"",INDEX('Policy Characteristics'!E:E,MATCH($C362,'Policy Characteristics'!$C:$C,0)))</f>
        <v>elec generation subsidy</v>
      </c>
      <c r="L362" s="394">
        <f>IF(ISBLANK(INDEX('Policy Characteristics'!F:F,MATCH($C362,'Policy Characteristics'!$C:$C,0))),"",INDEX('Policy Characteristics'!F:F,MATCH($C362,'Policy Characteristics'!$C:$C,0)))</f>
        <v>0</v>
      </c>
      <c r="M362" s="394">
        <f>IF(ISBLANK(INDEX('Policy Characteristics'!G:G,MATCH($C362,'Policy Characteristics'!$C:$C,0))),"",INDEX('Policy Characteristics'!G:G,MATCH($C362,'Policy Characteristics'!$C:$C,0)))</f>
        <v>60</v>
      </c>
      <c r="N362" s="394">
        <f>IF(ISBLANK(INDEX('Policy Characteristics'!H:H,MATCH($C362,'Policy Characteristics'!$C:$C,0))),"",INDEX('Policy Characteristics'!H:H,MATCH($C362,'Policy Characteristics'!$C:$C,0)))</f>
        <v>1</v>
      </c>
      <c r="O362" s="394" t="str">
        <f>IF(ISBLANK(INDEX('Policy Characteristics'!I:I,MATCH($C362,'Policy Characteristics'!$C:$C,0))),"",INDEX('Policy Characteristics'!I:I,MATCH($C362,'Policy Characteristics'!$C:$C,0)))</f>
        <v>2020 RMB / MWh</v>
      </c>
      <c r="P362" s="394"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2" s="394" t="str">
        <f>IF(ISBLANK(INDEX('Policy Characteristics'!K:K,MATCH($C362,'Policy Characteristics'!$C:$C,0))),"",INDEX('Policy Characteristics'!K:K,MATCH($C362,'Policy Characteristics'!$C:$C,0)))</f>
        <v>electricity-sector-main.html#subsidies</v>
      </c>
      <c r="R362" s="394" t="str">
        <f>IF(ISBLANK(INDEX('Policy Characteristics'!L:L,MATCH($C362,'Policy Characteristics'!$C:$C,0))),"",INDEX('Policy Characteristics'!L:L,MATCH($C362,'Policy Characteristics'!$C:$C,0)))</f>
        <v>subsidy-for-electricity-production.html</v>
      </c>
      <c r="S362" s="403"/>
    </row>
    <row r="363" customHeight="1" spans="1:19">
      <c r="A363" s="394" t="str">
        <f>IF(ISBLANK(INDEX('Policy Characteristics'!A:A,MATCH($C363,'Policy Characteristics'!$C:$C,0))),"",INDEX('Policy Characteristics'!A:A,MATCH($C363,'Policy Characteristics'!$C:$C,0)))</f>
        <v>Electricity Supply</v>
      </c>
      <c r="B363" s="395" t="str">
        <f>IF(ISBLANK(INDEX('Policy Characteristics'!B:B,MATCH($C363,'Policy Characteristics'!$C:$C,0))),"",INDEX('Policy Characteristics'!B:B,MATCH($C363,'Policy Characteristics'!$C:$C,0)))</f>
        <v>Subsidy for Electricity Production</v>
      </c>
      <c r="C363" s="394" t="str">
        <f t="shared" si="26"/>
        <v>Subsidy for Elec Production by Fuel</v>
      </c>
      <c r="D363" s="399" t="s">
        <v>723</v>
      </c>
      <c r="E363" s="399" t="s">
        <v>733</v>
      </c>
      <c r="F363" s="400" t="s">
        <v>724</v>
      </c>
      <c r="G363" s="403" t="s">
        <v>736</v>
      </c>
      <c r="H363" s="377">
        <v>701</v>
      </c>
      <c r="I363" s="396" t="s">
        <v>658</v>
      </c>
      <c r="J363" s="397" t="str">
        <f>IF(ISBLANK(INDEX('Policy Characteristics'!D:D,MATCH($C363,'Policy Characteristics'!$C:$C,0))),"",INDEX('Policy Characteristics'!D:D,MATCH($C363,'Policy Characteristics'!$C:$C,0)))</f>
        <v>Subsidy for Electricity Production</v>
      </c>
      <c r="K363" s="394" t="str">
        <f>IF(ISBLANK(INDEX('Policy Characteristics'!E:E,MATCH($C363,'Policy Characteristics'!$C:$C,0))),"",INDEX('Policy Characteristics'!E:E,MATCH($C363,'Policy Characteristics'!$C:$C,0)))</f>
        <v>elec generation subsidy</v>
      </c>
      <c r="L363" s="394">
        <f>IF(ISBLANK(INDEX('Policy Characteristics'!F:F,MATCH($C363,'Policy Characteristics'!$C:$C,0))),"",INDEX('Policy Characteristics'!F:F,MATCH($C363,'Policy Characteristics'!$C:$C,0)))</f>
        <v>0</v>
      </c>
      <c r="M363" s="394">
        <f>IF(ISBLANK(INDEX('Policy Characteristics'!G:G,MATCH($C363,'Policy Characteristics'!$C:$C,0))),"",INDEX('Policy Characteristics'!G:G,MATCH($C363,'Policy Characteristics'!$C:$C,0)))</f>
        <v>60</v>
      </c>
      <c r="N363" s="394">
        <f>IF(ISBLANK(INDEX('Policy Characteristics'!H:H,MATCH($C363,'Policy Characteristics'!$C:$C,0))),"",INDEX('Policy Characteristics'!H:H,MATCH($C363,'Policy Characteristics'!$C:$C,0)))</f>
        <v>1</v>
      </c>
      <c r="O363" s="394" t="str">
        <f>IF(ISBLANK(INDEX('Policy Characteristics'!I:I,MATCH($C363,'Policy Characteristics'!$C:$C,0))),"",INDEX('Policy Characteristics'!I:I,MATCH($C363,'Policy Characteristics'!$C:$C,0)))</f>
        <v>2020 RMB / MWh</v>
      </c>
      <c r="P363" s="394"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3" s="394" t="str">
        <f>IF(ISBLANK(INDEX('Policy Characteristics'!K:K,MATCH($C363,'Policy Characteristics'!$C:$C,0))),"",INDEX('Policy Characteristics'!K:K,MATCH($C363,'Policy Characteristics'!$C:$C,0)))</f>
        <v>electricity-sector-main.html#subsidies</v>
      </c>
      <c r="R363" s="394" t="str">
        <f>IF(ISBLANK(INDEX('Policy Characteristics'!L:L,MATCH($C363,'Policy Characteristics'!$C:$C,0))),"",INDEX('Policy Characteristics'!L:L,MATCH($C363,'Policy Characteristics'!$C:$C,0)))</f>
        <v>subsidy-for-electricity-production.html</v>
      </c>
      <c r="S363" s="403"/>
    </row>
    <row r="364" customHeight="1" spans="1:19">
      <c r="A364" s="394" t="str">
        <f>IF(ISBLANK(INDEX('Policy Characteristics'!A:A,MATCH($C364,'Policy Characteristics'!$C:$C,0))),"",INDEX('Policy Characteristics'!A:A,MATCH($C364,'Policy Characteristics'!$C:$C,0)))</f>
        <v>Electricity Supply</v>
      </c>
      <c r="B364" s="395" t="str">
        <f>IF(ISBLANK(INDEX('Policy Characteristics'!B:B,MATCH($C364,'Policy Characteristics'!$C:$C,0))),"",INDEX('Policy Characteristics'!B:B,MATCH($C364,'Policy Characteristics'!$C:$C,0)))</f>
        <v>Subsidy for Electricity Production</v>
      </c>
      <c r="C364" s="394" t="str">
        <f t="shared" si="26"/>
        <v>Subsidy for Elec Production by Fuel</v>
      </c>
      <c r="D364" s="399" t="s">
        <v>723</v>
      </c>
      <c r="E364" s="399" t="s">
        <v>734</v>
      </c>
      <c r="F364" s="400" t="s">
        <v>724</v>
      </c>
      <c r="G364" s="403"/>
      <c r="H364" s="377">
        <v>1579</v>
      </c>
      <c r="I364" s="396" t="s">
        <v>658</v>
      </c>
      <c r="J364" s="397" t="str">
        <f>IF(ISBLANK(INDEX('Policy Characteristics'!D:D,MATCH($C364,'Policy Characteristics'!$C:$C,0))),"",INDEX('Policy Characteristics'!D:D,MATCH($C364,'Policy Characteristics'!$C:$C,0)))</f>
        <v>Subsidy for Electricity Production</v>
      </c>
      <c r="K364" s="394" t="str">
        <f>IF(ISBLANK(INDEX('Policy Characteristics'!E:E,MATCH($C364,'Policy Characteristics'!$C:$C,0))),"",INDEX('Policy Characteristics'!E:E,MATCH($C364,'Policy Characteristics'!$C:$C,0)))</f>
        <v>elec generation subsidy</v>
      </c>
      <c r="L364" s="394">
        <f>IF(ISBLANK(INDEX('Policy Characteristics'!F:F,MATCH($C364,'Policy Characteristics'!$C:$C,0))),"",INDEX('Policy Characteristics'!F:F,MATCH($C364,'Policy Characteristics'!$C:$C,0)))</f>
        <v>0</v>
      </c>
      <c r="M364" s="394">
        <f>IF(ISBLANK(INDEX('Policy Characteristics'!G:G,MATCH($C364,'Policy Characteristics'!$C:$C,0))),"",INDEX('Policy Characteristics'!G:G,MATCH($C364,'Policy Characteristics'!$C:$C,0)))</f>
        <v>60</v>
      </c>
      <c r="N364" s="394">
        <f>IF(ISBLANK(INDEX('Policy Characteristics'!H:H,MATCH($C364,'Policy Characteristics'!$C:$C,0))),"",INDEX('Policy Characteristics'!H:H,MATCH($C364,'Policy Characteristics'!$C:$C,0)))</f>
        <v>1</v>
      </c>
      <c r="O364" s="394" t="str">
        <f>IF(ISBLANK(INDEX('Policy Characteristics'!I:I,MATCH($C364,'Policy Characteristics'!$C:$C,0))),"",INDEX('Policy Characteristics'!I:I,MATCH($C364,'Policy Characteristics'!$C:$C,0)))</f>
        <v>2020 RMB / MWh</v>
      </c>
      <c r="P364" s="394"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4" s="394" t="str">
        <f>IF(ISBLANK(INDEX('Policy Characteristics'!K:K,MATCH($C364,'Policy Characteristics'!$C:$C,0))),"",INDEX('Policy Characteristics'!K:K,MATCH($C364,'Policy Characteristics'!$C:$C,0)))</f>
        <v>electricity-sector-main.html#subsidies</v>
      </c>
      <c r="R364" s="394" t="str">
        <f>IF(ISBLANK(INDEX('Policy Characteristics'!L:L,MATCH($C364,'Policy Characteristics'!$C:$C,0))),"",INDEX('Policy Characteristics'!L:L,MATCH($C364,'Policy Characteristics'!$C:$C,0)))</f>
        <v>subsidy-for-electricity-production.html</v>
      </c>
      <c r="S364" s="403"/>
    </row>
    <row r="365" customHeight="1" spans="1:19">
      <c r="A365" s="394" t="str">
        <f>IF(ISBLANK(INDEX('Policy Characteristics'!A:A,MATCH($C365,'Policy Characteristics'!$C:$C,0))),"",INDEX('Policy Characteristics'!A:A,MATCH($C365,'Policy Characteristics'!$C:$C,0)))</f>
        <v>Electricity Supply</v>
      </c>
      <c r="B365" s="395" t="str">
        <f>IF(ISBLANK(INDEX('Policy Characteristics'!B:B,MATCH($C365,'Policy Characteristics'!$C:$C,0))),"",INDEX('Policy Characteristics'!B:B,MATCH($C365,'Policy Characteristics'!$C:$C,0)))</f>
        <v>Subsidy for Electricity Production</v>
      </c>
      <c r="C365" s="394" t="str">
        <f t="shared" si="26"/>
        <v>Subsidy for Elec Production by Fuel</v>
      </c>
      <c r="D365" s="399" t="s">
        <v>723</v>
      </c>
      <c r="E365" s="399" t="s">
        <v>735</v>
      </c>
      <c r="F365" s="400" t="s">
        <v>724</v>
      </c>
      <c r="G365" s="403" t="s">
        <v>737</v>
      </c>
      <c r="H365" s="377">
        <v>1580</v>
      </c>
      <c r="I365" s="396" t="s">
        <v>658</v>
      </c>
      <c r="J365" s="397" t="str">
        <f>IF(ISBLANK(INDEX('Policy Characteristics'!D:D,MATCH($C365,'Policy Characteristics'!$C:$C,0))),"",INDEX('Policy Characteristics'!D:D,MATCH($C365,'Policy Characteristics'!$C:$C,0)))</f>
        <v>Subsidy for Electricity Production</v>
      </c>
      <c r="K365" s="394" t="str">
        <f>IF(ISBLANK(INDEX('Policy Characteristics'!E:E,MATCH($C365,'Policy Characteristics'!$C:$C,0))),"",INDEX('Policy Characteristics'!E:E,MATCH($C365,'Policy Characteristics'!$C:$C,0)))</f>
        <v>elec generation subsidy</v>
      </c>
      <c r="L365" s="394">
        <f>IF(ISBLANK(INDEX('Policy Characteristics'!F:F,MATCH($C365,'Policy Characteristics'!$C:$C,0))),"",INDEX('Policy Characteristics'!F:F,MATCH($C365,'Policy Characteristics'!$C:$C,0)))</f>
        <v>0</v>
      </c>
      <c r="M365" s="394">
        <f>IF(ISBLANK(INDEX('Policy Characteristics'!G:G,MATCH($C365,'Policy Characteristics'!$C:$C,0))),"",INDEX('Policy Characteristics'!G:G,MATCH($C365,'Policy Characteristics'!$C:$C,0)))</f>
        <v>60</v>
      </c>
      <c r="N365" s="394">
        <f>IF(ISBLANK(INDEX('Policy Characteristics'!H:H,MATCH($C365,'Policy Characteristics'!$C:$C,0))),"",INDEX('Policy Characteristics'!H:H,MATCH($C365,'Policy Characteristics'!$C:$C,0)))</f>
        <v>1</v>
      </c>
      <c r="O365" s="394" t="str">
        <f>IF(ISBLANK(INDEX('Policy Characteristics'!I:I,MATCH($C365,'Policy Characteristics'!$C:$C,0))),"",INDEX('Policy Characteristics'!I:I,MATCH($C365,'Policy Characteristics'!$C:$C,0)))</f>
        <v>2020 RMB / MWh</v>
      </c>
      <c r="P365" s="394"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5" s="394" t="str">
        <f>IF(ISBLANK(INDEX('Policy Characteristics'!K:K,MATCH($C365,'Policy Characteristics'!$C:$C,0))),"",INDEX('Policy Characteristics'!K:K,MATCH($C365,'Policy Characteristics'!$C:$C,0)))</f>
        <v>electricity-sector-main.html#subsidies</v>
      </c>
      <c r="R365" s="394" t="str">
        <f>IF(ISBLANK(INDEX('Policy Characteristics'!L:L,MATCH($C365,'Policy Characteristics'!$C:$C,0))),"",INDEX('Policy Characteristics'!L:L,MATCH($C365,'Policy Characteristics'!$C:$C,0)))</f>
        <v>subsidy-for-electricity-production.html</v>
      </c>
      <c r="S365" s="403"/>
    </row>
    <row r="366" customHeight="1" spans="1:19">
      <c r="A366" s="394" t="str">
        <f>IF(ISBLANK(INDEX('Policy Characteristics'!A:A,MATCH($C366,'Policy Characteristics'!$C:$C,0))),"",INDEX('Policy Characteristics'!A:A,MATCH($C366,'Policy Characteristics'!$C:$C,0)))</f>
        <v>Electricity Supply</v>
      </c>
      <c r="B366" s="395" t="str">
        <f>IF(ISBLANK(INDEX('Policy Characteristics'!B:B,MATCH($C366,'Policy Characteristics'!$C:$C,0))),"",INDEX('Policy Characteristics'!B:B,MATCH($C366,'Policy Characteristics'!$C:$C,0)))</f>
        <v>Subsidy for Electricity Production</v>
      </c>
      <c r="C366" s="394" t="str">
        <f t="shared" si="26"/>
        <v>Subsidy for Elec Production by Fuel</v>
      </c>
      <c r="D366" s="399" t="s">
        <v>725</v>
      </c>
      <c r="E366" s="399" t="s">
        <v>733</v>
      </c>
      <c r="F366" s="399" t="s">
        <v>726</v>
      </c>
      <c r="G366" s="403" t="s">
        <v>736</v>
      </c>
      <c r="H366" s="377">
        <v>184</v>
      </c>
      <c r="I366" s="396" t="s">
        <v>648</v>
      </c>
      <c r="J366" s="397" t="str">
        <f>IF(ISBLANK(INDEX('Policy Characteristics'!D:D,MATCH($C366,'Policy Characteristics'!$C:$C,0))),"",INDEX('Policy Characteristics'!D:D,MATCH($C366,'Policy Characteristics'!$C:$C,0)))</f>
        <v>Subsidy for Electricity Production</v>
      </c>
      <c r="K366" s="394" t="str">
        <f>IF(ISBLANK(INDEX('Policy Characteristics'!E:E,MATCH($C366,'Policy Characteristics'!$C:$C,0))),"",INDEX('Policy Characteristics'!E:E,MATCH($C366,'Policy Characteristics'!$C:$C,0)))</f>
        <v>elec generation subsidy</v>
      </c>
      <c r="L366" s="394">
        <f>IF(ISBLANK(INDEX('Policy Characteristics'!F:F,MATCH($C366,'Policy Characteristics'!$C:$C,0))),"",INDEX('Policy Characteristics'!F:F,MATCH($C366,'Policy Characteristics'!$C:$C,0)))</f>
        <v>0</v>
      </c>
      <c r="M366" s="394">
        <f>IF(ISBLANK(INDEX('Policy Characteristics'!G:G,MATCH($C366,'Policy Characteristics'!$C:$C,0))),"",INDEX('Policy Characteristics'!G:G,MATCH($C366,'Policy Characteristics'!$C:$C,0)))</f>
        <v>60</v>
      </c>
      <c r="N366" s="394">
        <f>IF(ISBLANK(INDEX('Policy Characteristics'!H:H,MATCH($C366,'Policy Characteristics'!$C:$C,0))),"",INDEX('Policy Characteristics'!H:H,MATCH($C366,'Policy Characteristics'!$C:$C,0)))</f>
        <v>1</v>
      </c>
      <c r="O366" s="394" t="str">
        <f>IF(ISBLANK(INDEX('Policy Characteristics'!I:I,MATCH($C366,'Policy Characteristics'!$C:$C,0))),"",INDEX('Policy Characteristics'!I:I,MATCH($C366,'Policy Characteristics'!$C:$C,0)))</f>
        <v>2020 RMB / MWh</v>
      </c>
      <c r="P366" s="394"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6" s="394" t="str">
        <f>IF(ISBLANK(INDEX('Policy Characteristics'!K:K,MATCH($C366,'Policy Characteristics'!$C:$C,0))),"",INDEX('Policy Characteristics'!K:K,MATCH($C366,'Policy Characteristics'!$C:$C,0)))</f>
        <v>electricity-sector-main.html#subsidies</v>
      </c>
      <c r="R366" s="394" t="str">
        <f>IF(ISBLANK(INDEX('Policy Characteristics'!L:L,MATCH($C366,'Policy Characteristics'!$C:$C,0))),"",INDEX('Policy Characteristics'!L:L,MATCH($C366,'Policy Characteristics'!$C:$C,0)))</f>
        <v>subsidy-for-electricity-production.html</v>
      </c>
      <c r="S366" s="403"/>
    </row>
    <row r="367" customHeight="1" spans="1:19">
      <c r="A367" s="394" t="str">
        <f>IF(ISBLANK(INDEX('Policy Characteristics'!A:A,MATCH($C367,'Policy Characteristics'!$C:$C,0))),"",INDEX('Policy Characteristics'!A:A,MATCH($C367,'Policy Characteristics'!$C:$C,0)))</f>
        <v>Electricity Supply</v>
      </c>
      <c r="B367" s="395" t="str">
        <f>IF(ISBLANK(INDEX('Policy Characteristics'!B:B,MATCH($C367,'Policy Characteristics'!$C:$C,0))),"",INDEX('Policy Characteristics'!B:B,MATCH($C367,'Policy Characteristics'!$C:$C,0)))</f>
        <v>Subsidy for Electricity Production</v>
      </c>
      <c r="C367" s="394" t="str">
        <f t="shared" si="26"/>
        <v>Subsidy for Elec Production by Fuel</v>
      </c>
      <c r="D367" s="399" t="s">
        <v>725</v>
      </c>
      <c r="E367" s="399" t="s">
        <v>734</v>
      </c>
      <c r="F367" s="399" t="s">
        <v>726</v>
      </c>
      <c r="G367" s="403"/>
      <c r="H367" s="377">
        <v>1581</v>
      </c>
      <c r="I367" s="396" t="s">
        <v>658</v>
      </c>
      <c r="J367" s="397" t="str">
        <f>IF(ISBLANK(INDEX('Policy Characteristics'!D:D,MATCH($C367,'Policy Characteristics'!$C:$C,0))),"",INDEX('Policy Characteristics'!D:D,MATCH($C367,'Policy Characteristics'!$C:$C,0)))</f>
        <v>Subsidy for Electricity Production</v>
      </c>
      <c r="K367" s="394" t="str">
        <f>IF(ISBLANK(INDEX('Policy Characteristics'!E:E,MATCH($C367,'Policy Characteristics'!$C:$C,0))),"",INDEX('Policy Characteristics'!E:E,MATCH($C367,'Policy Characteristics'!$C:$C,0)))</f>
        <v>elec generation subsidy</v>
      </c>
      <c r="L367" s="394">
        <f>IF(ISBLANK(INDEX('Policy Characteristics'!F:F,MATCH($C367,'Policy Characteristics'!$C:$C,0))),"",INDEX('Policy Characteristics'!F:F,MATCH($C367,'Policy Characteristics'!$C:$C,0)))</f>
        <v>0</v>
      </c>
      <c r="M367" s="394">
        <f>IF(ISBLANK(INDEX('Policy Characteristics'!G:G,MATCH($C367,'Policy Characteristics'!$C:$C,0))),"",INDEX('Policy Characteristics'!G:G,MATCH($C367,'Policy Characteristics'!$C:$C,0)))</f>
        <v>60</v>
      </c>
      <c r="N367" s="394">
        <f>IF(ISBLANK(INDEX('Policy Characteristics'!H:H,MATCH($C367,'Policy Characteristics'!$C:$C,0))),"",INDEX('Policy Characteristics'!H:H,MATCH($C367,'Policy Characteristics'!$C:$C,0)))</f>
        <v>1</v>
      </c>
      <c r="O367" s="394" t="str">
        <f>IF(ISBLANK(INDEX('Policy Characteristics'!I:I,MATCH($C367,'Policy Characteristics'!$C:$C,0))),"",INDEX('Policy Characteristics'!I:I,MATCH($C367,'Policy Characteristics'!$C:$C,0)))</f>
        <v>2020 RMB / MWh</v>
      </c>
      <c r="P367" s="394"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7" s="394" t="str">
        <f>IF(ISBLANK(INDEX('Policy Characteristics'!K:K,MATCH($C367,'Policy Characteristics'!$C:$C,0))),"",INDEX('Policy Characteristics'!K:K,MATCH($C367,'Policy Characteristics'!$C:$C,0)))</f>
        <v>electricity-sector-main.html#subsidies</v>
      </c>
      <c r="R367" s="394" t="str">
        <f>IF(ISBLANK(INDEX('Policy Characteristics'!L:L,MATCH($C367,'Policy Characteristics'!$C:$C,0))),"",INDEX('Policy Characteristics'!L:L,MATCH($C367,'Policy Characteristics'!$C:$C,0)))</f>
        <v>subsidy-for-electricity-production.html</v>
      </c>
      <c r="S367" s="403"/>
    </row>
    <row r="368" customHeight="1" spans="1:19">
      <c r="A368" s="394" t="str">
        <f>IF(ISBLANK(INDEX('Policy Characteristics'!A:A,MATCH($C368,'Policy Characteristics'!$C:$C,0))),"",INDEX('Policy Characteristics'!A:A,MATCH($C368,'Policy Characteristics'!$C:$C,0)))</f>
        <v>Electricity Supply</v>
      </c>
      <c r="B368" s="395" t="str">
        <f>IF(ISBLANK(INDEX('Policy Characteristics'!B:B,MATCH($C368,'Policy Characteristics'!$C:$C,0))),"",INDEX('Policy Characteristics'!B:B,MATCH($C368,'Policy Characteristics'!$C:$C,0)))</f>
        <v>Subsidy for Electricity Production</v>
      </c>
      <c r="C368" s="394" t="str">
        <f t="shared" si="26"/>
        <v>Subsidy for Elec Production by Fuel</v>
      </c>
      <c r="D368" s="399" t="s">
        <v>725</v>
      </c>
      <c r="E368" s="399" t="s">
        <v>735</v>
      </c>
      <c r="F368" s="399" t="s">
        <v>726</v>
      </c>
      <c r="G368" s="403" t="s">
        <v>737</v>
      </c>
      <c r="H368" s="377">
        <v>1582</v>
      </c>
      <c r="I368" s="396" t="s">
        <v>648</v>
      </c>
      <c r="J368" s="397" t="str">
        <f>IF(ISBLANK(INDEX('Policy Characteristics'!D:D,MATCH($C368,'Policy Characteristics'!$C:$C,0))),"",INDEX('Policy Characteristics'!D:D,MATCH($C368,'Policy Characteristics'!$C:$C,0)))</f>
        <v>Subsidy for Electricity Production</v>
      </c>
      <c r="K368" s="394" t="str">
        <f>IF(ISBLANK(INDEX('Policy Characteristics'!E:E,MATCH($C368,'Policy Characteristics'!$C:$C,0))),"",INDEX('Policy Characteristics'!E:E,MATCH($C368,'Policy Characteristics'!$C:$C,0)))</f>
        <v>elec generation subsidy</v>
      </c>
      <c r="L368" s="394">
        <f>IF(ISBLANK(INDEX('Policy Characteristics'!F:F,MATCH($C368,'Policy Characteristics'!$C:$C,0))),"",INDEX('Policy Characteristics'!F:F,MATCH($C368,'Policy Characteristics'!$C:$C,0)))</f>
        <v>0</v>
      </c>
      <c r="M368" s="394">
        <f>IF(ISBLANK(INDEX('Policy Characteristics'!G:G,MATCH($C368,'Policy Characteristics'!$C:$C,0))),"",INDEX('Policy Characteristics'!G:G,MATCH($C368,'Policy Characteristics'!$C:$C,0)))</f>
        <v>60</v>
      </c>
      <c r="N368" s="394">
        <f>IF(ISBLANK(INDEX('Policy Characteristics'!H:H,MATCH($C368,'Policy Characteristics'!$C:$C,0))),"",INDEX('Policy Characteristics'!H:H,MATCH($C368,'Policy Characteristics'!$C:$C,0)))</f>
        <v>1</v>
      </c>
      <c r="O368" s="394" t="str">
        <f>IF(ISBLANK(INDEX('Policy Characteristics'!I:I,MATCH($C368,'Policy Characteristics'!$C:$C,0))),"",INDEX('Policy Characteristics'!I:I,MATCH($C368,'Policy Characteristics'!$C:$C,0)))</f>
        <v>2020 RMB / MWh</v>
      </c>
      <c r="P368" s="394"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8" s="394" t="str">
        <f>IF(ISBLANK(INDEX('Policy Characteristics'!K:K,MATCH($C368,'Policy Characteristics'!$C:$C,0))),"",INDEX('Policy Characteristics'!K:K,MATCH($C368,'Policy Characteristics'!$C:$C,0)))</f>
        <v>electricity-sector-main.html#subsidies</v>
      </c>
      <c r="R368" s="394" t="str">
        <f>IF(ISBLANK(INDEX('Policy Characteristics'!L:L,MATCH($C368,'Policy Characteristics'!$C:$C,0))),"",INDEX('Policy Characteristics'!L:L,MATCH($C368,'Policy Characteristics'!$C:$C,0)))</f>
        <v>subsidy-for-electricity-production.html</v>
      </c>
      <c r="S368" s="403"/>
    </row>
    <row r="369" customHeight="1" spans="1:19">
      <c r="A369" s="394" t="str">
        <f>IF(ISBLANK(INDEX('Policy Characteristics'!A:A,MATCH($C369,'Policy Characteristics'!$C:$C,0))),"",INDEX('Policy Characteristics'!A:A,MATCH($C369,'Policy Characteristics'!$C:$C,0)))</f>
        <v>Electricity Supply</v>
      </c>
      <c r="B369" s="395" t="str">
        <f>IF(ISBLANK(INDEX('Policy Characteristics'!B:B,MATCH($C369,'Policy Characteristics'!$C:$C,0))),"",INDEX('Policy Characteristics'!B:B,MATCH($C369,'Policy Characteristics'!$C:$C,0)))</f>
        <v>Subsidy for Electricity Production</v>
      </c>
      <c r="C369" s="394" t="str">
        <f t="shared" si="26"/>
        <v>Subsidy for Elec Production by Fuel</v>
      </c>
      <c r="D369" s="399" t="s">
        <v>727</v>
      </c>
      <c r="E369" s="399" t="s">
        <v>733</v>
      </c>
      <c r="F369" s="399" t="s">
        <v>728</v>
      </c>
      <c r="G369" s="403" t="s">
        <v>736</v>
      </c>
      <c r="H369" s="377">
        <v>702</v>
      </c>
      <c r="I369" s="396" t="s">
        <v>658</v>
      </c>
      <c r="J369" s="397" t="str">
        <f>IF(ISBLANK(INDEX('Policy Characteristics'!D:D,MATCH($C369,'Policy Characteristics'!$C:$C,0))),"",INDEX('Policy Characteristics'!D:D,MATCH($C369,'Policy Characteristics'!$C:$C,0)))</f>
        <v>Subsidy for Electricity Production</v>
      </c>
      <c r="K369" s="394" t="str">
        <f>IF(ISBLANK(INDEX('Policy Characteristics'!E:E,MATCH($C369,'Policy Characteristics'!$C:$C,0))),"",INDEX('Policy Characteristics'!E:E,MATCH($C369,'Policy Characteristics'!$C:$C,0)))</f>
        <v>elec generation subsidy</v>
      </c>
      <c r="L369" s="394">
        <f>IF(ISBLANK(INDEX('Policy Characteristics'!F:F,MATCH($C369,'Policy Characteristics'!$C:$C,0))),"",INDEX('Policy Characteristics'!F:F,MATCH($C369,'Policy Characteristics'!$C:$C,0)))</f>
        <v>0</v>
      </c>
      <c r="M369" s="394">
        <f>IF(ISBLANK(INDEX('Policy Characteristics'!G:G,MATCH($C369,'Policy Characteristics'!$C:$C,0))),"",INDEX('Policy Characteristics'!G:G,MATCH($C369,'Policy Characteristics'!$C:$C,0)))</f>
        <v>60</v>
      </c>
      <c r="N369" s="394">
        <f>IF(ISBLANK(INDEX('Policy Characteristics'!H:H,MATCH($C369,'Policy Characteristics'!$C:$C,0))),"",INDEX('Policy Characteristics'!H:H,MATCH($C369,'Policy Characteristics'!$C:$C,0)))</f>
        <v>1</v>
      </c>
      <c r="O369" s="394" t="str">
        <f>IF(ISBLANK(INDEX('Policy Characteristics'!I:I,MATCH($C369,'Policy Characteristics'!$C:$C,0))),"",INDEX('Policy Characteristics'!I:I,MATCH($C369,'Policy Characteristics'!$C:$C,0)))</f>
        <v>2020 RMB / MWh</v>
      </c>
      <c r="P369" s="394"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9" s="394" t="str">
        <f>IF(ISBLANK(INDEX('Policy Characteristics'!K:K,MATCH($C369,'Policy Characteristics'!$C:$C,0))),"",INDEX('Policy Characteristics'!K:K,MATCH($C369,'Policy Characteristics'!$C:$C,0)))</f>
        <v>electricity-sector-main.html#subsidies</v>
      </c>
      <c r="R369" s="394" t="str">
        <f>IF(ISBLANK(INDEX('Policy Characteristics'!L:L,MATCH($C369,'Policy Characteristics'!$C:$C,0))),"",INDEX('Policy Characteristics'!L:L,MATCH($C369,'Policy Characteristics'!$C:$C,0)))</f>
        <v>subsidy-for-electricity-production.html</v>
      </c>
      <c r="S369" s="403"/>
    </row>
    <row r="370" customHeight="1" spans="1:19">
      <c r="A370" s="394" t="str">
        <f>IF(ISBLANK(INDEX('Policy Characteristics'!A:A,MATCH($C370,'Policy Characteristics'!$C:$C,0))),"",INDEX('Policy Characteristics'!A:A,MATCH($C370,'Policy Characteristics'!$C:$C,0)))</f>
        <v>Electricity Supply</v>
      </c>
      <c r="B370" s="395" t="str">
        <f>IF(ISBLANK(INDEX('Policy Characteristics'!B:B,MATCH($C370,'Policy Characteristics'!$C:$C,0))),"",INDEX('Policy Characteristics'!B:B,MATCH($C370,'Policy Characteristics'!$C:$C,0)))</f>
        <v>Subsidy for Electricity Production</v>
      </c>
      <c r="C370" s="394" t="str">
        <f t="shared" si="26"/>
        <v>Subsidy for Elec Production by Fuel</v>
      </c>
      <c r="D370" s="399" t="s">
        <v>727</v>
      </c>
      <c r="E370" s="399" t="s">
        <v>734</v>
      </c>
      <c r="F370" s="399" t="s">
        <v>728</v>
      </c>
      <c r="G370" s="403"/>
      <c r="H370" s="377">
        <v>1583</v>
      </c>
      <c r="I370" s="396" t="s">
        <v>658</v>
      </c>
      <c r="J370" s="397" t="str">
        <f>IF(ISBLANK(INDEX('Policy Characteristics'!D:D,MATCH($C370,'Policy Characteristics'!$C:$C,0))),"",INDEX('Policy Characteristics'!D:D,MATCH($C370,'Policy Characteristics'!$C:$C,0)))</f>
        <v>Subsidy for Electricity Production</v>
      </c>
      <c r="K370" s="394" t="str">
        <f>IF(ISBLANK(INDEX('Policy Characteristics'!E:E,MATCH($C370,'Policy Characteristics'!$C:$C,0))),"",INDEX('Policy Characteristics'!E:E,MATCH($C370,'Policy Characteristics'!$C:$C,0)))</f>
        <v>elec generation subsidy</v>
      </c>
      <c r="L370" s="394">
        <f>IF(ISBLANK(INDEX('Policy Characteristics'!F:F,MATCH($C370,'Policy Characteristics'!$C:$C,0))),"",INDEX('Policy Characteristics'!F:F,MATCH($C370,'Policy Characteristics'!$C:$C,0)))</f>
        <v>0</v>
      </c>
      <c r="M370" s="394">
        <f>IF(ISBLANK(INDEX('Policy Characteristics'!G:G,MATCH($C370,'Policy Characteristics'!$C:$C,0))),"",INDEX('Policy Characteristics'!G:G,MATCH($C370,'Policy Characteristics'!$C:$C,0)))</f>
        <v>60</v>
      </c>
      <c r="N370" s="394">
        <f>IF(ISBLANK(INDEX('Policy Characteristics'!H:H,MATCH($C370,'Policy Characteristics'!$C:$C,0))),"",INDEX('Policy Characteristics'!H:H,MATCH($C370,'Policy Characteristics'!$C:$C,0)))</f>
        <v>1</v>
      </c>
      <c r="O370" s="394" t="str">
        <f>IF(ISBLANK(INDEX('Policy Characteristics'!I:I,MATCH($C370,'Policy Characteristics'!$C:$C,0))),"",INDEX('Policy Characteristics'!I:I,MATCH($C370,'Policy Characteristics'!$C:$C,0)))</f>
        <v>2020 RMB / MWh</v>
      </c>
      <c r="P370" s="394"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0" s="394" t="str">
        <f>IF(ISBLANK(INDEX('Policy Characteristics'!K:K,MATCH($C370,'Policy Characteristics'!$C:$C,0))),"",INDEX('Policy Characteristics'!K:K,MATCH($C370,'Policy Characteristics'!$C:$C,0)))</f>
        <v>electricity-sector-main.html#subsidies</v>
      </c>
      <c r="R370" s="394" t="str">
        <f>IF(ISBLANK(INDEX('Policy Characteristics'!L:L,MATCH($C370,'Policy Characteristics'!$C:$C,0))),"",INDEX('Policy Characteristics'!L:L,MATCH($C370,'Policy Characteristics'!$C:$C,0)))</f>
        <v>subsidy-for-electricity-production.html</v>
      </c>
      <c r="S370" s="403"/>
    </row>
    <row r="371" customHeight="1" spans="1:19">
      <c r="A371" s="394" t="str">
        <f>IF(ISBLANK(INDEX('Policy Characteristics'!A:A,MATCH($C371,'Policy Characteristics'!$C:$C,0))),"",INDEX('Policy Characteristics'!A:A,MATCH($C371,'Policy Characteristics'!$C:$C,0)))</f>
        <v>Electricity Supply</v>
      </c>
      <c r="B371" s="395" t="str">
        <f>IF(ISBLANK(INDEX('Policy Characteristics'!B:B,MATCH($C371,'Policy Characteristics'!$C:$C,0))),"",INDEX('Policy Characteristics'!B:B,MATCH($C371,'Policy Characteristics'!$C:$C,0)))</f>
        <v>Subsidy for Electricity Production</v>
      </c>
      <c r="C371" s="394" t="str">
        <f t="shared" si="26"/>
        <v>Subsidy for Elec Production by Fuel</v>
      </c>
      <c r="D371" s="399" t="s">
        <v>727</v>
      </c>
      <c r="E371" s="399" t="s">
        <v>735</v>
      </c>
      <c r="F371" s="399" t="s">
        <v>728</v>
      </c>
      <c r="G371" s="403" t="s">
        <v>737</v>
      </c>
      <c r="H371" s="377">
        <v>1584</v>
      </c>
      <c r="I371" s="396" t="s">
        <v>658</v>
      </c>
      <c r="J371" s="397" t="str">
        <f>IF(ISBLANK(INDEX('Policy Characteristics'!D:D,MATCH($C371,'Policy Characteristics'!$C:$C,0))),"",INDEX('Policy Characteristics'!D:D,MATCH($C371,'Policy Characteristics'!$C:$C,0)))</f>
        <v>Subsidy for Electricity Production</v>
      </c>
      <c r="K371" s="394" t="str">
        <f>IF(ISBLANK(INDEX('Policy Characteristics'!E:E,MATCH($C371,'Policy Characteristics'!$C:$C,0))),"",INDEX('Policy Characteristics'!E:E,MATCH($C371,'Policy Characteristics'!$C:$C,0)))</f>
        <v>elec generation subsidy</v>
      </c>
      <c r="L371" s="394">
        <f>IF(ISBLANK(INDEX('Policy Characteristics'!F:F,MATCH($C371,'Policy Characteristics'!$C:$C,0))),"",INDEX('Policy Characteristics'!F:F,MATCH($C371,'Policy Characteristics'!$C:$C,0)))</f>
        <v>0</v>
      </c>
      <c r="M371" s="394">
        <f>IF(ISBLANK(INDEX('Policy Characteristics'!G:G,MATCH($C371,'Policy Characteristics'!$C:$C,0))),"",INDEX('Policy Characteristics'!G:G,MATCH($C371,'Policy Characteristics'!$C:$C,0)))</f>
        <v>60</v>
      </c>
      <c r="N371" s="394">
        <f>IF(ISBLANK(INDEX('Policy Characteristics'!H:H,MATCH($C371,'Policy Characteristics'!$C:$C,0))),"",INDEX('Policy Characteristics'!H:H,MATCH($C371,'Policy Characteristics'!$C:$C,0)))</f>
        <v>1</v>
      </c>
      <c r="O371" s="394" t="str">
        <f>IF(ISBLANK(INDEX('Policy Characteristics'!I:I,MATCH($C371,'Policy Characteristics'!$C:$C,0))),"",INDEX('Policy Characteristics'!I:I,MATCH($C371,'Policy Characteristics'!$C:$C,0)))</f>
        <v>2020 RMB / MWh</v>
      </c>
      <c r="P371" s="394"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1" s="394" t="str">
        <f>IF(ISBLANK(INDEX('Policy Characteristics'!K:K,MATCH($C371,'Policy Characteristics'!$C:$C,0))),"",INDEX('Policy Characteristics'!K:K,MATCH($C371,'Policy Characteristics'!$C:$C,0)))</f>
        <v>electricity-sector-main.html#subsidies</v>
      </c>
      <c r="R371" s="394" t="str">
        <f>IF(ISBLANK(INDEX('Policy Characteristics'!L:L,MATCH($C371,'Policy Characteristics'!$C:$C,0))),"",INDEX('Policy Characteristics'!L:L,MATCH($C371,'Policy Characteristics'!$C:$C,0)))</f>
        <v>subsidy-for-electricity-production.html</v>
      </c>
      <c r="S371" s="403"/>
    </row>
    <row r="372" customHeight="1" spans="1:19">
      <c r="A372" s="394" t="str">
        <f>IF(ISBLANK(INDEX('Policy Characteristics'!A:A,MATCH($C372,'Policy Characteristics'!$C:$C,0))),"",INDEX('Policy Characteristics'!A:A,MATCH($C372,'Policy Characteristics'!$C:$C,0)))</f>
        <v>Electricity Supply</v>
      </c>
      <c r="B372" s="395" t="str">
        <f>IF(ISBLANK(INDEX('Policy Characteristics'!B:B,MATCH($C372,'Policy Characteristics'!$C:$C,0))),"",INDEX('Policy Characteristics'!B:B,MATCH($C372,'Policy Characteristics'!$C:$C,0)))</f>
        <v>Subsidy for Electricity Production</v>
      </c>
      <c r="C372" s="394" t="str">
        <f t="shared" si="26"/>
        <v>Subsidy for Elec Production by Fuel</v>
      </c>
      <c r="D372" s="399" t="s">
        <v>729</v>
      </c>
      <c r="E372" s="399" t="s">
        <v>733</v>
      </c>
      <c r="F372" s="399" t="s">
        <v>730</v>
      </c>
      <c r="G372" s="403" t="s">
        <v>736</v>
      </c>
      <c r="H372" s="377">
        <v>703</v>
      </c>
      <c r="I372" s="396" t="s">
        <v>658</v>
      </c>
      <c r="J372" s="397" t="str">
        <f>IF(ISBLANK(INDEX('Policy Characteristics'!D:D,MATCH($C372,'Policy Characteristics'!$C:$C,0))),"",INDEX('Policy Characteristics'!D:D,MATCH($C372,'Policy Characteristics'!$C:$C,0)))</f>
        <v>Subsidy for Electricity Production</v>
      </c>
      <c r="K372" s="394" t="str">
        <f>IF(ISBLANK(INDEX('Policy Characteristics'!E:E,MATCH($C372,'Policy Characteristics'!$C:$C,0))),"",INDEX('Policy Characteristics'!E:E,MATCH($C372,'Policy Characteristics'!$C:$C,0)))</f>
        <v>elec generation subsidy</v>
      </c>
      <c r="L372" s="394">
        <f>IF(ISBLANK(INDEX('Policy Characteristics'!F:F,MATCH($C372,'Policy Characteristics'!$C:$C,0))),"",INDEX('Policy Characteristics'!F:F,MATCH($C372,'Policy Characteristics'!$C:$C,0)))</f>
        <v>0</v>
      </c>
      <c r="M372" s="394">
        <f>IF(ISBLANK(INDEX('Policy Characteristics'!G:G,MATCH($C372,'Policy Characteristics'!$C:$C,0))),"",INDEX('Policy Characteristics'!G:G,MATCH($C372,'Policy Characteristics'!$C:$C,0)))</f>
        <v>60</v>
      </c>
      <c r="N372" s="394">
        <f>IF(ISBLANK(INDEX('Policy Characteristics'!H:H,MATCH($C372,'Policy Characteristics'!$C:$C,0))),"",INDEX('Policy Characteristics'!H:H,MATCH($C372,'Policy Characteristics'!$C:$C,0)))</f>
        <v>1</v>
      </c>
      <c r="O372" s="394" t="str">
        <f>IF(ISBLANK(INDEX('Policy Characteristics'!I:I,MATCH($C372,'Policy Characteristics'!$C:$C,0))),"",INDEX('Policy Characteristics'!I:I,MATCH($C372,'Policy Characteristics'!$C:$C,0)))</f>
        <v>2020 RMB / MWh</v>
      </c>
      <c r="P372" s="394"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2" s="394" t="str">
        <f>IF(ISBLANK(INDEX('Policy Characteristics'!K:K,MATCH($C372,'Policy Characteristics'!$C:$C,0))),"",INDEX('Policy Characteristics'!K:K,MATCH($C372,'Policy Characteristics'!$C:$C,0)))</f>
        <v>electricity-sector-main.html#subsidies</v>
      </c>
      <c r="R372" s="394" t="str">
        <f>IF(ISBLANK(INDEX('Policy Characteristics'!L:L,MATCH($C372,'Policy Characteristics'!$C:$C,0))),"",INDEX('Policy Characteristics'!L:L,MATCH($C372,'Policy Characteristics'!$C:$C,0)))</f>
        <v>subsidy-for-electricity-production.html</v>
      </c>
      <c r="S372" s="403"/>
    </row>
    <row r="373" customHeight="1" spans="1:19">
      <c r="A373" s="394" t="str">
        <f>IF(ISBLANK(INDEX('Policy Characteristics'!A:A,MATCH($C373,'Policy Characteristics'!$C:$C,0))),"",INDEX('Policy Characteristics'!A:A,MATCH($C373,'Policy Characteristics'!$C:$C,0)))</f>
        <v>Electricity Supply</v>
      </c>
      <c r="B373" s="395" t="str">
        <f>IF(ISBLANK(INDEX('Policy Characteristics'!B:B,MATCH($C373,'Policy Characteristics'!$C:$C,0))),"",INDEX('Policy Characteristics'!B:B,MATCH($C373,'Policy Characteristics'!$C:$C,0)))</f>
        <v>Subsidy for Electricity Production</v>
      </c>
      <c r="C373" s="394" t="str">
        <f t="shared" si="26"/>
        <v>Subsidy for Elec Production by Fuel</v>
      </c>
      <c r="D373" s="399" t="s">
        <v>729</v>
      </c>
      <c r="E373" s="399" t="s">
        <v>734</v>
      </c>
      <c r="F373" s="399" t="s">
        <v>730</v>
      </c>
      <c r="G373" s="403"/>
      <c r="H373" s="377">
        <v>1585</v>
      </c>
      <c r="I373" s="396" t="s">
        <v>658</v>
      </c>
      <c r="J373" s="397" t="str">
        <f>IF(ISBLANK(INDEX('Policy Characteristics'!D:D,MATCH($C373,'Policy Characteristics'!$C:$C,0))),"",INDEX('Policy Characteristics'!D:D,MATCH($C373,'Policy Characteristics'!$C:$C,0)))</f>
        <v>Subsidy for Electricity Production</v>
      </c>
      <c r="K373" s="394" t="str">
        <f>IF(ISBLANK(INDEX('Policy Characteristics'!E:E,MATCH($C373,'Policy Characteristics'!$C:$C,0))),"",INDEX('Policy Characteristics'!E:E,MATCH($C373,'Policy Characteristics'!$C:$C,0)))</f>
        <v>elec generation subsidy</v>
      </c>
      <c r="L373" s="394">
        <f>IF(ISBLANK(INDEX('Policy Characteristics'!F:F,MATCH($C373,'Policy Characteristics'!$C:$C,0))),"",INDEX('Policy Characteristics'!F:F,MATCH($C373,'Policy Characteristics'!$C:$C,0)))</f>
        <v>0</v>
      </c>
      <c r="M373" s="394">
        <f>IF(ISBLANK(INDEX('Policy Characteristics'!G:G,MATCH($C373,'Policy Characteristics'!$C:$C,0))),"",INDEX('Policy Characteristics'!G:G,MATCH($C373,'Policy Characteristics'!$C:$C,0)))</f>
        <v>60</v>
      </c>
      <c r="N373" s="394">
        <f>IF(ISBLANK(INDEX('Policy Characteristics'!H:H,MATCH($C373,'Policy Characteristics'!$C:$C,0))),"",INDEX('Policy Characteristics'!H:H,MATCH($C373,'Policy Characteristics'!$C:$C,0)))</f>
        <v>1</v>
      </c>
      <c r="O373" s="394" t="str">
        <f>IF(ISBLANK(INDEX('Policy Characteristics'!I:I,MATCH($C373,'Policy Characteristics'!$C:$C,0))),"",INDEX('Policy Characteristics'!I:I,MATCH($C373,'Policy Characteristics'!$C:$C,0)))</f>
        <v>2020 RMB / MWh</v>
      </c>
      <c r="P373" s="394"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3" s="394" t="str">
        <f>IF(ISBLANK(INDEX('Policy Characteristics'!K:K,MATCH($C373,'Policy Characteristics'!$C:$C,0))),"",INDEX('Policy Characteristics'!K:K,MATCH($C373,'Policy Characteristics'!$C:$C,0)))</f>
        <v>electricity-sector-main.html#subsidies</v>
      </c>
      <c r="R373" s="394" t="str">
        <f>IF(ISBLANK(INDEX('Policy Characteristics'!L:L,MATCH($C373,'Policy Characteristics'!$C:$C,0))),"",INDEX('Policy Characteristics'!L:L,MATCH($C373,'Policy Characteristics'!$C:$C,0)))</f>
        <v>subsidy-for-electricity-production.html</v>
      </c>
      <c r="S373" s="403"/>
    </row>
    <row r="374" customHeight="1" spans="1:19">
      <c r="A374" s="394" t="str">
        <f>IF(ISBLANK(INDEX('Policy Characteristics'!A:A,MATCH($C374,'Policy Characteristics'!$C:$C,0))),"",INDEX('Policy Characteristics'!A:A,MATCH($C374,'Policy Characteristics'!$C:$C,0)))</f>
        <v>Electricity Supply</v>
      </c>
      <c r="B374" s="395" t="str">
        <f>IF(ISBLANK(INDEX('Policy Characteristics'!B:B,MATCH($C374,'Policy Characteristics'!$C:$C,0))),"",INDEX('Policy Characteristics'!B:B,MATCH($C374,'Policy Characteristics'!$C:$C,0)))</f>
        <v>Subsidy for Electricity Production</v>
      </c>
      <c r="C374" s="394" t="str">
        <f t="shared" si="26"/>
        <v>Subsidy for Elec Production by Fuel</v>
      </c>
      <c r="D374" s="399" t="s">
        <v>729</v>
      </c>
      <c r="E374" s="399" t="s">
        <v>735</v>
      </c>
      <c r="F374" s="399" t="s">
        <v>730</v>
      </c>
      <c r="G374" s="403" t="s">
        <v>737</v>
      </c>
      <c r="H374" s="377">
        <v>1586</v>
      </c>
      <c r="I374" s="396" t="s">
        <v>658</v>
      </c>
      <c r="J374" s="397" t="str">
        <f>IF(ISBLANK(INDEX('Policy Characteristics'!D:D,MATCH($C374,'Policy Characteristics'!$C:$C,0))),"",INDEX('Policy Characteristics'!D:D,MATCH($C374,'Policy Characteristics'!$C:$C,0)))</f>
        <v>Subsidy for Electricity Production</v>
      </c>
      <c r="K374" s="394" t="str">
        <f>IF(ISBLANK(INDEX('Policy Characteristics'!E:E,MATCH($C374,'Policy Characteristics'!$C:$C,0))),"",INDEX('Policy Characteristics'!E:E,MATCH($C374,'Policy Characteristics'!$C:$C,0)))</f>
        <v>elec generation subsidy</v>
      </c>
      <c r="L374" s="394">
        <f>IF(ISBLANK(INDEX('Policy Characteristics'!F:F,MATCH($C374,'Policy Characteristics'!$C:$C,0))),"",INDEX('Policy Characteristics'!F:F,MATCH($C374,'Policy Characteristics'!$C:$C,0)))</f>
        <v>0</v>
      </c>
      <c r="M374" s="394">
        <f>IF(ISBLANK(INDEX('Policy Characteristics'!G:G,MATCH($C374,'Policy Characteristics'!$C:$C,0))),"",INDEX('Policy Characteristics'!G:G,MATCH($C374,'Policy Characteristics'!$C:$C,0)))</f>
        <v>60</v>
      </c>
      <c r="N374" s="394">
        <f>IF(ISBLANK(INDEX('Policy Characteristics'!H:H,MATCH($C374,'Policy Characteristics'!$C:$C,0))),"",INDEX('Policy Characteristics'!H:H,MATCH($C374,'Policy Characteristics'!$C:$C,0)))</f>
        <v>1</v>
      </c>
      <c r="O374" s="394" t="str">
        <f>IF(ISBLANK(INDEX('Policy Characteristics'!I:I,MATCH($C374,'Policy Characteristics'!$C:$C,0))),"",INDEX('Policy Characteristics'!I:I,MATCH($C374,'Policy Characteristics'!$C:$C,0)))</f>
        <v>2020 RMB / MWh</v>
      </c>
      <c r="P374" s="394"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4" s="394" t="str">
        <f>IF(ISBLANK(INDEX('Policy Characteristics'!K:K,MATCH($C374,'Policy Characteristics'!$C:$C,0))),"",INDEX('Policy Characteristics'!K:K,MATCH($C374,'Policy Characteristics'!$C:$C,0)))</f>
        <v>electricity-sector-main.html#subsidies</v>
      </c>
      <c r="R374" s="394" t="str">
        <f>IF(ISBLANK(INDEX('Policy Characteristics'!L:L,MATCH($C374,'Policy Characteristics'!$C:$C,0))),"",INDEX('Policy Characteristics'!L:L,MATCH($C374,'Policy Characteristics'!$C:$C,0)))</f>
        <v>subsidy-for-electricity-production.html</v>
      </c>
      <c r="S374" s="403"/>
    </row>
    <row r="375" customHeight="1" spans="1:19">
      <c r="A375" s="394" t="str">
        <f>IF(ISBLANK(INDEX('Policy Characteristics'!A:A,MATCH($C375,'Policy Characteristics'!$C:$C,0))),"",INDEX('Policy Characteristics'!A:A,MATCH($C375,'Policy Characteristics'!$C:$C,0)))</f>
        <v>Electricity Supply</v>
      </c>
      <c r="B375" s="395" t="str">
        <f>IF(ISBLANK(INDEX('Policy Characteristics'!B:B,MATCH($C375,'Policy Characteristics'!$C:$C,0))),"",INDEX('Policy Characteristics'!B:B,MATCH($C375,'Policy Characteristics'!$C:$C,0)))</f>
        <v>Subsidy for Electricity Production</v>
      </c>
      <c r="C375" s="394" t="str">
        <f t="shared" si="26"/>
        <v>Subsidy for Elec Production by Fuel</v>
      </c>
      <c r="D375" s="399" t="s">
        <v>731</v>
      </c>
      <c r="E375" s="399" t="s">
        <v>733</v>
      </c>
      <c r="F375" s="399" t="s">
        <v>732</v>
      </c>
      <c r="G375" s="403" t="s">
        <v>736</v>
      </c>
      <c r="H375" s="377">
        <v>704</v>
      </c>
      <c r="I375" s="396" t="s">
        <v>658</v>
      </c>
      <c r="J375" s="397" t="str">
        <f>IF(ISBLANK(INDEX('Policy Characteristics'!D:D,MATCH($C375,'Policy Characteristics'!$C:$C,0))),"",INDEX('Policy Characteristics'!D:D,MATCH($C375,'Policy Characteristics'!$C:$C,0)))</f>
        <v>Subsidy for Electricity Production</v>
      </c>
      <c r="K375" s="394" t="str">
        <f>IF(ISBLANK(INDEX('Policy Characteristics'!E:E,MATCH($C375,'Policy Characteristics'!$C:$C,0))),"",INDEX('Policy Characteristics'!E:E,MATCH($C375,'Policy Characteristics'!$C:$C,0)))</f>
        <v>elec generation subsidy</v>
      </c>
      <c r="L375" s="394">
        <f>IF(ISBLANK(INDEX('Policy Characteristics'!F:F,MATCH($C375,'Policy Characteristics'!$C:$C,0))),"",INDEX('Policy Characteristics'!F:F,MATCH($C375,'Policy Characteristics'!$C:$C,0)))</f>
        <v>0</v>
      </c>
      <c r="M375" s="394">
        <f>IF(ISBLANK(INDEX('Policy Characteristics'!G:G,MATCH($C375,'Policy Characteristics'!$C:$C,0))),"",INDEX('Policy Characteristics'!G:G,MATCH($C375,'Policy Characteristics'!$C:$C,0)))</f>
        <v>60</v>
      </c>
      <c r="N375" s="394">
        <f>IF(ISBLANK(INDEX('Policy Characteristics'!H:H,MATCH($C375,'Policy Characteristics'!$C:$C,0))),"",INDEX('Policy Characteristics'!H:H,MATCH($C375,'Policy Characteristics'!$C:$C,0)))</f>
        <v>1</v>
      </c>
      <c r="O375" s="394" t="str">
        <f>IF(ISBLANK(INDEX('Policy Characteristics'!I:I,MATCH($C375,'Policy Characteristics'!$C:$C,0))),"",INDEX('Policy Characteristics'!I:I,MATCH($C375,'Policy Characteristics'!$C:$C,0)))</f>
        <v>2020 RMB / MWh</v>
      </c>
      <c r="P375" s="394"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5" s="394" t="str">
        <f>IF(ISBLANK(INDEX('Policy Characteristics'!K:K,MATCH($C375,'Policy Characteristics'!$C:$C,0))),"",INDEX('Policy Characteristics'!K:K,MATCH($C375,'Policy Characteristics'!$C:$C,0)))</f>
        <v>electricity-sector-main.html#subsidies</v>
      </c>
      <c r="R375" s="394" t="str">
        <f>IF(ISBLANK(INDEX('Policy Characteristics'!L:L,MATCH($C375,'Policy Characteristics'!$C:$C,0))),"",INDEX('Policy Characteristics'!L:L,MATCH($C375,'Policy Characteristics'!$C:$C,0)))</f>
        <v>subsidy-for-electricity-production.html</v>
      </c>
      <c r="S375" s="403"/>
    </row>
    <row r="376" customHeight="1" spans="1:19">
      <c r="A376" s="394" t="str">
        <f>IF(ISBLANK(INDEX('Policy Characteristics'!A:A,MATCH($C376,'Policy Characteristics'!$C:$C,0))),"",INDEX('Policy Characteristics'!A:A,MATCH($C376,'Policy Characteristics'!$C:$C,0)))</f>
        <v>Electricity Supply</v>
      </c>
      <c r="B376" s="395" t="str">
        <f>IF(ISBLANK(INDEX('Policy Characteristics'!B:B,MATCH($C376,'Policy Characteristics'!$C:$C,0))),"",INDEX('Policy Characteristics'!B:B,MATCH($C376,'Policy Characteristics'!$C:$C,0)))</f>
        <v>Subsidy for Electricity Production</v>
      </c>
      <c r="C376" s="394" t="str">
        <f t="shared" si="26"/>
        <v>Subsidy for Elec Production by Fuel</v>
      </c>
      <c r="D376" s="399" t="s">
        <v>731</v>
      </c>
      <c r="E376" s="399" t="s">
        <v>734</v>
      </c>
      <c r="F376" s="399" t="s">
        <v>732</v>
      </c>
      <c r="G376" s="403"/>
      <c r="H376" s="377">
        <v>1587</v>
      </c>
      <c r="I376" s="396" t="s">
        <v>658</v>
      </c>
      <c r="J376" s="397" t="str">
        <f>IF(ISBLANK(INDEX('Policy Characteristics'!D:D,MATCH($C376,'Policy Characteristics'!$C:$C,0))),"",INDEX('Policy Characteristics'!D:D,MATCH($C376,'Policy Characteristics'!$C:$C,0)))</f>
        <v>Subsidy for Electricity Production</v>
      </c>
      <c r="K376" s="394" t="str">
        <f>IF(ISBLANK(INDEX('Policy Characteristics'!E:E,MATCH($C376,'Policy Characteristics'!$C:$C,0))),"",INDEX('Policy Characteristics'!E:E,MATCH($C376,'Policy Characteristics'!$C:$C,0)))</f>
        <v>elec generation subsidy</v>
      </c>
      <c r="L376" s="394">
        <f>IF(ISBLANK(INDEX('Policy Characteristics'!F:F,MATCH($C376,'Policy Characteristics'!$C:$C,0))),"",INDEX('Policy Characteristics'!F:F,MATCH($C376,'Policy Characteristics'!$C:$C,0)))</f>
        <v>0</v>
      </c>
      <c r="M376" s="394">
        <f>IF(ISBLANK(INDEX('Policy Characteristics'!G:G,MATCH($C376,'Policy Characteristics'!$C:$C,0))),"",INDEX('Policy Characteristics'!G:G,MATCH($C376,'Policy Characteristics'!$C:$C,0)))</f>
        <v>60</v>
      </c>
      <c r="N376" s="394">
        <f>IF(ISBLANK(INDEX('Policy Characteristics'!H:H,MATCH($C376,'Policy Characteristics'!$C:$C,0))),"",INDEX('Policy Characteristics'!H:H,MATCH($C376,'Policy Characteristics'!$C:$C,0)))</f>
        <v>1</v>
      </c>
      <c r="O376" s="394" t="str">
        <f>IF(ISBLANK(INDEX('Policy Characteristics'!I:I,MATCH($C376,'Policy Characteristics'!$C:$C,0))),"",INDEX('Policy Characteristics'!I:I,MATCH($C376,'Policy Characteristics'!$C:$C,0)))</f>
        <v>2020 RMB / MWh</v>
      </c>
      <c r="P376" s="394"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6" s="394" t="str">
        <f>IF(ISBLANK(INDEX('Policy Characteristics'!K:K,MATCH($C376,'Policy Characteristics'!$C:$C,0))),"",INDEX('Policy Characteristics'!K:K,MATCH($C376,'Policy Characteristics'!$C:$C,0)))</f>
        <v>electricity-sector-main.html#subsidies</v>
      </c>
      <c r="R376" s="394" t="str">
        <f>IF(ISBLANK(INDEX('Policy Characteristics'!L:L,MATCH($C376,'Policy Characteristics'!$C:$C,0))),"",INDEX('Policy Characteristics'!L:L,MATCH($C376,'Policy Characteristics'!$C:$C,0)))</f>
        <v>subsidy-for-electricity-production.html</v>
      </c>
      <c r="S376" s="403"/>
    </row>
    <row r="377" customHeight="1" spans="1:19">
      <c r="A377" s="394" t="str">
        <f>IF(ISBLANK(INDEX('Policy Characteristics'!A:A,MATCH($C377,'Policy Characteristics'!$C:$C,0))),"",INDEX('Policy Characteristics'!A:A,MATCH($C377,'Policy Characteristics'!$C:$C,0)))</f>
        <v>Electricity Supply</v>
      </c>
      <c r="B377" s="395" t="str">
        <f>IF(ISBLANK(INDEX('Policy Characteristics'!B:B,MATCH($C377,'Policy Characteristics'!$C:$C,0))),"",INDEX('Policy Characteristics'!B:B,MATCH($C377,'Policy Characteristics'!$C:$C,0)))</f>
        <v>Subsidy for Electricity Production</v>
      </c>
      <c r="C377" s="394" t="str">
        <f t="shared" si="26"/>
        <v>Subsidy for Elec Production by Fuel</v>
      </c>
      <c r="D377" s="399" t="s">
        <v>731</v>
      </c>
      <c r="E377" s="399" t="s">
        <v>735</v>
      </c>
      <c r="F377" s="399" t="s">
        <v>732</v>
      </c>
      <c r="G377" s="403" t="s">
        <v>737</v>
      </c>
      <c r="H377" s="377">
        <v>1588</v>
      </c>
      <c r="I377" s="396" t="s">
        <v>658</v>
      </c>
      <c r="J377" s="397" t="str">
        <f>IF(ISBLANK(INDEX('Policy Characteristics'!D:D,MATCH($C377,'Policy Characteristics'!$C:$C,0))),"",INDEX('Policy Characteristics'!D:D,MATCH($C377,'Policy Characteristics'!$C:$C,0)))</f>
        <v>Subsidy for Electricity Production</v>
      </c>
      <c r="K377" s="394" t="str">
        <f>IF(ISBLANK(INDEX('Policy Characteristics'!E:E,MATCH($C377,'Policy Characteristics'!$C:$C,0))),"",INDEX('Policy Characteristics'!E:E,MATCH($C377,'Policy Characteristics'!$C:$C,0)))</f>
        <v>elec generation subsidy</v>
      </c>
      <c r="L377" s="394">
        <f>IF(ISBLANK(INDEX('Policy Characteristics'!F:F,MATCH($C377,'Policy Characteristics'!$C:$C,0))),"",INDEX('Policy Characteristics'!F:F,MATCH($C377,'Policy Characteristics'!$C:$C,0)))</f>
        <v>0</v>
      </c>
      <c r="M377" s="394">
        <f>IF(ISBLANK(INDEX('Policy Characteristics'!G:G,MATCH($C377,'Policy Characteristics'!$C:$C,0))),"",INDEX('Policy Characteristics'!G:G,MATCH($C377,'Policy Characteristics'!$C:$C,0)))</f>
        <v>60</v>
      </c>
      <c r="N377" s="394">
        <f>IF(ISBLANK(INDEX('Policy Characteristics'!H:H,MATCH($C377,'Policy Characteristics'!$C:$C,0))),"",INDEX('Policy Characteristics'!H:H,MATCH($C377,'Policy Characteristics'!$C:$C,0)))</f>
        <v>1</v>
      </c>
      <c r="O377" s="394" t="str">
        <f>IF(ISBLANK(INDEX('Policy Characteristics'!I:I,MATCH($C377,'Policy Characteristics'!$C:$C,0))),"",INDEX('Policy Characteristics'!I:I,MATCH($C377,'Policy Characteristics'!$C:$C,0)))</f>
        <v>2020 RMB / MWh</v>
      </c>
      <c r="P377" s="394"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7" s="394" t="str">
        <f>IF(ISBLANK(INDEX('Policy Characteristics'!K:K,MATCH($C377,'Policy Characteristics'!$C:$C,0))),"",INDEX('Policy Characteristics'!K:K,MATCH($C377,'Policy Characteristics'!$C:$C,0)))</f>
        <v>electricity-sector-main.html#subsidies</v>
      </c>
      <c r="R377" s="394" t="str">
        <f>IF(ISBLANK(INDEX('Policy Characteristics'!L:L,MATCH($C377,'Policy Characteristics'!$C:$C,0))),"",INDEX('Policy Characteristics'!L:L,MATCH($C377,'Policy Characteristics'!$C:$C,0)))</f>
        <v>subsidy-for-electricity-production.html</v>
      </c>
      <c r="S377" s="403"/>
    </row>
    <row r="378" customHeight="1" spans="1:19">
      <c r="A378" s="394" t="str">
        <f>IF(ISBLANK(INDEX('Policy Characteristics'!A:A,MATCH($C378,'Policy Characteristics'!$C:$C,0))),"",INDEX('Policy Characteristics'!A:A,MATCH($C378,'Policy Characteristics'!$C:$C,0)))</f>
        <v>Industry</v>
      </c>
      <c r="B378" s="395" t="str">
        <f>IF(ISBLANK(INDEX('Policy Characteristics'!B:B,MATCH($C378,'Policy Characteristics'!$C:$C,0))),"",INDEX('Policy Characteristics'!B:B,MATCH($C378,'Policy Characteristics'!$C:$C,0)))</f>
        <v>Buy In-Region Products</v>
      </c>
      <c r="C378" t="s">
        <v>335</v>
      </c>
      <c r="D378" s="399" t="s">
        <v>738</v>
      </c>
      <c r="E378" s="399"/>
      <c r="F378" t="s">
        <v>739</v>
      </c>
      <c r="G378" s="399"/>
      <c r="H378" s="377">
        <v>1537</v>
      </c>
      <c r="I378" s="396" t="s">
        <v>648</v>
      </c>
      <c r="J378" s="397" t="str">
        <f>IF(ISBLANK(INDEX('Policy Characteristics'!D:D,MATCH($C378,'Policy Characteristics'!$C:$C,0))),"",INDEX('Policy Characteristics'!D:D,MATCH($C378,'Policy Characteristics'!$C:$C,0)))</f>
        <v>Buy In-Region Products</v>
      </c>
      <c r="K378" s="394" t="str">
        <f>IF(ISBLANK(INDEX('Policy Characteristics'!E:E,MATCH($C378,'Policy Characteristics'!$C:$C,0))),"",INDEX('Policy Characteristics'!E:E,MATCH($C378,'Policy Characteristics'!$C:$C,0)))</f>
        <v>indst buy in region outputs</v>
      </c>
      <c r="L378" s="398">
        <f>IF(ISBLANK(INDEX('Policy Characteristics'!F:F,MATCH($C378,'Policy Characteristics'!$C:$C,0))),"",INDEX('Policy Characteristics'!F:F,MATCH($C378,'Policy Characteristics'!$C:$C,0)))</f>
        <v>0</v>
      </c>
      <c r="M378" s="398">
        <f>IF(ISBLANK(INDEX('Policy Characteristics'!G:G,MATCH($C378,'Policy Characteristics'!$C:$C,0))),"",INDEX('Policy Characteristics'!G:G,MATCH($C378,'Policy Characteristics'!$C:$C,0)))</f>
        <v>0.5</v>
      </c>
      <c r="N378" s="398">
        <f>IF(ISBLANK(INDEX('Policy Characteristics'!H:H,MATCH($C378,'Policy Characteristics'!$C:$C,0))),"",INDEX('Policy Characteristics'!H:H,MATCH($C378,'Policy Characteristics'!$C:$C,0)))</f>
        <v>0.01</v>
      </c>
      <c r="O378" s="394" t="str">
        <f>IF(ISBLANK(INDEX('Policy Characteristics'!I:I,MATCH($C378,'Policy Characteristics'!$C:$C,0))),"",INDEX('Policy Characteristics'!I:I,MATCH($C378,'Policy Characteristics'!$C:$C,0)))</f>
        <v>% of imports shifted</v>
      </c>
      <c r="P378" s="394" t="str">
        <f>IF(ISBLANK(INDEX('Policy Characteristics'!J:J,MATCH($C378,'Policy Characteristics'!$C:$C,0))),"",INDEX('Policy Characteristics'!J:J,MATCH($C378,'Policy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78" s="394" t="str">
        <f>IF(ISBLANK(INDEX('Policy Characteristics'!K:K,MATCH($C378,'Policy Characteristics'!$C:$C,0))),"",INDEX('Policy Characteristics'!K:K,MATCH($C378,'Policy Characteristics'!$C:$C,0)))</f>
        <v/>
      </c>
      <c r="R378" s="394" t="str">
        <f>IF(ISBLANK(INDEX('Policy Characteristics'!L:L,MATCH($C378,'Policy Characteristics'!$C:$C,0))),"",INDEX('Policy Characteristics'!L:L,MATCH($C378,'Policy Characteristics'!$C:$C,0)))</f>
        <v/>
      </c>
    </row>
    <row r="379" customHeight="1" spans="1:19">
      <c r="A379" s="394" t="str">
        <f>IF(ISBLANK(INDEX('Policy Characteristics'!A:A,MATCH($C379,'Policy Characteristics'!$C:$C,0))),"",INDEX('Policy Characteristics'!A:A,MATCH($C379,'Policy Characteristics'!$C:$C,0)))</f>
        <v>Industry</v>
      </c>
      <c r="B379" s="395" t="str">
        <f>IF(ISBLANK(INDEX('Policy Characteristics'!B:B,MATCH($C379,'Policy Characteristics'!$C:$C,0))),"",INDEX('Policy Characteristics'!B:B,MATCH($C379,'Policy Characteristics'!$C:$C,0)))</f>
        <v>Buy In-Region Products</v>
      </c>
      <c r="C379" s="394" t="str">
        <f>C$378</f>
        <v>Fraction of Imported Industrial Outputs Shifted to In Region Suppliers</v>
      </c>
      <c r="D379" s="399" t="s">
        <v>740</v>
      </c>
      <c r="E379" s="399"/>
      <c r="F379" t="s">
        <v>741</v>
      </c>
      <c r="G379" s="401"/>
      <c r="H379" s="377">
        <v>1538</v>
      </c>
      <c r="I379" s="396" t="s">
        <v>648</v>
      </c>
      <c r="J379" s="397" t="str">
        <f>IF(ISBLANK(INDEX('Policy Characteristics'!D:D,MATCH($C379,'Policy Characteristics'!$C:$C,0))),"",INDEX('Policy Characteristics'!D:D,MATCH($C379,'Policy Characteristics'!$C:$C,0)))</f>
        <v>Buy In-Region Products</v>
      </c>
      <c r="K379" s="394" t="str">
        <f>IF(ISBLANK(INDEX('Policy Characteristics'!E:E,MATCH($C379,'Policy Characteristics'!$C:$C,0))),"",INDEX('Policy Characteristics'!E:E,MATCH($C379,'Policy Characteristics'!$C:$C,0)))</f>
        <v>indst buy in region outputs</v>
      </c>
      <c r="L379" s="398">
        <f>IF(ISBLANK(INDEX('Policy Characteristics'!F:F,MATCH($C379,'Policy Characteristics'!$C:$C,0))),"",INDEX('Policy Characteristics'!F:F,MATCH($C379,'Policy Characteristics'!$C:$C,0)))</f>
        <v>0</v>
      </c>
      <c r="M379" s="398">
        <f>IF(ISBLANK(INDEX('Policy Characteristics'!G:G,MATCH($C379,'Policy Characteristics'!$C:$C,0))),"",INDEX('Policy Characteristics'!G:G,MATCH($C379,'Policy Characteristics'!$C:$C,0)))</f>
        <v>0.5</v>
      </c>
      <c r="N379" s="398">
        <f>IF(ISBLANK(INDEX('Policy Characteristics'!H:H,MATCH($C379,'Policy Characteristics'!$C:$C,0))),"",INDEX('Policy Characteristics'!H:H,MATCH($C379,'Policy Characteristics'!$C:$C,0)))</f>
        <v>0.01</v>
      </c>
      <c r="O379" s="394" t="str">
        <f>IF(ISBLANK(INDEX('Policy Characteristics'!I:I,MATCH($C379,'Policy Characteristics'!$C:$C,0))),"",INDEX('Policy Characteristics'!I:I,MATCH($C379,'Policy Characteristics'!$C:$C,0)))</f>
        <v>% of imports shifted</v>
      </c>
      <c r="P379" s="394" t="str">
        <f>IF(ISBLANK(INDEX('Policy Characteristics'!J:J,MATCH($C379,'Policy Characteristics'!$C:$C,0))),"",INDEX('Policy Characteristics'!J:J,MATCH($C379,'Policy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79" s="394" t="str">
        <f>IF(ISBLANK(INDEX('Policy Characteristics'!K:K,MATCH($C379,'Policy Characteristics'!$C:$C,0))),"",INDEX('Policy Characteristics'!K:K,MATCH($C379,'Policy Characteristics'!$C:$C,0)))</f>
        <v/>
      </c>
      <c r="R379" s="394" t="str">
        <f>IF(ISBLANK(INDEX('Policy Characteristics'!L:L,MATCH($C379,'Policy Characteristics'!$C:$C,0))),"",INDEX('Policy Characteristics'!L:L,MATCH($C379,'Policy Characteristics'!$C:$C,0)))</f>
        <v/>
      </c>
    </row>
    <row r="380" customHeight="1" spans="1:19">
      <c r="A380" s="394" t="str">
        <f>IF(ISBLANK(INDEX('Policy Characteristics'!A:A,MATCH($C380,'Policy Characteristics'!$C:$C,0))),"",INDEX('Policy Characteristics'!A:A,MATCH($C380,'Policy Characteristics'!$C:$C,0)))</f>
        <v>Industry</v>
      </c>
      <c r="B380" s="395" t="str">
        <f>IF(ISBLANK(INDEX('Policy Characteristics'!B:B,MATCH($C380,'Policy Characteristics'!$C:$C,0))),"",INDEX('Policy Characteristics'!B:B,MATCH($C380,'Policy Characteristics'!$C:$C,0)))</f>
        <v>Buy In-Region Products</v>
      </c>
      <c r="C380" s="394" t="str">
        <f t="shared" ref="C380:C402" si="27">C$378</f>
        <v>Fraction of Imported Industrial Outputs Shifted to In Region Suppliers</v>
      </c>
      <c r="D380" s="399" t="s">
        <v>742</v>
      </c>
      <c r="E380" s="399"/>
      <c r="F380" t="s">
        <v>743</v>
      </c>
      <c r="G380" s="401"/>
      <c r="H380" s="377">
        <v>1539</v>
      </c>
      <c r="I380" s="396" t="s">
        <v>648</v>
      </c>
      <c r="J380" s="397" t="str">
        <f>IF(ISBLANK(INDEX('Policy Characteristics'!D:D,MATCH($C380,'Policy Characteristics'!$C:$C,0))),"",INDEX('Policy Characteristics'!D:D,MATCH($C380,'Policy Characteristics'!$C:$C,0)))</f>
        <v>Buy In-Region Products</v>
      </c>
      <c r="K380" s="394" t="str">
        <f>IF(ISBLANK(INDEX('Policy Characteristics'!E:E,MATCH($C380,'Policy Characteristics'!$C:$C,0))),"",INDEX('Policy Characteristics'!E:E,MATCH($C380,'Policy Characteristics'!$C:$C,0)))</f>
        <v>indst buy in region outputs</v>
      </c>
      <c r="L380" s="398">
        <f>IF(ISBLANK(INDEX('Policy Characteristics'!F:F,MATCH($C380,'Policy Characteristics'!$C:$C,0))),"",INDEX('Policy Characteristics'!F:F,MATCH($C380,'Policy Characteristics'!$C:$C,0)))</f>
        <v>0</v>
      </c>
      <c r="M380" s="398">
        <f>IF(ISBLANK(INDEX('Policy Characteristics'!G:G,MATCH($C380,'Policy Characteristics'!$C:$C,0))),"",INDEX('Policy Characteristics'!G:G,MATCH($C380,'Policy Characteristics'!$C:$C,0)))</f>
        <v>0.5</v>
      </c>
      <c r="N380" s="398">
        <f>IF(ISBLANK(INDEX('Policy Characteristics'!H:H,MATCH($C380,'Policy Characteristics'!$C:$C,0))),"",INDEX('Policy Characteristics'!H:H,MATCH($C380,'Policy Characteristics'!$C:$C,0)))</f>
        <v>0.01</v>
      </c>
      <c r="O380" s="394" t="str">
        <f>IF(ISBLANK(INDEX('Policy Characteristics'!I:I,MATCH($C380,'Policy Characteristics'!$C:$C,0))),"",INDEX('Policy Characteristics'!I:I,MATCH($C380,'Policy Characteristics'!$C:$C,0)))</f>
        <v>% of imports shifted</v>
      </c>
      <c r="P380" s="394" t="str">
        <f>IF(ISBLANK(INDEX('Policy Characteristics'!J:J,MATCH($C380,'Policy Characteristics'!$C:$C,0))),"",INDEX('Policy Characteristics'!J:J,MATCH($C380,'Policy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0" s="394" t="str">
        <f>IF(ISBLANK(INDEX('Policy Characteristics'!K:K,MATCH($C380,'Policy Characteristics'!$C:$C,0))),"",INDEX('Policy Characteristics'!K:K,MATCH($C380,'Policy Characteristics'!$C:$C,0)))</f>
        <v/>
      </c>
      <c r="R380" s="394" t="str">
        <f>IF(ISBLANK(INDEX('Policy Characteristics'!L:L,MATCH($C380,'Policy Characteristics'!$C:$C,0))),"",INDEX('Policy Characteristics'!L:L,MATCH($C380,'Policy Characteristics'!$C:$C,0)))</f>
        <v/>
      </c>
    </row>
    <row r="381" customHeight="1" spans="1:19">
      <c r="A381" s="394" t="str">
        <f>IF(ISBLANK(INDEX('Policy Characteristics'!A:A,MATCH($C381,'Policy Characteristics'!$C:$C,0))),"",INDEX('Policy Characteristics'!A:A,MATCH($C381,'Policy Characteristics'!$C:$C,0)))</f>
        <v>Industry</v>
      </c>
      <c r="B381" s="395" t="str">
        <f>IF(ISBLANK(INDEX('Policy Characteristics'!B:B,MATCH($C381,'Policy Characteristics'!$C:$C,0))),"",INDEX('Policy Characteristics'!B:B,MATCH($C381,'Policy Characteristics'!$C:$C,0)))</f>
        <v>Buy In-Region Products</v>
      </c>
      <c r="C381" s="394" t="str">
        <f t="shared" si="27"/>
        <v>Fraction of Imported Industrial Outputs Shifted to In Region Suppliers</v>
      </c>
      <c r="D381" s="399" t="s">
        <v>744</v>
      </c>
      <c r="E381" s="399"/>
      <c r="F381" t="s">
        <v>745</v>
      </c>
      <c r="G381" s="401"/>
      <c r="H381" s="377">
        <v>1540</v>
      </c>
      <c r="I381" s="396" t="s">
        <v>648</v>
      </c>
      <c r="J381" s="397" t="str">
        <f>IF(ISBLANK(INDEX('Policy Characteristics'!D:D,MATCH($C381,'Policy Characteristics'!$C:$C,0))),"",INDEX('Policy Characteristics'!D:D,MATCH($C381,'Policy Characteristics'!$C:$C,0)))</f>
        <v>Buy In-Region Products</v>
      </c>
      <c r="K381" s="394" t="str">
        <f>IF(ISBLANK(INDEX('Policy Characteristics'!E:E,MATCH($C381,'Policy Characteristics'!$C:$C,0))),"",INDEX('Policy Characteristics'!E:E,MATCH($C381,'Policy Characteristics'!$C:$C,0)))</f>
        <v>indst buy in region outputs</v>
      </c>
      <c r="L381" s="398">
        <f>IF(ISBLANK(INDEX('Policy Characteristics'!F:F,MATCH($C381,'Policy Characteristics'!$C:$C,0))),"",INDEX('Policy Characteristics'!F:F,MATCH($C381,'Policy Characteristics'!$C:$C,0)))</f>
        <v>0</v>
      </c>
      <c r="M381" s="398">
        <f>IF(ISBLANK(INDEX('Policy Characteristics'!G:G,MATCH($C381,'Policy Characteristics'!$C:$C,0))),"",INDEX('Policy Characteristics'!G:G,MATCH($C381,'Policy Characteristics'!$C:$C,0)))</f>
        <v>0.5</v>
      </c>
      <c r="N381" s="398">
        <f>IF(ISBLANK(INDEX('Policy Characteristics'!H:H,MATCH($C381,'Policy Characteristics'!$C:$C,0))),"",INDEX('Policy Characteristics'!H:H,MATCH($C381,'Policy Characteristics'!$C:$C,0)))</f>
        <v>0.01</v>
      </c>
      <c r="O381" s="394" t="str">
        <f>IF(ISBLANK(INDEX('Policy Characteristics'!I:I,MATCH($C381,'Policy Characteristics'!$C:$C,0))),"",INDEX('Policy Characteristics'!I:I,MATCH($C381,'Policy Characteristics'!$C:$C,0)))</f>
        <v>% of imports shifted</v>
      </c>
      <c r="P381" s="394" t="str">
        <f>IF(ISBLANK(INDEX('Policy Characteristics'!J:J,MATCH($C381,'Policy Characteristics'!$C:$C,0))),"",INDEX('Policy Characteristics'!J:J,MATCH($C381,'Policy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1" s="394" t="str">
        <f>IF(ISBLANK(INDEX('Policy Characteristics'!K:K,MATCH($C381,'Policy Characteristics'!$C:$C,0))),"",INDEX('Policy Characteristics'!K:K,MATCH($C381,'Policy Characteristics'!$C:$C,0)))</f>
        <v/>
      </c>
      <c r="R381" s="394" t="str">
        <f>IF(ISBLANK(INDEX('Policy Characteristics'!L:L,MATCH($C381,'Policy Characteristics'!$C:$C,0))),"",INDEX('Policy Characteristics'!L:L,MATCH($C381,'Policy Characteristics'!$C:$C,0)))</f>
        <v/>
      </c>
    </row>
    <row r="382" customHeight="1" spans="1:19">
      <c r="A382" s="394" t="str">
        <f>IF(ISBLANK(INDEX('Policy Characteristics'!A:A,MATCH($C382,'Policy Characteristics'!$C:$C,0))),"",INDEX('Policy Characteristics'!A:A,MATCH($C382,'Policy Characteristics'!$C:$C,0)))</f>
        <v>Industry</v>
      </c>
      <c r="B382" s="395" t="str">
        <f>IF(ISBLANK(INDEX('Policy Characteristics'!B:B,MATCH($C382,'Policy Characteristics'!$C:$C,0))),"",INDEX('Policy Characteristics'!B:B,MATCH($C382,'Policy Characteristics'!$C:$C,0)))</f>
        <v>Buy In-Region Products</v>
      </c>
      <c r="C382" s="394" t="str">
        <f t="shared" si="27"/>
        <v>Fraction of Imported Industrial Outputs Shifted to In Region Suppliers</v>
      </c>
      <c r="D382" s="399" t="s">
        <v>746</v>
      </c>
      <c r="E382" s="399"/>
      <c r="F382" t="s">
        <v>747</v>
      </c>
      <c r="G382" s="401"/>
      <c r="H382" s="377">
        <v>1541</v>
      </c>
      <c r="I382" s="396" t="s">
        <v>648</v>
      </c>
      <c r="J382" s="397" t="str">
        <f>IF(ISBLANK(INDEX('Policy Characteristics'!D:D,MATCH($C382,'Policy Characteristics'!$C:$C,0))),"",INDEX('Policy Characteristics'!D:D,MATCH($C382,'Policy Characteristics'!$C:$C,0)))</f>
        <v>Buy In-Region Products</v>
      </c>
      <c r="K382" s="394" t="str">
        <f>IF(ISBLANK(INDEX('Policy Characteristics'!E:E,MATCH($C382,'Policy Characteristics'!$C:$C,0))),"",INDEX('Policy Characteristics'!E:E,MATCH($C382,'Policy Characteristics'!$C:$C,0)))</f>
        <v>indst buy in region outputs</v>
      </c>
      <c r="L382" s="398">
        <f>IF(ISBLANK(INDEX('Policy Characteristics'!F:F,MATCH($C382,'Policy Characteristics'!$C:$C,0))),"",INDEX('Policy Characteristics'!F:F,MATCH($C382,'Policy Characteristics'!$C:$C,0)))</f>
        <v>0</v>
      </c>
      <c r="M382" s="398">
        <f>IF(ISBLANK(INDEX('Policy Characteristics'!G:G,MATCH($C382,'Policy Characteristics'!$C:$C,0))),"",INDEX('Policy Characteristics'!G:G,MATCH($C382,'Policy Characteristics'!$C:$C,0)))</f>
        <v>0.5</v>
      </c>
      <c r="N382" s="398">
        <f>IF(ISBLANK(INDEX('Policy Characteristics'!H:H,MATCH($C382,'Policy Characteristics'!$C:$C,0))),"",INDEX('Policy Characteristics'!H:H,MATCH($C382,'Policy Characteristics'!$C:$C,0)))</f>
        <v>0.01</v>
      </c>
      <c r="O382" s="394" t="str">
        <f>IF(ISBLANK(INDEX('Policy Characteristics'!I:I,MATCH($C382,'Policy Characteristics'!$C:$C,0))),"",INDEX('Policy Characteristics'!I:I,MATCH($C382,'Policy Characteristics'!$C:$C,0)))</f>
        <v>% of imports shifted</v>
      </c>
      <c r="P382" s="394" t="str">
        <f>IF(ISBLANK(INDEX('Policy Characteristics'!J:J,MATCH($C382,'Policy Characteristics'!$C:$C,0))),"",INDEX('Policy Characteristics'!J:J,MATCH($C382,'Policy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2" s="394" t="str">
        <f>IF(ISBLANK(INDEX('Policy Characteristics'!K:K,MATCH($C382,'Policy Characteristics'!$C:$C,0))),"",INDEX('Policy Characteristics'!K:K,MATCH($C382,'Policy Characteristics'!$C:$C,0)))</f>
        <v/>
      </c>
      <c r="R382" s="394" t="str">
        <f>IF(ISBLANK(INDEX('Policy Characteristics'!L:L,MATCH($C382,'Policy Characteristics'!$C:$C,0))),"",INDEX('Policy Characteristics'!L:L,MATCH($C382,'Policy Characteristics'!$C:$C,0)))</f>
        <v/>
      </c>
    </row>
    <row r="383" customHeight="1" spans="1:19">
      <c r="A383" s="394" t="str">
        <f>IF(ISBLANK(INDEX('Policy Characteristics'!A:A,MATCH($C383,'Policy Characteristics'!$C:$C,0))),"",INDEX('Policy Characteristics'!A:A,MATCH($C383,'Policy Characteristics'!$C:$C,0)))</f>
        <v>Industry</v>
      </c>
      <c r="B383" s="395" t="str">
        <f>IF(ISBLANK(INDEX('Policy Characteristics'!B:B,MATCH($C383,'Policy Characteristics'!$C:$C,0))),"",INDEX('Policy Characteristics'!B:B,MATCH($C383,'Policy Characteristics'!$C:$C,0)))</f>
        <v>Buy In-Region Products</v>
      </c>
      <c r="C383" s="394" t="str">
        <f t="shared" si="27"/>
        <v>Fraction of Imported Industrial Outputs Shifted to In Region Suppliers</v>
      </c>
      <c r="D383" s="399" t="s">
        <v>748</v>
      </c>
      <c r="E383" s="399"/>
      <c r="F383" t="s">
        <v>749</v>
      </c>
      <c r="G383" s="401"/>
      <c r="H383" s="377">
        <v>1542</v>
      </c>
      <c r="I383" s="396" t="s">
        <v>648</v>
      </c>
      <c r="J383" s="397" t="str">
        <f>IF(ISBLANK(INDEX('Policy Characteristics'!D:D,MATCH($C383,'Policy Characteristics'!$C:$C,0))),"",INDEX('Policy Characteristics'!D:D,MATCH($C383,'Policy Characteristics'!$C:$C,0)))</f>
        <v>Buy In-Region Products</v>
      </c>
      <c r="K383" s="394" t="str">
        <f>IF(ISBLANK(INDEX('Policy Characteristics'!E:E,MATCH($C383,'Policy Characteristics'!$C:$C,0))),"",INDEX('Policy Characteristics'!E:E,MATCH($C383,'Policy Characteristics'!$C:$C,0)))</f>
        <v>indst buy in region outputs</v>
      </c>
      <c r="L383" s="398">
        <f>IF(ISBLANK(INDEX('Policy Characteristics'!F:F,MATCH($C383,'Policy Characteristics'!$C:$C,0))),"",INDEX('Policy Characteristics'!F:F,MATCH($C383,'Policy Characteristics'!$C:$C,0)))</f>
        <v>0</v>
      </c>
      <c r="M383" s="398">
        <f>IF(ISBLANK(INDEX('Policy Characteristics'!G:G,MATCH($C383,'Policy Characteristics'!$C:$C,0))),"",INDEX('Policy Characteristics'!G:G,MATCH($C383,'Policy Characteristics'!$C:$C,0)))</f>
        <v>0.5</v>
      </c>
      <c r="N383" s="398">
        <f>IF(ISBLANK(INDEX('Policy Characteristics'!H:H,MATCH($C383,'Policy Characteristics'!$C:$C,0))),"",INDEX('Policy Characteristics'!H:H,MATCH($C383,'Policy Characteristics'!$C:$C,0)))</f>
        <v>0.01</v>
      </c>
      <c r="O383" s="394" t="str">
        <f>IF(ISBLANK(INDEX('Policy Characteristics'!I:I,MATCH($C383,'Policy Characteristics'!$C:$C,0))),"",INDEX('Policy Characteristics'!I:I,MATCH($C383,'Policy Characteristics'!$C:$C,0)))</f>
        <v>% of imports shifted</v>
      </c>
      <c r="P383" s="394" t="str">
        <f>IF(ISBLANK(INDEX('Policy Characteristics'!J:J,MATCH($C383,'Policy Characteristics'!$C:$C,0))),"",INDEX('Policy Characteristics'!J:J,MATCH($C383,'Policy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3" s="394" t="str">
        <f>IF(ISBLANK(INDEX('Policy Characteristics'!K:K,MATCH($C383,'Policy Characteristics'!$C:$C,0))),"",INDEX('Policy Characteristics'!K:K,MATCH($C383,'Policy Characteristics'!$C:$C,0)))</f>
        <v/>
      </c>
      <c r="R383" s="394" t="str">
        <f>IF(ISBLANK(INDEX('Policy Characteristics'!L:L,MATCH($C383,'Policy Characteristics'!$C:$C,0))),"",INDEX('Policy Characteristics'!L:L,MATCH($C383,'Policy Characteristics'!$C:$C,0)))</f>
        <v/>
      </c>
    </row>
    <row r="384" customHeight="1" spans="1:19">
      <c r="A384" s="394" t="str">
        <f>IF(ISBLANK(INDEX('Policy Characteristics'!A:A,MATCH($C384,'Policy Characteristics'!$C:$C,0))),"",INDEX('Policy Characteristics'!A:A,MATCH($C384,'Policy Characteristics'!$C:$C,0)))</f>
        <v>Industry</v>
      </c>
      <c r="B384" s="395" t="str">
        <f>IF(ISBLANK(INDEX('Policy Characteristics'!B:B,MATCH($C384,'Policy Characteristics'!$C:$C,0))),"",INDEX('Policy Characteristics'!B:B,MATCH($C384,'Policy Characteristics'!$C:$C,0)))</f>
        <v>Buy In-Region Products</v>
      </c>
      <c r="C384" s="394" t="str">
        <f t="shared" si="27"/>
        <v>Fraction of Imported Industrial Outputs Shifted to In Region Suppliers</v>
      </c>
      <c r="D384" s="399" t="s">
        <v>750</v>
      </c>
      <c r="E384" s="399"/>
      <c r="F384" s="366" t="s">
        <v>751</v>
      </c>
      <c r="G384" s="401"/>
      <c r="H384" s="377">
        <v>1543</v>
      </c>
      <c r="I384" s="396" t="s">
        <v>648</v>
      </c>
      <c r="J384" s="397" t="str">
        <f>IF(ISBLANK(INDEX('Policy Characteristics'!D:D,MATCH($C384,'Policy Characteristics'!$C:$C,0))),"",INDEX('Policy Characteristics'!D:D,MATCH($C384,'Policy Characteristics'!$C:$C,0)))</f>
        <v>Buy In-Region Products</v>
      </c>
      <c r="K384" s="394" t="str">
        <f>IF(ISBLANK(INDEX('Policy Characteristics'!E:E,MATCH($C384,'Policy Characteristics'!$C:$C,0))),"",INDEX('Policy Characteristics'!E:E,MATCH($C384,'Policy Characteristics'!$C:$C,0)))</f>
        <v>indst buy in region outputs</v>
      </c>
      <c r="L384" s="398">
        <f>IF(ISBLANK(INDEX('Policy Characteristics'!F:F,MATCH($C384,'Policy Characteristics'!$C:$C,0))),"",INDEX('Policy Characteristics'!F:F,MATCH($C384,'Policy Characteristics'!$C:$C,0)))</f>
        <v>0</v>
      </c>
      <c r="M384" s="398">
        <f>IF(ISBLANK(INDEX('Policy Characteristics'!G:G,MATCH($C384,'Policy Characteristics'!$C:$C,0))),"",INDEX('Policy Characteristics'!G:G,MATCH($C384,'Policy Characteristics'!$C:$C,0)))</f>
        <v>0.5</v>
      </c>
      <c r="N384" s="398">
        <f>IF(ISBLANK(INDEX('Policy Characteristics'!H:H,MATCH($C384,'Policy Characteristics'!$C:$C,0))),"",INDEX('Policy Characteristics'!H:H,MATCH($C384,'Policy Characteristics'!$C:$C,0)))</f>
        <v>0.01</v>
      </c>
      <c r="O384" s="394" t="str">
        <f>IF(ISBLANK(INDEX('Policy Characteristics'!I:I,MATCH($C384,'Policy Characteristics'!$C:$C,0))),"",INDEX('Policy Characteristics'!I:I,MATCH($C384,'Policy Characteristics'!$C:$C,0)))</f>
        <v>% of imports shifted</v>
      </c>
      <c r="P384" s="394" t="str">
        <f>IF(ISBLANK(INDEX('Policy Characteristics'!J:J,MATCH($C384,'Policy Characteristics'!$C:$C,0))),"",INDEX('Policy Characteristics'!J:J,MATCH($C384,'Policy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4" s="394" t="str">
        <f>IF(ISBLANK(INDEX('Policy Characteristics'!K:K,MATCH($C384,'Policy Characteristics'!$C:$C,0))),"",INDEX('Policy Characteristics'!K:K,MATCH($C384,'Policy Characteristics'!$C:$C,0)))</f>
        <v/>
      </c>
      <c r="R384" s="394" t="str">
        <f>IF(ISBLANK(INDEX('Policy Characteristics'!L:L,MATCH($C384,'Policy Characteristics'!$C:$C,0))),"",INDEX('Policy Characteristics'!L:L,MATCH($C384,'Policy Characteristics'!$C:$C,0)))</f>
        <v/>
      </c>
    </row>
    <row r="385" customHeight="1" spans="1:18">
      <c r="A385" s="394" t="str">
        <f>IF(ISBLANK(INDEX('Policy Characteristics'!A:A,MATCH($C385,'Policy Characteristics'!$C:$C,0))),"",INDEX('Policy Characteristics'!A:A,MATCH($C385,'Policy Characteristics'!$C:$C,0)))</f>
        <v>Industry</v>
      </c>
      <c r="B385" s="395" t="str">
        <f>IF(ISBLANK(INDEX('Policy Characteristics'!B:B,MATCH($C385,'Policy Characteristics'!$C:$C,0))),"",INDEX('Policy Characteristics'!B:B,MATCH($C385,'Policy Characteristics'!$C:$C,0)))</f>
        <v>Buy In-Region Products</v>
      </c>
      <c r="C385" s="394" t="str">
        <f t="shared" si="27"/>
        <v>Fraction of Imported Industrial Outputs Shifted to In Region Suppliers</v>
      </c>
      <c r="D385" s="399" t="s">
        <v>752</v>
      </c>
      <c r="E385" s="399"/>
      <c r="F385" t="s">
        <v>753</v>
      </c>
      <c r="G385" s="401"/>
      <c r="H385" s="377">
        <v>1544</v>
      </c>
      <c r="I385" s="396" t="s">
        <v>648</v>
      </c>
      <c r="J385" s="397" t="str">
        <f>IF(ISBLANK(INDEX('Policy Characteristics'!D:D,MATCH($C385,'Policy Characteristics'!$C:$C,0))),"",INDEX('Policy Characteristics'!D:D,MATCH($C385,'Policy Characteristics'!$C:$C,0)))</f>
        <v>Buy In-Region Products</v>
      </c>
      <c r="K385" s="394" t="str">
        <f>IF(ISBLANK(INDEX('Policy Characteristics'!E:E,MATCH($C385,'Policy Characteristics'!$C:$C,0))),"",INDEX('Policy Characteristics'!E:E,MATCH($C385,'Policy Characteristics'!$C:$C,0)))</f>
        <v>indst buy in region outputs</v>
      </c>
      <c r="L385" s="398">
        <f>IF(ISBLANK(INDEX('Policy Characteristics'!F:F,MATCH($C385,'Policy Characteristics'!$C:$C,0))),"",INDEX('Policy Characteristics'!F:F,MATCH($C385,'Policy Characteristics'!$C:$C,0)))</f>
        <v>0</v>
      </c>
      <c r="M385" s="398">
        <f>IF(ISBLANK(INDEX('Policy Characteristics'!G:G,MATCH($C385,'Policy Characteristics'!$C:$C,0))),"",INDEX('Policy Characteristics'!G:G,MATCH($C385,'Policy Characteristics'!$C:$C,0)))</f>
        <v>0.5</v>
      </c>
      <c r="N385" s="398">
        <f>IF(ISBLANK(INDEX('Policy Characteristics'!H:H,MATCH($C385,'Policy Characteristics'!$C:$C,0))),"",INDEX('Policy Characteristics'!H:H,MATCH($C385,'Policy Characteristics'!$C:$C,0)))</f>
        <v>0.01</v>
      </c>
      <c r="O385" s="394" t="str">
        <f>IF(ISBLANK(INDEX('Policy Characteristics'!I:I,MATCH($C385,'Policy Characteristics'!$C:$C,0))),"",INDEX('Policy Characteristics'!I:I,MATCH($C385,'Policy Characteristics'!$C:$C,0)))</f>
        <v>% of imports shifted</v>
      </c>
      <c r="P385" s="394" t="str">
        <f>IF(ISBLANK(INDEX('Policy Characteristics'!J:J,MATCH($C385,'Policy Characteristics'!$C:$C,0))),"",INDEX('Policy Characteristics'!J:J,MATCH($C385,'Policy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5" s="394" t="str">
        <f>IF(ISBLANK(INDEX('Policy Characteristics'!K:K,MATCH($C385,'Policy Characteristics'!$C:$C,0))),"",INDEX('Policy Characteristics'!K:K,MATCH($C385,'Policy Characteristics'!$C:$C,0)))</f>
        <v/>
      </c>
      <c r="R385" s="394" t="str">
        <f>IF(ISBLANK(INDEX('Policy Characteristics'!L:L,MATCH($C385,'Policy Characteristics'!$C:$C,0))),"",INDEX('Policy Characteristics'!L:L,MATCH($C385,'Policy Characteristics'!$C:$C,0)))</f>
        <v/>
      </c>
    </row>
    <row r="386" customHeight="1" spans="1:18">
      <c r="A386" s="394" t="str">
        <f>IF(ISBLANK(INDEX('Policy Characteristics'!A:A,MATCH($C386,'Policy Characteristics'!$C:$C,0))),"",INDEX('Policy Characteristics'!A:A,MATCH($C386,'Policy Characteristics'!$C:$C,0)))</f>
        <v>Industry</v>
      </c>
      <c r="B386" s="395" t="str">
        <f>IF(ISBLANK(INDEX('Policy Characteristics'!B:B,MATCH($C386,'Policy Characteristics'!$C:$C,0))),"",INDEX('Policy Characteristics'!B:B,MATCH($C386,'Policy Characteristics'!$C:$C,0)))</f>
        <v>Buy In-Region Products</v>
      </c>
      <c r="C386" s="394" t="str">
        <f t="shared" si="27"/>
        <v>Fraction of Imported Industrial Outputs Shifted to In Region Suppliers</v>
      </c>
      <c r="D386" s="399" t="s">
        <v>754</v>
      </c>
      <c r="E386" s="399"/>
      <c r="F386" t="s">
        <v>755</v>
      </c>
      <c r="G386" s="401"/>
      <c r="H386" s="377">
        <v>1545</v>
      </c>
      <c r="I386" s="396" t="s">
        <v>648</v>
      </c>
      <c r="J386" s="397" t="str">
        <f>IF(ISBLANK(INDEX('Policy Characteristics'!D:D,MATCH($C386,'Policy Characteristics'!$C:$C,0))),"",INDEX('Policy Characteristics'!D:D,MATCH($C386,'Policy Characteristics'!$C:$C,0)))</f>
        <v>Buy In-Region Products</v>
      </c>
      <c r="K386" s="394" t="str">
        <f>IF(ISBLANK(INDEX('Policy Characteristics'!E:E,MATCH($C386,'Policy Characteristics'!$C:$C,0))),"",INDEX('Policy Characteristics'!E:E,MATCH($C386,'Policy Characteristics'!$C:$C,0)))</f>
        <v>indst buy in region outputs</v>
      </c>
      <c r="L386" s="398">
        <f>IF(ISBLANK(INDEX('Policy Characteristics'!F:F,MATCH($C386,'Policy Characteristics'!$C:$C,0))),"",INDEX('Policy Characteristics'!F:F,MATCH($C386,'Policy Characteristics'!$C:$C,0)))</f>
        <v>0</v>
      </c>
      <c r="M386" s="398">
        <f>IF(ISBLANK(INDEX('Policy Characteristics'!G:G,MATCH($C386,'Policy Characteristics'!$C:$C,0))),"",INDEX('Policy Characteristics'!G:G,MATCH($C386,'Policy Characteristics'!$C:$C,0)))</f>
        <v>0.5</v>
      </c>
      <c r="N386" s="398">
        <f>IF(ISBLANK(INDEX('Policy Characteristics'!H:H,MATCH($C386,'Policy Characteristics'!$C:$C,0))),"",INDEX('Policy Characteristics'!H:H,MATCH($C386,'Policy Characteristics'!$C:$C,0)))</f>
        <v>0.01</v>
      </c>
      <c r="O386" s="394" t="str">
        <f>IF(ISBLANK(INDEX('Policy Characteristics'!I:I,MATCH($C386,'Policy Characteristics'!$C:$C,0))),"",INDEX('Policy Characteristics'!I:I,MATCH($C386,'Policy Characteristics'!$C:$C,0)))</f>
        <v>% of imports shifted</v>
      </c>
      <c r="P386" s="394" t="str">
        <f>IF(ISBLANK(INDEX('Policy Characteristics'!J:J,MATCH($C386,'Policy Characteristics'!$C:$C,0))),"",INDEX('Policy Characteristics'!J:J,MATCH($C386,'Policy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6" s="394" t="str">
        <f>IF(ISBLANK(INDEX('Policy Characteristics'!K:K,MATCH($C386,'Policy Characteristics'!$C:$C,0))),"",INDEX('Policy Characteristics'!K:K,MATCH($C386,'Policy Characteristics'!$C:$C,0)))</f>
        <v/>
      </c>
      <c r="R386" s="394" t="str">
        <f>IF(ISBLANK(INDEX('Policy Characteristics'!L:L,MATCH($C386,'Policy Characteristics'!$C:$C,0))),"",INDEX('Policy Characteristics'!L:L,MATCH($C386,'Policy Characteristics'!$C:$C,0)))</f>
        <v/>
      </c>
    </row>
    <row r="387" customHeight="1" spans="1:18">
      <c r="A387" s="394" t="str">
        <f>IF(ISBLANK(INDEX('Policy Characteristics'!A:A,MATCH($C387,'Policy Characteristics'!$C:$C,0))),"",INDEX('Policy Characteristics'!A:A,MATCH($C387,'Policy Characteristics'!$C:$C,0)))</f>
        <v>Industry</v>
      </c>
      <c r="B387" s="395" t="str">
        <f>IF(ISBLANK(INDEX('Policy Characteristics'!B:B,MATCH($C387,'Policy Characteristics'!$C:$C,0))),"",INDEX('Policy Characteristics'!B:B,MATCH($C387,'Policy Characteristics'!$C:$C,0)))</f>
        <v>Buy In-Region Products</v>
      </c>
      <c r="C387" s="394" t="str">
        <f t="shared" si="27"/>
        <v>Fraction of Imported Industrial Outputs Shifted to In Region Suppliers</v>
      </c>
      <c r="D387" s="399" t="s">
        <v>756</v>
      </c>
      <c r="E387" s="399"/>
      <c r="F387" t="s">
        <v>757</v>
      </c>
      <c r="G387" s="401"/>
      <c r="H387" s="377">
        <v>1546</v>
      </c>
      <c r="I387" s="396" t="s">
        <v>648</v>
      </c>
      <c r="J387" s="397" t="str">
        <f>IF(ISBLANK(INDEX('Policy Characteristics'!D:D,MATCH($C387,'Policy Characteristics'!$C:$C,0))),"",INDEX('Policy Characteristics'!D:D,MATCH($C387,'Policy Characteristics'!$C:$C,0)))</f>
        <v>Buy In-Region Products</v>
      </c>
      <c r="K387" s="394" t="str">
        <f>IF(ISBLANK(INDEX('Policy Characteristics'!E:E,MATCH($C387,'Policy Characteristics'!$C:$C,0))),"",INDEX('Policy Characteristics'!E:E,MATCH($C387,'Policy Characteristics'!$C:$C,0)))</f>
        <v>indst buy in region outputs</v>
      </c>
      <c r="L387" s="398">
        <f>IF(ISBLANK(INDEX('Policy Characteristics'!F:F,MATCH($C387,'Policy Characteristics'!$C:$C,0))),"",INDEX('Policy Characteristics'!F:F,MATCH($C387,'Policy Characteristics'!$C:$C,0)))</f>
        <v>0</v>
      </c>
      <c r="M387" s="398">
        <f>IF(ISBLANK(INDEX('Policy Characteristics'!G:G,MATCH($C387,'Policy Characteristics'!$C:$C,0))),"",INDEX('Policy Characteristics'!G:G,MATCH($C387,'Policy Characteristics'!$C:$C,0)))</f>
        <v>0.5</v>
      </c>
      <c r="N387" s="398">
        <f>IF(ISBLANK(INDEX('Policy Characteristics'!H:H,MATCH($C387,'Policy Characteristics'!$C:$C,0))),"",INDEX('Policy Characteristics'!H:H,MATCH($C387,'Policy Characteristics'!$C:$C,0)))</f>
        <v>0.01</v>
      </c>
      <c r="O387" s="394" t="str">
        <f>IF(ISBLANK(INDEX('Policy Characteristics'!I:I,MATCH($C387,'Policy Characteristics'!$C:$C,0))),"",INDEX('Policy Characteristics'!I:I,MATCH($C387,'Policy Characteristics'!$C:$C,0)))</f>
        <v>% of imports shifted</v>
      </c>
      <c r="P387" s="394" t="str">
        <f>IF(ISBLANK(INDEX('Policy Characteristics'!J:J,MATCH($C387,'Policy Characteristics'!$C:$C,0))),"",INDEX('Policy Characteristics'!J:J,MATCH($C387,'Policy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7" s="394" t="str">
        <f>IF(ISBLANK(INDEX('Policy Characteristics'!K:K,MATCH($C387,'Policy Characteristics'!$C:$C,0))),"",INDEX('Policy Characteristics'!K:K,MATCH($C387,'Policy Characteristics'!$C:$C,0)))</f>
        <v/>
      </c>
      <c r="R387" s="394" t="str">
        <f>IF(ISBLANK(INDEX('Policy Characteristics'!L:L,MATCH($C387,'Policy Characteristics'!$C:$C,0))),"",INDEX('Policy Characteristics'!L:L,MATCH($C387,'Policy Characteristics'!$C:$C,0)))</f>
        <v/>
      </c>
    </row>
    <row r="388" customHeight="1" spans="1:18">
      <c r="A388" s="394" t="str">
        <f>IF(ISBLANK(INDEX('Policy Characteristics'!A:A,MATCH($C388,'Policy Characteristics'!$C:$C,0))),"",INDEX('Policy Characteristics'!A:A,MATCH($C388,'Policy Characteristics'!$C:$C,0)))</f>
        <v>Industry</v>
      </c>
      <c r="B388" s="395" t="str">
        <f>IF(ISBLANK(INDEX('Policy Characteristics'!B:B,MATCH($C388,'Policy Characteristics'!$C:$C,0))),"",INDEX('Policy Characteristics'!B:B,MATCH($C388,'Policy Characteristics'!$C:$C,0)))</f>
        <v>Buy In-Region Products</v>
      </c>
      <c r="C388" s="394" t="str">
        <f t="shared" si="27"/>
        <v>Fraction of Imported Industrial Outputs Shifted to In Region Suppliers</v>
      </c>
      <c r="D388" s="399" t="s">
        <v>758</v>
      </c>
      <c r="E388" s="399"/>
      <c r="F388" t="s">
        <v>759</v>
      </c>
      <c r="G388" s="401"/>
      <c r="H388" s="377">
        <v>1547</v>
      </c>
      <c r="I388" s="396" t="s">
        <v>648</v>
      </c>
      <c r="J388" s="397" t="str">
        <f>IF(ISBLANK(INDEX('Policy Characteristics'!D:D,MATCH($C388,'Policy Characteristics'!$C:$C,0))),"",INDEX('Policy Characteristics'!D:D,MATCH($C388,'Policy Characteristics'!$C:$C,0)))</f>
        <v>Buy In-Region Products</v>
      </c>
      <c r="K388" s="394" t="str">
        <f>IF(ISBLANK(INDEX('Policy Characteristics'!E:E,MATCH($C388,'Policy Characteristics'!$C:$C,0))),"",INDEX('Policy Characteristics'!E:E,MATCH($C388,'Policy Characteristics'!$C:$C,0)))</f>
        <v>indst buy in region outputs</v>
      </c>
      <c r="L388" s="398">
        <f>IF(ISBLANK(INDEX('Policy Characteristics'!F:F,MATCH($C388,'Policy Characteristics'!$C:$C,0))),"",INDEX('Policy Characteristics'!F:F,MATCH($C388,'Policy Characteristics'!$C:$C,0)))</f>
        <v>0</v>
      </c>
      <c r="M388" s="398">
        <f>IF(ISBLANK(INDEX('Policy Characteristics'!G:G,MATCH($C388,'Policy Characteristics'!$C:$C,0))),"",INDEX('Policy Characteristics'!G:G,MATCH($C388,'Policy Characteristics'!$C:$C,0)))</f>
        <v>0.5</v>
      </c>
      <c r="N388" s="398">
        <f>IF(ISBLANK(INDEX('Policy Characteristics'!H:H,MATCH($C388,'Policy Characteristics'!$C:$C,0))),"",INDEX('Policy Characteristics'!H:H,MATCH($C388,'Policy Characteristics'!$C:$C,0)))</f>
        <v>0.01</v>
      </c>
      <c r="O388" s="394" t="str">
        <f>IF(ISBLANK(INDEX('Policy Characteristics'!I:I,MATCH($C388,'Policy Characteristics'!$C:$C,0))),"",INDEX('Policy Characteristics'!I:I,MATCH($C388,'Policy Characteristics'!$C:$C,0)))</f>
        <v>% of imports shifted</v>
      </c>
      <c r="P388" s="394" t="str">
        <f>IF(ISBLANK(INDEX('Policy Characteristics'!J:J,MATCH($C388,'Policy Characteristics'!$C:$C,0))),"",INDEX('Policy Characteristics'!J:J,MATCH($C388,'Policy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8" s="394" t="str">
        <f>IF(ISBLANK(INDEX('Policy Characteristics'!K:K,MATCH($C388,'Policy Characteristics'!$C:$C,0))),"",INDEX('Policy Characteristics'!K:K,MATCH($C388,'Policy Characteristics'!$C:$C,0)))</f>
        <v/>
      </c>
      <c r="R388" s="394" t="str">
        <f>IF(ISBLANK(INDEX('Policy Characteristics'!L:L,MATCH($C388,'Policy Characteristics'!$C:$C,0))),"",INDEX('Policy Characteristics'!L:L,MATCH($C388,'Policy Characteristics'!$C:$C,0)))</f>
        <v/>
      </c>
    </row>
    <row r="389" customHeight="1" spans="1:18">
      <c r="A389" s="394" t="str">
        <f>IF(ISBLANK(INDEX('Policy Characteristics'!A:A,MATCH($C389,'Policy Characteristics'!$C:$C,0))),"",INDEX('Policy Characteristics'!A:A,MATCH($C389,'Policy Characteristics'!$C:$C,0)))</f>
        <v>Industry</v>
      </c>
      <c r="B389" s="395" t="str">
        <f>IF(ISBLANK(INDEX('Policy Characteristics'!B:B,MATCH($C389,'Policy Characteristics'!$C:$C,0))),"",INDEX('Policy Characteristics'!B:B,MATCH($C389,'Policy Characteristics'!$C:$C,0)))</f>
        <v>Buy In-Region Products</v>
      </c>
      <c r="C389" s="394" t="str">
        <f t="shared" si="27"/>
        <v>Fraction of Imported Industrial Outputs Shifted to In Region Suppliers</v>
      </c>
      <c r="D389" s="399" t="s">
        <v>760</v>
      </c>
      <c r="E389" s="399"/>
      <c r="F389" s="366" t="s">
        <v>761</v>
      </c>
      <c r="G389" s="401"/>
      <c r="H389" s="377">
        <v>1548</v>
      </c>
      <c r="I389" s="396" t="s">
        <v>648</v>
      </c>
      <c r="J389" s="397" t="str">
        <f>IF(ISBLANK(INDEX('Policy Characteristics'!D:D,MATCH($C389,'Policy Characteristics'!$C:$C,0))),"",INDEX('Policy Characteristics'!D:D,MATCH($C389,'Policy Characteristics'!$C:$C,0)))</f>
        <v>Buy In-Region Products</v>
      </c>
      <c r="K389" s="394" t="str">
        <f>IF(ISBLANK(INDEX('Policy Characteristics'!E:E,MATCH($C389,'Policy Characteristics'!$C:$C,0))),"",INDEX('Policy Characteristics'!E:E,MATCH($C389,'Policy Characteristics'!$C:$C,0)))</f>
        <v>indst buy in region outputs</v>
      </c>
      <c r="L389" s="398">
        <f>IF(ISBLANK(INDEX('Policy Characteristics'!F:F,MATCH($C389,'Policy Characteristics'!$C:$C,0))),"",INDEX('Policy Characteristics'!F:F,MATCH($C389,'Policy Characteristics'!$C:$C,0)))</f>
        <v>0</v>
      </c>
      <c r="M389" s="398">
        <f>IF(ISBLANK(INDEX('Policy Characteristics'!G:G,MATCH($C389,'Policy Characteristics'!$C:$C,0))),"",INDEX('Policy Characteristics'!G:G,MATCH($C389,'Policy Characteristics'!$C:$C,0)))</f>
        <v>0.5</v>
      </c>
      <c r="N389" s="398">
        <f>IF(ISBLANK(INDEX('Policy Characteristics'!H:H,MATCH($C389,'Policy Characteristics'!$C:$C,0))),"",INDEX('Policy Characteristics'!H:H,MATCH($C389,'Policy Characteristics'!$C:$C,0)))</f>
        <v>0.01</v>
      </c>
      <c r="O389" s="394" t="str">
        <f>IF(ISBLANK(INDEX('Policy Characteristics'!I:I,MATCH($C389,'Policy Characteristics'!$C:$C,0))),"",INDEX('Policy Characteristics'!I:I,MATCH($C389,'Policy Characteristics'!$C:$C,0)))</f>
        <v>% of imports shifted</v>
      </c>
      <c r="P389" s="394" t="str">
        <f>IF(ISBLANK(INDEX('Policy Characteristics'!J:J,MATCH($C389,'Policy Characteristics'!$C:$C,0))),"",INDEX('Policy Characteristics'!J:J,MATCH($C389,'Policy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9" s="394" t="str">
        <f>IF(ISBLANK(INDEX('Policy Characteristics'!K:K,MATCH($C389,'Policy Characteristics'!$C:$C,0))),"",INDEX('Policy Characteristics'!K:K,MATCH($C389,'Policy Characteristics'!$C:$C,0)))</f>
        <v/>
      </c>
      <c r="R389" s="394" t="str">
        <f>IF(ISBLANK(INDEX('Policy Characteristics'!L:L,MATCH($C389,'Policy Characteristics'!$C:$C,0))),"",INDEX('Policy Characteristics'!L:L,MATCH($C389,'Policy Characteristics'!$C:$C,0)))</f>
        <v/>
      </c>
    </row>
    <row r="390" customHeight="1" spans="1:18">
      <c r="A390" s="394" t="str">
        <f>IF(ISBLANK(INDEX('Policy Characteristics'!A:A,MATCH($C390,'Policy Characteristics'!$C:$C,0))),"",INDEX('Policy Characteristics'!A:A,MATCH($C390,'Policy Characteristics'!$C:$C,0)))</f>
        <v>Industry</v>
      </c>
      <c r="B390" s="395" t="str">
        <f>IF(ISBLANK(INDEX('Policy Characteristics'!B:B,MATCH($C390,'Policy Characteristics'!$C:$C,0))),"",INDEX('Policy Characteristics'!B:B,MATCH($C390,'Policy Characteristics'!$C:$C,0)))</f>
        <v>Buy In-Region Products</v>
      </c>
      <c r="C390" s="394" t="str">
        <f t="shared" si="27"/>
        <v>Fraction of Imported Industrial Outputs Shifted to In Region Suppliers</v>
      </c>
      <c r="D390" s="399" t="s">
        <v>762</v>
      </c>
      <c r="E390" s="399"/>
      <c r="F390" s="366" t="s">
        <v>763</v>
      </c>
      <c r="G390" s="401"/>
      <c r="H390" s="377">
        <v>1549</v>
      </c>
      <c r="I390" s="396" t="s">
        <v>648</v>
      </c>
      <c r="J390" s="397" t="str">
        <f>IF(ISBLANK(INDEX('Policy Characteristics'!D:D,MATCH($C390,'Policy Characteristics'!$C:$C,0))),"",INDEX('Policy Characteristics'!D:D,MATCH($C390,'Policy Characteristics'!$C:$C,0)))</f>
        <v>Buy In-Region Products</v>
      </c>
      <c r="K390" s="394" t="str">
        <f>IF(ISBLANK(INDEX('Policy Characteristics'!E:E,MATCH($C390,'Policy Characteristics'!$C:$C,0))),"",INDEX('Policy Characteristics'!E:E,MATCH($C390,'Policy Characteristics'!$C:$C,0)))</f>
        <v>indst buy in region outputs</v>
      </c>
      <c r="L390" s="398">
        <f>IF(ISBLANK(INDEX('Policy Characteristics'!F:F,MATCH($C390,'Policy Characteristics'!$C:$C,0))),"",INDEX('Policy Characteristics'!F:F,MATCH($C390,'Policy Characteristics'!$C:$C,0)))</f>
        <v>0</v>
      </c>
      <c r="M390" s="398">
        <f>IF(ISBLANK(INDEX('Policy Characteristics'!G:G,MATCH($C390,'Policy Characteristics'!$C:$C,0))),"",INDEX('Policy Characteristics'!G:G,MATCH($C390,'Policy Characteristics'!$C:$C,0)))</f>
        <v>0.5</v>
      </c>
      <c r="N390" s="398">
        <f>IF(ISBLANK(INDEX('Policy Characteristics'!H:H,MATCH($C390,'Policy Characteristics'!$C:$C,0))),"",INDEX('Policy Characteristics'!H:H,MATCH($C390,'Policy Characteristics'!$C:$C,0)))</f>
        <v>0.01</v>
      </c>
      <c r="O390" s="394" t="str">
        <f>IF(ISBLANK(INDEX('Policy Characteristics'!I:I,MATCH($C390,'Policy Characteristics'!$C:$C,0))),"",INDEX('Policy Characteristics'!I:I,MATCH($C390,'Policy Characteristics'!$C:$C,0)))</f>
        <v>% of imports shifted</v>
      </c>
      <c r="P390" s="394" t="str">
        <f>IF(ISBLANK(INDEX('Policy Characteristics'!J:J,MATCH($C390,'Policy Characteristics'!$C:$C,0))),"",INDEX('Policy Characteristics'!J:J,MATCH($C390,'Policy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0" s="394" t="str">
        <f>IF(ISBLANK(INDEX('Policy Characteristics'!K:K,MATCH($C390,'Policy Characteristics'!$C:$C,0))),"",INDEX('Policy Characteristics'!K:K,MATCH($C390,'Policy Characteristics'!$C:$C,0)))</f>
        <v/>
      </c>
      <c r="R390" s="394" t="str">
        <f>IF(ISBLANK(INDEX('Policy Characteristics'!L:L,MATCH($C390,'Policy Characteristics'!$C:$C,0))),"",INDEX('Policy Characteristics'!L:L,MATCH($C390,'Policy Characteristics'!$C:$C,0)))</f>
        <v/>
      </c>
    </row>
    <row r="391" customHeight="1" spans="1:18">
      <c r="A391" s="394" t="str">
        <f>IF(ISBLANK(INDEX('Policy Characteristics'!A:A,MATCH($C391,'Policy Characteristics'!$C:$C,0))),"",INDEX('Policy Characteristics'!A:A,MATCH($C391,'Policy Characteristics'!$C:$C,0)))</f>
        <v>Industry</v>
      </c>
      <c r="B391" s="395" t="str">
        <f>IF(ISBLANK(INDEX('Policy Characteristics'!B:B,MATCH($C391,'Policy Characteristics'!$C:$C,0))),"",INDEX('Policy Characteristics'!B:B,MATCH($C391,'Policy Characteristics'!$C:$C,0)))</f>
        <v>Buy In-Region Products</v>
      </c>
      <c r="C391" s="394" t="str">
        <f t="shared" si="27"/>
        <v>Fraction of Imported Industrial Outputs Shifted to In Region Suppliers</v>
      </c>
      <c r="D391" s="399" t="s">
        <v>764</v>
      </c>
      <c r="E391" s="399"/>
      <c r="F391" t="s">
        <v>765</v>
      </c>
      <c r="G391" s="401"/>
      <c r="H391" s="377">
        <v>1550</v>
      </c>
      <c r="I391" s="396" t="s">
        <v>648</v>
      </c>
      <c r="J391" s="397" t="str">
        <f>IF(ISBLANK(INDEX('Policy Characteristics'!D:D,MATCH($C391,'Policy Characteristics'!$C:$C,0))),"",INDEX('Policy Characteristics'!D:D,MATCH($C391,'Policy Characteristics'!$C:$C,0)))</f>
        <v>Buy In-Region Products</v>
      </c>
      <c r="K391" s="394" t="str">
        <f>IF(ISBLANK(INDEX('Policy Characteristics'!E:E,MATCH($C391,'Policy Characteristics'!$C:$C,0))),"",INDEX('Policy Characteristics'!E:E,MATCH($C391,'Policy Characteristics'!$C:$C,0)))</f>
        <v>indst buy in region outputs</v>
      </c>
      <c r="L391" s="398">
        <f>IF(ISBLANK(INDEX('Policy Characteristics'!F:F,MATCH($C391,'Policy Characteristics'!$C:$C,0))),"",INDEX('Policy Characteristics'!F:F,MATCH($C391,'Policy Characteristics'!$C:$C,0)))</f>
        <v>0</v>
      </c>
      <c r="M391" s="398">
        <f>IF(ISBLANK(INDEX('Policy Characteristics'!G:G,MATCH($C391,'Policy Characteristics'!$C:$C,0))),"",INDEX('Policy Characteristics'!G:G,MATCH($C391,'Policy Characteristics'!$C:$C,0)))</f>
        <v>0.5</v>
      </c>
      <c r="N391" s="398">
        <f>IF(ISBLANK(INDEX('Policy Characteristics'!H:H,MATCH($C391,'Policy Characteristics'!$C:$C,0))),"",INDEX('Policy Characteristics'!H:H,MATCH($C391,'Policy Characteristics'!$C:$C,0)))</f>
        <v>0.01</v>
      </c>
      <c r="O391" s="394" t="str">
        <f>IF(ISBLANK(INDEX('Policy Characteristics'!I:I,MATCH($C391,'Policy Characteristics'!$C:$C,0))),"",INDEX('Policy Characteristics'!I:I,MATCH($C391,'Policy Characteristics'!$C:$C,0)))</f>
        <v>% of imports shifted</v>
      </c>
      <c r="P391" s="394" t="str">
        <f>IF(ISBLANK(INDEX('Policy Characteristics'!J:J,MATCH($C391,'Policy Characteristics'!$C:$C,0))),"",INDEX('Policy Characteristics'!J:J,MATCH($C391,'Policy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1" s="394" t="str">
        <f>IF(ISBLANK(INDEX('Policy Characteristics'!K:K,MATCH($C391,'Policy Characteristics'!$C:$C,0))),"",INDEX('Policy Characteristics'!K:K,MATCH($C391,'Policy Characteristics'!$C:$C,0)))</f>
        <v/>
      </c>
      <c r="R391" s="394" t="str">
        <f>IF(ISBLANK(INDEX('Policy Characteristics'!L:L,MATCH($C391,'Policy Characteristics'!$C:$C,0))),"",INDEX('Policy Characteristics'!L:L,MATCH($C391,'Policy Characteristics'!$C:$C,0)))</f>
        <v/>
      </c>
    </row>
    <row r="392" customHeight="1" spans="1:18">
      <c r="A392" s="394" t="str">
        <f>IF(ISBLANK(INDEX('Policy Characteristics'!A:A,MATCH($C392,'Policy Characteristics'!$C:$C,0))),"",INDEX('Policy Characteristics'!A:A,MATCH($C392,'Policy Characteristics'!$C:$C,0)))</f>
        <v>Industry</v>
      </c>
      <c r="B392" s="395" t="str">
        <f>IF(ISBLANK(INDEX('Policy Characteristics'!B:B,MATCH($C392,'Policy Characteristics'!$C:$C,0))),"",INDEX('Policy Characteristics'!B:B,MATCH($C392,'Policy Characteristics'!$C:$C,0)))</f>
        <v>Buy In-Region Products</v>
      </c>
      <c r="C392" s="394" t="str">
        <f t="shared" si="27"/>
        <v>Fraction of Imported Industrial Outputs Shifted to In Region Suppliers</v>
      </c>
      <c r="D392" s="399" t="s">
        <v>766</v>
      </c>
      <c r="E392" s="399"/>
      <c r="F392" t="s">
        <v>767</v>
      </c>
      <c r="G392" s="401"/>
      <c r="H392" s="377">
        <v>1551</v>
      </c>
      <c r="I392" s="396" t="s">
        <v>648</v>
      </c>
      <c r="J392" s="397" t="str">
        <f>IF(ISBLANK(INDEX('Policy Characteristics'!D:D,MATCH($C392,'Policy Characteristics'!$C:$C,0))),"",INDEX('Policy Characteristics'!D:D,MATCH($C392,'Policy Characteristics'!$C:$C,0)))</f>
        <v>Buy In-Region Products</v>
      </c>
      <c r="K392" s="394" t="str">
        <f>IF(ISBLANK(INDEX('Policy Characteristics'!E:E,MATCH($C392,'Policy Characteristics'!$C:$C,0))),"",INDEX('Policy Characteristics'!E:E,MATCH($C392,'Policy Characteristics'!$C:$C,0)))</f>
        <v>indst buy in region outputs</v>
      </c>
      <c r="L392" s="398">
        <f>IF(ISBLANK(INDEX('Policy Characteristics'!F:F,MATCH($C392,'Policy Characteristics'!$C:$C,0))),"",INDEX('Policy Characteristics'!F:F,MATCH($C392,'Policy Characteristics'!$C:$C,0)))</f>
        <v>0</v>
      </c>
      <c r="M392" s="398">
        <f>IF(ISBLANK(INDEX('Policy Characteristics'!G:G,MATCH($C392,'Policy Characteristics'!$C:$C,0))),"",INDEX('Policy Characteristics'!G:G,MATCH($C392,'Policy Characteristics'!$C:$C,0)))</f>
        <v>0.5</v>
      </c>
      <c r="N392" s="398">
        <f>IF(ISBLANK(INDEX('Policy Characteristics'!H:H,MATCH($C392,'Policy Characteristics'!$C:$C,0))),"",INDEX('Policy Characteristics'!H:H,MATCH($C392,'Policy Characteristics'!$C:$C,0)))</f>
        <v>0.01</v>
      </c>
      <c r="O392" s="394" t="str">
        <f>IF(ISBLANK(INDEX('Policy Characteristics'!I:I,MATCH($C392,'Policy Characteristics'!$C:$C,0))),"",INDEX('Policy Characteristics'!I:I,MATCH($C392,'Policy Characteristics'!$C:$C,0)))</f>
        <v>% of imports shifted</v>
      </c>
      <c r="P392" s="394" t="str">
        <f>IF(ISBLANK(INDEX('Policy Characteristics'!J:J,MATCH($C392,'Policy Characteristics'!$C:$C,0))),"",INDEX('Policy Characteristics'!J:J,MATCH($C392,'Policy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2" s="394" t="str">
        <f>IF(ISBLANK(INDEX('Policy Characteristics'!K:K,MATCH($C392,'Policy Characteristics'!$C:$C,0))),"",INDEX('Policy Characteristics'!K:K,MATCH($C392,'Policy Characteristics'!$C:$C,0)))</f>
        <v/>
      </c>
      <c r="R392" s="394" t="str">
        <f>IF(ISBLANK(INDEX('Policy Characteristics'!L:L,MATCH($C392,'Policy Characteristics'!$C:$C,0))),"",INDEX('Policy Characteristics'!L:L,MATCH($C392,'Policy Characteristics'!$C:$C,0)))</f>
        <v/>
      </c>
    </row>
    <row r="393" customHeight="1" spans="1:18">
      <c r="A393" s="394" t="str">
        <f>IF(ISBLANK(INDEX('Policy Characteristics'!A:A,MATCH($C393,'Policy Characteristics'!$C:$C,0))),"",INDEX('Policy Characteristics'!A:A,MATCH($C393,'Policy Characteristics'!$C:$C,0)))</f>
        <v>Industry</v>
      </c>
      <c r="B393" s="395" t="str">
        <f>IF(ISBLANK(INDEX('Policy Characteristics'!B:B,MATCH($C393,'Policy Characteristics'!$C:$C,0))),"",INDEX('Policy Characteristics'!B:B,MATCH($C393,'Policy Characteristics'!$C:$C,0)))</f>
        <v>Buy In-Region Products</v>
      </c>
      <c r="C393" s="394" t="str">
        <f t="shared" si="27"/>
        <v>Fraction of Imported Industrial Outputs Shifted to In Region Suppliers</v>
      </c>
      <c r="D393" s="399" t="s">
        <v>768</v>
      </c>
      <c r="E393" s="399"/>
      <c r="F393" t="s">
        <v>769</v>
      </c>
      <c r="G393" s="401"/>
      <c r="H393" s="377">
        <v>1552</v>
      </c>
      <c r="I393" s="396" t="s">
        <v>648</v>
      </c>
      <c r="J393" s="397" t="str">
        <f>IF(ISBLANK(INDEX('Policy Characteristics'!D:D,MATCH($C393,'Policy Characteristics'!$C:$C,0))),"",INDEX('Policy Characteristics'!D:D,MATCH($C393,'Policy Characteristics'!$C:$C,0)))</f>
        <v>Buy In-Region Products</v>
      </c>
      <c r="K393" s="394" t="str">
        <f>IF(ISBLANK(INDEX('Policy Characteristics'!E:E,MATCH($C393,'Policy Characteristics'!$C:$C,0))),"",INDEX('Policy Characteristics'!E:E,MATCH($C393,'Policy Characteristics'!$C:$C,0)))</f>
        <v>indst buy in region outputs</v>
      </c>
      <c r="L393" s="398">
        <f>IF(ISBLANK(INDEX('Policy Characteristics'!F:F,MATCH($C393,'Policy Characteristics'!$C:$C,0))),"",INDEX('Policy Characteristics'!F:F,MATCH($C393,'Policy Characteristics'!$C:$C,0)))</f>
        <v>0</v>
      </c>
      <c r="M393" s="398">
        <f>IF(ISBLANK(INDEX('Policy Characteristics'!G:G,MATCH($C393,'Policy Characteristics'!$C:$C,0))),"",INDEX('Policy Characteristics'!G:G,MATCH($C393,'Policy Characteristics'!$C:$C,0)))</f>
        <v>0.5</v>
      </c>
      <c r="N393" s="398">
        <f>IF(ISBLANK(INDEX('Policy Characteristics'!H:H,MATCH($C393,'Policy Characteristics'!$C:$C,0))),"",INDEX('Policy Characteristics'!H:H,MATCH($C393,'Policy Characteristics'!$C:$C,0)))</f>
        <v>0.01</v>
      </c>
      <c r="O393" s="394" t="str">
        <f>IF(ISBLANK(INDEX('Policy Characteristics'!I:I,MATCH($C393,'Policy Characteristics'!$C:$C,0))),"",INDEX('Policy Characteristics'!I:I,MATCH($C393,'Policy Characteristics'!$C:$C,0)))</f>
        <v>% of imports shifted</v>
      </c>
      <c r="P393" s="394" t="str">
        <f>IF(ISBLANK(INDEX('Policy Characteristics'!J:J,MATCH($C393,'Policy Characteristics'!$C:$C,0))),"",INDEX('Policy Characteristics'!J:J,MATCH($C393,'Policy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3" s="394" t="str">
        <f>IF(ISBLANK(INDEX('Policy Characteristics'!K:K,MATCH($C393,'Policy Characteristics'!$C:$C,0))),"",INDEX('Policy Characteristics'!K:K,MATCH($C393,'Policy Characteristics'!$C:$C,0)))</f>
        <v/>
      </c>
      <c r="R393" s="394" t="str">
        <f>IF(ISBLANK(INDEX('Policy Characteristics'!L:L,MATCH($C393,'Policy Characteristics'!$C:$C,0))),"",INDEX('Policy Characteristics'!L:L,MATCH($C393,'Policy Characteristics'!$C:$C,0)))</f>
        <v/>
      </c>
    </row>
    <row r="394" customHeight="1" spans="1:18">
      <c r="A394" s="394" t="str">
        <f>IF(ISBLANK(INDEX('Policy Characteristics'!A:A,MATCH($C394,'Policy Characteristics'!$C:$C,0))),"",INDEX('Policy Characteristics'!A:A,MATCH($C394,'Policy Characteristics'!$C:$C,0)))</f>
        <v>Industry</v>
      </c>
      <c r="B394" s="395" t="str">
        <f>IF(ISBLANK(INDEX('Policy Characteristics'!B:B,MATCH($C394,'Policy Characteristics'!$C:$C,0))),"",INDEX('Policy Characteristics'!B:B,MATCH($C394,'Policy Characteristics'!$C:$C,0)))</f>
        <v>Buy In-Region Products</v>
      </c>
      <c r="C394" s="394" t="str">
        <f t="shared" si="27"/>
        <v>Fraction of Imported Industrial Outputs Shifted to In Region Suppliers</v>
      </c>
      <c r="D394" s="399" t="s">
        <v>770</v>
      </c>
      <c r="E394" s="399"/>
      <c r="F394" t="s">
        <v>771</v>
      </c>
      <c r="G394" s="401"/>
      <c r="H394" s="377">
        <v>1553</v>
      </c>
      <c r="I394" s="396" t="s">
        <v>648</v>
      </c>
      <c r="J394" s="397" t="str">
        <f>IF(ISBLANK(INDEX('Policy Characteristics'!D:D,MATCH($C394,'Policy Characteristics'!$C:$C,0))),"",INDEX('Policy Characteristics'!D:D,MATCH($C394,'Policy Characteristics'!$C:$C,0)))</f>
        <v>Buy In-Region Products</v>
      </c>
      <c r="K394" s="394" t="str">
        <f>IF(ISBLANK(INDEX('Policy Characteristics'!E:E,MATCH($C394,'Policy Characteristics'!$C:$C,0))),"",INDEX('Policy Characteristics'!E:E,MATCH($C394,'Policy Characteristics'!$C:$C,0)))</f>
        <v>indst buy in region outputs</v>
      </c>
      <c r="L394" s="398">
        <f>IF(ISBLANK(INDEX('Policy Characteristics'!F:F,MATCH($C394,'Policy Characteristics'!$C:$C,0))),"",INDEX('Policy Characteristics'!F:F,MATCH($C394,'Policy Characteristics'!$C:$C,0)))</f>
        <v>0</v>
      </c>
      <c r="M394" s="398">
        <f>IF(ISBLANK(INDEX('Policy Characteristics'!G:G,MATCH($C394,'Policy Characteristics'!$C:$C,0))),"",INDEX('Policy Characteristics'!G:G,MATCH($C394,'Policy Characteristics'!$C:$C,0)))</f>
        <v>0.5</v>
      </c>
      <c r="N394" s="398">
        <f>IF(ISBLANK(INDEX('Policy Characteristics'!H:H,MATCH($C394,'Policy Characteristics'!$C:$C,0))),"",INDEX('Policy Characteristics'!H:H,MATCH($C394,'Policy Characteristics'!$C:$C,0)))</f>
        <v>0.01</v>
      </c>
      <c r="O394" s="394" t="str">
        <f>IF(ISBLANK(INDEX('Policy Characteristics'!I:I,MATCH($C394,'Policy Characteristics'!$C:$C,0))),"",INDEX('Policy Characteristics'!I:I,MATCH($C394,'Policy Characteristics'!$C:$C,0)))</f>
        <v>% of imports shifted</v>
      </c>
      <c r="P394" s="394" t="str">
        <f>IF(ISBLANK(INDEX('Policy Characteristics'!J:J,MATCH($C394,'Policy Characteristics'!$C:$C,0))),"",INDEX('Policy Characteristics'!J:J,MATCH($C394,'Policy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4" s="394" t="str">
        <f>IF(ISBLANK(INDEX('Policy Characteristics'!K:K,MATCH($C394,'Policy Characteristics'!$C:$C,0))),"",INDEX('Policy Characteristics'!K:K,MATCH($C394,'Policy Characteristics'!$C:$C,0)))</f>
        <v/>
      </c>
      <c r="R394" s="394" t="str">
        <f>IF(ISBLANK(INDEX('Policy Characteristics'!L:L,MATCH($C394,'Policy Characteristics'!$C:$C,0))),"",INDEX('Policy Characteristics'!L:L,MATCH($C394,'Policy Characteristics'!$C:$C,0)))</f>
        <v/>
      </c>
    </row>
    <row r="395" customHeight="1" spans="1:18">
      <c r="A395" s="394" t="str">
        <f>IF(ISBLANK(INDEX('Policy Characteristics'!A:A,MATCH($C395,'Policy Characteristics'!$C:$C,0))),"",INDEX('Policy Characteristics'!A:A,MATCH($C395,'Policy Characteristics'!$C:$C,0)))</f>
        <v>Industry</v>
      </c>
      <c r="B395" s="395" t="str">
        <f>IF(ISBLANK(INDEX('Policy Characteristics'!B:B,MATCH($C395,'Policy Characteristics'!$C:$C,0))),"",INDEX('Policy Characteristics'!B:B,MATCH($C395,'Policy Characteristics'!$C:$C,0)))</f>
        <v>Buy In-Region Products</v>
      </c>
      <c r="C395" s="394" t="str">
        <f t="shared" si="27"/>
        <v>Fraction of Imported Industrial Outputs Shifted to In Region Suppliers</v>
      </c>
      <c r="D395" s="399" t="s">
        <v>772</v>
      </c>
      <c r="E395" s="399"/>
      <c r="F395" t="s">
        <v>773</v>
      </c>
      <c r="G395" s="401"/>
      <c r="H395" s="377">
        <v>1554</v>
      </c>
      <c r="I395" s="396" t="s">
        <v>648</v>
      </c>
      <c r="J395" s="397" t="str">
        <f>IF(ISBLANK(INDEX('Policy Characteristics'!D:D,MATCH($C395,'Policy Characteristics'!$C:$C,0))),"",INDEX('Policy Characteristics'!D:D,MATCH($C395,'Policy Characteristics'!$C:$C,0)))</f>
        <v>Buy In-Region Products</v>
      </c>
      <c r="K395" s="394" t="str">
        <f>IF(ISBLANK(INDEX('Policy Characteristics'!E:E,MATCH($C395,'Policy Characteristics'!$C:$C,0))),"",INDEX('Policy Characteristics'!E:E,MATCH($C395,'Policy Characteristics'!$C:$C,0)))</f>
        <v>indst buy in region outputs</v>
      </c>
      <c r="L395" s="398">
        <f>IF(ISBLANK(INDEX('Policy Characteristics'!F:F,MATCH($C395,'Policy Characteristics'!$C:$C,0))),"",INDEX('Policy Characteristics'!F:F,MATCH($C395,'Policy Characteristics'!$C:$C,0)))</f>
        <v>0</v>
      </c>
      <c r="M395" s="398">
        <f>IF(ISBLANK(INDEX('Policy Characteristics'!G:G,MATCH($C395,'Policy Characteristics'!$C:$C,0))),"",INDEX('Policy Characteristics'!G:G,MATCH($C395,'Policy Characteristics'!$C:$C,0)))</f>
        <v>0.5</v>
      </c>
      <c r="N395" s="398">
        <f>IF(ISBLANK(INDEX('Policy Characteristics'!H:H,MATCH($C395,'Policy Characteristics'!$C:$C,0))),"",INDEX('Policy Characteristics'!H:H,MATCH($C395,'Policy Characteristics'!$C:$C,0)))</f>
        <v>0.01</v>
      </c>
      <c r="O395" s="394" t="str">
        <f>IF(ISBLANK(INDEX('Policy Characteristics'!I:I,MATCH($C395,'Policy Characteristics'!$C:$C,0))),"",INDEX('Policy Characteristics'!I:I,MATCH($C395,'Policy Characteristics'!$C:$C,0)))</f>
        <v>% of imports shifted</v>
      </c>
      <c r="P395" s="394" t="str">
        <f>IF(ISBLANK(INDEX('Policy Characteristics'!J:J,MATCH($C395,'Policy Characteristics'!$C:$C,0))),"",INDEX('Policy Characteristics'!J:J,MATCH($C395,'Policy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5" s="394" t="str">
        <f>IF(ISBLANK(INDEX('Policy Characteristics'!K:K,MATCH($C395,'Policy Characteristics'!$C:$C,0))),"",INDEX('Policy Characteristics'!K:K,MATCH($C395,'Policy Characteristics'!$C:$C,0)))</f>
        <v/>
      </c>
      <c r="R395" s="394" t="str">
        <f>IF(ISBLANK(INDEX('Policy Characteristics'!L:L,MATCH($C395,'Policy Characteristics'!$C:$C,0))),"",INDEX('Policy Characteristics'!L:L,MATCH($C395,'Policy Characteristics'!$C:$C,0)))</f>
        <v/>
      </c>
    </row>
    <row r="396" customHeight="1" spans="1:18">
      <c r="A396" s="394" t="str">
        <f>IF(ISBLANK(INDEX('Policy Characteristics'!A:A,MATCH($C396,'Policy Characteristics'!$C:$C,0))),"",INDEX('Policy Characteristics'!A:A,MATCH($C396,'Policy Characteristics'!$C:$C,0)))</f>
        <v>Industry</v>
      </c>
      <c r="B396" s="395" t="str">
        <f>IF(ISBLANK(INDEX('Policy Characteristics'!B:B,MATCH($C396,'Policy Characteristics'!$C:$C,0))),"",INDEX('Policy Characteristics'!B:B,MATCH($C396,'Policy Characteristics'!$C:$C,0)))</f>
        <v>Buy In-Region Products</v>
      </c>
      <c r="C396" s="394" t="str">
        <f t="shared" si="27"/>
        <v>Fraction of Imported Industrial Outputs Shifted to In Region Suppliers</v>
      </c>
      <c r="D396" s="399" t="s">
        <v>774</v>
      </c>
      <c r="E396" s="399"/>
      <c r="F396" t="s">
        <v>775</v>
      </c>
      <c r="G396" s="401"/>
      <c r="H396" s="377">
        <v>1555</v>
      </c>
      <c r="I396" s="396" t="s">
        <v>648</v>
      </c>
      <c r="J396" s="397" t="str">
        <f>IF(ISBLANK(INDEX('Policy Characteristics'!D:D,MATCH($C396,'Policy Characteristics'!$C:$C,0))),"",INDEX('Policy Characteristics'!D:D,MATCH($C396,'Policy Characteristics'!$C:$C,0)))</f>
        <v>Buy In-Region Products</v>
      </c>
      <c r="K396" s="394" t="str">
        <f>IF(ISBLANK(INDEX('Policy Characteristics'!E:E,MATCH($C396,'Policy Characteristics'!$C:$C,0))),"",INDEX('Policy Characteristics'!E:E,MATCH($C396,'Policy Characteristics'!$C:$C,0)))</f>
        <v>indst buy in region outputs</v>
      </c>
      <c r="L396" s="398">
        <f>IF(ISBLANK(INDEX('Policy Characteristics'!F:F,MATCH($C396,'Policy Characteristics'!$C:$C,0))),"",INDEX('Policy Characteristics'!F:F,MATCH($C396,'Policy Characteristics'!$C:$C,0)))</f>
        <v>0</v>
      </c>
      <c r="M396" s="398">
        <f>IF(ISBLANK(INDEX('Policy Characteristics'!G:G,MATCH($C396,'Policy Characteristics'!$C:$C,0))),"",INDEX('Policy Characteristics'!G:G,MATCH($C396,'Policy Characteristics'!$C:$C,0)))</f>
        <v>0.5</v>
      </c>
      <c r="N396" s="398">
        <f>IF(ISBLANK(INDEX('Policy Characteristics'!H:H,MATCH($C396,'Policy Characteristics'!$C:$C,0))),"",INDEX('Policy Characteristics'!H:H,MATCH($C396,'Policy Characteristics'!$C:$C,0)))</f>
        <v>0.01</v>
      </c>
      <c r="O396" s="394" t="str">
        <f>IF(ISBLANK(INDEX('Policy Characteristics'!I:I,MATCH($C396,'Policy Characteristics'!$C:$C,0))),"",INDEX('Policy Characteristics'!I:I,MATCH($C396,'Policy Characteristics'!$C:$C,0)))</f>
        <v>% of imports shifted</v>
      </c>
      <c r="P396" s="394" t="str">
        <f>IF(ISBLANK(INDEX('Policy Characteristics'!J:J,MATCH($C396,'Policy Characteristics'!$C:$C,0))),"",INDEX('Policy Characteristics'!J:J,MATCH($C396,'Policy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6" s="394" t="str">
        <f>IF(ISBLANK(INDEX('Policy Characteristics'!K:K,MATCH($C396,'Policy Characteristics'!$C:$C,0))),"",INDEX('Policy Characteristics'!K:K,MATCH($C396,'Policy Characteristics'!$C:$C,0)))</f>
        <v/>
      </c>
      <c r="R396" s="394" t="str">
        <f>IF(ISBLANK(INDEX('Policy Characteristics'!L:L,MATCH($C396,'Policy Characteristics'!$C:$C,0))),"",INDEX('Policy Characteristics'!L:L,MATCH($C396,'Policy Characteristics'!$C:$C,0)))</f>
        <v/>
      </c>
    </row>
    <row r="397" customHeight="1" spans="1:18">
      <c r="A397" s="394" t="str">
        <f>IF(ISBLANK(INDEX('Policy Characteristics'!A:A,MATCH($C397,'Policy Characteristics'!$C:$C,0))),"",INDEX('Policy Characteristics'!A:A,MATCH($C397,'Policy Characteristics'!$C:$C,0)))</f>
        <v>Industry</v>
      </c>
      <c r="B397" s="395" t="str">
        <f>IF(ISBLANK(INDEX('Policy Characteristics'!B:B,MATCH($C397,'Policy Characteristics'!$C:$C,0))),"",INDEX('Policy Characteristics'!B:B,MATCH($C397,'Policy Characteristics'!$C:$C,0)))</f>
        <v>Buy In-Region Products</v>
      </c>
      <c r="C397" s="394" t="str">
        <f t="shared" si="27"/>
        <v>Fraction of Imported Industrial Outputs Shifted to In Region Suppliers</v>
      </c>
      <c r="D397" s="399" t="s">
        <v>776</v>
      </c>
      <c r="E397" s="399"/>
      <c r="F397" t="s">
        <v>777</v>
      </c>
      <c r="G397" s="401"/>
      <c r="H397" s="377">
        <v>1556</v>
      </c>
      <c r="I397" s="396" t="s">
        <v>648</v>
      </c>
      <c r="J397" s="397" t="str">
        <f>IF(ISBLANK(INDEX('Policy Characteristics'!D:D,MATCH($C397,'Policy Characteristics'!$C:$C,0))),"",INDEX('Policy Characteristics'!D:D,MATCH($C397,'Policy Characteristics'!$C:$C,0)))</f>
        <v>Buy In-Region Products</v>
      </c>
      <c r="K397" s="394" t="str">
        <f>IF(ISBLANK(INDEX('Policy Characteristics'!E:E,MATCH($C397,'Policy Characteristics'!$C:$C,0))),"",INDEX('Policy Characteristics'!E:E,MATCH($C397,'Policy Characteristics'!$C:$C,0)))</f>
        <v>indst buy in region outputs</v>
      </c>
      <c r="L397" s="398">
        <f>IF(ISBLANK(INDEX('Policy Characteristics'!F:F,MATCH($C397,'Policy Characteristics'!$C:$C,0))),"",INDEX('Policy Characteristics'!F:F,MATCH($C397,'Policy Characteristics'!$C:$C,0)))</f>
        <v>0</v>
      </c>
      <c r="M397" s="398">
        <f>IF(ISBLANK(INDEX('Policy Characteristics'!G:G,MATCH($C397,'Policy Characteristics'!$C:$C,0))),"",INDEX('Policy Characteristics'!G:G,MATCH($C397,'Policy Characteristics'!$C:$C,0)))</f>
        <v>0.5</v>
      </c>
      <c r="N397" s="398">
        <f>IF(ISBLANK(INDEX('Policy Characteristics'!H:H,MATCH($C397,'Policy Characteristics'!$C:$C,0))),"",INDEX('Policy Characteristics'!H:H,MATCH($C397,'Policy Characteristics'!$C:$C,0)))</f>
        <v>0.01</v>
      </c>
      <c r="O397" s="394" t="str">
        <f>IF(ISBLANK(INDEX('Policy Characteristics'!I:I,MATCH($C397,'Policy Characteristics'!$C:$C,0))),"",INDEX('Policy Characteristics'!I:I,MATCH($C397,'Policy Characteristics'!$C:$C,0)))</f>
        <v>% of imports shifted</v>
      </c>
      <c r="P397" s="394" t="str">
        <f>IF(ISBLANK(INDEX('Policy Characteristics'!J:J,MATCH($C397,'Policy Characteristics'!$C:$C,0))),"",INDEX('Policy Characteristics'!J:J,MATCH($C397,'Policy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7" s="394" t="str">
        <f>IF(ISBLANK(INDEX('Policy Characteristics'!K:K,MATCH($C397,'Policy Characteristics'!$C:$C,0))),"",INDEX('Policy Characteristics'!K:K,MATCH($C397,'Policy Characteristics'!$C:$C,0)))</f>
        <v/>
      </c>
      <c r="R397" s="394" t="str">
        <f>IF(ISBLANK(INDEX('Policy Characteristics'!L:L,MATCH($C397,'Policy Characteristics'!$C:$C,0))),"",INDEX('Policy Characteristics'!L:L,MATCH($C397,'Policy Characteristics'!$C:$C,0)))</f>
        <v/>
      </c>
    </row>
    <row r="398" customHeight="1" spans="1:18">
      <c r="A398" s="394" t="str">
        <f>IF(ISBLANK(INDEX('Policy Characteristics'!A:A,MATCH($C398,'Policy Characteristics'!$C:$C,0))),"",INDEX('Policy Characteristics'!A:A,MATCH($C398,'Policy Characteristics'!$C:$C,0)))</f>
        <v>Industry</v>
      </c>
      <c r="B398" s="395" t="str">
        <f>IF(ISBLANK(INDEX('Policy Characteristics'!B:B,MATCH($C398,'Policy Characteristics'!$C:$C,0))),"",INDEX('Policy Characteristics'!B:B,MATCH($C398,'Policy Characteristics'!$C:$C,0)))</f>
        <v>Buy In-Region Products</v>
      </c>
      <c r="C398" s="394" t="str">
        <f t="shared" si="27"/>
        <v>Fraction of Imported Industrial Outputs Shifted to In Region Suppliers</v>
      </c>
      <c r="D398" s="399" t="s">
        <v>778</v>
      </c>
      <c r="E398" s="399"/>
      <c r="F398" t="s">
        <v>779</v>
      </c>
      <c r="G398" s="401"/>
      <c r="H398" s="377">
        <v>1557</v>
      </c>
      <c r="I398" s="396" t="s">
        <v>648</v>
      </c>
      <c r="J398" s="397" t="str">
        <f>IF(ISBLANK(INDEX('Policy Characteristics'!D:D,MATCH($C398,'Policy Characteristics'!$C:$C,0))),"",INDEX('Policy Characteristics'!D:D,MATCH($C398,'Policy Characteristics'!$C:$C,0)))</f>
        <v>Buy In-Region Products</v>
      </c>
      <c r="K398" s="394" t="str">
        <f>IF(ISBLANK(INDEX('Policy Characteristics'!E:E,MATCH($C398,'Policy Characteristics'!$C:$C,0))),"",INDEX('Policy Characteristics'!E:E,MATCH($C398,'Policy Characteristics'!$C:$C,0)))</f>
        <v>indst buy in region outputs</v>
      </c>
      <c r="L398" s="398">
        <f>IF(ISBLANK(INDEX('Policy Characteristics'!F:F,MATCH($C398,'Policy Characteristics'!$C:$C,0))),"",INDEX('Policy Characteristics'!F:F,MATCH($C398,'Policy Characteristics'!$C:$C,0)))</f>
        <v>0</v>
      </c>
      <c r="M398" s="398">
        <f>IF(ISBLANK(INDEX('Policy Characteristics'!G:G,MATCH($C398,'Policy Characteristics'!$C:$C,0))),"",INDEX('Policy Characteristics'!G:G,MATCH($C398,'Policy Characteristics'!$C:$C,0)))</f>
        <v>0.5</v>
      </c>
      <c r="N398" s="398">
        <f>IF(ISBLANK(INDEX('Policy Characteristics'!H:H,MATCH($C398,'Policy Characteristics'!$C:$C,0))),"",INDEX('Policy Characteristics'!H:H,MATCH($C398,'Policy Characteristics'!$C:$C,0)))</f>
        <v>0.01</v>
      </c>
      <c r="O398" s="394" t="str">
        <f>IF(ISBLANK(INDEX('Policy Characteristics'!I:I,MATCH($C398,'Policy Characteristics'!$C:$C,0))),"",INDEX('Policy Characteristics'!I:I,MATCH($C398,'Policy Characteristics'!$C:$C,0)))</f>
        <v>% of imports shifted</v>
      </c>
      <c r="P398" s="394" t="str">
        <f>IF(ISBLANK(INDEX('Policy Characteristics'!J:J,MATCH($C398,'Policy Characteristics'!$C:$C,0))),"",INDEX('Policy Characteristics'!J:J,MATCH($C398,'Policy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8" s="394" t="str">
        <f>IF(ISBLANK(INDEX('Policy Characteristics'!K:K,MATCH($C398,'Policy Characteristics'!$C:$C,0))),"",INDEX('Policy Characteristics'!K:K,MATCH($C398,'Policy Characteristics'!$C:$C,0)))</f>
        <v/>
      </c>
      <c r="R398" s="394" t="str">
        <f>IF(ISBLANK(INDEX('Policy Characteristics'!L:L,MATCH($C398,'Policy Characteristics'!$C:$C,0))),"",INDEX('Policy Characteristics'!L:L,MATCH($C398,'Policy Characteristics'!$C:$C,0)))</f>
        <v/>
      </c>
    </row>
    <row r="399" customHeight="1" spans="1:18">
      <c r="A399" s="394" t="str">
        <f>IF(ISBLANK(INDEX('Policy Characteristics'!A:A,MATCH($C399,'Policy Characteristics'!$C:$C,0))),"",INDEX('Policy Characteristics'!A:A,MATCH($C399,'Policy Characteristics'!$C:$C,0)))</f>
        <v>Industry</v>
      </c>
      <c r="B399" s="395" t="str">
        <f>IF(ISBLANK(INDEX('Policy Characteristics'!B:B,MATCH($C399,'Policy Characteristics'!$C:$C,0))),"",INDEX('Policy Characteristics'!B:B,MATCH($C399,'Policy Characteristics'!$C:$C,0)))</f>
        <v>Buy In-Region Products</v>
      </c>
      <c r="C399" s="394" t="str">
        <f t="shared" si="27"/>
        <v>Fraction of Imported Industrial Outputs Shifted to In Region Suppliers</v>
      </c>
      <c r="D399" s="399" t="s">
        <v>780</v>
      </c>
      <c r="E399" s="399"/>
      <c r="F399" t="s">
        <v>781</v>
      </c>
      <c r="G399" s="401"/>
      <c r="H399" s="377">
        <v>1558</v>
      </c>
      <c r="I399" s="396" t="s">
        <v>648</v>
      </c>
      <c r="J399" s="397" t="str">
        <f>IF(ISBLANK(INDEX('Policy Characteristics'!D:D,MATCH($C399,'Policy Characteristics'!$C:$C,0))),"",INDEX('Policy Characteristics'!D:D,MATCH($C399,'Policy Characteristics'!$C:$C,0)))</f>
        <v>Buy In-Region Products</v>
      </c>
      <c r="K399" s="394" t="str">
        <f>IF(ISBLANK(INDEX('Policy Characteristics'!E:E,MATCH($C399,'Policy Characteristics'!$C:$C,0))),"",INDEX('Policy Characteristics'!E:E,MATCH($C399,'Policy Characteristics'!$C:$C,0)))</f>
        <v>indst buy in region outputs</v>
      </c>
      <c r="L399" s="398">
        <f>IF(ISBLANK(INDEX('Policy Characteristics'!F:F,MATCH($C399,'Policy Characteristics'!$C:$C,0))),"",INDEX('Policy Characteristics'!F:F,MATCH($C399,'Policy Characteristics'!$C:$C,0)))</f>
        <v>0</v>
      </c>
      <c r="M399" s="398">
        <f>IF(ISBLANK(INDEX('Policy Characteristics'!G:G,MATCH($C399,'Policy Characteristics'!$C:$C,0))),"",INDEX('Policy Characteristics'!G:G,MATCH($C399,'Policy Characteristics'!$C:$C,0)))</f>
        <v>0.5</v>
      </c>
      <c r="N399" s="398">
        <f>IF(ISBLANK(INDEX('Policy Characteristics'!H:H,MATCH($C399,'Policy Characteristics'!$C:$C,0))),"",INDEX('Policy Characteristics'!H:H,MATCH($C399,'Policy Characteristics'!$C:$C,0)))</f>
        <v>0.01</v>
      </c>
      <c r="O399" s="394" t="str">
        <f>IF(ISBLANK(INDEX('Policy Characteristics'!I:I,MATCH($C399,'Policy Characteristics'!$C:$C,0))),"",INDEX('Policy Characteristics'!I:I,MATCH($C399,'Policy Characteristics'!$C:$C,0)))</f>
        <v>% of imports shifted</v>
      </c>
      <c r="P399" s="394" t="str">
        <f>IF(ISBLANK(INDEX('Policy Characteristics'!J:J,MATCH($C399,'Policy Characteristics'!$C:$C,0))),"",INDEX('Policy Characteristics'!J:J,MATCH($C399,'Policy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9" s="394" t="str">
        <f>IF(ISBLANK(INDEX('Policy Characteristics'!K:K,MATCH($C399,'Policy Characteristics'!$C:$C,0))),"",INDEX('Policy Characteristics'!K:K,MATCH($C399,'Policy Characteristics'!$C:$C,0)))</f>
        <v/>
      </c>
      <c r="R399" s="394" t="str">
        <f>IF(ISBLANK(INDEX('Policy Characteristics'!L:L,MATCH($C399,'Policy Characteristics'!$C:$C,0))),"",INDEX('Policy Characteristics'!L:L,MATCH($C399,'Policy Characteristics'!$C:$C,0)))</f>
        <v/>
      </c>
    </row>
    <row r="400" customHeight="1" spans="1:18">
      <c r="A400" s="394" t="str">
        <f>IF(ISBLANK(INDEX('Policy Characteristics'!A:A,MATCH($C400,'Policy Characteristics'!$C:$C,0))),"",INDEX('Policy Characteristics'!A:A,MATCH($C400,'Policy Characteristics'!$C:$C,0)))</f>
        <v>Industry</v>
      </c>
      <c r="B400" s="395" t="str">
        <f>IF(ISBLANK(INDEX('Policy Characteristics'!B:B,MATCH($C400,'Policy Characteristics'!$C:$C,0))),"",INDEX('Policy Characteristics'!B:B,MATCH($C400,'Policy Characteristics'!$C:$C,0)))</f>
        <v>Buy In-Region Products</v>
      </c>
      <c r="C400" s="394" t="str">
        <f t="shared" si="27"/>
        <v>Fraction of Imported Industrial Outputs Shifted to In Region Suppliers</v>
      </c>
      <c r="D400" s="399" t="s">
        <v>782</v>
      </c>
      <c r="E400" s="399"/>
      <c r="F400" s="366" t="s">
        <v>783</v>
      </c>
      <c r="G400" s="401"/>
      <c r="H400" s="377">
        <v>1559</v>
      </c>
      <c r="I400" s="396" t="s">
        <v>648</v>
      </c>
      <c r="J400" s="397" t="str">
        <f>IF(ISBLANK(INDEX('Policy Characteristics'!D:D,MATCH($C400,'Policy Characteristics'!$C:$C,0))),"",INDEX('Policy Characteristics'!D:D,MATCH($C400,'Policy Characteristics'!$C:$C,0)))</f>
        <v>Buy In-Region Products</v>
      </c>
      <c r="K400" s="394" t="str">
        <f>IF(ISBLANK(INDEX('Policy Characteristics'!E:E,MATCH($C400,'Policy Characteristics'!$C:$C,0))),"",INDEX('Policy Characteristics'!E:E,MATCH($C400,'Policy Characteristics'!$C:$C,0)))</f>
        <v>indst buy in region outputs</v>
      </c>
      <c r="L400" s="398">
        <f>IF(ISBLANK(INDEX('Policy Characteristics'!F:F,MATCH($C400,'Policy Characteristics'!$C:$C,0))),"",INDEX('Policy Characteristics'!F:F,MATCH($C400,'Policy Characteristics'!$C:$C,0)))</f>
        <v>0</v>
      </c>
      <c r="M400" s="398">
        <f>IF(ISBLANK(INDEX('Policy Characteristics'!G:G,MATCH($C400,'Policy Characteristics'!$C:$C,0))),"",INDEX('Policy Characteristics'!G:G,MATCH($C400,'Policy Characteristics'!$C:$C,0)))</f>
        <v>0.5</v>
      </c>
      <c r="N400" s="398">
        <f>IF(ISBLANK(INDEX('Policy Characteristics'!H:H,MATCH($C400,'Policy Characteristics'!$C:$C,0))),"",INDEX('Policy Characteristics'!H:H,MATCH($C400,'Policy Characteristics'!$C:$C,0)))</f>
        <v>0.01</v>
      </c>
      <c r="O400" s="394" t="str">
        <f>IF(ISBLANK(INDEX('Policy Characteristics'!I:I,MATCH($C400,'Policy Characteristics'!$C:$C,0))),"",INDEX('Policy Characteristics'!I:I,MATCH($C400,'Policy Characteristics'!$C:$C,0)))</f>
        <v>% of imports shifted</v>
      </c>
      <c r="P400" s="394" t="str">
        <f>IF(ISBLANK(INDEX('Policy Characteristics'!J:J,MATCH($C400,'Policy Characteristics'!$C:$C,0))),"",INDEX('Policy Characteristics'!J:J,MATCH($C400,'Policy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0" s="394" t="str">
        <f>IF(ISBLANK(INDEX('Policy Characteristics'!K:K,MATCH($C400,'Policy Characteristics'!$C:$C,0))),"",INDEX('Policy Characteristics'!K:K,MATCH($C400,'Policy Characteristics'!$C:$C,0)))</f>
        <v/>
      </c>
      <c r="R400" s="394" t="str">
        <f>IF(ISBLANK(INDEX('Policy Characteristics'!L:L,MATCH($C400,'Policy Characteristics'!$C:$C,0))),"",INDEX('Policy Characteristics'!L:L,MATCH($C400,'Policy Characteristics'!$C:$C,0)))</f>
        <v/>
      </c>
    </row>
    <row r="401" customHeight="1" spans="1:18">
      <c r="A401" s="394" t="str">
        <f>IF(ISBLANK(INDEX('Policy Characteristics'!A:A,MATCH($C401,'Policy Characteristics'!$C:$C,0))),"",INDEX('Policy Characteristics'!A:A,MATCH($C401,'Policy Characteristics'!$C:$C,0)))</f>
        <v>Industry</v>
      </c>
      <c r="B401" s="395" t="str">
        <f>IF(ISBLANK(INDEX('Policy Characteristics'!B:B,MATCH($C401,'Policy Characteristics'!$C:$C,0))),"",INDEX('Policy Characteristics'!B:B,MATCH($C401,'Policy Characteristics'!$C:$C,0)))</f>
        <v>Buy In-Region Products</v>
      </c>
      <c r="C401" s="394" t="str">
        <f t="shared" si="27"/>
        <v>Fraction of Imported Industrial Outputs Shifted to In Region Suppliers</v>
      </c>
      <c r="D401" s="399" t="s">
        <v>784</v>
      </c>
      <c r="E401" s="399"/>
      <c r="F401" t="s">
        <v>785</v>
      </c>
      <c r="G401" s="401"/>
      <c r="H401" s="377">
        <v>1560</v>
      </c>
      <c r="I401" s="396" t="s">
        <v>648</v>
      </c>
      <c r="J401" s="397" t="str">
        <f>IF(ISBLANK(INDEX('Policy Characteristics'!D:D,MATCH($C401,'Policy Characteristics'!$C:$C,0))),"",INDEX('Policy Characteristics'!D:D,MATCH($C401,'Policy Characteristics'!$C:$C,0)))</f>
        <v>Buy In-Region Products</v>
      </c>
      <c r="K401" s="394" t="str">
        <f>IF(ISBLANK(INDEX('Policy Characteristics'!E:E,MATCH($C401,'Policy Characteristics'!$C:$C,0))),"",INDEX('Policy Characteristics'!E:E,MATCH($C401,'Policy Characteristics'!$C:$C,0)))</f>
        <v>indst buy in region outputs</v>
      </c>
      <c r="L401" s="398">
        <f>IF(ISBLANK(INDEX('Policy Characteristics'!F:F,MATCH($C401,'Policy Characteristics'!$C:$C,0))),"",INDEX('Policy Characteristics'!F:F,MATCH($C401,'Policy Characteristics'!$C:$C,0)))</f>
        <v>0</v>
      </c>
      <c r="M401" s="398">
        <f>IF(ISBLANK(INDEX('Policy Characteristics'!G:G,MATCH($C401,'Policy Characteristics'!$C:$C,0))),"",INDEX('Policy Characteristics'!G:G,MATCH($C401,'Policy Characteristics'!$C:$C,0)))</f>
        <v>0.5</v>
      </c>
      <c r="N401" s="398">
        <f>IF(ISBLANK(INDEX('Policy Characteristics'!H:H,MATCH($C401,'Policy Characteristics'!$C:$C,0))),"",INDEX('Policy Characteristics'!H:H,MATCH($C401,'Policy Characteristics'!$C:$C,0)))</f>
        <v>0.01</v>
      </c>
      <c r="O401" s="394" t="str">
        <f>IF(ISBLANK(INDEX('Policy Characteristics'!I:I,MATCH($C401,'Policy Characteristics'!$C:$C,0))),"",INDEX('Policy Characteristics'!I:I,MATCH($C401,'Policy Characteristics'!$C:$C,0)))</f>
        <v>% of imports shifted</v>
      </c>
      <c r="P401" s="394" t="str">
        <f>IF(ISBLANK(INDEX('Policy Characteristics'!J:J,MATCH($C401,'Policy Characteristics'!$C:$C,0))),"",INDEX('Policy Characteristics'!J:J,MATCH($C401,'Policy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1" s="394" t="str">
        <f>IF(ISBLANK(INDEX('Policy Characteristics'!K:K,MATCH($C401,'Policy Characteristics'!$C:$C,0))),"",INDEX('Policy Characteristics'!K:K,MATCH($C401,'Policy Characteristics'!$C:$C,0)))</f>
        <v/>
      </c>
      <c r="R401" s="394" t="str">
        <f>IF(ISBLANK(INDEX('Policy Characteristics'!L:L,MATCH($C401,'Policy Characteristics'!$C:$C,0))),"",INDEX('Policy Characteristics'!L:L,MATCH($C401,'Policy Characteristics'!$C:$C,0)))</f>
        <v/>
      </c>
    </row>
    <row r="402" customHeight="1" spans="1:18">
      <c r="A402" s="394" t="str">
        <f>IF(ISBLANK(INDEX('Policy Characteristics'!A:A,MATCH($C402,'Policy Characteristics'!$C:$C,0))),"",INDEX('Policy Characteristics'!A:A,MATCH($C402,'Policy Characteristics'!$C:$C,0)))</f>
        <v>Industry</v>
      </c>
      <c r="B402" s="395" t="str">
        <f>IF(ISBLANK(INDEX('Policy Characteristics'!B:B,MATCH($C402,'Policy Characteristics'!$C:$C,0))),"",INDEX('Policy Characteristics'!B:B,MATCH($C402,'Policy Characteristics'!$C:$C,0)))</f>
        <v>Buy In-Region Products</v>
      </c>
      <c r="C402" s="394" t="str">
        <f t="shared" si="27"/>
        <v>Fraction of Imported Industrial Outputs Shifted to In Region Suppliers</v>
      </c>
      <c r="D402" s="399" t="s">
        <v>786</v>
      </c>
      <c r="E402" s="399"/>
      <c r="F402" t="s">
        <v>787</v>
      </c>
      <c r="G402" s="401"/>
      <c r="H402" s="377">
        <v>1561</v>
      </c>
      <c r="I402" s="396" t="s">
        <v>648</v>
      </c>
      <c r="J402" s="397" t="str">
        <f>IF(ISBLANK(INDEX('Policy Characteristics'!D:D,MATCH($C402,'Policy Characteristics'!$C:$C,0))),"",INDEX('Policy Characteristics'!D:D,MATCH($C402,'Policy Characteristics'!$C:$C,0)))</f>
        <v>Buy In-Region Products</v>
      </c>
      <c r="K402" s="394" t="str">
        <f>IF(ISBLANK(INDEX('Policy Characteristics'!E:E,MATCH($C402,'Policy Characteristics'!$C:$C,0))),"",INDEX('Policy Characteristics'!E:E,MATCH($C402,'Policy Characteristics'!$C:$C,0)))</f>
        <v>indst buy in region outputs</v>
      </c>
      <c r="L402" s="398">
        <f>IF(ISBLANK(INDEX('Policy Characteristics'!F:F,MATCH($C402,'Policy Characteristics'!$C:$C,0))),"",INDEX('Policy Characteristics'!F:F,MATCH($C402,'Policy Characteristics'!$C:$C,0)))</f>
        <v>0</v>
      </c>
      <c r="M402" s="398">
        <f>IF(ISBLANK(INDEX('Policy Characteristics'!G:G,MATCH($C402,'Policy Characteristics'!$C:$C,0))),"",INDEX('Policy Characteristics'!G:G,MATCH($C402,'Policy Characteristics'!$C:$C,0)))</f>
        <v>0.5</v>
      </c>
      <c r="N402" s="398">
        <f>IF(ISBLANK(INDEX('Policy Characteristics'!H:H,MATCH($C402,'Policy Characteristics'!$C:$C,0))),"",INDEX('Policy Characteristics'!H:H,MATCH($C402,'Policy Characteristics'!$C:$C,0)))</f>
        <v>0.01</v>
      </c>
      <c r="O402" s="394" t="str">
        <f>IF(ISBLANK(INDEX('Policy Characteristics'!I:I,MATCH($C402,'Policy Characteristics'!$C:$C,0))),"",INDEX('Policy Characteristics'!I:I,MATCH($C402,'Policy Characteristics'!$C:$C,0)))</f>
        <v>% of imports shifted</v>
      </c>
      <c r="P402" s="394" t="str">
        <f>IF(ISBLANK(INDEX('Policy Characteristics'!J:J,MATCH($C402,'Policy Characteristics'!$C:$C,0))),"",INDEX('Policy Characteristics'!J:J,MATCH($C402,'Policy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2" s="394" t="str">
        <f>IF(ISBLANK(INDEX('Policy Characteristics'!K:K,MATCH($C402,'Policy Characteristics'!$C:$C,0))),"",INDEX('Policy Characteristics'!K:K,MATCH($C402,'Policy Characteristics'!$C:$C,0)))</f>
        <v/>
      </c>
      <c r="R402" s="394" t="str">
        <f>IF(ISBLANK(INDEX('Policy Characteristics'!L:L,MATCH($C402,'Policy Characteristics'!$C:$C,0))),"",INDEX('Policy Characteristics'!L:L,MATCH($C402,'Policy Characteristics'!$C:$C,0)))</f>
        <v/>
      </c>
    </row>
    <row r="403" customHeight="1" spans="1:18">
      <c r="A403" s="394" t="str">
        <f>IF(ISBLANK(INDEX('Policy Characteristics'!A:A,MATCH($C403,'Policy Characteristics'!$C:$C,0))),"",INDEX('Policy Characteristics'!A:A,MATCH($C403,'Policy Characteristics'!$C:$C,0)))</f>
        <v>Industry</v>
      </c>
      <c r="B403" s="395" t="str">
        <f>IF(ISBLANK(INDEX('Policy Characteristics'!B:B,MATCH($C403,'Policy Characteristics'!$C:$C,0))),"",INDEX('Policy Characteristics'!B:B,MATCH($C403,'Policy Characteristics'!$C:$C,0)))</f>
        <v>Carbon Capture and Sequestration</v>
      </c>
      <c r="C403" t="s">
        <v>339</v>
      </c>
      <c r="D403" s="399" t="s">
        <v>738</v>
      </c>
      <c r="E403" s="399" t="s">
        <v>788</v>
      </c>
      <c r="F403" t="s">
        <v>739</v>
      </c>
      <c r="G403" s="399" t="s">
        <v>789</v>
      </c>
      <c r="H403" s="377">
        <v>908</v>
      </c>
      <c r="I403" s="396" t="s">
        <v>658</v>
      </c>
      <c r="J403" s="397" t="str">
        <f>IF(ISBLANK(INDEX('Policy Characteristics'!D:D,MATCH($C403,'Policy Characteristics'!$C:$C,0))),"",INDEX('Policy Characteristics'!D:D,MATCH($C403,'Policy Characteristics'!$C:$C,0)))</f>
        <v>Industry CCS</v>
      </c>
      <c r="K403" s="394" t="str">
        <f>IF(ISBLANK(INDEX('Policy Characteristics'!E:E,MATCH($C403,'Policy Characteristics'!$C:$C,0))),"",INDEX('Policy Characteristics'!E:E,MATCH($C403,'Policy Characteristics'!$C:$C,0)))</f>
        <v>indst CCS</v>
      </c>
      <c r="L403" s="398">
        <f>IF(ISBLANK(INDEX('Policy Characteristics'!F:F,MATCH($C403,'Policy Characteristics'!$C:$C,0))),"",INDEX('Policy Characteristics'!F:F,MATCH($C403,'Policy Characteristics'!$C:$C,0)))</f>
        <v>0</v>
      </c>
      <c r="M403" s="398">
        <f>IF(ISBLANK(INDEX('Policy Characteristics'!G:G,MATCH($C403,'Policy Characteristics'!$C:$C,0))),"",INDEX('Policy Characteristics'!G:G,MATCH($C403,'Policy Characteristics'!$C:$C,0)))</f>
        <v>1</v>
      </c>
      <c r="N403" s="398">
        <f>IF(ISBLANK(INDEX('Policy Characteristics'!H:H,MATCH($C403,'Policy Characteristics'!$C:$C,0))),"",INDEX('Policy Characteristics'!H:H,MATCH($C403,'Policy Characteristics'!$C:$C,0)))</f>
        <v>0.01</v>
      </c>
      <c r="O403" s="394" t="str">
        <f>IF(ISBLANK(INDEX('Policy Characteristics'!I:I,MATCH($C403,'Policy Characteristics'!$C:$C,0))),"",INDEX('Policy Characteristics'!I:I,MATCH($C403,'Policy Characteristics'!$C:$C,0)))</f>
        <v>% of CO2 captured</v>
      </c>
      <c r="P403" s="394" t="str">
        <f>IF(ISBLANK(INDEX('Policy Characteristics'!J:J,MATCH($C403,'Policy Characteristics'!$C:$C,0))),"",INDEX('Policy Characteristics'!J:J,MATCH($C403,'Policy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3" s="394" t="str">
        <f>IF(ISBLANK(INDEX('Policy Characteristics'!K:K,MATCH($C403,'Policy Characteristics'!$C:$C,0))),"",INDEX('Policy Characteristics'!K:K,MATCH($C403,'Policy Characteristics'!$C:$C,0)))</f>
        <v>ccs.html#ccs</v>
      </c>
      <c r="R403" s="394" t="str">
        <f>IF(ISBLANK(INDEX('Policy Characteristics'!L:L,MATCH($C403,'Policy Characteristics'!$C:$C,0))),"",INDEX('Policy Characteristics'!L:L,MATCH($C403,'Policy Characteristics'!$C:$C,0)))</f>
        <v>carbon-capture-and-sequestration.html</v>
      </c>
    </row>
    <row r="404" customHeight="1" spans="1:18">
      <c r="A404" s="394" t="str">
        <f>IF(ISBLANK(INDEX('Policy Characteristics'!A:A,MATCH($C404,'Policy Characteristics'!$C:$C,0))),"",INDEX('Policy Characteristics'!A:A,MATCH($C404,'Policy Characteristics'!$C:$C,0)))</f>
        <v>Industry</v>
      </c>
      <c r="B404" s="395" t="str">
        <f>IF(ISBLANK(INDEX('Policy Characteristics'!B:B,MATCH($C404,'Policy Characteristics'!$C:$C,0))),"",INDEX('Policy Characteristics'!B:B,MATCH($C404,'Policy Characteristics'!$C:$C,0)))</f>
        <v>Carbon Capture and Sequestration</v>
      </c>
      <c r="C404" s="394" t="str">
        <f t="shared" ref="C404:C419" si="28">C$403</f>
        <v>Industry Sector Fraction of Potential Additional CCS Achieved</v>
      </c>
      <c r="D404" s="399" t="s">
        <v>738</v>
      </c>
      <c r="E404" s="399" t="s">
        <v>790</v>
      </c>
      <c r="F404" t="s">
        <v>739</v>
      </c>
      <c r="G404" s="399" t="s">
        <v>791</v>
      </c>
      <c r="H404" s="377">
        <v>909</v>
      </c>
      <c r="I404" s="396" t="s">
        <v>658</v>
      </c>
      <c r="J404" s="397" t="str">
        <f>IF(ISBLANK(INDEX('Policy Characteristics'!D:D,MATCH($C404,'Policy Characteristics'!$C:$C,0))),"",INDEX('Policy Characteristics'!D:D,MATCH($C404,'Policy Characteristics'!$C:$C,0)))</f>
        <v>Industry CCS</v>
      </c>
      <c r="K404" s="394" t="str">
        <f>IF(ISBLANK(INDEX('Policy Characteristics'!E:E,MATCH($C404,'Policy Characteristics'!$C:$C,0))),"",INDEX('Policy Characteristics'!E:E,MATCH($C404,'Policy Characteristics'!$C:$C,0)))</f>
        <v>indst CCS</v>
      </c>
      <c r="L404" s="398">
        <f>IF(ISBLANK(INDEX('Policy Characteristics'!F:F,MATCH($C404,'Policy Characteristics'!$C:$C,0))),"",INDEX('Policy Characteristics'!F:F,MATCH($C404,'Policy Characteristics'!$C:$C,0)))</f>
        <v>0</v>
      </c>
      <c r="M404" s="398">
        <f>IF(ISBLANK(INDEX('Policy Characteristics'!G:G,MATCH($C404,'Policy Characteristics'!$C:$C,0))),"",INDEX('Policy Characteristics'!G:G,MATCH($C404,'Policy Characteristics'!$C:$C,0)))</f>
        <v>1</v>
      </c>
      <c r="N404" s="398">
        <f>IF(ISBLANK(INDEX('Policy Characteristics'!H:H,MATCH($C404,'Policy Characteristics'!$C:$C,0))),"",INDEX('Policy Characteristics'!H:H,MATCH($C404,'Policy Characteristics'!$C:$C,0)))</f>
        <v>0.01</v>
      </c>
      <c r="O404" s="394" t="str">
        <f>IF(ISBLANK(INDEX('Policy Characteristics'!I:I,MATCH($C404,'Policy Characteristics'!$C:$C,0))),"",INDEX('Policy Characteristics'!I:I,MATCH($C404,'Policy Characteristics'!$C:$C,0)))</f>
        <v>% of CO2 captured</v>
      </c>
      <c r="P404" s="394" t="str">
        <f>IF(ISBLANK(INDEX('Policy Characteristics'!J:J,MATCH($C404,'Policy Characteristics'!$C:$C,0))),"",INDEX('Policy Characteristics'!J:J,MATCH($C404,'Policy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4" s="394" t="str">
        <f>IF(ISBLANK(INDEX('Policy Characteristics'!K:K,MATCH($C404,'Policy Characteristics'!$C:$C,0))),"",INDEX('Policy Characteristics'!K:K,MATCH($C404,'Policy Characteristics'!$C:$C,0)))</f>
        <v>ccs.html#ccs</v>
      </c>
      <c r="R404" s="394" t="str">
        <f>IF(ISBLANK(INDEX('Policy Characteristics'!L:L,MATCH($C404,'Policy Characteristics'!$C:$C,0))),"",INDEX('Policy Characteristics'!L:L,MATCH($C404,'Policy Characteristics'!$C:$C,0)))</f>
        <v>carbon-capture-and-sequestration.html</v>
      </c>
    </row>
    <row r="405" customHeight="1" spans="1:18">
      <c r="A405" s="394" t="str">
        <f>IF(ISBLANK(INDEX('Policy Characteristics'!A:A,MATCH($C405,'Policy Characteristics'!$C:$C,0))),"",INDEX('Policy Characteristics'!A:A,MATCH($C405,'Policy Characteristics'!$C:$C,0)))</f>
        <v>Industry</v>
      </c>
      <c r="B405" s="395" t="str">
        <f>IF(ISBLANK(INDEX('Policy Characteristics'!B:B,MATCH($C405,'Policy Characteristics'!$C:$C,0))),"",INDEX('Policy Characteristics'!B:B,MATCH($C405,'Policy Characteristics'!$C:$C,0)))</f>
        <v>Carbon Capture and Sequestration</v>
      </c>
      <c r="C405" s="394" t="str">
        <f t="shared" si="28"/>
        <v>Industry Sector Fraction of Potential Additional CCS Achieved</v>
      </c>
      <c r="D405" s="399" t="s">
        <v>740</v>
      </c>
      <c r="E405" s="399" t="s">
        <v>788</v>
      </c>
      <c r="F405" t="s">
        <v>741</v>
      </c>
      <c r="G405" s="399" t="s">
        <v>789</v>
      </c>
      <c r="H405" s="377">
        <v>910</v>
      </c>
      <c r="I405" s="396" t="s">
        <v>658</v>
      </c>
      <c r="J405" s="397" t="str">
        <f>IF(ISBLANK(INDEX('Policy Characteristics'!D:D,MATCH($C405,'Policy Characteristics'!$C:$C,0))),"",INDEX('Policy Characteristics'!D:D,MATCH($C405,'Policy Characteristics'!$C:$C,0)))</f>
        <v>Industry CCS</v>
      </c>
      <c r="K405" s="394" t="str">
        <f>IF(ISBLANK(INDEX('Policy Characteristics'!E:E,MATCH($C405,'Policy Characteristics'!$C:$C,0))),"",INDEX('Policy Characteristics'!E:E,MATCH($C405,'Policy Characteristics'!$C:$C,0)))</f>
        <v>indst CCS</v>
      </c>
      <c r="L405" s="398">
        <f>IF(ISBLANK(INDEX('Policy Characteristics'!F:F,MATCH($C405,'Policy Characteristics'!$C:$C,0))),"",INDEX('Policy Characteristics'!F:F,MATCH($C405,'Policy Characteristics'!$C:$C,0)))</f>
        <v>0</v>
      </c>
      <c r="M405" s="398">
        <f>IF(ISBLANK(INDEX('Policy Characteristics'!G:G,MATCH($C405,'Policy Characteristics'!$C:$C,0))),"",INDEX('Policy Characteristics'!G:G,MATCH($C405,'Policy Characteristics'!$C:$C,0)))</f>
        <v>1</v>
      </c>
      <c r="N405" s="398">
        <f>IF(ISBLANK(INDEX('Policy Characteristics'!H:H,MATCH($C405,'Policy Characteristics'!$C:$C,0))),"",INDEX('Policy Characteristics'!H:H,MATCH($C405,'Policy Characteristics'!$C:$C,0)))</f>
        <v>0.01</v>
      </c>
      <c r="O405" s="394" t="str">
        <f>IF(ISBLANK(INDEX('Policy Characteristics'!I:I,MATCH($C405,'Policy Characteristics'!$C:$C,0))),"",INDEX('Policy Characteristics'!I:I,MATCH($C405,'Policy Characteristics'!$C:$C,0)))</f>
        <v>% of CO2 captured</v>
      </c>
      <c r="P405" s="394" t="str">
        <f>IF(ISBLANK(INDEX('Policy Characteristics'!J:J,MATCH($C405,'Policy Characteristics'!$C:$C,0))),"",INDEX('Policy Characteristics'!J:J,MATCH($C405,'Policy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5" s="394" t="str">
        <f>IF(ISBLANK(INDEX('Policy Characteristics'!K:K,MATCH($C405,'Policy Characteristics'!$C:$C,0))),"",INDEX('Policy Characteristics'!K:K,MATCH($C405,'Policy Characteristics'!$C:$C,0)))</f>
        <v>ccs.html#ccs</v>
      </c>
      <c r="R405" s="394" t="str">
        <f>IF(ISBLANK(INDEX('Policy Characteristics'!L:L,MATCH($C405,'Policy Characteristics'!$C:$C,0))),"",INDEX('Policy Characteristics'!L:L,MATCH($C405,'Policy Characteristics'!$C:$C,0)))</f>
        <v>carbon-capture-and-sequestration.html</v>
      </c>
    </row>
    <row r="406" customHeight="1" spans="1:18">
      <c r="A406" s="394" t="str">
        <f>IF(ISBLANK(INDEX('Policy Characteristics'!A:A,MATCH($C406,'Policy Characteristics'!$C:$C,0))),"",INDEX('Policy Characteristics'!A:A,MATCH($C406,'Policy Characteristics'!$C:$C,0)))</f>
        <v>Industry</v>
      </c>
      <c r="B406" s="395" t="str">
        <f>IF(ISBLANK(INDEX('Policy Characteristics'!B:B,MATCH($C406,'Policy Characteristics'!$C:$C,0))),"",INDEX('Policy Characteristics'!B:B,MATCH($C406,'Policy Characteristics'!$C:$C,0)))</f>
        <v>Carbon Capture and Sequestration</v>
      </c>
      <c r="C406" s="394" t="str">
        <f t="shared" si="28"/>
        <v>Industry Sector Fraction of Potential Additional CCS Achieved</v>
      </c>
      <c r="D406" s="399" t="s">
        <v>740</v>
      </c>
      <c r="E406" s="399" t="s">
        <v>790</v>
      </c>
      <c r="F406" t="s">
        <v>741</v>
      </c>
      <c r="G406" s="399" t="s">
        <v>791</v>
      </c>
      <c r="H406" s="377">
        <v>911</v>
      </c>
      <c r="I406" s="396" t="s">
        <v>658</v>
      </c>
      <c r="J406" s="397" t="str">
        <f>IF(ISBLANK(INDEX('Policy Characteristics'!D:D,MATCH($C406,'Policy Characteristics'!$C:$C,0))),"",INDEX('Policy Characteristics'!D:D,MATCH($C406,'Policy Characteristics'!$C:$C,0)))</f>
        <v>Industry CCS</v>
      </c>
      <c r="K406" s="394" t="str">
        <f>IF(ISBLANK(INDEX('Policy Characteristics'!E:E,MATCH($C406,'Policy Characteristics'!$C:$C,0))),"",INDEX('Policy Characteristics'!E:E,MATCH($C406,'Policy Characteristics'!$C:$C,0)))</f>
        <v>indst CCS</v>
      </c>
      <c r="L406" s="398">
        <f>IF(ISBLANK(INDEX('Policy Characteristics'!F:F,MATCH($C406,'Policy Characteristics'!$C:$C,0))),"",INDEX('Policy Characteristics'!F:F,MATCH($C406,'Policy Characteristics'!$C:$C,0)))</f>
        <v>0</v>
      </c>
      <c r="M406" s="398">
        <f>IF(ISBLANK(INDEX('Policy Characteristics'!G:G,MATCH($C406,'Policy Characteristics'!$C:$C,0))),"",INDEX('Policy Characteristics'!G:G,MATCH($C406,'Policy Characteristics'!$C:$C,0)))</f>
        <v>1</v>
      </c>
      <c r="N406" s="398">
        <f>IF(ISBLANK(INDEX('Policy Characteristics'!H:H,MATCH($C406,'Policy Characteristics'!$C:$C,0))),"",INDEX('Policy Characteristics'!H:H,MATCH($C406,'Policy Characteristics'!$C:$C,0)))</f>
        <v>0.01</v>
      </c>
      <c r="O406" s="394" t="str">
        <f>IF(ISBLANK(INDEX('Policy Characteristics'!I:I,MATCH($C406,'Policy Characteristics'!$C:$C,0))),"",INDEX('Policy Characteristics'!I:I,MATCH($C406,'Policy Characteristics'!$C:$C,0)))</f>
        <v>% of CO2 captured</v>
      </c>
      <c r="P406" s="394" t="str">
        <f>IF(ISBLANK(INDEX('Policy Characteristics'!J:J,MATCH($C406,'Policy Characteristics'!$C:$C,0))),"",INDEX('Policy Characteristics'!J:J,MATCH($C406,'Policy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6" s="394" t="str">
        <f>IF(ISBLANK(INDEX('Policy Characteristics'!K:K,MATCH($C406,'Policy Characteristics'!$C:$C,0))),"",INDEX('Policy Characteristics'!K:K,MATCH($C406,'Policy Characteristics'!$C:$C,0)))</f>
        <v>ccs.html#ccs</v>
      </c>
      <c r="R406" s="394" t="str">
        <f>IF(ISBLANK(INDEX('Policy Characteristics'!L:L,MATCH($C406,'Policy Characteristics'!$C:$C,0))),"",INDEX('Policy Characteristics'!L:L,MATCH($C406,'Policy Characteristics'!$C:$C,0)))</f>
        <v>carbon-capture-and-sequestration.html</v>
      </c>
    </row>
    <row r="407" customHeight="1" spans="1:18">
      <c r="A407" s="394" t="str">
        <f>IF(ISBLANK(INDEX('Policy Characteristics'!A:A,MATCH($C407,'Policy Characteristics'!$C:$C,0))),"",INDEX('Policy Characteristics'!A:A,MATCH($C407,'Policy Characteristics'!$C:$C,0)))</f>
        <v>Industry</v>
      </c>
      <c r="B407" s="395" t="str">
        <f>IF(ISBLANK(INDEX('Policy Characteristics'!B:B,MATCH($C407,'Policy Characteristics'!$C:$C,0))),"",INDEX('Policy Characteristics'!B:B,MATCH($C407,'Policy Characteristics'!$C:$C,0)))</f>
        <v>Carbon Capture and Sequestration</v>
      </c>
      <c r="C407" s="394" t="str">
        <f t="shared" si="28"/>
        <v>Industry Sector Fraction of Potential Additional CCS Achieved</v>
      </c>
      <c r="D407" s="399" t="s">
        <v>742</v>
      </c>
      <c r="E407" s="399" t="s">
        <v>788</v>
      </c>
      <c r="F407" t="s">
        <v>743</v>
      </c>
      <c r="G407" s="399" t="s">
        <v>789</v>
      </c>
      <c r="H407" s="377">
        <v>912</v>
      </c>
      <c r="I407" s="396" t="s">
        <v>658</v>
      </c>
      <c r="J407" s="397" t="str">
        <f>IF(ISBLANK(INDEX('Policy Characteristics'!D:D,MATCH($C407,'Policy Characteristics'!$C:$C,0))),"",INDEX('Policy Characteristics'!D:D,MATCH($C407,'Policy Characteristics'!$C:$C,0)))</f>
        <v>Industry CCS</v>
      </c>
      <c r="K407" s="394" t="str">
        <f>IF(ISBLANK(INDEX('Policy Characteristics'!E:E,MATCH($C407,'Policy Characteristics'!$C:$C,0))),"",INDEX('Policy Characteristics'!E:E,MATCH($C407,'Policy Characteristics'!$C:$C,0)))</f>
        <v>indst CCS</v>
      </c>
      <c r="L407" s="398">
        <f>IF(ISBLANK(INDEX('Policy Characteristics'!F:F,MATCH($C407,'Policy Characteristics'!$C:$C,0))),"",INDEX('Policy Characteristics'!F:F,MATCH($C407,'Policy Characteristics'!$C:$C,0)))</f>
        <v>0</v>
      </c>
      <c r="M407" s="398">
        <f>IF(ISBLANK(INDEX('Policy Characteristics'!G:G,MATCH($C407,'Policy Characteristics'!$C:$C,0))),"",INDEX('Policy Characteristics'!G:G,MATCH($C407,'Policy Characteristics'!$C:$C,0)))</f>
        <v>1</v>
      </c>
      <c r="N407" s="398">
        <f>IF(ISBLANK(INDEX('Policy Characteristics'!H:H,MATCH($C407,'Policy Characteristics'!$C:$C,0))),"",INDEX('Policy Characteristics'!H:H,MATCH($C407,'Policy Characteristics'!$C:$C,0)))</f>
        <v>0.01</v>
      </c>
      <c r="O407" s="394" t="str">
        <f>IF(ISBLANK(INDEX('Policy Characteristics'!I:I,MATCH($C407,'Policy Characteristics'!$C:$C,0))),"",INDEX('Policy Characteristics'!I:I,MATCH($C407,'Policy Characteristics'!$C:$C,0)))</f>
        <v>% of CO2 captured</v>
      </c>
      <c r="P407" s="394" t="str">
        <f>IF(ISBLANK(INDEX('Policy Characteristics'!J:J,MATCH($C407,'Policy Characteristics'!$C:$C,0))),"",INDEX('Policy Characteristics'!J:J,MATCH($C407,'Policy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7" s="394" t="str">
        <f>IF(ISBLANK(INDEX('Policy Characteristics'!K:K,MATCH($C407,'Policy Characteristics'!$C:$C,0))),"",INDEX('Policy Characteristics'!K:K,MATCH($C407,'Policy Characteristics'!$C:$C,0)))</f>
        <v>ccs.html#ccs</v>
      </c>
      <c r="R407" s="394" t="str">
        <f>IF(ISBLANK(INDEX('Policy Characteristics'!L:L,MATCH($C407,'Policy Characteristics'!$C:$C,0))),"",INDEX('Policy Characteristics'!L:L,MATCH($C407,'Policy Characteristics'!$C:$C,0)))</f>
        <v>carbon-capture-and-sequestration.html</v>
      </c>
    </row>
    <row r="408" customHeight="1" spans="1:18">
      <c r="A408" s="394" t="str">
        <f>IF(ISBLANK(INDEX('Policy Characteristics'!A:A,MATCH($C408,'Policy Characteristics'!$C:$C,0))),"",INDEX('Policy Characteristics'!A:A,MATCH($C408,'Policy Characteristics'!$C:$C,0)))</f>
        <v>Industry</v>
      </c>
      <c r="B408" s="395" t="str">
        <f>IF(ISBLANK(INDEX('Policy Characteristics'!B:B,MATCH($C408,'Policy Characteristics'!$C:$C,0))),"",INDEX('Policy Characteristics'!B:B,MATCH($C408,'Policy Characteristics'!$C:$C,0)))</f>
        <v>Carbon Capture and Sequestration</v>
      </c>
      <c r="C408" s="394" t="str">
        <f t="shared" si="28"/>
        <v>Industry Sector Fraction of Potential Additional CCS Achieved</v>
      </c>
      <c r="D408" s="399" t="s">
        <v>742</v>
      </c>
      <c r="E408" s="399" t="s">
        <v>790</v>
      </c>
      <c r="F408" t="s">
        <v>743</v>
      </c>
      <c r="G408" s="399" t="s">
        <v>791</v>
      </c>
      <c r="H408" s="377">
        <v>913</v>
      </c>
      <c r="I408" s="396" t="s">
        <v>658</v>
      </c>
      <c r="J408" s="397" t="str">
        <f>IF(ISBLANK(INDEX('Policy Characteristics'!D:D,MATCH($C408,'Policy Characteristics'!$C:$C,0))),"",INDEX('Policy Characteristics'!D:D,MATCH($C408,'Policy Characteristics'!$C:$C,0)))</f>
        <v>Industry CCS</v>
      </c>
      <c r="K408" s="394" t="str">
        <f>IF(ISBLANK(INDEX('Policy Characteristics'!E:E,MATCH($C408,'Policy Characteristics'!$C:$C,0))),"",INDEX('Policy Characteristics'!E:E,MATCH($C408,'Policy Characteristics'!$C:$C,0)))</f>
        <v>indst CCS</v>
      </c>
      <c r="L408" s="398">
        <f>IF(ISBLANK(INDEX('Policy Characteristics'!F:F,MATCH($C408,'Policy Characteristics'!$C:$C,0))),"",INDEX('Policy Characteristics'!F:F,MATCH($C408,'Policy Characteristics'!$C:$C,0)))</f>
        <v>0</v>
      </c>
      <c r="M408" s="398">
        <f>IF(ISBLANK(INDEX('Policy Characteristics'!G:G,MATCH($C408,'Policy Characteristics'!$C:$C,0))),"",INDEX('Policy Characteristics'!G:G,MATCH($C408,'Policy Characteristics'!$C:$C,0)))</f>
        <v>1</v>
      </c>
      <c r="N408" s="398">
        <f>IF(ISBLANK(INDEX('Policy Characteristics'!H:H,MATCH($C408,'Policy Characteristics'!$C:$C,0))),"",INDEX('Policy Characteristics'!H:H,MATCH($C408,'Policy Characteristics'!$C:$C,0)))</f>
        <v>0.01</v>
      </c>
      <c r="O408" s="394" t="str">
        <f>IF(ISBLANK(INDEX('Policy Characteristics'!I:I,MATCH($C408,'Policy Characteristics'!$C:$C,0))),"",INDEX('Policy Characteristics'!I:I,MATCH($C408,'Policy Characteristics'!$C:$C,0)))</f>
        <v>% of CO2 captured</v>
      </c>
      <c r="P408" s="394" t="str">
        <f>IF(ISBLANK(INDEX('Policy Characteristics'!J:J,MATCH($C408,'Policy Characteristics'!$C:$C,0))),"",INDEX('Policy Characteristics'!J:J,MATCH($C408,'Policy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8" s="394" t="str">
        <f>IF(ISBLANK(INDEX('Policy Characteristics'!K:K,MATCH($C408,'Policy Characteristics'!$C:$C,0))),"",INDEX('Policy Characteristics'!K:K,MATCH($C408,'Policy Characteristics'!$C:$C,0)))</f>
        <v>ccs.html#ccs</v>
      </c>
      <c r="R408" s="394" t="str">
        <f>IF(ISBLANK(INDEX('Policy Characteristics'!L:L,MATCH($C408,'Policy Characteristics'!$C:$C,0))),"",INDEX('Policy Characteristics'!L:L,MATCH($C408,'Policy Characteristics'!$C:$C,0)))</f>
        <v>carbon-capture-and-sequestration.html</v>
      </c>
    </row>
    <row r="409" customHeight="1" spans="1:18">
      <c r="A409" s="394" t="str">
        <f>IF(ISBLANK(INDEX('Policy Characteristics'!A:A,MATCH($C409,'Policy Characteristics'!$C:$C,0))),"",INDEX('Policy Characteristics'!A:A,MATCH($C409,'Policy Characteristics'!$C:$C,0)))</f>
        <v>Industry</v>
      </c>
      <c r="B409" s="395" t="str">
        <f>IF(ISBLANK(INDEX('Policy Characteristics'!B:B,MATCH($C409,'Policy Characteristics'!$C:$C,0))),"",INDEX('Policy Characteristics'!B:B,MATCH($C409,'Policy Characteristics'!$C:$C,0)))</f>
        <v>Carbon Capture and Sequestration</v>
      </c>
      <c r="C409" s="394" t="str">
        <f t="shared" si="28"/>
        <v>Industry Sector Fraction of Potential Additional CCS Achieved</v>
      </c>
      <c r="D409" s="399" t="s">
        <v>744</v>
      </c>
      <c r="E409" s="399" t="s">
        <v>788</v>
      </c>
      <c r="F409" t="s">
        <v>745</v>
      </c>
      <c r="G409" s="399" t="s">
        <v>789</v>
      </c>
      <c r="H409" s="377">
        <v>914</v>
      </c>
      <c r="I409" s="396" t="s">
        <v>658</v>
      </c>
      <c r="J409" s="397" t="str">
        <f>IF(ISBLANK(INDEX('Policy Characteristics'!D:D,MATCH($C409,'Policy Characteristics'!$C:$C,0))),"",INDEX('Policy Characteristics'!D:D,MATCH($C409,'Policy Characteristics'!$C:$C,0)))</f>
        <v>Industry CCS</v>
      </c>
      <c r="K409" s="394" t="str">
        <f>IF(ISBLANK(INDEX('Policy Characteristics'!E:E,MATCH($C409,'Policy Characteristics'!$C:$C,0))),"",INDEX('Policy Characteristics'!E:E,MATCH($C409,'Policy Characteristics'!$C:$C,0)))</f>
        <v>indst CCS</v>
      </c>
      <c r="L409" s="398">
        <f>IF(ISBLANK(INDEX('Policy Characteristics'!F:F,MATCH($C409,'Policy Characteristics'!$C:$C,0))),"",INDEX('Policy Characteristics'!F:F,MATCH($C409,'Policy Characteristics'!$C:$C,0)))</f>
        <v>0</v>
      </c>
      <c r="M409" s="398">
        <f>IF(ISBLANK(INDEX('Policy Characteristics'!G:G,MATCH($C409,'Policy Characteristics'!$C:$C,0))),"",INDEX('Policy Characteristics'!G:G,MATCH($C409,'Policy Characteristics'!$C:$C,0)))</f>
        <v>1</v>
      </c>
      <c r="N409" s="398">
        <f>IF(ISBLANK(INDEX('Policy Characteristics'!H:H,MATCH($C409,'Policy Characteristics'!$C:$C,0))),"",INDEX('Policy Characteristics'!H:H,MATCH($C409,'Policy Characteristics'!$C:$C,0)))</f>
        <v>0.01</v>
      </c>
      <c r="O409" s="394" t="str">
        <f>IF(ISBLANK(INDEX('Policy Characteristics'!I:I,MATCH($C409,'Policy Characteristics'!$C:$C,0))),"",INDEX('Policy Characteristics'!I:I,MATCH($C409,'Policy Characteristics'!$C:$C,0)))</f>
        <v>% of CO2 captured</v>
      </c>
      <c r="P409" s="394" t="str">
        <f>IF(ISBLANK(INDEX('Policy Characteristics'!J:J,MATCH($C409,'Policy Characteristics'!$C:$C,0))),"",INDEX('Policy Characteristics'!J:J,MATCH($C409,'Policy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9" s="394" t="str">
        <f>IF(ISBLANK(INDEX('Policy Characteristics'!K:K,MATCH($C409,'Policy Characteristics'!$C:$C,0))),"",INDEX('Policy Characteristics'!K:K,MATCH($C409,'Policy Characteristics'!$C:$C,0)))</f>
        <v>ccs.html#ccs</v>
      </c>
      <c r="R409" s="394" t="str">
        <f>IF(ISBLANK(INDEX('Policy Characteristics'!L:L,MATCH($C409,'Policy Characteristics'!$C:$C,0))),"",INDEX('Policy Characteristics'!L:L,MATCH($C409,'Policy Characteristics'!$C:$C,0)))</f>
        <v>carbon-capture-and-sequestration.html</v>
      </c>
    </row>
    <row r="410" customHeight="1" spans="1:18">
      <c r="A410" s="394" t="str">
        <f>IF(ISBLANK(INDEX('Policy Characteristics'!A:A,MATCH($C410,'Policy Characteristics'!$C:$C,0))),"",INDEX('Policy Characteristics'!A:A,MATCH($C410,'Policy Characteristics'!$C:$C,0)))</f>
        <v>Industry</v>
      </c>
      <c r="B410" s="395" t="str">
        <f>IF(ISBLANK(INDEX('Policy Characteristics'!B:B,MATCH($C410,'Policy Characteristics'!$C:$C,0))),"",INDEX('Policy Characteristics'!B:B,MATCH($C410,'Policy Characteristics'!$C:$C,0)))</f>
        <v>Carbon Capture and Sequestration</v>
      </c>
      <c r="C410" s="394" t="str">
        <f t="shared" si="28"/>
        <v>Industry Sector Fraction of Potential Additional CCS Achieved</v>
      </c>
      <c r="D410" s="399" t="s">
        <v>744</v>
      </c>
      <c r="E410" s="399" t="s">
        <v>790</v>
      </c>
      <c r="F410" t="s">
        <v>745</v>
      </c>
      <c r="G410" s="399" t="s">
        <v>791</v>
      </c>
      <c r="H410" s="377">
        <v>915</v>
      </c>
      <c r="I410" s="396" t="s">
        <v>658</v>
      </c>
      <c r="J410" s="397" t="str">
        <f>IF(ISBLANK(INDEX('Policy Characteristics'!D:D,MATCH($C410,'Policy Characteristics'!$C:$C,0))),"",INDEX('Policy Characteristics'!D:D,MATCH($C410,'Policy Characteristics'!$C:$C,0)))</f>
        <v>Industry CCS</v>
      </c>
      <c r="K410" s="394" t="str">
        <f>IF(ISBLANK(INDEX('Policy Characteristics'!E:E,MATCH($C410,'Policy Characteristics'!$C:$C,0))),"",INDEX('Policy Characteristics'!E:E,MATCH($C410,'Policy Characteristics'!$C:$C,0)))</f>
        <v>indst CCS</v>
      </c>
      <c r="L410" s="398">
        <f>IF(ISBLANK(INDEX('Policy Characteristics'!F:F,MATCH($C410,'Policy Characteristics'!$C:$C,0))),"",INDEX('Policy Characteristics'!F:F,MATCH($C410,'Policy Characteristics'!$C:$C,0)))</f>
        <v>0</v>
      </c>
      <c r="M410" s="398">
        <f>IF(ISBLANK(INDEX('Policy Characteristics'!G:G,MATCH($C410,'Policy Characteristics'!$C:$C,0))),"",INDEX('Policy Characteristics'!G:G,MATCH($C410,'Policy Characteristics'!$C:$C,0)))</f>
        <v>1</v>
      </c>
      <c r="N410" s="398">
        <f>IF(ISBLANK(INDEX('Policy Characteristics'!H:H,MATCH($C410,'Policy Characteristics'!$C:$C,0))),"",INDEX('Policy Characteristics'!H:H,MATCH($C410,'Policy Characteristics'!$C:$C,0)))</f>
        <v>0.01</v>
      </c>
      <c r="O410" s="394" t="str">
        <f>IF(ISBLANK(INDEX('Policy Characteristics'!I:I,MATCH($C410,'Policy Characteristics'!$C:$C,0))),"",INDEX('Policy Characteristics'!I:I,MATCH($C410,'Policy Characteristics'!$C:$C,0)))</f>
        <v>% of CO2 captured</v>
      </c>
      <c r="P410" s="394" t="str">
        <f>IF(ISBLANK(INDEX('Policy Characteristics'!J:J,MATCH($C410,'Policy Characteristics'!$C:$C,0))),"",INDEX('Policy Characteristics'!J:J,MATCH($C410,'Policy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0" s="394" t="str">
        <f>IF(ISBLANK(INDEX('Policy Characteristics'!K:K,MATCH($C410,'Policy Characteristics'!$C:$C,0))),"",INDEX('Policy Characteristics'!K:K,MATCH($C410,'Policy Characteristics'!$C:$C,0)))</f>
        <v>ccs.html#ccs</v>
      </c>
      <c r="R410" s="394" t="str">
        <f>IF(ISBLANK(INDEX('Policy Characteristics'!L:L,MATCH($C410,'Policy Characteristics'!$C:$C,0))),"",INDEX('Policy Characteristics'!L:L,MATCH($C410,'Policy Characteristics'!$C:$C,0)))</f>
        <v>carbon-capture-and-sequestration.html</v>
      </c>
    </row>
    <row r="411" customHeight="1" spans="1:18">
      <c r="A411" s="394" t="str">
        <f>IF(ISBLANK(INDEX('Policy Characteristics'!A:A,MATCH($C411,'Policy Characteristics'!$C:$C,0))),"",INDEX('Policy Characteristics'!A:A,MATCH($C411,'Policy Characteristics'!$C:$C,0)))</f>
        <v>Industry</v>
      </c>
      <c r="B411" s="395" t="str">
        <f>IF(ISBLANK(INDEX('Policy Characteristics'!B:B,MATCH($C411,'Policy Characteristics'!$C:$C,0))),"",INDEX('Policy Characteristics'!B:B,MATCH($C411,'Policy Characteristics'!$C:$C,0)))</f>
        <v>Carbon Capture and Sequestration</v>
      </c>
      <c r="C411" s="394" t="str">
        <f t="shared" si="28"/>
        <v>Industry Sector Fraction of Potential Additional CCS Achieved</v>
      </c>
      <c r="D411" s="399" t="s">
        <v>746</v>
      </c>
      <c r="E411" s="399" t="s">
        <v>788</v>
      </c>
      <c r="F411" t="s">
        <v>747</v>
      </c>
      <c r="G411" s="399" t="s">
        <v>789</v>
      </c>
      <c r="H411" s="377">
        <v>916</v>
      </c>
      <c r="I411" s="396" t="s">
        <v>648</v>
      </c>
      <c r="J411" s="397" t="str">
        <f>IF(ISBLANK(INDEX('Policy Characteristics'!D:D,MATCH($C411,'Policy Characteristics'!$C:$C,0))),"",INDEX('Policy Characteristics'!D:D,MATCH($C411,'Policy Characteristics'!$C:$C,0)))</f>
        <v>Industry CCS</v>
      </c>
      <c r="K411" s="394" t="str">
        <f>IF(ISBLANK(INDEX('Policy Characteristics'!E:E,MATCH($C411,'Policy Characteristics'!$C:$C,0))),"",INDEX('Policy Characteristics'!E:E,MATCH($C411,'Policy Characteristics'!$C:$C,0)))</f>
        <v>indst CCS</v>
      </c>
      <c r="L411" s="398">
        <f>IF(ISBLANK(INDEX('Policy Characteristics'!F:F,MATCH($C411,'Policy Characteristics'!$C:$C,0))),"",INDEX('Policy Characteristics'!F:F,MATCH($C411,'Policy Characteristics'!$C:$C,0)))</f>
        <v>0</v>
      </c>
      <c r="M411" s="398">
        <f>IF(ISBLANK(INDEX('Policy Characteristics'!G:G,MATCH($C411,'Policy Characteristics'!$C:$C,0))),"",INDEX('Policy Characteristics'!G:G,MATCH($C411,'Policy Characteristics'!$C:$C,0)))</f>
        <v>1</v>
      </c>
      <c r="N411" s="398">
        <f>IF(ISBLANK(INDEX('Policy Characteristics'!H:H,MATCH($C411,'Policy Characteristics'!$C:$C,0))),"",INDEX('Policy Characteristics'!H:H,MATCH($C411,'Policy Characteristics'!$C:$C,0)))</f>
        <v>0.01</v>
      </c>
      <c r="O411" s="394" t="str">
        <f>IF(ISBLANK(INDEX('Policy Characteristics'!I:I,MATCH($C411,'Policy Characteristics'!$C:$C,0))),"",INDEX('Policy Characteristics'!I:I,MATCH($C411,'Policy Characteristics'!$C:$C,0)))</f>
        <v>% of CO2 captured</v>
      </c>
      <c r="P411" s="394" t="str">
        <f>IF(ISBLANK(INDEX('Policy Characteristics'!J:J,MATCH($C411,'Policy Characteristics'!$C:$C,0))),"",INDEX('Policy Characteristics'!J:J,MATCH($C411,'Policy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1" s="394" t="str">
        <f>IF(ISBLANK(INDEX('Policy Characteristics'!K:K,MATCH($C411,'Policy Characteristics'!$C:$C,0))),"",INDEX('Policy Characteristics'!K:K,MATCH($C411,'Policy Characteristics'!$C:$C,0)))</f>
        <v>ccs.html#ccs</v>
      </c>
      <c r="R411" s="394" t="str">
        <f>IF(ISBLANK(INDEX('Policy Characteristics'!L:L,MATCH($C411,'Policy Characteristics'!$C:$C,0))),"",INDEX('Policy Characteristics'!L:L,MATCH($C411,'Policy Characteristics'!$C:$C,0)))</f>
        <v>carbon-capture-and-sequestration.html</v>
      </c>
    </row>
    <row r="412" customHeight="1" spans="1:18">
      <c r="A412" s="394" t="str">
        <f>IF(ISBLANK(INDEX('Policy Characteristics'!A:A,MATCH($C412,'Policy Characteristics'!$C:$C,0))),"",INDEX('Policy Characteristics'!A:A,MATCH($C412,'Policy Characteristics'!$C:$C,0)))</f>
        <v>Industry</v>
      </c>
      <c r="B412" s="395" t="str">
        <f>IF(ISBLANK(INDEX('Policy Characteristics'!B:B,MATCH($C412,'Policy Characteristics'!$C:$C,0))),"",INDEX('Policy Characteristics'!B:B,MATCH($C412,'Policy Characteristics'!$C:$C,0)))</f>
        <v>Carbon Capture and Sequestration</v>
      </c>
      <c r="C412" s="394" t="str">
        <f t="shared" si="28"/>
        <v>Industry Sector Fraction of Potential Additional CCS Achieved</v>
      </c>
      <c r="D412" s="399" t="s">
        <v>746</v>
      </c>
      <c r="E412" s="399" t="s">
        <v>790</v>
      </c>
      <c r="F412" t="s">
        <v>747</v>
      </c>
      <c r="G412" s="399" t="s">
        <v>791</v>
      </c>
      <c r="H412" s="377">
        <v>917</v>
      </c>
      <c r="I412" s="396" t="s">
        <v>658</v>
      </c>
      <c r="J412" s="397" t="str">
        <f>IF(ISBLANK(INDEX('Policy Characteristics'!D:D,MATCH($C412,'Policy Characteristics'!$C:$C,0))),"",INDEX('Policy Characteristics'!D:D,MATCH($C412,'Policy Characteristics'!$C:$C,0)))</f>
        <v>Industry CCS</v>
      </c>
      <c r="K412" s="394" t="str">
        <f>IF(ISBLANK(INDEX('Policy Characteristics'!E:E,MATCH($C412,'Policy Characteristics'!$C:$C,0))),"",INDEX('Policy Characteristics'!E:E,MATCH($C412,'Policy Characteristics'!$C:$C,0)))</f>
        <v>indst CCS</v>
      </c>
      <c r="L412" s="398">
        <f>IF(ISBLANK(INDEX('Policy Characteristics'!F:F,MATCH($C412,'Policy Characteristics'!$C:$C,0))),"",INDEX('Policy Characteristics'!F:F,MATCH($C412,'Policy Characteristics'!$C:$C,0)))</f>
        <v>0</v>
      </c>
      <c r="M412" s="398">
        <f>IF(ISBLANK(INDEX('Policy Characteristics'!G:G,MATCH($C412,'Policy Characteristics'!$C:$C,0))),"",INDEX('Policy Characteristics'!G:G,MATCH($C412,'Policy Characteristics'!$C:$C,0)))</f>
        <v>1</v>
      </c>
      <c r="N412" s="398">
        <f>IF(ISBLANK(INDEX('Policy Characteristics'!H:H,MATCH($C412,'Policy Characteristics'!$C:$C,0))),"",INDEX('Policy Characteristics'!H:H,MATCH($C412,'Policy Characteristics'!$C:$C,0)))</f>
        <v>0.01</v>
      </c>
      <c r="O412" s="394" t="str">
        <f>IF(ISBLANK(INDEX('Policy Characteristics'!I:I,MATCH($C412,'Policy Characteristics'!$C:$C,0))),"",INDEX('Policy Characteristics'!I:I,MATCH($C412,'Policy Characteristics'!$C:$C,0)))</f>
        <v>% of CO2 captured</v>
      </c>
      <c r="P412" s="394" t="str">
        <f>IF(ISBLANK(INDEX('Policy Characteristics'!J:J,MATCH($C412,'Policy Characteristics'!$C:$C,0))),"",INDEX('Policy Characteristics'!J:J,MATCH($C412,'Policy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2" s="394" t="str">
        <f>IF(ISBLANK(INDEX('Policy Characteristics'!K:K,MATCH($C412,'Policy Characteristics'!$C:$C,0))),"",INDEX('Policy Characteristics'!K:K,MATCH($C412,'Policy Characteristics'!$C:$C,0)))</f>
        <v>ccs.html#ccs</v>
      </c>
      <c r="R412" s="394" t="str">
        <f>IF(ISBLANK(INDEX('Policy Characteristics'!L:L,MATCH($C412,'Policy Characteristics'!$C:$C,0))),"",INDEX('Policy Characteristics'!L:L,MATCH($C412,'Policy Characteristics'!$C:$C,0)))</f>
        <v>carbon-capture-and-sequestration.html</v>
      </c>
    </row>
    <row r="413" customHeight="1" spans="1:18">
      <c r="A413" s="394" t="str">
        <f>IF(ISBLANK(INDEX('Policy Characteristics'!A:A,MATCH($C413,'Policy Characteristics'!$C:$C,0))),"",INDEX('Policy Characteristics'!A:A,MATCH($C413,'Policy Characteristics'!$C:$C,0)))</f>
        <v>Industry</v>
      </c>
      <c r="B413" s="395" t="str">
        <f>IF(ISBLANK(INDEX('Policy Characteristics'!B:B,MATCH($C413,'Policy Characteristics'!$C:$C,0))),"",INDEX('Policy Characteristics'!B:B,MATCH($C413,'Policy Characteristics'!$C:$C,0)))</f>
        <v>Carbon Capture and Sequestration</v>
      </c>
      <c r="C413" s="394" t="str">
        <f t="shared" si="28"/>
        <v>Industry Sector Fraction of Potential Additional CCS Achieved</v>
      </c>
      <c r="D413" s="399" t="s">
        <v>748</v>
      </c>
      <c r="E413" s="399" t="s">
        <v>788</v>
      </c>
      <c r="F413" t="s">
        <v>749</v>
      </c>
      <c r="G413" s="399" t="s">
        <v>789</v>
      </c>
      <c r="H413" s="377">
        <v>918</v>
      </c>
      <c r="I413" s="396" t="s">
        <v>648</v>
      </c>
      <c r="J413" s="397" t="str">
        <f>IF(ISBLANK(INDEX('Policy Characteristics'!D:D,MATCH($C413,'Policy Characteristics'!$C:$C,0))),"",INDEX('Policy Characteristics'!D:D,MATCH($C413,'Policy Characteristics'!$C:$C,0)))</f>
        <v>Industry CCS</v>
      </c>
      <c r="K413" s="394" t="str">
        <f>IF(ISBLANK(INDEX('Policy Characteristics'!E:E,MATCH($C413,'Policy Characteristics'!$C:$C,0))),"",INDEX('Policy Characteristics'!E:E,MATCH($C413,'Policy Characteristics'!$C:$C,0)))</f>
        <v>indst CCS</v>
      </c>
      <c r="L413" s="398">
        <f>IF(ISBLANK(INDEX('Policy Characteristics'!F:F,MATCH($C413,'Policy Characteristics'!$C:$C,0))),"",INDEX('Policy Characteristics'!F:F,MATCH($C413,'Policy Characteristics'!$C:$C,0)))</f>
        <v>0</v>
      </c>
      <c r="M413" s="398">
        <f>IF(ISBLANK(INDEX('Policy Characteristics'!G:G,MATCH($C413,'Policy Characteristics'!$C:$C,0))),"",INDEX('Policy Characteristics'!G:G,MATCH($C413,'Policy Characteristics'!$C:$C,0)))</f>
        <v>1</v>
      </c>
      <c r="N413" s="398">
        <f>IF(ISBLANK(INDEX('Policy Characteristics'!H:H,MATCH($C413,'Policy Characteristics'!$C:$C,0))),"",INDEX('Policy Characteristics'!H:H,MATCH($C413,'Policy Characteristics'!$C:$C,0)))</f>
        <v>0.01</v>
      </c>
      <c r="O413" s="394" t="str">
        <f>IF(ISBLANK(INDEX('Policy Characteristics'!I:I,MATCH($C413,'Policy Characteristics'!$C:$C,0))),"",INDEX('Policy Characteristics'!I:I,MATCH($C413,'Policy Characteristics'!$C:$C,0)))</f>
        <v>% of CO2 captured</v>
      </c>
      <c r="P413" s="394" t="str">
        <f>IF(ISBLANK(INDEX('Policy Characteristics'!J:J,MATCH($C413,'Policy Characteristics'!$C:$C,0))),"",INDEX('Policy Characteristics'!J:J,MATCH($C413,'Policy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3" s="394" t="str">
        <f>IF(ISBLANK(INDEX('Policy Characteristics'!K:K,MATCH($C413,'Policy Characteristics'!$C:$C,0))),"",INDEX('Policy Characteristics'!K:K,MATCH($C413,'Policy Characteristics'!$C:$C,0)))</f>
        <v>ccs.html#ccs</v>
      </c>
      <c r="R413" s="394" t="str">
        <f>IF(ISBLANK(INDEX('Policy Characteristics'!L:L,MATCH($C413,'Policy Characteristics'!$C:$C,0))),"",INDEX('Policy Characteristics'!L:L,MATCH($C413,'Policy Characteristics'!$C:$C,0)))</f>
        <v>carbon-capture-and-sequestration.html</v>
      </c>
    </row>
    <row r="414" customHeight="1" spans="1:18">
      <c r="A414" s="394" t="str">
        <f>IF(ISBLANK(INDEX('Policy Characteristics'!A:A,MATCH($C414,'Policy Characteristics'!$C:$C,0))),"",INDEX('Policy Characteristics'!A:A,MATCH($C414,'Policy Characteristics'!$C:$C,0)))</f>
        <v>Industry</v>
      </c>
      <c r="B414" s="395" t="str">
        <f>IF(ISBLANK(INDEX('Policy Characteristics'!B:B,MATCH($C414,'Policy Characteristics'!$C:$C,0))),"",INDEX('Policy Characteristics'!B:B,MATCH($C414,'Policy Characteristics'!$C:$C,0)))</f>
        <v>Carbon Capture and Sequestration</v>
      </c>
      <c r="C414" s="394" t="str">
        <f t="shared" si="28"/>
        <v>Industry Sector Fraction of Potential Additional CCS Achieved</v>
      </c>
      <c r="D414" s="399" t="s">
        <v>748</v>
      </c>
      <c r="E414" s="399" t="s">
        <v>790</v>
      </c>
      <c r="F414" t="s">
        <v>749</v>
      </c>
      <c r="G414" s="399" t="s">
        <v>791</v>
      </c>
      <c r="H414" s="377">
        <v>919</v>
      </c>
      <c r="I414" s="396" t="s">
        <v>658</v>
      </c>
      <c r="J414" s="397" t="str">
        <f>IF(ISBLANK(INDEX('Policy Characteristics'!D:D,MATCH($C414,'Policy Characteristics'!$C:$C,0))),"",INDEX('Policy Characteristics'!D:D,MATCH($C414,'Policy Characteristics'!$C:$C,0)))</f>
        <v>Industry CCS</v>
      </c>
      <c r="K414" s="394" t="str">
        <f>IF(ISBLANK(INDEX('Policy Characteristics'!E:E,MATCH($C414,'Policy Characteristics'!$C:$C,0))),"",INDEX('Policy Characteristics'!E:E,MATCH($C414,'Policy Characteristics'!$C:$C,0)))</f>
        <v>indst CCS</v>
      </c>
      <c r="L414" s="398">
        <f>IF(ISBLANK(INDEX('Policy Characteristics'!F:F,MATCH($C414,'Policy Characteristics'!$C:$C,0))),"",INDEX('Policy Characteristics'!F:F,MATCH($C414,'Policy Characteristics'!$C:$C,0)))</f>
        <v>0</v>
      </c>
      <c r="M414" s="398">
        <f>IF(ISBLANK(INDEX('Policy Characteristics'!G:G,MATCH($C414,'Policy Characteristics'!$C:$C,0))),"",INDEX('Policy Characteristics'!G:G,MATCH($C414,'Policy Characteristics'!$C:$C,0)))</f>
        <v>1</v>
      </c>
      <c r="N414" s="398">
        <f>IF(ISBLANK(INDEX('Policy Characteristics'!H:H,MATCH($C414,'Policy Characteristics'!$C:$C,0))),"",INDEX('Policy Characteristics'!H:H,MATCH($C414,'Policy Characteristics'!$C:$C,0)))</f>
        <v>0.01</v>
      </c>
      <c r="O414" s="394" t="str">
        <f>IF(ISBLANK(INDEX('Policy Characteristics'!I:I,MATCH($C414,'Policy Characteristics'!$C:$C,0))),"",INDEX('Policy Characteristics'!I:I,MATCH($C414,'Policy Characteristics'!$C:$C,0)))</f>
        <v>% of CO2 captured</v>
      </c>
      <c r="P414" s="394" t="str">
        <f>IF(ISBLANK(INDEX('Policy Characteristics'!J:J,MATCH($C414,'Policy Characteristics'!$C:$C,0))),"",INDEX('Policy Characteristics'!J:J,MATCH($C414,'Policy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4" s="394" t="str">
        <f>IF(ISBLANK(INDEX('Policy Characteristics'!K:K,MATCH($C414,'Policy Characteristics'!$C:$C,0))),"",INDEX('Policy Characteristics'!K:K,MATCH($C414,'Policy Characteristics'!$C:$C,0)))</f>
        <v>ccs.html#ccs</v>
      </c>
      <c r="R414" s="394" t="str">
        <f>IF(ISBLANK(INDEX('Policy Characteristics'!L:L,MATCH($C414,'Policy Characteristics'!$C:$C,0))),"",INDEX('Policy Characteristics'!L:L,MATCH($C414,'Policy Characteristics'!$C:$C,0)))</f>
        <v>carbon-capture-and-sequestration.html</v>
      </c>
    </row>
    <row r="415" customHeight="1" spans="1:18">
      <c r="A415" s="394" t="str">
        <f>IF(ISBLANK(INDEX('Policy Characteristics'!A:A,MATCH($C415,'Policy Characteristics'!$C:$C,0))),"",INDEX('Policy Characteristics'!A:A,MATCH($C415,'Policy Characteristics'!$C:$C,0)))</f>
        <v>Industry</v>
      </c>
      <c r="B415" s="395" t="str">
        <f>IF(ISBLANK(INDEX('Policy Characteristics'!B:B,MATCH($C415,'Policy Characteristics'!$C:$C,0))),"",INDEX('Policy Characteristics'!B:B,MATCH($C415,'Policy Characteristics'!$C:$C,0)))</f>
        <v>Carbon Capture and Sequestration</v>
      </c>
      <c r="C415" s="394" t="str">
        <f t="shared" si="28"/>
        <v>Industry Sector Fraction of Potential Additional CCS Achieved</v>
      </c>
      <c r="D415" s="399" t="s">
        <v>750</v>
      </c>
      <c r="E415" s="399" t="s">
        <v>788</v>
      </c>
      <c r="F415" s="366" t="s">
        <v>751</v>
      </c>
      <c r="G415" s="399" t="s">
        <v>789</v>
      </c>
      <c r="H415" s="377">
        <v>920</v>
      </c>
      <c r="I415" s="396" t="s">
        <v>648</v>
      </c>
      <c r="J415" s="397" t="str">
        <f>IF(ISBLANK(INDEX('Policy Characteristics'!D:D,MATCH($C415,'Policy Characteristics'!$C:$C,0))),"",INDEX('Policy Characteristics'!D:D,MATCH($C415,'Policy Characteristics'!$C:$C,0)))</f>
        <v>Industry CCS</v>
      </c>
      <c r="K415" s="394" t="str">
        <f>IF(ISBLANK(INDEX('Policy Characteristics'!E:E,MATCH($C415,'Policy Characteristics'!$C:$C,0))),"",INDEX('Policy Characteristics'!E:E,MATCH($C415,'Policy Characteristics'!$C:$C,0)))</f>
        <v>indst CCS</v>
      </c>
      <c r="L415" s="398">
        <f>IF(ISBLANK(INDEX('Policy Characteristics'!F:F,MATCH($C415,'Policy Characteristics'!$C:$C,0))),"",INDEX('Policy Characteristics'!F:F,MATCH($C415,'Policy Characteristics'!$C:$C,0)))</f>
        <v>0</v>
      </c>
      <c r="M415" s="398">
        <f>IF(ISBLANK(INDEX('Policy Characteristics'!G:G,MATCH($C415,'Policy Characteristics'!$C:$C,0))),"",INDEX('Policy Characteristics'!G:G,MATCH($C415,'Policy Characteristics'!$C:$C,0)))</f>
        <v>1</v>
      </c>
      <c r="N415" s="398">
        <f>IF(ISBLANK(INDEX('Policy Characteristics'!H:H,MATCH($C415,'Policy Characteristics'!$C:$C,0))),"",INDEX('Policy Characteristics'!H:H,MATCH($C415,'Policy Characteristics'!$C:$C,0)))</f>
        <v>0.01</v>
      </c>
      <c r="O415" s="394" t="str">
        <f>IF(ISBLANK(INDEX('Policy Characteristics'!I:I,MATCH($C415,'Policy Characteristics'!$C:$C,0))),"",INDEX('Policy Characteristics'!I:I,MATCH($C415,'Policy Characteristics'!$C:$C,0)))</f>
        <v>% of CO2 captured</v>
      </c>
      <c r="P415" s="394" t="str">
        <f>IF(ISBLANK(INDEX('Policy Characteristics'!J:J,MATCH($C415,'Policy Characteristics'!$C:$C,0))),"",INDEX('Policy Characteristics'!J:J,MATCH($C415,'Policy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5" s="394" t="str">
        <f>IF(ISBLANK(INDEX('Policy Characteristics'!K:K,MATCH($C415,'Policy Characteristics'!$C:$C,0))),"",INDEX('Policy Characteristics'!K:K,MATCH($C415,'Policy Characteristics'!$C:$C,0)))</f>
        <v>ccs.html#ccs</v>
      </c>
      <c r="R415" s="394" t="str">
        <f>IF(ISBLANK(INDEX('Policy Characteristics'!L:L,MATCH($C415,'Policy Characteristics'!$C:$C,0))),"",INDEX('Policy Characteristics'!L:L,MATCH($C415,'Policy Characteristics'!$C:$C,0)))</f>
        <v>carbon-capture-and-sequestration.html</v>
      </c>
    </row>
    <row r="416" customHeight="1" spans="1:18">
      <c r="A416" s="394" t="str">
        <f>IF(ISBLANK(INDEX('Policy Characteristics'!A:A,MATCH($C416,'Policy Characteristics'!$C:$C,0))),"",INDEX('Policy Characteristics'!A:A,MATCH($C416,'Policy Characteristics'!$C:$C,0)))</f>
        <v>Industry</v>
      </c>
      <c r="B416" s="395" t="str">
        <f>IF(ISBLANK(INDEX('Policy Characteristics'!B:B,MATCH($C416,'Policy Characteristics'!$C:$C,0))),"",INDEX('Policy Characteristics'!B:B,MATCH($C416,'Policy Characteristics'!$C:$C,0)))</f>
        <v>Carbon Capture and Sequestration</v>
      </c>
      <c r="C416" s="394" t="str">
        <f t="shared" si="28"/>
        <v>Industry Sector Fraction of Potential Additional CCS Achieved</v>
      </c>
      <c r="D416" s="399" t="s">
        <v>750</v>
      </c>
      <c r="E416" s="399" t="s">
        <v>790</v>
      </c>
      <c r="F416" s="366" t="s">
        <v>751</v>
      </c>
      <c r="G416" s="399" t="s">
        <v>791</v>
      </c>
      <c r="H416" s="377">
        <v>921</v>
      </c>
      <c r="I416" s="396" t="s">
        <v>658</v>
      </c>
      <c r="J416" s="397" t="str">
        <f>IF(ISBLANK(INDEX('Policy Characteristics'!D:D,MATCH($C416,'Policy Characteristics'!$C:$C,0))),"",INDEX('Policy Characteristics'!D:D,MATCH($C416,'Policy Characteristics'!$C:$C,0)))</f>
        <v>Industry CCS</v>
      </c>
      <c r="K416" s="394" t="str">
        <f>IF(ISBLANK(INDEX('Policy Characteristics'!E:E,MATCH($C416,'Policy Characteristics'!$C:$C,0))),"",INDEX('Policy Characteristics'!E:E,MATCH($C416,'Policy Characteristics'!$C:$C,0)))</f>
        <v>indst CCS</v>
      </c>
      <c r="L416" s="398">
        <f>IF(ISBLANK(INDEX('Policy Characteristics'!F:F,MATCH($C416,'Policy Characteristics'!$C:$C,0))),"",INDEX('Policy Characteristics'!F:F,MATCH($C416,'Policy Characteristics'!$C:$C,0)))</f>
        <v>0</v>
      </c>
      <c r="M416" s="398">
        <f>IF(ISBLANK(INDEX('Policy Characteristics'!G:G,MATCH($C416,'Policy Characteristics'!$C:$C,0))),"",INDEX('Policy Characteristics'!G:G,MATCH($C416,'Policy Characteristics'!$C:$C,0)))</f>
        <v>1</v>
      </c>
      <c r="N416" s="398">
        <f>IF(ISBLANK(INDEX('Policy Characteristics'!H:H,MATCH($C416,'Policy Characteristics'!$C:$C,0))),"",INDEX('Policy Characteristics'!H:H,MATCH($C416,'Policy Characteristics'!$C:$C,0)))</f>
        <v>0.01</v>
      </c>
      <c r="O416" s="394" t="str">
        <f>IF(ISBLANK(INDEX('Policy Characteristics'!I:I,MATCH($C416,'Policy Characteristics'!$C:$C,0))),"",INDEX('Policy Characteristics'!I:I,MATCH($C416,'Policy Characteristics'!$C:$C,0)))</f>
        <v>% of CO2 captured</v>
      </c>
      <c r="P416" s="394" t="str">
        <f>IF(ISBLANK(INDEX('Policy Characteristics'!J:J,MATCH($C416,'Policy Characteristics'!$C:$C,0))),"",INDEX('Policy Characteristics'!J:J,MATCH($C416,'Policy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6" s="394" t="str">
        <f>IF(ISBLANK(INDEX('Policy Characteristics'!K:K,MATCH($C416,'Policy Characteristics'!$C:$C,0))),"",INDEX('Policy Characteristics'!K:K,MATCH($C416,'Policy Characteristics'!$C:$C,0)))</f>
        <v>ccs.html#ccs</v>
      </c>
      <c r="R416" s="394" t="str">
        <f>IF(ISBLANK(INDEX('Policy Characteristics'!L:L,MATCH($C416,'Policy Characteristics'!$C:$C,0))),"",INDEX('Policy Characteristics'!L:L,MATCH($C416,'Policy Characteristics'!$C:$C,0)))</f>
        <v>carbon-capture-and-sequestration.html</v>
      </c>
    </row>
    <row r="417" customHeight="1" spans="1:18">
      <c r="A417" s="394" t="str">
        <f>IF(ISBLANK(INDEX('Policy Characteristics'!A:A,MATCH($C417,'Policy Characteristics'!$C:$C,0))),"",INDEX('Policy Characteristics'!A:A,MATCH($C417,'Policy Characteristics'!$C:$C,0)))</f>
        <v>Industry</v>
      </c>
      <c r="B417" s="395" t="str">
        <f>IF(ISBLANK(INDEX('Policy Characteristics'!B:B,MATCH($C417,'Policy Characteristics'!$C:$C,0))),"",INDEX('Policy Characteristics'!B:B,MATCH($C417,'Policy Characteristics'!$C:$C,0)))</f>
        <v>Carbon Capture and Sequestration</v>
      </c>
      <c r="C417" s="394" t="str">
        <f t="shared" si="28"/>
        <v>Industry Sector Fraction of Potential Additional CCS Achieved</v>
      </c>
      <c r="D417" s="399" t="s">
        <v>752</v>
      </c>
      <c r="E417" s="399" t="s">
        <v>788</v>
      </c>
      <c r="F417" t="s">
        <v>753</v>
      </c>
      <c r="G417" s="399" t="s">
        <v>789</v>
      </c>
      <c r="H417" s="377">
        <v>922</v>
      </c>
      <c r="I417" s="396" t="s">
        <v>648</v>
      </c>
      <c r="J417" s="397" t="str">
        <f>IF(ISBLANK(INDEX('Policy Characteristics'!D:D,MATCH($C417,'Policy Characteristics'!$C:$C,0))),"",INDEX('Policy Characteristics'!D:D,MATCH($C417,'Policy Characteristics'!$C:$C,0)))</f>
        <v>Industry CCS</v>
      </c>
      <c r="K417" s="394" t="str">
        <f>IF(ISBLANK(INDEX('Policy Characteristics'!E:E,MATCH($C417,'Policy Characteristics'!$C:$C,0))),"",INDEX('Policy Characteristics'!E:E,MATCH($C417,'Policy Characteristics'!$C:$C,0)))</f>
        <v>indst CCS</v>
      </c>
      <c r="L417" s="398">
        <f>IF(ISBLANK(INDEX('Policy Characteristics'!F:F,MATCH($C417,'Policy Characteristics'!$C:$C,0))),"",INDEX('Policy Characteristics'!F:F,MATCH($C417,'Policy Characteristics'!$C:$C,0)))</f>
        <v>0</v>
      </c>
      <c r="M417" s="398">
        <f>IF(ISBLANK(INDEX('Policy Characteristics'!G:G,MATCH($C417,'Policy Characteristics'!$C:$C,0))),"",INDEX('Policy Characteristics'!G:G,MATCH($C417,'Policy Characteristics'!$C:$C,0)))</f>
        <v>1</v>
      </c>
      <c r="N417" s="398">
        <f>IF(ISBLANK(INDEX('Policy Characteristics'!H:H,MATCH($C417,'Policy Characteristics'!$C:$C,0))),"",INDEX('Policy Characteristics'!H:H,MATCH($C417,'Policy Characteristics'!$C:$C,0)))</f>
        <v>0.01</v>
      </c>
      <c r="O417" s="394" t="str">
        <f>IF(ISBLANK(INDEX('Policy Characteristics'!I:I,MATCH($C417,'Policy Characteristics'!$C:$C,0))),"",INDEX('Policy Characteristics'!I:I,MATCH($C417,'Policy Characteristics'!$C:$C,0)))</f>
        <v>% of CO2 captured</v>
      </c>
      <c r="P417" s="394" t="str">
        <f>IF(ISBLANK(INDEX('Policy Characteristics'!J:J,MATCH($C417,'Policy Characteristics'!$C:$C,0))),"",INDEX('Policy Characteristics'!J:J,MATCH($C417,'Policy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7" s="394" t="str">
        <f>IF(ISBLANK(INDEX('Policy Characteristics'!K:K,MATCH($C417,'Policy Characteristics'!$C:$C,0))),"",INDEX('Policy Characteristics'!K:K,MATCH($C417,'Policy Characteristics'!$C:$C,0)))</f>
        <v>ccs.html#ccs</v>
      </c>
      <c r="R417" s="394" t="str">
        <f>IF(ISBLANK(INDEX('Policy Characteristics'!L:L,MATCH($C417,'Policy Characteristics'!$C:$C,0))),"",INDEX('Policy Characteristics'!L:L,MATCH($C417,'Policy Characteristics'!$C:$C,0)))</f>
        <v>carbon-capture-and-sequestration.html</v>
      </c>
    </row>
    <row r="418" customHeight="1" spans="1:18">
      <c r="A418" s="394" t="str">
        <f>IF(ISBLANK(INDEX('Policy Characteristics'!A:A,MATCH($C418,'Policy Characteristics'!$C:$C,0))),"",INDEX('Policy Characteristics'!A:A,MATCH($C418,'Policy Characteristics'!$C:$C,0)))</f>
        <v>Industry</v>
      </c>
      <c r="B418" s="395" t="str">
        <f>IF(ISBLANK(INDEX('Policy Characteristics'!B:B,MATCH($C418,'Policy Characteristics'!$C:$C,0))),"",INDEX('Policy Characteristics'!B:B,MATCH($C418,'Policy Characteristics'!$C:$C,0)))</f>
        <v>Carbon Capture and Sequestration</v>
      </c>
      <c r="C418" s="394" t="str">
        <f t="shared" si="28"/>
        <v>Industry Sector Fraction of Potential Additional CCS Achieved</v>
      </c>
      <c r="D418" s="399" t="s">
        <v>752</v>
      </c>
      <c r="E418" s="399" t="s">
        <v>790</v>
      </c>
      <c r="F418" t="s">
        <v>753</v>
      </c>
      <c r="G418" s="399" t="s">
        <v>791</v>
      </c>
      <c r="H418" s="377">
        <v>923</v>
      </c>
      <c r="I418" s="396" t="s">
        <v>658</v>
      </c>
      <c r="J418" s="397" t="str">
        <f>IF(ISBLANK(INDEX('Policy Characteristics'!D:D,MATCH($C418,'Policy Characteristics'!$C:$C,0))),"",INDEX('Policy Characteristics'!D:D,MATCH($C418,'Policy Characteristics'!$C:$C,0)))</f>
        <v>Industry CCS</v>
      </c>
      <c r="K418" s="394" t="str">
        <f>IF(ISBLANK(INDEX('Policy Characteristics'!E:E,MATCH($C418,'Policy Characteristics'!$C:$C,0))),"",INDEX('Policy Characteristics'!E:E,MATCH($C418,'Policy Characteristics'!$C:$C,0)))</f>
        <v>indst CCS</v>
      </c>
      <c r="L418" s="398">
        <f>IF(ISBLANK(INDEX('Policy Characteristics'!F:F,MATCH($C418,'Policy Characteristics'!$C:$C,0))),"",INDEX('Policy Characteristics'!F:F,MATCH($C418,'Policy Characteristics'!$C:$C,0)))</f>
        <v>0</v>
      </c>
      <c r="M418" s="398">
        <f>IF(ISBLANK(INDEX('Policy Characteristics'!G:G,MATCH($C418,'Policy Characteristics'!$C:$C,0))),"",INDEX('Policy Characteristics'!G:G,MATCH($C418,'Policy Characteristics'!$C:$C,0)))</f>
        <v>1</v>
      </c>
      <c r="N418" s="398">
        <f>IF(ISBLANK(INDEX('Policy Characteristics'!H:H,MATCH($C418,'Policy Characteristics'!$C:$C,0))),"",INDEX('Policy Characteristics'!H:H,MATCH($C418,'Policy Characteristics'!$C:$C,0)))</f>
        <v>0.01</v>
      </c>
      <c r="O418" s="394" t="str">
        <f>IF(ISBLANK(INDEX('Policy Characteristics'!I:I,MATCH($C418,'Policy Characteristics'!$C:$C,0))),"",INDEX('Policy Characteristics'!I:I,MATCH($C418,'Policy Characteristics'!$C:$C,0)))</f>
        <v>% of CO2 captured</v>
      </c>
      <c r="P418" s="394" t="str">
        <f>IF(ISBLANK(INDEX('Policy Characteristics'!J:J,MATCH($C418,'Policy Characteristics'!$C:$C,0))),"",INDEX('Policy Characteristics'!J:J,MATCH($C418,'Policy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8" s="394" t="str">
        <f>IF(ISBLANK(INDEX('Policy Characteristics'!K:K,MATCH($C418,'Policy Characteristics'!$C:$C,0))),"",INDEX('Policy Characteristics'!K:K,MATCH($C418,'Policy Characteristics'!$C:$C,0)))</f>
        <v>ccs.html#ccs</v>
      </c>
      <c r="R418" s="394" t="str">
        <f>IF(ISBLANK(INDEX('Policy Characteristics'!L:L,MATCH($C418,'Policy Characteristics'!$C:$C,0))),"",INDEX('Policy Characteristics'!L:L,MATCH($C418,'Policy Characteristics'!$C:$C,0)))</f>
        <v>carbon-capture-and-sequestration.html</v>
      </c>
    </row>
    <row r="419" customHeight="1" spans="1:18">
      <c r="A419" s="394" t="str">
        <f>IF(ISBLANK(INDEX('Policy Characteristics'!A:A,MATCH($C419,'Policy Characteristics'!$C:$C,0))),"",INDEX('Policy Characteristics'!A:A,MATCH($C419,'Policy Characteristics'!$C:$C,0)))</f>
        <v>Industry</v>
      </c>
      <c r="B419" s="395" t="str">
        <f>IF(ISBLANK(INDEX('Policy Characteristics'!B:B,MATCH($C419,'Policy Characteristics'!$C:$C,0))),"",INDEX('Policy Characteristics'!B:B,MATCH($C419,'Policy Characteristics'!$C:$C,0)))</f>
        <v>Carbon Capture and Sequestration</v>
      </c>
      <c r="C419" s="394" t="str">
        <f t="shared" si="28"/>
        <v>Industry Sector Fraction of Potential Additional CCS Achieved</v>
      </c>
      <c r="D419" s="399" t="s">
        <v>754</v>
      </c>
      <c r="E419" s="399" t="s">
        <v>788</v>
      </c>
      <c r="F419" t="s">
        <v>755</v>
      </c>
      <c r="G419" s="399" t="s">
        <v>789</v>
      </c>
      <c r="H419" s="377">
        <v>924</v>
      </c>
      <c r="I419" s="396" t="s">
        <v>648</v>
      </c>
      <c r="J419" s="397" t="str">
        <f>IF(ISBLANK(INDEX('Policy Characteristics'!D:D,MATCH($C419,'Policy Characteristics'!$C:$C,0))),"",INDEX('Policy Characteristics'!D:D,MATCH($C419,'Policy Characteristics'!$C:$C,0)))</f>
        <v>Industry CCS</v>
      </c>
      <c r="K419" s="394" t="str">
        <f>IF(ISBLANK(INDEX('Policy Characteristics'!E:E,MATCH($C419,'Policy Characteristics'!$C:$C,0))),"",INDEX('Policy Characteristics'!E:E,MATCH($C419,'Policy Characteristics'!$C:$C,0)))</f>
        <v>indst CCS</v>
      </c>
      <c r="L419" s="398">
        <f>IF(ISBLANK(INDEX('Policy Characteristics'!F:F,MATCH($C419,'Policy Characteristics'!$C:$C,0))),"",INDEX('Policy Characteristics'!F:F,MATCH($C419,'Policy Characteristics'!$C:$C,0)))</f>
        <v>0</v>
      </c>
      <c r="M419" s="398">
        <f>IF(ISBLANK(INDEX('Policy Characteristics'!G:G,MATCH($C419,'Policy Characteristics'!$C:$C,0))),"",INDEX('Policy Characteristics'!G:G,MATCH($C419,'Policy Characteristics'!$C:$C,0)))</f>
        <v>1</v>
      </c>
      <c r="N419" s="398">
        <f>IF(ISBLANK(INDEX('Policy Characteristics'!H:H,MATCH($C419,'Policy Characteristics'!$C:$C,0))),"",INDEX('Policy Characteristics'!H:H,MATCH($C419,'Policy Characteristics'!$C:$C,0)))</f>
        <v>0.01</v>
      </c>
      <c r="O419" s="394" t="str">
        <f>IF(ISBLANK(INDEX('Policy Characteristics'!I:I,MATCH($C419,'Policy Characteristics'!$C:$C,0))),"",INDEX('Policy Characteristics'!I:I,MATCH($C419,'Policy Characteristics'!$C:$C,0)))</f>
        <v>% of CO2 captured</v>
      </c>
      <c r="P419" s="394" t="str">
        <f>IF(ISBLANK(INDEX('Policy Characteristics'!J:J,MATCH($C419,'Policy Characteristics'!$C:$C,0))),"",INDEX('Policy Characteristics'!J:J,MATCH($C419,'Policy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9" s="394" t="str">
        <f>IF(ISBLANK(INDEX('Policy Characteristics'!K:K,MATCH($C419,'Policy Characteristics'!$C:$C,0))),"",INDEX('Policy Characteristics'!K:K,MATCH($C419,'Policy Characteristics'!$C:$C,0)))</f>
        <v>ccs.html#ccs</v>
      </c>
      <c r="R419" s="394" t="str">
        <f>IF(ISBLANK(INDEX('Policy Characteristics'!L:L,MATCH($C419,'Policy Characteristics'!$C:$C,0))),"",INDEX('Policy Characteristics'!L:L,MATCH($C419,'Policy Characteristics'!$C:$C,0)))</f>
        <v>carbon-capture-and-sequestration.html</v>
      </c>
    </row>
    <row r="420" customHeight="1" spans="1:18">
      <c r="A420" s="394" t="str">
        <f>IF(ISBLANK(INDEX('Policy Characteristics'!A:A,MATCH($C420,'Policy Characteristics'!$C:$C,0))),"",INDEX('Policy Characteristics'!A:A,MATCH($C420,'Policy Characteristics'!$C:$C,0)))</f>
        <v>Industry</v>
      </c>
      <c r="B420" s="395" t="str">
        <f>IF(ISBLANK(INDEX('Policy Characteristics'!B:B,MATCH($C420,'Policy Characteristics'!$C:$C,0))),"",INDEX('Policy Characteristics'!B:B,MATCH($C420,'Policy Characteristics'!$C:$C,0)))</f>
        <v>Carbon Capture and Sequestration</v>
      </c>
      <c r="C420" s="394" t="str">
        <f t="shared" ref="C420:C452" si="29">C$403</f>
        <v>Industry Sector Fraction of Potential Additional CCS Achieved</v>
      </c>
      <c r="D420" s="399" t="s">
        <v>754</v>
      </c>
      <c r="E420" s="399" t="s">
        <v>790</v>
      </c>
      <c r="F420" t="s">
        <v>755</v>
      </c>
      <c r="G420" s="399" t="s">
        <v>791</v>
      </c>
      <c r="H420" s="377">
        <v>925</v>
      </c>
      <c r="I420" s="396" t="s">
        <v>648</v>
      </c>
      <c r="J420" s="397" t="str">
        <f>IF(ISBLANK(INDEX('Policy Characteristics'!D:D,MATCH($C420,'Policy Characteristics'!$C:$C,0))),"",INDEX('Policy Characteristics'!D:D,MATCH($C420,'Policy Characteristics'!$C:$C,0)))</f>
        <v>Industry CCS</v>
      </c>
      <c r="K420" s="394" t="str">
        <f>IF(ISBLANK(INDEX('Policy Characteristics'!E:E,MATCH($C420,'Policy Characteristics'!$C:$C,0))),"",INDEX('Policy Characteristics'!E:E,MATCH($C420,'Policy Characteristics'!$C:$C,0)))</f>
        <v>indst CCS</v>
      </c>
      <c r="L420" s="398">
        <f>IF(ISBLANK(INDEX('Policy Characteristics'!F:F,MATCH($C420,'Policy Characteristics'!$C:$C,0))),"",INDEX('Policy Characteristics'!F:F,MATCH($C420,'Policy Characteristics'!$C:$C,0)))</f>
        <v>0</v>
      </c>
      <c r="M420" s="398">
        <f>IF(ISBLANK(INDEX('Policy Characteristics'!G:G,MATCH($C420,'Policy Characteristics'!$C:$C,0))),"",INDEX('Policy Characteristics'!G:G,MATCH($C420,'Policy Characteristics'!$C:$C,0)))</f>
        <v>1</v>
      </c>
      <c r="N420" s="398">
        <f>IF(ISBLANK(INDEX('Policy Characteristics'!H:H,MATCH($C420,'Policy Characteristics'!$C:$C,0))),"",INDEX('Policy Characteristics'!H:H,MATCH($C420,'Policy Characteristics'!$C:$C,0)))</f>
        <v>0.01</v>
      </c>
      <c r="O420" s="394" t="str">
        <f>IF(ISBLANK(INDEX('Policy Characteristics'!I:I,MATCH($C420,'Policy Characteristics'!$C:$C,0))),"",INDEX('Policy Characteristics'!I:I,MATCH($C420,'Policy Characteristics'!$C:$C,0)))</f>
        <v>% of CO2 captured</v>
      </c>
      <c r="P420" s="394" t="str">
        <f>IF(ISBLANK(INDEX('Policy Characteristics'!J:J,MATCH($C420,'Policy Characteristics'!$C:$C,0))),"",INDEX('Policy Characteristics'!J:J,MATCH($C420,'Policy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0" s="394" t="str">
        <f>IF(ISBLANK(INDEX('Policy Characteristics'!K:K,MATCH($C420,'Policy Characteristics'!$C:$C,0))),"",INDEX('Policy Characteristics'!K:K,MATCH($C420,'Policy Characteristics'!$C:$C,0)))</f>
        <v>ccs.html#ccs</v>
      </c>
      <c r="R420" s="394" t="str">
        <f>IF(ISBLANK(INDEX('Policy Characteristics'!L:L,MATCH($C420,'Policy Characteristics'!$C:$C,0))),"",INDEX('Policy Characteristics'!L:L,MATCH($C420,'Policy Characteristics'!$C:$C,0)))</f>
        <v>carbon-capture-and-sequestration.html</v>
      </c>
    </row>
    <row r="421" customHeight="1" spans="1:18">
      <c r="A421" s="394" t="str">
        <f>IF(ISBLANK(INDEX('Policy Characteristics'!A:A,MATCH($C421,'Policy Characteristics'!$C:$C,0))),"",INDEX('Policy Characteristics'!A:A,MATCH($C421,'Policy Characteristics'!$C:$C,0)))</f>
        <v>Industry</v>
      </c>
      <c r="B421" s="395" t="str">
        <f>IF(ISBLANK(INDEX('Policy Characteristics'!B:B,MATCH($C421,'Policy Characteristics'!$C:$C,0))),"",INDEX('Policy Characteristics'!B:B,MATCH($C421,'Policy Characteristics'!$C:$C,0)))</f>
        <v>Carbon Capture and Sequestration</v>
      </c>
      <c r="C421" s="394" t="str">
        <f t="shared" si="29"/>
        <v>Industry Sector Fraction of Potential Additional CCS Achieved</v>
      </c>
      <c r="D421" s="399" t="s">
        <v>756</v>
      </c>
      <c r="E421" s="399" t="s">
        <v>788</v>
      </c>
      <c r="F421" t="s">
        <v>757</v>
      </c>
      <c r="G421" s="399" t="s">
        <v>789</v>
      </c>
      <c r="H421" s="377">
        <v>926</v>
      </c>
      <c r="I421" s="396" t="s">
        <v>648</v>
      </c>
      <c r="J421" s="397" t="str">
        <f>IF(ISBLANK(INDEX('Policy Characteristics'!D:D,MATCH($C421,'Policy Characteristics'!$C:$C,0))),"",INDEX('Policy Characteristics'!D:D,MATCH($C421,'Policy Characteristics'!$C:$C,0)))</f>
        <v>Industry CCS</v>
      </c>
      <c r="K421" s="394" t="str">
        <f>IF(ISBLANK(INDEX('Policy Characteristics'!E:E,MATCH($C421,'Policy Characteristics'!$C:$C,0))),"",INDEX('Policy Characteristics'!E:E,MATCH($C421,'Policy Characteristics'!$C:$C,0)))</f>
        <v>indst CCS</v>
      </c>
      <c r="L421" s="398">
        <f>IF(ISBLANK(INDEX('Policy Characteristics'!F:F,MATCH($C421,'Policy Characteristics'!$C:$C,0))),"",INDEX('Policy Characteristics'!F:F,MATCH($C421,'Policy Characteristics'!$C:$C,0)))</f>
        <v>0</v>
      </c>
      <c r="M421" s="398">
        <f>IF(ISBLANK(INDEX('Policy Characteristics'!G:G,MATCH($C421,'Policy Characteristics'!$C:$C,0))),"",INDEX('Policy Characteristics'!G:G,MATCH($C421,'Policy Characteristics'!$C:$C,0)))</f>
        <v>1</v>
      </c>
      <c r="N421" s="398">
        <f>IF(ISBLANK(INDEX('Policy Characteristics'!H:H,MATCH($C421,'Policy Characteristics'!$C:$C,0))),"",INDEX('Policy Characteristics'!H:H,MATCH($C421,'Policy Characteristics'!$C:$C,0)))</f>
        <v>0.01</v>
      </c>
      <c r="O421" s="394" t="str">
        <f>IF(ISBLANK(INDEX('Policy Characteristics'!I:I,MATCH($C421,'Policy Characteristics'!$C:$C,0))),"",INDEX('Policy Characteristics'!I:I,MATCH($C421,'Policy Characteristics'!$C:$C,0)))</f>
        <v>% of CO2 captured</v>
      </c>
      <c r="P421" s="394" t="str">
        <f>IF(ISBLANK(INDEX('Policy Characteristics'!J:J,MATCH($C421,'Policy Characteristics'!$C:$C,0))),"",INDEX('Policy Characteristics'!J:J,MATCH($C421,'Policy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1" s="394" t="str">
        <f>IF(ISBLANK(INDEX('Policy Characteristics'!K:K,MATCH($C421,'Policy Characteristics'!$C:$C,0))),"",INDEX('Policy Characteristics'!K:K,MATCH($C421,'Policy Characteristics'!$C:$C,0)))</f>
        <v>ccs.html#ccs</v>
      </c>
      <c r="R421" s="394" t="str">
        <f>IF(ISBLANK(INDEX('Policy Characteristics'!L:L,MATCH($C421,'Policy Characteristics'!$C:$C,0))),"",INDEX('Policy Characteristics'!L:L,MATCH($C421,'Policy Characteristics'!$C:$C,0)))</f>
        <v>carbon-capture-and-sequestration.html</v>
      </c>
    </row>
    <row r="422" customHeight="1" spans="1:18">
      <c r="A422" s="394" t="str">
        <f>IF(ISBLANK(INDEX('Policy Characteristics'!A:A,MATCH($C422,'Policy Characteristics'!$C:$C,0))),"",INDEX('Policy Characteristics'!A:A,MATCH($C422,'Policy Characteristics'!$C:$C,0)))</f>
        <v>Industry</v>
      </c>
      <c r="B422" s="395" t="str">
        <f>IF(ISBLANK(INDEX('Policy Characteristics'!B:B,MATCH($C422,'Policy Characteristics'!$C:$C,0))),"",INDEX('Policy Characteristics'!B:B,MATCH($C422,'Policy Characteristics'!$C:$C,0)))</f>
        <v>Carbon Capture and Sequestration</v>
      </c>
      <c r="C422" s="394" t="str">
        <f t="shared" si="29"/>
        <v>Industry Sector Fraction of Potential Additional CCS Achieved</v>
      </c>
      <c r="D422" s="399" t="s">
        <v>756</v>
      </c>
      <c r="E422" s="399" t="s">
        <v>790</v>
      </c>
      <c r="F422" t="s">
        <v>757</v>
      </c>
      <c r="G422" s="399" t="s">
        <v>791</v>
      </c>
      <c r="H422" s="377">
        <v>927</v>
      </c>
      <c r="I422" s="396" t="s">
        <v>648</v>
      </c>
      <c r="J422" s="397" t="str">
        <f>IF(ISBLANK(INDEX('Policy Characteristics'!D:D,MATCH($C422,'Policy Characteristics'!$C:$C,0))),"",INDEX('Policy Characteristics'!D:D,MATCH($C422,'Policy Characteristics'!$C:$C,0)))</f>
        <v>Industry CCS</v>
      </c>
      <c r="K422" s="394" t="str">
        <f>IF(ISBLANK(INDEX('Policy Characteristics'!E:E,MATCH($C422,'Policy Characteristics'!$C:$C,0))),"",INDEX('Policy Characteristics'!E:E,MATCH($C422,'Policy Characteristics'!$C:$C,0)))</f>
        <v>indst CCS</v>
      </c>
      <c r="L422" s="398">
        <f>IF(ISBLANK(INDEX('Policy Characteristics'!F:F,MATCH($C422,'Policy Characteristics'!$C:$C,0))),"",INDEX('Policy Characteristics'!F:F,MATCH($C422,'Policy Characteristics'!$C:$C,0)))</f>
        <v>0</v>
      </c>
      <c r="M422" s="398">
        <f>IF(ISBLANK(INDEX('Policy Characteristics'!G:G,MATCH($C422,'Policy Characteristics'!$C:$C,0))),"",INDEX('Policy Characteristics'!G:G,MATCH($C422,'Policy Characteristics'!$C:$C,0)))</f>
        <v>1</v>
      </c>
      <c r="N422" s="398">
        <f>IF(ISBLANK(INDEX('Policy Characteristics'!H:H,MATCH($C422,'Policy Characteristics'!$C:$C,0))),"",INDEX('Policy Characteristics'!H:H,MATCH($C422,'Policy Characteristics'!$C:$C,0)))</f>
        <v>0.01</v>
      </c>
      <c r="O422" s="394" t="str">
        <f>IF(ISBLANK(INDEX('Policy Characteristics'!I:I,MATCH($C422,'Policy Characteristics'!$C:$C,0))),"",INDEX('Policy Characteristics'!I:I,MATCH($C422,'Policy Characteristics'!$C:$C,0)))</f>
        <v>% of CO2 captured</v>
      </c>
      <c r="P422" s="394" t="str">
        <f>IF(ISBLANK(INDEX('Policy Characteristics'!J:J,MATCH($C422,'Policy Characteristics'!$C:$C,0))),"",INDEX('Policy Characteristics'!J:J,MATCH($C422,'Policy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2" s="394" t="str">
        <f>IF(ISBLANK(INDEX('Policy Characteristics'!K:K,MATCH($C422,'Policy Characteristics'!$C:$C,0))),"",INDEX('Policy Characteristics'!K:K,MATCH($C422,'Policy Characteristics'!$C:$C,0)))</f>
        <v>ccs.html#ccs</v>
      </c>
      <c r="R422" s="394" t="str">
        <f>IF(ISBLANK(INDEX('Policy Characteristics'!L:L,MATCH($C422,'Policy Characteristics'!$C:$C,0))),"",INDEX('Policy Characteristics'!L:L,MATCH($C422,'Policy Characteristics'!$C:$C,0)))</f>
        <v>carbon-capture-and-sequestration.html</v>
      </c>
    </row>
    <row r="423" customHeight="1" spans="1:18">
      <c r="A423" s="394" t="str">
        <f>IF(ISBLANK(INDEX('Policy Characteristics'!A:A,MATCH($C423,'Policy Characteristics'!$C:$C,0))),"",INDEX('Policy Characteristics'!A:A,MATCH($C423,'Policy Characteristics'!$C:$C,0)))</f>
        <v>Industry</v>
      </c>
      <c r="B423" s="395" t="str">
        <f>IF(ISBLANK(INDEX('Policy Characteristics'!B:B,MATCH($C423,'Policy Characteristics'!$C:$C,0))),"",INDEX('Policy Characteristics'!B:B,MATCH($C423,'Policy Characteristics'!$C:$C,0)))</f>
        <v>Carbon Capture and Sequestration</v>
      </c>
      <c r="C423" s="394" t="str">
        <f t="shared" si="29"/>
        <v>Industry Sector Fraction of Potential Additional CCS Achieved</v>
      </c>
      <c r="D423" s="399" t="s">
        <v>758</v>
      </c>
      <c r="E423" s="399" t="s">
        <v>788</v>
      </c>
      <c r="F423" t="s">
        <v>759</v>
      </c>
      <c r="G423" s="399" t="s">
        <v>789</v>
      </c>
      <c r="H423" s="377">
        <v>928</v>
      </c>
      <c r="I423" s="396" t="s">
        <v>648</v>
      </c>
      <c r="J423" s="397" t="str">
        <f>IF(ISBLANK(INDEX('Policy Characteristics'!D:D,MATCH($C423,'Policy Characteristics'!$C:$C,0))),"",INDEX('Policy Characteristics'!D:D,MATCH($C423,'Policy Characteristics'!$C:$C,0)))</f>
        <v>Industry CCS</v>
      </c>
      <c r="K423" s="394" t="str">
        <f>IF(ISBLANK(INDEX('Policy Characteristics'!E:E,MATCH($C423,'Policy Characteristics'!$C:$C,0))),"",INDEX('Policy Characteristics'!E:E,MATCH($C423,'Policy Characteristics'!$C:$C,0)))</f>
        <v>indst CCS</v>
      </c>
      <c r="L423" s="398">
        <f>IF(ISBLANK(INDEX('Policy Characteristics'!F:F,MATCH($C423,'Policy Characteristics'!$C:$C,0))),"",INDEX('Policy Characteristics'!F:F,MATCH($C423,'Policy Characteristics'!$C:$C,0)))</f>
        <v>0</v>
      </c>
      <c r="M423" s="398">
        <f>IF(ISBLANK(INDEX('Policy Characteristics'!G:G,MATCH($C423,'Policy Characteristics'!$C:$C,0))),"",INDEX('Policy Characteristics'!G:G,MATCH($C423,'Policy Characteristics'!$C:$C,0)))</f>
        <v>1</v>
      </c>
      <c r="N423" s="398">
        <f>IF(ISBLANK(INDEX('Policy Characteristics'!H:H,MATCH($C423,'Policy Characteristics'!$C:$C,0))),"",INDEX('Policy Characteristics'!H:H,MATCH($C423,'Policy Characteristics'!$C:$C,0)))</f>
        <v>0.01</v>
      </c>
      <c r="O423" s="394" t="str">
        <f>IF(ISBLANK(INDEX('Policy Characteristics'!I:I,MATCH($C423,'Policy Characteristics'!$C:$C,0))),"",INDEX('Policy Characteristics'!I:I,MATCH($C423,'Policy Characteristics'!$C:$C,0)))</f>
        <v>% of CO2 captured</v>
      </c>
      <c r="P423" s="394" t="str">
        <f>IF(ISBLANK(INDEX('Policy Characteristics'!J:J,MATCH($C423,'Policy Characteristics'!$C:$C,0))),"",INDEX('Policy Characteristics'!J:J,MATCH($C423,'Policy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3" s="394" t="str">
        <f>IF(ISBLANK(INDEX('Policy Characteristics'!K:K,MATCH($C423,'Policy Characteristics'!$C:$C,0))),"",INDEX('Policy Characteristics'!K:K,MATCH($C423,'Policy Characteristics'!$C:$C,0)))</f>
        <v>ccs.html#ccs</v>
      </c>
      <c r="R423" s="394" t="str">
        <f>IF(ISBLANK(INDEX('Policy Characteristics'!L:L,MATCH($C423,'Policy Characteristics'!$C:$C,0))),"",INDEX('Policy Characteristics'!L:L,MATCH($C423,'Policy Characteristics'!$C:$C,0)))</f>
        <v>carbon-capture-and-sequestration.html</v>
      </c>
    </row>
    <row r="424" customHeight="1" spans="1:18">
      <c r="A424" s="394" t="str">
        <f>IF(ISBLANK(INDEX('Policy Characteristics'!A:A,MATCH($C424,'Policy Characteristics'!$C:$C,0))),"",INDEX('Policy Characteristics'!A:A,MATCH($C424,'Policy Characteristics'!$C:$C,0)))</f>
        <v>Industry</v>
      </c>
      <c r="B424" s="395" t="str">
        <f>IF(ISBLANK(INDEX('Policy Characteristics'!B:B,MATCH($C424,'Policy Characteristics'!$C:$C,0))),"",INDEX('Policy Characteristics'!B:B,MATCH($C424,'Policy Characteristics'!$C:$C,0)))</f>
        <v>Carbon Capture and Sequestration</v>
      </c>
      <c r="C424" s="394" t="str">
        <f t="shared" si="29"/>
        <v>Industry Sector Fraction of Potential Additional CCS Achieved</v>
      </c>
      <c r="D424" s="399" t="s">
        <v>758</v>
      </c>
      <c r="E424" s="399" t="s">
        <v>790</v>
      </c>
      <c r="F424" t="s">
        <v>759</v>
      </c>
      <c r="G424" s="399" t="s">
        <v>791</v>
      </c>
      <c r="H424" s="377">
        <v>929</v>
      </c>
      <c r="I424" s="396" t="s">
        <v>658</v>
      </c>
      <c r="J424" s="397" t="str">
        <f>IF(ISBLANK(INDEX('Policy Characteristics'!D:D,MATCH($C424,'Policy Characteristics'!$C:$C,0))),"",INDEX('Policy Characteristics'!D:D,MATCH($C424,'Policy Characteristics'!$C:$C,0)))</f>
        <v>Industry CCS</v>
      </c>
      <c r="K424" s="394" t="str">
        <f>IF(ISBLANK(INDEX('Policy Characteristics'!E:E,MATCH($C424,'Policy Characteristics'!$C:$C,0))),"",INDEX('Policy Characteristics'!E:E,MATCH($C424,'Policy Characteristics'!$C:$C,0)))</f>
        <v>indst CCS</v>
      </c>
      <c r="L424" s="398">
        <f>IF(ISBLANK(INDEX('Policy Characteristics'!F:F,MATCH($C424,'Policy Characteristics'!$C:$C,0))),"",INDEX('Policy Characteristics'!F:F,MATCH($C424,'Policy Characteristics'!$C:$C,0)))</f>
        <v>0</v>
      </c>
      <c r="M424" s="398">
        <f>IF(ISBLANK(INDEX('Policy Characteristics'!G:G,MATCH($C424,'Policy Characteristics'!$C:$C,0))),"",INDEX('Policy Characteristics'!G:G,MATCH($C424,'Policy Characteristics'!$C:$C,0)))</f>
        <v>1</v>
      </c>
      <c r="N424" s="398">
        <f>IF(ISBLANK(INDEX('Policy Characteristics'!H:H,MATCH($C424,'Policy Characteristics'!$C:$C,0))),"",INDEX('Policy Characteristics'!H:H,MATCH($C424,'Policy Characteristics'!$C:$C,0)))</f>
        <v>0.01</v>
      </c>
      <c r="O424" s="394" t="str">
        <f>IF(ISBLANK(INDEX('Policy Characteristics'!I:I,MATCH($C424,'Policy Characteristics'!$C:$C,0))),"",INDEX('Policy Characteristics'!I:I,MATCH($C424,'Policy Characteristics'!$C:$C,0)))</f>
        <v>% of CO2 captured</v>
      </c>
      <c r="P424" s="394" t="str">
        <f>IF(ISBLANK(INDEX('Policy Characteristics'!J:J,MATCH($C424,'Policy Characteristics'!$C:$C,0))),"",INDEX('Policy Characteristics'!J:J,MATCH($C424,'Policy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4" s="394" t="str">
        <f>IF(ISBLANK(INDEX('Policy Characteristics'!K:K,MATCH($C424,'Policy Characteristics'!$C:$C,0))),"",INDEX('Policy Characteristics'!K:K,MATCH($C424,'Policy Characteristics'!$C:$C,0)))</f>
        <v>ccs.html#ccs</v>
      </c>
      <c r="R424" s="394" t="str">
        <f>IF(ISBLANK(INDEX('Policy Characteristics'!L:L,MATCH($C424,'Policy Characteristics'!$C:$C,0))),"",INDEX('Policy Characteristics'!L:L,MATCH($C424,'Policy Characteristics'!$C:$C,0)))</f>
        <v>carbon-capture-and-sequestration.html</v>
      </c>
    </row>
    <row r="425" customHeight="1" spans="1:18">
      <c r="A425" s="394" t="str">
        <f>IF(ISBLANK(INDEX('Policy Characteristics'!A:A,MATCH($C425,'Policy Characteristics'!$C:$C,0))),"",INDEX('Policy Characteristics'!A:A,MATCH($C425,'Policy Characteristics'!$C:$C,0)))</f>
        <v>Industry</v>
      </c>
      <c r="B425" s="395" t="str">
        <f>IF(ISBLANK(INDEX('Policy Characteristics'!B:B,MATCH($C425,'Policy Characteristics'!$C:$C,0))),"",INDEX('Policy Characteristics'!B:B,MATCH($C425,'Policy Characteristics'!$C:$C,0)))</f>
        <v>Carbon Capture and Sequestration</v>
      </c>
      <c r="C425" s="394" t="str">
        <f t="shared" si="29"/>
        <v>Industry Sector Fraction of Potential Additional CCS Achieved</v>
      </c>
      <c r="D425" s="399" t="s">
        <v>760</v>
      </c>
      <c r="E425" s="399" t="s">
        <v>788</v>
      </c>
      <c r="F425" s="366" t="s">
        <v>761</v>
      </c>
      <c r="G425" s="399" t="s">
        <v>789</v>
      </c>
      <c r="H425" s="377">
        <v>930</v>
      </c>
      <c r="I425" s="396" t="s">
        <v>648</v>
      </c>
      <c r="J425" s="397" t="str">
        <f>IF(ISBLANK(INDEX('Policy Characteristics'!D:D,MATCH($C425,'Policy Characteristics'!$C:$C,0))),"",INDEX('Policy Characteristics'!D:D,MATCH($C425,'Policy Characteristics'!$C:$C,0)))</f>
        <v>Industry CCS</v>
      </c>
      <c r="K425" s="394" t="str">
        <f>IF(ISBLANK(INDEX('Policy Characteristics'!E:E,MATCH($C425,'Policy Characteristics'!$C:$C,0))),"",INDEX('Policy Characteristics'!E:E,MATCH($C425,'Policy Characteristics'!$C:$C,0)))</f>
        <v>indst CCS</v>
      </c>
      <c r="L425" s="398">
        <f>IF(ISBLANK(INDEX('Policy Characteristics'!F:F,MATCH($C425,'Policy Characteristics'!$C:$C,0))),"",INDEX('Policy Characteristics'!F:F,MATCH($C425,'Policy Characteristics'!$C:$C,0)))</f>
        <v>0</v>
      </c>
      <c r="M425" s="398">
        <f>IF(ISBLANK(INDEX('Policy Characteristics'!G:G,MATCH($C425,'Policy Characteristics'!$C:$C,0))),"",INDEX('Policy Characteristics'!G:G,MATCH($C425,'Policy Characteristics'!$C:$C,0)))</f>
        <v>1</v>
      </c>
      <c r="N425" s="398">
        <f>IF(ISBLANK(INDEX('Policy Characteristics'!H:H,MATCH($C425,'Policy Characteristics'!$C:$C,0))),"",INDEX('Policy Characteristics'!H:H,MATCH($C425,'Policy Characteristics'!$C:$C,0)))</f>
        <v>0.01</v>
      </c>
      <c r="O425" s="394" t="str">
        <f>IF(ISBLANK(INDEX('Policy Characteristics'!I:I,MATCH($C425,'Policy Characteristics'!$C:$C,0))),"",INDEX('Policy Characteristics'!I:I,MATCH($C425,'Policy Characteristics'!$C:$C,0)))</f>
        <v>% of CO2 captured</v>
      </c>
      <c r="P425" s="394" t="str">
        <f>IF(ISBLANK(INDEX('Policy Characteristics'!J:J,MATCH($C425,'Policy Characteristics'!$C:$C,0))),"",INDEX('Policy Characteristics'!J:J,MATCH($C425,'Policy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5" s="394" t="str">
        <f>IF(ISBLANK(INDEX('Policy Characteristics'!K:K,MATCH($C425,'Policy Characteristics'!$C:$C,0))),"",INDEX('Policy Characteristics'!K:K,MATCH($C425,'Policy Characteristics'!$C:$C,0)))</f>
        <v>ccs.html#ccs</v>
      </c>
      <c r="R425" s="394" t="str">
        <f>IF(ISBLANK(INDEX('Policy Characteristics'!L:L,MATCH($C425,'Policy Characteristics'!$C:$C,0))),"",INDEX('Policy Characteristics'!L:L,MATCH($C425,'Policy Characteristics'!$C:$C,0)))</f>
        <v>carbon-capture-and-sequestration.html</v>
      </c>
    </row>
    <row r="426" customHeight="1" spans="1:18">
      <c r="A426" s="394" t="str">
        <f>IF(ISBLANK(INDEX('Policy Characteristics'!A:A,MATCH($C426,'Policy Characteristics'!$C:$C,0))),"",INDEX('Policy Characteristics'!A:A,MATCH($C426,'Policy Characteristics'!$C:$C,0)))</f>
        <v>Industry</v>
      </c>
      <c r="B426" s="395" t="str">
        <f>IF(ISBLANK(INDEX('Policy Characteristics'!B:B,MATCH($C426,'Policy Characteristics'!$C:$C,0))),"",INDEX('Policy Characteristics'!B:B,MATCH($C426,'Policy Characteristics'!$C:$C,0)))</f>
        <v>Carbon Capture and Sequestration</v>
      </c>
      <c r="C426" s="394" t="str">
        <f t="shared" si="29"/>
        <v>Industry Sector Fraction of Potential Additional CCS Achieved</v>
      </c>
      <c r="D426" s="399" t="s">
        <v>760</v>
      </c>
      <c r="E426" s="399" t="s">
        <v>790</v>
      </c>
      <c r="F426" s="366" t="s">
        <v>761</v>
      </c>
      <c r="G426" s="399" t="s">
        <v>791</v>
      </c>
      <c r="H426" s="377">
        <v>931</v>
      </c>
      <c r="I426" s="396" t="s">
        <v>658</v>
      </c>
      <c r="J426" s="397" t="str">
        <f>IF(ISBLANK(INDEX('Policy Characteristics'!D:D,MATCH($C426,'Policy Characteristics'!$C:$C,0))),"",INDEX('Policy Characteristics'!D:D,MATCH($C426,'Policy Characteristics'!$C:$C,0)))</f>
        <v>Industry CCS</v>
      </c>
      <c r="K426" s="394" t="str">
        <f>IF(ISBLANK(INDEX('Policy Characteristics'!E:E,MATCH($C426,'Policy Characteristics'!$C:$C,0))),"",INDEX('Policy Characteristics'!E:E,MATCH($C426,'Policy Characteristics'!$C:$C,0)))</f>
        <v>indst CCS</v>
      </c>
      <c r="L426" s="398">
        <f>IF(ISBLANK(INDEX('Policy Characteristics'!F:F,MATCH($C426,'Policy Characteristics'!$C:$C,0))),"",INDEX('Policy Characteristics'!F:F,MATCH($C426,'Policy Characteristics'!$C:$C,0)))</f>
        <v>0</v>
      </c>
      <c r="M426" s="398">
        <f>IF(ISBLANK(INDEX('Policy Characteristics'!G:G,MATCH($C426,'Policy Characteristics'!$C:$C,0))),"",INDEX('Policy Characteristics'!G:G,MATCH($C426,'Policy Characteristics'!$C:$C,0)))</f>
        <v>1</v>
      </c>
      <c r="N426" s="398">
        <f>IF(ISBLANK(INDEX('Policy Characteristics'!H:H,MATCH($C426,'Policy Characteristics'!$C:$C,0))),"",INDEX('Policy Characteristics'!H:H,MATCH($C426,'Policy Characteristics'!$C:$C,0)))</f>
        <v>0.01</v>
      </c>
      <c r="O426" s="394" t="str">
        <f>IF(ISBLANK(INDEX('Policy Characteristics'!I:I,MATCH($C426,'Policy Characteristics'!$C:$C,0))),"",INDEX('Policy Characteristics'!I:I,MATCH($C426,'Policy Characteristics'!$C:$C,0)))</f>
        <v>% of CO2 captured</v>
      </c>
      <c r="P426" s="394" t="str">
        <f>IF(ISBLANK(INDEX('Policy Characteristics'!J:J,MATCH($C426,'Policy Characteristics'!$C:$C,0))),"",INDEX('Policy Characteristics'!J:J,MATCH($C426,'Policy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6" s="394" t="str">
        <f>IF(ISBLANK(INDEX('Policy Characteristics'!K:K,MATCH($C426,'Policy Characteristics'!$C:$C,0))),"",INDEX('Policy Characteristics'!K:K,MATCH($C426,'Policy Characteristics'!$C:$C,0)))</f>
        <v>ccs.html#ccs</v>
      </c>
      <c r="R426" s="394" t="str">
        <f>IF(ISBLANK(INDEX('Policy Characteristics'!L:L,MATCH($C426,'Policy Characteristics'!$C:$C,0))),"",INDEX('Policy Characteristics'!L:L,MATCH($C426,'Policy Characteristics'!$C:$C,0)))</f>
        <v>carbon-capture-and-sequestration.html</v>
      </c>
    </row>
    <row r="427" customHeight="1" spans="1:18">
      <c r="A427" s="394" t="str">
        <f>IF(ISBLANK(INDEX('Policy Characteristics'!A:A,MATCH($C427,'Policy Characteristics'!$C:$C,0))),"",INDEX('Policy Characteristics'!A:A,MATCH($C427,'Policy Characteristics'!$C:$C,0)))</f>
        <v>Industry</v>
      </c>
      <c r="B427" s="395" t="str">
        <f>IF(ISBLANK(INDEX('Policy Characteristics'!B:B,MATCH($C427,'Policy Characteristics'!$C:$C,0))),"",INDEX('Policy Characteristics'!B:B,MATCH($C427,'Policy Characteristics'!$C:$C,0)))</f>
        <v>Carbon Capture and Sequestration</v>
      </c>
      <c r="C427" s="394" t="str">
        <f t="shared" si="29"/>
        <v>Industry Sector Fraction of Potential Additional CCS Achieved</v>
      </c>
      <c r="D427" s="399" t="s">
        <v>762</v>
      </c>
      <c r="E427" s="399" t="s">
        <v>788</v>
      </c>
      <c r="F427" s="366" t="s">
        <v>763</v>
      </c>
      <c r="G427" s="399" t="s">
        <v>789</v>
      </c>
      <c r="H427" s="377">
        <v>932</v>
      </c>
      <c r="I427" s="396" t="s">
        <v>648</v>
      </c>
      <c r="J427" s="397" t="str">
        <f>IF(ISBLANK(INDEX('Policy Characteristics'!D:D,MATCH($C427,'Policy Characteristics'!$C:$C,0))),"",INDEX('Policy Characteristics'!D:D,MATCH($C427,'Policy Characteristics'!$C:$C,0)))</f>
        <v>Industry CCS</v>
      </c>
      <c r="K427" s="394" t="str">
        <f>IF(ISBLANK(INDEX('Policy Characteristics'!E:E,MATCH($C427,'Policy Characteristics'!$C:$C,0))),"",INDEX('Policy Characteristics'!E:E,MATCH($C427,'Policy Characteristics'!$C:$C,0)))</f>
        <v>indst CCS</v>
      </c>
      <c r="L427" s="398">
        <f>IF(ISBLANK(INDEX('Policy Characteristics'!F:F,MATCH($C427,'Policy Characteristics'!$C:$C,0))),"",INDEX('Policy Characteristics'!F:F,MATCH($C427,'Policy Characteristics'!$C:$C,0)))</f>
        <v>0</v>
      </c>
      <c r="M427" s="398">
        <f>IF(ISBLANK(INDEX('Policy Characteristics'!G:G,MATCH($C427,'Policy Characteristics'!$C:$C,0))),"",INDEX('Policy Characteristics'!G:G,MATCH($C427,'Policy Characteristics'!$C:$C,0)))</f>
        <v>1</v>
      </c>
      <c r="N427" s="398">
        <f>IF(ISBLANK(INDEX('Policy Characteristics'!H:H,MATCH($C427,'Policy Characteristics'!$C:$C,0))),"",INDEX('Policy Characteristics'!H:H,MATCH($C427,'Policy Characteristics'!$C:$C,0)))</f>
        <v>0.01</v>
      </c>
      <c r="O427" s="394" t="str">
        <f>IF(ISBLANK(INDEX('Policy Characteristics'!I:I,MATCH($C427,'Policy Characteristics'!$C:$C,0))),"",INDEX('Policy Characteristics'!I:I,MATCH($C427,'Policy Characteristics'!$C:$C,0)))</f>
        <v>% of CO2 captured</v>
      </c>
      <c r="P427" s="394" t="str">
        <f>IF(ISBLANK(INDEX('Policy Characteristics'!J:J,MATCH($C427,'Policy Characteristics'!$C:$C,0))),"",INDEX('Policy Characteristics'!J:J,MATCH($C427,'Policy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7" s="394" t="str">
        <f>IF(ISBLANK(INDEX('Policy Characteristics'!K:K,MATCH($C427,'Policy Characteristics'!$C:$C,0))),"",INDEX('Policy Characteristics'!K:K,MATCH($C427,'Policy Characteristics'!$C:$C,0)))</f>
        <v>ccs.html#ccs</v>
      </c>
      <c r="R427" s="394" t="str">
        <f>IF(ISBLANK(INDEX('Policy Characteristics'!L:L,MATCH($C427,'Policy Characteristics'!$C:$C,0))),"",INDEX('Policy Characteristics'!L:L,MATCH($C427,'Policy Characteristics'!$C:$C,0)))</f>
        <v>carbon-capture-and-sequestration.html</v>
      </c>
    </row>
    <row r="428" customHeight="1" spans="1:18">
      <c r="A428" s="394" t="str">
        <f>IF(ISBLANK(INDEX('Policy Characteristics'!A:A,MATCH($C428,'Policy Characteristics'!$C:$C,0))),"",INDEX('Policy Characteristics'!A:A,MATCH($C428,'Policy Characteristics'!$C:$C,0)))</f>
        <v>Industry</v>
      </c>
      <c r="B428" s="395" t="str">
        <f>IF(ISBLANK(INDEX('Policy Characteristics'!B:B,MATCH($C428,'Policy Characteristics'!$C:$C,0))),"",INDEX('Policy Characteristics'!B:B,MATCH($C428,'Policy Characteristics'!$C:$C,0)))</f>
        <v>Carbon Capture and Sequestration</v>
      </c>
      <c r="C428" s="394" t="str">
        <f t="shared" si="29"/>
        <v>Industry Sector Fraction of Potential Additional CCS Achieved</v>
      </c>
      <c r="D428" s="399" t="s">
        <v>762</v>
      </c>
      <c r="E428" s="399" t="s">
        <v>790</v>
      </c>
      <c r="F428" s="366" t="s">
        <v>763</v>
      </c>
      <c r="G428" s="399" t="s">
        <v>791</v>
      </c>
      <c r="H428" s="377">
        <v>933</v>
      </c>
      <c r="I428" s="396" t="s">
        <v>648</v>
      </c>
      <c r="J428" s="397" t="str">
        <f>IF(ISBLANK(INDEX('Policy Characteristics'!D:D,MATCH($C428,'Policy Characteristics'!$C:$C,0))),"",INDEX('Policy Characteristics'!D:D,MATCH($C428,'Policy Characteristics'!$C:$C,0)))</f>
        <v>Industry CCS</v>
      </c>
      <c r="K428" s="394" t="str">
        <f>IF(ISBLANK(INDEX('Policy Characteristics'!E:E,MATCH($C428,'Policy Characteristics'!$C:$C,0))),"",INDEX('Policy Characteristics'!E:E,MATCH($C428,'Policy Characteristics'!$C:$C,0)))</f>
        <v>indst CCS</v>
      </c>
      <c r="L428" s="398">
        <f>IF(ISBLANK(INDEX('Policy Characteristics'!F:F,MATCH($C428,'Policy Characteristics'!$C:$C,0))),"",INDEX('Policy Characteristics'!F:F,MATCH($C428,'Policy Characteristics'!$C:$C,0)))</f>
        <v>0</v>
      </c>
      <c r="M428" s="398">
        <f>IF(ISBLANK(INDEX('Policy Characteristics'!G:G,MATCH($C428,'Policy Characteristics'!$C:$C,0))),"",INDEX('Policy Characteristics'!G:G,MATCH($C428,'Policy Characteristics'!$C:$C,0)))</f>
        <v>1</v>
      </c>
      <c r="N428" s="398">
        <f>IF(ISBLANK(INDEX('Policy Characteristics'!H:H,MATCH($C428,'Policy Characteristics'!$C:$C,0))),"",INDEX('Policy Characteristics'!H:H,MATCH($C428,'Policy Characteristics'!$C:$C,0)))</f>
        <v>0.01</v>
      </c>
      <c r="O428" s="394" t="str">
        <f>IF(ISBLANK(INDEX('Policy Characteristics'!I:I,MATCH($C428,'Policy Characteristics'!$C:$C,0))),"",INDEX('Policy Characteristics'!I:I,MATCH($C428,'Policy Characteristics'!$C:$C,0)))</f>
        <v>% of CO2 captured</v>
      </c>
      <c r="P428" s="394" t="str">
        <f>IF(ISBLANK(INDEX('Policy Characteristics'!J:J,MATCH($C428,'Policy Characteristics'!$C:$C,0))),"",INDEX('Policy Characteristics'!J:J,MATCH($C428,'Policy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8" s="394" t="str">
        <f>IF(ISBLANK(INDEX('Policy Characteristics'!K:K,MATCH($C428,'Policy Characteristics'!$C:$C,0))),"",INDEX('Policy Characteristics'!K:K,MATCH($C428,'Policy Characteristics'!$C:$C,0)))</f>
        <v>ccs.html#ccs</v>
      </c>
      <c r="R428" s="394" t="str">
        <f>IF(ISBLANK(INDEX('Policy Characteristics'!L:L,MATCH($C428,'Policy Characteristics'!$C:$C,0))),"",INDEX('Policy Characteristics'!L:L,MATCH($C428,'Policy Characteristics'!$C:$C,0)))</f>
        <v>carbon-capture-and-sequestration.html</v>
      </c>
    </row>
    <row r="429" customHeight="1" spans="1:18">
      <c r="A429" s="394" t="str">
        <f>IF(ISBLANK(INDEX('Policy Characteristics'!A:A,MATCH($C429,'Policy Characteristics'!$C:$C,0))),"",INDEX('Policy Characteristics'!A:A,MATCH($C429,'Policy Characteristics'!$C:$C,0)))</f>
        <v>Industry</v>
      </c>
      <c r="B429" s="395" t="str">
        <f>IF(ISBLANK(INDEX('Policy Characteristics'!B:B,MATCH($C429,'Policy Characteristics'!$C:$C,0))),"",INDEX('Policy Characteristics'!B:B,MATCH($C429,'Policy Characteristics'!$C:$C,0)))</f>
        <v>Carbon Capture and Sequestration</v>
      </c>
      <c r="C429" s="394" t="str">
        <f t="shared" si="29"/>
        <v>Industry Sector Fraction of Potential Additional CCS Achieved</v>
      </c>
      <c r="D429" s="399" t="s">
        <v>764</v>
      </c>
      <c r="E429" s="399" t="s">
        <v>788</v>
      </c>
      <c r="F429" t="s">
        <v>765</v>
      </c>
      <c r="G429" s="399" t="s">
        <v>789</v>
      </c>
      <c r="H429" s="377">
        <v>934</v>
      </c>
      <c r="I429" s="396" t="s">
        <v>648</v>
      </c>
      <c r="J429" s="397" t="str">
        <f>IF(ISBLANK(INDEX('Policy Characteristics'!D:D,MATCH($C429,'Policy Characteristics'!$C:$C,0))),"",INDEX('Policy Characteristics'!D:D,MATCH($C429,'Policy Characteristics'!$C:$C,0)))</f>
        <v>Industry CCS</v>
      </c>
      <c r="K429" s="394" t="str">
        <f>IF(ISBLANK(INDEX('Policy Characteristics'!E:E,MATCH($C429,'Policy Characteristics'!$C:$C,0))),"",INDEX('Policy Characteristics'!E:E,MATCH($C429,'Policy Characteristics'!$C:$C,0)))</f>
        <v>indst CCS</v>
      </c>
      <c r="L429" s="398">
        <f>IF(ISBLANK(INDEX('Policy Characteristics'!F:F,MATCH($C429,'Policy Characteristics'!$C:$C,0))),"",INDEX('Policy Characteristics'!F:F,MATCH($C429,'Policy Characteristics'!$C:$C,0)))</f>
        <v>0</v>
      </c>
      <c r="M429" s="398">
        <f>IF(ISBLANK(INDEX('Policy Characteristics'!G:G,MATCH($C429,'Policy Characteristics'!$C:$C,0))),"",INDEX('Policy Characteristics'!G:G,MATCH($C429,'Policy Characteristics'!$C:$C,0)))</f>
        <v>1</v>
      </c>
      <c r="N429" s="398">
        <f>IF(ISBLANK(INDEX('Policy Characteristics'!H:H,MATCH($C429,'Policy Characteristics'!$C:$C,0))),"",INDEX('Policy Characteristics'!H:H,MATCH($C429,'Policy Characteristics'!$C:$C,0)))</f>
        <v>0.01</v>
      </c>
      <c r="O429" s="394" t="str">
        <f>IF(ISBLANK(INDEX('Policy Characteristics'!I:I,MATCH($C429,'Policy Characteristics'!$C:$C,0))),"",INDEX('Policy Characteristics'!I:I,MATCH($C429,'Policy Characteristics'!$C:$C,0)))</f>
        <v>% of CO2 captured</v>
      </c>
      <c r="P429" s="394" t="str">
        <f>IF(ISBLANK(INDEX('Policy Characteristics'!J:J,MATCH($C429,'Policy Characteristics'!$C:$C,0))),"",INDEX('Policy Characteristics'!J:J,MATCH($C429,'Policy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9" s="394" t="str">
        <f>IF(ISBLANK(INDEX('Policy Characteristics'!K:K,MATCH($C429,'Policy Characteristics'!$C:$C,0))),"",INDEX('Policy Characteristics'!K:K,MATCH($C429,'Policy Characteristics'!$C:$C,0)))</f>
        <v>ccs.html#ccs</v>
      </c>
      <c r="R429" s="394" t="str">
        <f>IF(ISBLANK(INDEX('Policy Characteristics'!L:L,MATCH($C429,'Policy Characteristics'!$C:$C,0))),"",INDEX('Policy Characteristics'!L:L,MATCH($C429,'Policy Characteristics'!$C:$C,0)))</f>
        <v>carbon-capture-and-sequestration.html</v>
      </c>
    </row>
    <row r="430" customHeight="1" spans="1:18">
      <c r="A430" s="394" t="str">
        <f>IF(ISBLANK(INDEX('Policy Characteristics'!A:A,MATCH($C430,'Policy Characteristics'!$C:$C,0))),"",INDEX('Policy Characteristics'!A:A,MATCH($C430,'Policy Characteristics'!$C:$C,0)))</f>
        <v>Industry</v>
      </c>
      <c r="B430" s="395" t="str">
        <f>IF(ISBLANK(INDEX('Policy Characteristics'!B:B,MATCH($C430,'Policy Characteristics'!$C:$C,0))),"",INDEX('Policy Characteristics'!B:B,MATCH($C430,'Policy Characteristics'!$C:$C,0)))</f>
        <v>Carbon Capture and Sequestration</v>
      </c>
      <c r="C430" s="394" t="str">
        <f t="shared" si="29"/>
        <v>Industry Sector Fraction of Potential Additional CCS Achieved</v>
      </c>
      <c r="D430" s="399" t="s">
        <v>764</v>
      </c>
      <c r="E430" s="399" t="s">
        <v>790</v>
      </c>
      <c r="F430" t="s">
        <v>765</v>
      </c>
      <c r="G430" s="399" t="s">
        <v>791</v>
      </c>
      <c r="H430" s="377">
        <v>935</v>
      </c>
      <c r="I430" s="396" t="s">
        <v>648</v>
      </c>
      <c r="J430" s="397" t="str">
        <f>IF(ISBLANK(INDEX('Policy Characteristics'!D:D,MATCH($C430,'Policy Characteristics'!$C:$C,0))),"",INDEX('Policy Characteristics'!D:D,MATCH($C430,'Policy Characteristics'!$C:$C,0)))</f>
        <v>Industry CCS</v>
      </c>
      <c r="K430" s="394" t="str">
        <f>IF(ISBLANK(INDEX('Policy Characteristics'!E:E,MATCH($C430,'Policy Characteristics'!$C:$C,0))),"",INDEX('Policy Characteristics'!E:E,MATCH($C430,'Policy Characteristics'!$C:$C,0)))</f>
        <v>indst CCS</v>
      </c>
      <c r="L430" s="398">
        <f>IF(ISBLANK(INDEX('Policy Characteristics'!F:F,MATCH($C430,'Policy Characteristics'!$C:$C,0))),"",INDEX('Policy Characteristics'!F:F,MATCH($C430,'Policy Characteristics'!$C:$C,0)))</f>
        <v>0</v>
      </c>
      <c r="M430" s="398">
        <f>IF(ISBLANK(INDEX('Policy Characteristics'!G:G,MATCH($C430,'Policy Characteristics'!$C:$C,0))),"",INDEX('Policy Characteristics'!G:G,MATCH($C430,'Policy Characteristics'!$C:$C,0)))</f>
        <v>1</v>
      </c>
      <c r="N430" s="398">
        <f>IF(ISBLANK(INDEX('Policy Characteristics'!H:H,MATCH($C430,'Policy Characteristics'!$C:$C,0))),"",INDEX('Policy Characteristics'!H:H,MATCH($C430,'Policy Characteristics'!$C:$C,0)))</f>
        <v>0.01</v>
      </c>
      <c r="O430" s="394" t="str">
        <f>IF(ISBLANK(INDEX('Policy Characteristics'!I:I,MATCH($C430,'Policy Characteristics'!$C:$C,0))),"",INDEX('Policy Characteristics'!I:I,MATCH($C430,'Policy Characteristics'!$C:$C,0)))</f>
        <v>% of CO2 captured</v>
      </c>
      <c r="P430" s="394" t="str">
        <f>IF(ISBLANK(INDEX('Policy Characteristics'!J:J,MATCH($C430,'Policy Characteristics'!$C:$C,0))),"",INDEX('Policy Characteristics'!J:J,MATCH($C430,'Policy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0" s="394" t="str">
        <f>IF(ISBLANK(INDEX('Policy Characteristics'!K:K,MATCH($C430,'Policy Characteristics'!$C:$C,0))),"",INDEX('Policy Characteristics'!K:K,MATCH($C430,'Policy Characteristics'!$C:$C,0)))</f>
        <v>ccs.html#ccs</v>
      </c>
      <c r="R430" s="394" t="str">
        <f>IF(ISBLANK(INDEX('Policy Characteristics'!L:L,MATCH($C430,'Policy Characteristics'!$C:$C,0))),"",INDEX('Policy Characteristics'!L:L,MATCH($C430,'Policy Characteristics'!$C:$C,0)))</f>
        <v>carbon-capture-and-sequestration.html</v>
      </c>
    </row>
    <row r="431" customHeight="1" spans="1:18">
      <c r="A431" s="394" t="str">
        <f>IF(ISBLANK(INDEX('Policy Characteristics'!A:A,MATCH($C431,'Policy Characteristics'!$C:$C,0))),"",INDEX('Policy Characteristics'!A:A,MATCH($C431,'Policy Characteristics'!$C:$C,0)))</f>
        <v>Industry</v>
      </c>
      <c r="B431" s="395" t="str">
        <f>IF(ISBLANK(INDEX('Policy Characteristics'!B:B,MATCH($C431,'Policy Characteristics'!$C:$C,0))),"",INDEX('Policy Characteristics'!B:B,MATCH($C431,'Policy Characteristics'!$C:$C,0)))</f>
        <v>Carbon Capture and Sequestration</v>
      </c>
      <c r="C431" s="394" t="str">
        <f t="shared" si="29"/>
        <v>Industry Sector Fraction of Potential Additional CCS Achieved</v>
      </c>
      <c r="D431" s="399" t="s">
        <v>766</v>
      </c>
      <c r="E431" s="399" t="s">
        <v>788</v>
      </c>
      <c r="F431" t="s">
        <v>767</v>
      </c>
      <c r="G431" s="399" t="s">
        <v>789</v>
      </c>
      <c r="H431" s="377">
        <v>936</v>
      </c>
      <c r="I431" s="396" t="s">
        <v>648</v>
      </c>
      <c r="J431" s="397" t="str">
        <f>IF(ISBLANK(INDEX('Policy Characteristics'!D:D,MATCH($C431,'Policy Characteristics'!$C:$C,0))),"",INDEX('Policy Characteristics'!D:D,MATCH($C431,'Policy Characteristics'!$C:$C,0)))</f>
        <v>Industry CCS</v>
      </c>
      <c r="K431" s="394" t="str">
        <f>IF(ISBLANK(INDEX('Policy Characteristics'!E:E,MATCH($C431,'Policy Characteristics'!$C:$C,0))),"",INDEX('Policy Characteristics'!E:E,MATCH($C431,'Policy Characteristics'!$C:$C,0)))</f>
        <v>indst CCS</v>
      </c>
      <c r="L431" s="398">
        <f>IF(ISBLANK(INDEX('Policy Characteristics'!F:F,MATCH($C431,'Policy Characteristics'!$C:$C,0))),"",INDEX('Policy Characteristics'!F:F,MATCH($C431,'Policy Characteristics'!$C:$C,0)))</f>
        <v>0</v>
      </c>
      <c r="M431" s="398">
        <f>IF(ISBLANK(INDEX('Policy Characteristics'!G:G,MATCH($C431,'Policy Characteristics'!$C:$C,0))),"",INDEX('Policy Characteristics'!G:G,MATCH($C431,'Policy Characteristics'!$C:$C,0)))</f>
        <v>1</v>
      </c>
      <c r="N431" s="398">
        <f>IF(ISBLANK(INDEX('Policy Characteristics'!H:H,MATCH($C431,'Policy Characteristics'!$C:$C,0))),"",INDEX('Policy Characteristics'!H:H,MATCH($C431,'Policy Characteristics'!$C:$C,0)))</f>
        <v>0.01</v>
      </c>
      <c r="O431" s="394" t="str">
        <f>IF(ISBLANK(INDEX('Policy Characteristics'!I:I,MATCH($C431,'Policy Characteristics'!$C:$C,0))),"",INDEX('Policy Characteristics'!I:I,MATCH($C431,'Policy Characteristics'!$C:$C,0)))</f>
        <v>% of CO2 captured</v>
      </c>
      <c r="P431" s="394" t="str">
        <f>IF(ISBLANK(INDEX('Policy Characteristics'!J:J,MATCH($C431,'Policy Characteristics'!$C:$C,0))),"",INDEX('Policy Characteristics'!J:J,MATCH($C431,'Policy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1" s="394" t="str">
        <f>IF(ISBLANK(INDEX('Policy Characteristics'!K:K,MATCH($C431,'Policy Characteristics'!$C:$C,0))),"",INDEX('Policy Characteristics'!K:K,MATCH($C431,'Policy Characteristics'!$C:$C,0)))</f>
        <v>ccs.html#ccs</v>
      </c>
      <c r="R431" s="394" t="str">
        <f>IF(ISBLANK(INDEX('Policy Characteristics'!L:L,MATCH($C431,'Policy Characteristics'!$C:$C,0))),"",INDEX('Policy Characteristics'!L:L,MATCH($C431,'Policy Characteristics'!$C:$C,0)))</f>
        <v>carbon-capture-and-sequestration.html</v>
      </c>
    </row>
    <row r="432" customHeight="1" spans="1:18">
      <c r="A432" s="394" t="str">
        <f>IF(ISBLANK(INDEX('Policy Characteristics'!A:A,MATCH($C432,'Policy Characteristics'!$C:$C,0))),"",INDEX('Policy Characteristics'!A:A,MATCH($C432,'Policy Characteristics'!$C:$C,0)))</f>
        <v>Industry</v>
      </c>
      <c r="B432" s="395" t="str">
        <f>IF(ISBLANK(INDEX('Policy Characteristics'!B:B,MATCH($C432,'Policy Characteristics'!$C:$C,0))),"",INDEX('Policy Characteristics'!B:B,MATCH($C432,'Policy Characteristics'!$C:$C,0)))</f>
        <v>Carbon Capture and Sequestration</v>
      </c>
      <c r="C432" s="394" t="str">
        <f t="shared" si="29"/>
        <v>Industry Sector Fraction of Potential Additional CCS Achieved</v>
      </c>
      <c r="D432" s="399" t="s">
        <v>766</v>
      </c>
      <c r="E432" s="399" t="s">
        <v>790</v>
      </c>
      <c r="F432" t="s">
        <v>767</v>
      </c>
      <c r="G432" s="399" t="s">
        <v>791</v>
      </c>
      <c r="H432" s="377">
        <v>937</v>
      </c>
      <c r="I432" s="396" t="s">
        <v>658</v>
      </c>
      <c r="J432" s="397" t="str">
        <f>IF(ISBLANK(INDEX('Policy Characteristics'!D:D,MATCH($C432,'Policy Characteristics'!$C:$C,0))),"",INDEX('Policy Characteristics'!D:D,MATCH($C432,'Policy Characteristics'!$C:$C,0)))</f>
        <v>Industry CCS</v>
      </c>
      <c r="K432" s="394" t="str">
        <f>IF(ISBLANK(INDEX('Policy Characteristics'!E:E,MATCH($C432,'Policy Characteristics'!$C:$C,0))),"",INDEX('Policy Characteristics'!E:E,MATCH($C432,'Policy Characteristics'!$C:$C,0)))</f>
        <v>indst CCS</v>
      </c>
      <c r="L432" s="398">
        <f>IF(ISBLANK(INDEX('Policy Characteristics'!F:F,MATCH($C432,'Policy Characteristics'!$C:$C,0))),"",INDEX('Policy Characteristics'!F:F,MATCH($C432,'Policy Characteristics'!$C:$C,0)))</f>
        <v>0</v>
      </c>
      <c r="M432" s="398">
        <f>IF(ISBLANK(INDEX('Policy Characteristics'!G:G,MATCH($C432,'Policy Characteristics'!$C:$C,0))),"",INDEX('Policy Characteristics'!G:G,MATCH($C432,'Policy Characteristics'!$C:$C,0)))</f>
        <v>1</v>
      </c>
      <c r="N432" s="398">
        <f>IF(ISBLANK(INDEX('Policy Characteristics'!H:H,MATCH($C432,'Policy Characteristics'!$C:$C,0))),"",INDEX('Policy Characteristics'!H:H,MATCH($C432,'Policy Characteristics'!$C:$C,0)))</f>
        <v>0.01</v>
      </c>
      <c r="O432" s="394" t="str">
        <f>IF(ISBLANK(INDEX('Policy Characteristics'!I:I,MATCH($C432,'Policy Characteristics'!$C:$C,0))),"",INDEX('Policy Characteristics'!I:I,MATCH($C432,'Policy Characteristics'!$C:$C,0)))</f>
        <v>% of CO2 captured</v>
      </c>
      <c r="P432" s="394" t="str">
        <f>IF(ISBLANK(INDEX('Policy Characteristics'!J:J,MATCH($C432,'Policy Characteristics'!$C:$C,0))),"",INDEX('Policy Characteristics'!J:J,MATCH($C432,'Policy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2" s="394" t="str">
        <f>IF(ISBLANK(INDEX('Policy Characteristics'!K:K,MATCH($C432,'Policy Characteristics'!$C:$C,0))),"",INDEX('Policy Characteristics'!K:K,MATCH($C432,'Policy Characteristics'!$C:$C,0)))</f>
        <v>ccs.html#ccs</v>
      </c>
      <c r="R432" s="394" t="str">
        <f>IF(ISBLANK(INDEX('Policy Characteristics'!L:L,MATCH($C432,'Policy Characteristics'!$C:$C,0))),"",INDEX('Policy Characteristics'!L:L,MATCH($C432,'Policy Characteristics'!$C:$C,0)))</f>
        <v>carbon-capture-and-sequestration.html</v>
      </c>
    </row>
    <row r="433" customHeight="1" spans="1:18">
      <c r="A433" s="394" t="str">
        <f>IF(ISBLANK(INDEX('Policy Characteristics'!A:A,MATCH($C433,'Policy Characteristics'!$C:$C,0))),"",INDEX('Policy Characteristics'!A:A,MATCH($C433,'Policy Characteristics'!$C:$C,0)))</f>
        <v>Industry</v>
      </c>
      <c r="B433" s="395" t="str">
        <f>IF(ISBLANK(INDEX('Policy Characteristics'!B:B,MATCH($C433,'Policy Characteristics'!$C:$C,0))),"",INDEX('Policy Characteristics'!B:B,MATCH($C433,'Policy Characteristics'!$C:$C,0)))</f>
        <v>Carbon Capture and Sequestration</v>
      </c>
      <c r="C433" s="394" t="str">
        <f t="shared" si="29"/>
        <v>Industry Sector Fraction of Potential Additional CCS Achieved</v>
      </c>
      <c r="D433" s="399" t="s">
        <v>768</v>
      </c>
      <c r="E433" s="399" t="s">
        <v>788</v>
      </c>
      <c r="F433" t="s">
        <v>769</v>
      </c>
      <c r="G433" s="399" t="s">
        <v>789</v>
      </c>
      <c r="H433" s="377">
        <v>938</v>
      </c>
      <c r="I433" s="396" t="s">
        <v>648</v>
      </c>
      <c r="J433" s="397" t="str">
        <f>IF(ISBLANK(INDEX('Policy Characteristics'!D:D,MATCH($C433,'Policy Characteristics'!$C:$C,0))),"",INDEX('Policy Characteristics'!D:D,MATCH($C433,'Policy Characteristics'!$C:$C,0)))</f>
        <v>Industry CCS</v>
      </c>
      <c r="K433" s="394" t="str">
        <f>IF(ISBLANK(INDEX('Policy Characteristics'!E:E,MATCH($C433,'Policy Characteristics'!$C:$C,0))),"",INDEX('Policy Characteristics'!E:E,MATCH($C433,'Policy Characteristics'!$C:$C,0)))</f>
        <v>indst CCS</v>
      </c>
      <c r="L433" s="398">
        <f>IF(ISBLANK(INDEX('Policy Characteristics'!F:F,MATCH($C433,'Policy Characteristics'!$C:$C,0))),"",INDEX('Policy Characteristics'!F:F,MATCH($C433,'Policy Characteristics'!$C:$C,0)))</f>
        <v>0</v>
      </c>
      <c r="M433" s="398">
        <f>IF(ISBLANK(INDEX('Policy Characteristics'!G:G,MATCH($C433,'Policy Characteristics'!$C:$C,0))),"",INDEX('Policy Characteristics'!G:G,MATCH($C433,'Policy Characteristics'!$C:$C,0)))</f>
        <v>1</v>
      </c>
      <c r="N433" s="398">
        <f>IF(ISBLANK(INDEX('Policy Characteristics'!H:H,MATCH($C433,'Policy Characteristics'!$C:$C,0))),"",INDEX('Policy Characteristics'!H:H,MATCH($C433,'Policy Characteristics'!$C:$C,0)))</f>
        <v>0.01</v>
      </c>
      <c r="O433" s="394" t="str">
        <f>IF(ISBLANK(INDEX('Policy Characteristics'!I:I,MATCH($C433,'Policy Characteristics'!$C:$C,0))),"",INDEX('Policy Characteristics'!I:I,MATCH($C433,'Policy Characteristics'!$C:$C,0)))</f>
        <v>% of CO2 captured</v>
      </c>
      <c r="P433" s="394" t="str">
        <f>IF(ISBLANK(INDEX('Policy Characteristics'!J:J,MATCH($C433,'Policy Characteristics'!$C:$C,0))),"",INDEX('Policy Characteristics'!J:J,MATCH($C433,'Policy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3" s="394" t="str">
        <f>IF(ISBLANK(INDEX('Policy Characteristics'!K:K,MATCH($C433,'Policy Characteristics'!$C:$C,0))),"",INDEX('Policy Characteristics'!K:K,MATCH($C433,'Policy Characteristics'!$C:$C,0)))</f>
        <v>ccs.html#ccs</v>
      </c>
      <c r="R433" s="394" t="str">
        <f>IF(ISBLANK(INDEX('Policy Characteristics'!L:L,MATCH($C433,'Policy Characteristics'!$C:$C,0))),"",INDEX('Policy Characteristics'!L:L,MATCH($C433,'Policy Characteristics'!$C:$C,0)))</f>
        <v>carbon-capture-and-sequestration.html</v>
      </c>
    </row>
    <row r="434" customHeight="1" spans="1:18">
      <c r="A434" s="394" t="str">
        <f>IF(ISBLANK(INDEX('Policy Characteristics'!A:A,MATCH($C434,'Policy Characteristics'!$C:$C,0))),"",INDEX('Policy Characteristics'!A:A,MATCH($C434,'Policy Characteristics'!$C:$C,0)))</f>
        <v>Industry</v>
      </c>
      <c r="B434" s="395" t="str">
        <f>IF(ISBLANK(INDEX('Policy Characteristics'!B:B,MATCH($C434,'Policy Characteristics'!$C:$C,0))),"",INDEX('Policy Characteristics'!B:B,MATCH($C434,'Policy Characteristics'!$C:$C,0)))</f>
        <v>Carbon Capture and Sequestration</v>
      </c>
      <c r="C434" s="394" t="str">
        <f t="shared" si="29"/>
        <v>Industry Sector Fraction of Potential Additional CCS Achieved</v>
      </c>
      <c r="D434" s="399" t="s">
        <v>768</v>
      </c>
      <c r="E434" s="399" t="s">
        <v>790</v>
      </c>
      <c r="F434" t="s">
        <v>769</v>
      </c>
      <c r="G434" s="399" t="s">
        <v>791</v>
      </c>
      <c r="H434" s="377">
        <v>939</v>
      </c>
      <c r="I434" s="396" t="s">
        <v>658</v>
      </c>
      <c r="J434" s="397" t="str">
        <f>IF(ISBLANK(INDEX('Policy Characteristics'!D:D,MATCH($C434,'Policy Characteristics'!$C:$C,0))),"",INDEX('Policy Characteristics'!D:D,MATCH($C434,'Policy Characteristics'!$C:$C,0)))</f>
        <v>Industry CCS</v>
      </c>
      <c r="K434" s="394" t="str">
        <f>IF(ISBLANK(INDEX('Policy Characteristics'!E:E,MATCH($C434,'Policy Characteristics'!$C:$C,0))),"",INDEX('Policy Characteristics'!E:E,MATCH($C434,'Policy Characteristics'!$C:$C,0)))</f>
        <v>indst CCS</v>
      </c>
      <c r="L434" s="398">
        <f>IF(ISBLANK(INDEX('Policy Characteristics'!F:F,MATCH($C434,'Policy Characteristics'!$C:$C,0))),"",INDEX('Policy Characteristics'!F:F,MATCH($C434,'Policy Characteristics'!$C:$C,0)))</f>
        <v>0</v>
      </c>
      <c r="M434" s="398">
        <f>IF(ISBLANK(INDEX('Policy Characteristics'!G:G,MATCH($C434,'Policy Characteristics'!$C:$C,0))),"",INDEX('Policy Characteristics'!G:G,MATCH($C434,'Policy Characteristics'!$C:$C,0)))</f>
        <v>1</v>
      </c>
      <c r="N434" s="398">
        <f>IF(ISBLANK(INDEX('Policy Characteristics'!H:H,MATCH($C434,'Policy Characteristics'!$C:$C,0))),"",INDEX('Policy Characteristics'!H:H,MATCH($C434,'Policy Characteristics'!$C:$C,0)))</f>
        <v>0.01</v>
      </c>
      <c r="O434" s="394" t="str">
        <f>IF(ISBLANK(INDEX('Policy Characteristics'!I:I,MATCH($C434,'Policy Characteristics'!$C:$C,0))),"",INDEX('Policy Characteristics'!I:I,MATCH($C434,'Policy Characteristics'!$C:$C,0)))</f>
        <v>% of CO2 captured</v>
      </c>
      <c r="P434" s="394" t="str">
        <f>IF(ISBLANK(INDEX('Policy Characteristics'!J:J,MATCH($C434,'Policy Characteristics'!$C:$C,0))),"",INDEX('Policy Characteristics'!J:J,MATCH($C434,'Policy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4" s="394" t="str">
        <f>IF(ISBLANK(INDEX('Policy Characteristics'!K:K,MATCH($C434,'Policy Characteristics'!$C:$C,0))),"",INDEX('Policy Characteristics'!K:K,MATCH($C434,'Policy Characteristics'!$C:$C,0)))</f>
        <v>ccs.html#ccs</v>
      </c>
      <c r="R434" s="394" t="str">
        <f>IF(ISBLANK(INDEX('Policy Characteristics'!L:L,MATCH($C434,'Policy Characteristics'!$C:$C,0))),"",INDEX('Policy Characteristics'!L:L,MATCH($C434,'Policy Characteristics'!$C:$C,0)))</f>
        <v>carbon-capture-and-sequestration.html</v>
      </c>
    </row>
    <row r="435" customHeight="1" spans="1:18">
      <c r="A435" s="394" t="str">
        <f>IF(ISBLANK(INDEX('Policy Characteristics'!A:A,MATCH($C435,'Policy Characteristics'!$C:$C,0))),"",INDEX('Policy Characteristics'!A:A,MATCH($C435,'Policy Characteristics'!$C:$C,0)))</f>
        <v>Industry</v>
      </c>
      <c r="B435" s="395" t="str">
        <f>IF(ISBLANK(INDEX('Policy Characteristics'!B:B,MATCH($C435,'Policy Characteristics'!$C:$C,0))),"",INDEX('Policy Characteristics'!B:B,MATCH($C435,'Policy Characteristics'!$C:$C,0)))</f>
        <v>Carbon Capture and Sequestration</v>
      </c>
      <c r="C435" s="394" t="str">
        <f t="shared" si="29"/>
        <v>Industry Sector Fraction of Potential Additional CCS Achieved</v>
      </c>
      <c r="D435" s="399" t="s">
        <v>770</v>
      </c>
      <c r="E435" s="399" t="s">
        <v>788</v>
      </c>
      <c r="F435" t="s">
        <v>771</v>
      </c>
      <c r="G435" s="399" t="s">
        <v>789</v>
      </c>
      <c r="H435" s="377">
        <v>940</v>
      </c>
      <c r="I435" s="396" t="s">
        <v>648</v>
      </c>
      <c r="J435" s="397" t="str">
        <f>IF(ISBLANK(INDEX('Policy Characteristics'!D:D,MATCH($C435,'Policy Characteristics'!$C:$C,0))),"",INDEX('Policy Characteristics'!D:D,MATCH($C435,'Policy Characteristics'!$C:$C,0)))</f>
        <v>Industry CCS</v>
      </c>
      <c r="K435" s="394" t="str">
        <f>IF(ISBLANK(INDEX('Policy Characteristics'!E:E,MATCH($C435,'Policy Characteristics'!$C:$C,0))),"",INDEX('Policy Characteristics'!E:E,MATCH($C435,'Policy Characteristics'!$C:$C,0)))</f>
        <v>indst CCS</v>
      </c>
      <c r="L435" s="398">
        <f>IF(ISBLANK(INDEX('Policy Characteristics'!F:F,MATCH($C435,'Policy Characteristics'!$C:$C,0))),"",INDEX('Policy Characteristics'!F:F,MATCH($C435,'Policy Characteristics'!$C:$C,0)))</f>
        <v>0</v>
      </c>
      <c r="M435" s="398">
        <f>IF(ISBLANK(INDEX('Policy Characteristics'!G:G,MATCH($C435,'Policy Characteristics'!$C:$C,0))),"",INDEX('Policy Characteristics'!G:G,MATCH($C435,'Policy Characteristics'!$C:$C,0)))</f>
        <v>1</v>
      </c>
      <c r="N435" s="398">
        <f>IF(ISBLANK(INDEX('Policy Characteristics'!H:H,MATCH($C435,'Policy Characteristics'!$C:$C,0))),"",INDEX('Policy Characteristics'!H:H,MATCH($C435,'Policy Characteristics'!$C:$C,0)))</f>
        <v>0.01</v>
      </c>
      <c r="O435" s="394" t="str">
        <f>IF(ISBLANK(INDEX('Policy Characteristics'!I:I,MATCH($C435,'Policy Characteristics'!$C:$C,0))),"",INDEX('Policy Characteristics'!I:I,MATCH($C435,'Policy Characteristics'!$C:$C,0)))</f>
        <v>% of CO2 captured</v>
      </c>
      <c r="P435" s="394" t="str">
        <f>IF(ISBLANK(INDEX('Policy Characteristics'!J:J,MATCH($C435,'Policy Characteristics'!$C:$C,0))),"",INDEX('Policy Characteristics'!J:J,MATCH($C435,'Policy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5" s="394" t="str">
        <f>IF(ISBLANK(INDEX('Policy Characteristics'!K:K,MATCH($C435,'Policy Characteristics'!$C:$C,0))),"",INDEX('Policy Characteristics'!K:K,MATCH($C435,'Policy Characteristics'!$C:$C,0)))</f>
        <v>ccs.html#ccs</v>
      </c>
      <c r="R435" s="394" t="str">
        <f>IF(ISBLANK(INDEX('Policy Characteristics'!L:L,MATCH($C435,'Policy Characteristics'!$C:$C,0))),"",INDEX('Policy Characteristics'!L:L,MATCH($C435,'Policy Characteristics'!$C:$C,0)))</f>
        <v>carbon-capture-and-sequestration.html</v>
      </c>
    </row>
    <row r="436" customHeight="1" spans="1:18">
      <c r="A436" s="394" t="str">
        <f>IF(ISBLANK(INDEX('Policy Characteristics'!A:A,MATCH($C436,'Policy Characteristics'!$C:$C,0))),"",INDEX('Policy Characteristics'!A:A,MATCH($C436,'Policy Characteristics'!$C:$C,0)))</f>
        <v>Industry</v>
      </c>
      <c r="B436" s="395" t="str">
        <f>IF(ISBLANK(INDEX('Policy Characteristics'!B:B,MATCH($C436,'Policy Characteristics'!$C:$C,0))),"",INDEX('Policy Characteristics'!B:B,MATCH($C436,'Policy Characteristics'!$C:$C,0)))</f>
        <v>Carbon Capture and Sequestration</v>
      </c>
      <c r="C436" s="394" t="str">
        <f t="shared" si="29"/>
        <v>Industry Sector Fraction of Potential Additional CCS Achieved</v>
      </c>
      <c r="D436" s="399" t="s">
        <v>770</v>
      </c>
      <c r="E436" s="399" t="s">
        <v>790</v>
      </c>
      <c r="F436" t="s">
        <v>771</v>
      </c>
      <c r="G436" s="399" t="s">
        <v>791</v>
      </c>
      <c r="H436" s="377">
        <v>941</v>
      </c>
      <c r="I436" s="396" t="s">
        <v>658</v>
      </c>
      <c r="J436" s="397" t="str">
        <f>IF(ISBLANK(INDEX('Policy Characteristics'!D:D,MATCH($C436,'Policy Characteristics'!$C:$C,0))),"",INDEX('Policy Characteristics'!D:D,MATCH($C436,'Policy Characteristics'!$C:$C,0)))</f>
        <v>Industry CCS</v>
      </c>
      <c r="K436" s="394" t="str">
        <f>IF(ISBLANK(INDEX('Policy Characteristics'!E:E,MATCH($C436,'Policy Characteristics'!$C:$C,0))),"",INDEX('Policy Characteristics'!E:E,MATCH($C436,'Policy Characteristics'!$C:$C,0)))</f>
        <v>indst CCS</v>
      </c>
      <c r="L436" s="398">
        <f>IF(ISBLANK(INDEX('Policy Characteristics'!F:F,MATCH($C436,'Policy Characteristics'!$C:$C,0))),"",INDEX('Policy Characteristics'!F:F,MATCH($C436,'Policy Characteristics'!$C:$C,0)))</f>
        <v>0</v>
      </c>
      <c r="M436" s="398">
        <f>IF(ISBLANK(INDEX('Policy Characteristics'!G:G,MATCH($C436,'Policy Characteristics'!$C:$C,0))),"",INDEX('Policy Characteristics'!G:G,MATCH($C436,'Policy Characteristics'!$C:$C,0)))</f>
        <v>1</v>
      </c>
      <c r="N436" s="398">
        <f>IF(ISBLANK(INDEX('Policy Characteristics'!H:H,MATCH($C436,'Policy Characteristics'!$C:$C,0))),"",INDEX('Policy Characteristics'!H:H,MATCH($C436,'Policy Characteristics'!$C:$C,0)))</f>
        <v>0.01</v>
      </c>
      <c r="O436" s="394" t="str">
        <f>IF(ISBLANK(INDEX('Policy Characteristics'!I:I,MATCH($C436,'Policy Characteristics'!$C:$C,0))),"",INDEX('Policy Characteristics'!I:I,MATCH($C436,'Policy Characteristics'!$C:$C,0)))</f>
        <v>% of CO2 captured</v>
      </c>
      <c r="P436" s="394" t="str">
        <f>IF(ISBLANK(INDEX('Policy Characteristics'!J:J,MATCH($C436,'Policy Characteristics'!$C:$C,0))),"",INDEX('Policy Characteristics'!J:J,MATCH($C436,'Policy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6" s="394" t="str">
        <f>IF(ISBLANK(INDEX('Policy Characteristics'!K:K,MATCH($C436,'Policy Characteristics'!$C:$C,0))),"",INDEX('Policy Characteristics'!K:K,MATCH($C436,'Policy Characteristics'!$C:$C,0)))</f>
        <v>ccs.html#ccs</v>
      </c>
      <c r="R436" s="394" t="str">
        <f>IF(ISBLANK(INDEX('Policy Characteristics'!L:L,MATCH($C436,'Policy Characteristics'!$C:$C,0))),"",INDEX('Policy Characteristics'!L:L,MATCH($C436,'Policy Characteristics'!$C:$C,0)))</f>
        <v>carbon-capture-and-sequestration.html</v>
      </c>
    </row>
    <row r="437" customHeight="1" spans="1:18">
      <c r="A437" s="394" t="str">
        <f>IF(ISBLANK(INDEX('Policy Characteristics'!A:A,MATCH($C437,'Policy Characteristics'!$C:$C,0))),"",INDEX('Policy Characteristics'!A:A,MATCH($C437,'Policy Characteristics'!$C:$C,0)))</f>
        <v>Industry</v>
      </c>
      <c r="B437" s="395" t="str">
        <f>IF(ISBLANK(INDEX('Policy Characteristics'!B:B,MATCH($C437,'Policy Characteristics'!$C:$C,0))),"",INDEX('Policy Characteristics'!B:B,MATCH($C437,'Policy Characteristics'!$C:$C,0)))</f>
        <v>Carbon Capture and Sequestration</v>
      </c>
      <c r="C437" s="394" t="str">
        <f t="shared" si="29"/>
        <v>Industry Sector Fraction of Potential Additional CCS Achieved</v>
      </c>
      <c r="D437" s="399" t="s">
        <v>772</v>
      </c>
      <c r="E437" s="399" t="s">
        <v>788</v>
      </c>
      <c r="F437" t="s">
        <v>773</v>
      </c>
      <c r="G437" s="399" t="s">
        <v>789</v>
      </c>
      <c r="H437" s="377">
        <v>942</v>
      </c>
      <c r="I437" s="396" t="s">
        <v>648</v>
      </c>
      <c r="J437" s="397" t="str">
        <f>IF(ISBLANK(INDEX('Policy Characteristics'!D:D,MATCH($C437,'Policy Characteristics'!$C:$C,0))),"",INDEX('Policy Characteristics'!D:D,MATCH($C437,'Policy Characteristics'!$C:$C,0)))</f>
        <v>Industry CCS</v>
      </c>
      <c r="K437" s="394" t="str">
        <f>IF(ISBLANK(INDEX('Policy Characteristics'!E:E,MATCH($C437,'Policy Characteristics'!$C:$C,0))),"",INDEX('Policy Characteristics'!E:E,MATCH($C437,'Policy Characteristics'!$C:$C,0)))</f>
        <v>indst CCS</v>
      </c>
      <c r="L437" s="398">
        <f>IF(ISBLANK(INDEX('Policy Characteristics'!F:F,MATCH($C437,'Policy Characteristics'!$C:$C,0))),"",INDEX('Policy Characteristics'!F:F,MATCH($C437,'Policy Characteristics'!$C:$C,0)))</f>
        <v>0</v>
      </c>
      <c r="M437" s="398">
        <f>IF(ISBLANK(INDEX('Policy Characteristics'!G:G,MATCH($C437,'Policy Characteristics'!$C:$C,0))),"",INDEX('Policy Characteristics'!G:G,MATCH($C437,'Policy Characteristics'!$C:$C,0)))</f>
        <v>1</v>
      </c>
      <c r="N437" s="398">
        <f>IF(ISBLANK(INDEX('Policy Characteristics'!H:H,MATCH($C437,'Policy Characteristics'!$C:$C,0))),"",INDEX('Policy Characteristics'!H:H,MATCH($C437,'Policy Characteristics'!$C:$C,0)))</f>
        <v>0.01</v>
      </c>
      <c r="O437" s="394" t="str">
        <f>IF(ISBLANK(INDEX('Policy Characteristics'!I:I,MATCH($C437,'Policy Characteristics'!$C:$C,0))),"",INDEX('Policy Characteristics'!I:I,MATCH($C437,'Policy Characteristics'!$C:$C,0)))</f>
        <v>% of CO2 captured</v>
      </c>
      <c r="P437" s="394" t="str">
        <f>IF(ISBLANK(INDEX('Policy Characteristics'!J:J,MATCH($C437,'Policy Characteristics'!$C:$C,0))),"",INDEX('Policy Characteristics'!J:J,MATCH($C437,'Policy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7" s="394" t="str">
        <f>IF(ISBLANK(INDEX('Policy Characteristics'!K:K,MATCH($C437,'Policy Characteristics'!$C:$C,0))),"",INDEX('Policy Characteristics'!K:K,MATCH($C437,'Policy Characteristics'!$C:$C,0)))</f>
        <v>ccs.html#ccs</v>
      </c>
      <c r="R437" s="394" t="str">
        <f>IF(ISBLANK(INDEX('Policy Characteristics'!L:L,MATCH($C437,'Policy Characteristics'!$C:$C,0))),"",INDEX('Policy Characteristics'!L:L,MATCH($C437,'Policy Characteristics'!$C:$C,0)))</f>
        <v>carbon-capture-and-sequestration.html</v>
      </c>
    </row>
    <row r="438" customHeight="1" spans="1:18">
      <c r="A438" s="394" t="str">
        <f>IF(ISBLANK(INDEX('Policy Characteristics'!A:A,MATCH($C438,'Policy Characteristics'!$C:$C,0))),"",INDEX('Policy Characteristics'!A:A,MATCH($C438,'Policy Characteristics'!$C:$C,0)))</f>
        <v>Industry</v>
      </c>
      <c r="B438" s="395" t="str">
        <f>IF(ISBLANK(INDEX('Policy Characteristics'!B:B,MATCH($C438,'Policy Characteristics'!$C:$C,0))),"",INDEX('Policy Characteristics'!B:B,MATCH($C438,'Policy Characteristics'!$C:$C,0)))</f>
        <v>Carbon Capture and Sequestration</v>
      </c>
      <c r="C438" s="394" t="str">
        <f t="shared" si="29"/>
        <v>Industry Sector Fraction of Potential Additional CCS Achieved</v>
      </c>
      <c r="D438" s="399" t="s">
        <v>772</v>
      </c>
      <c r="E438" s="399" t="s">
        <v>790</v>
      </c>
      <c r="F438" t="s">
        <v>773</v>
      </c>
      <c r="G438" s="399" t="s">
        <v>791</v>
      </c>
      <c r="H438" s="377">
        <v>943</v>
      </c>
      <c r="I438" s="396" t="s">
        <v>658</v>
      </c>
      <c r="J438" s="397" t="str">
        <f>IF(ISBLANK(INDEX('Policy Characteristics'!D:D,MATCH($C438,'Policy Characteristics'!$C:$C,0))),"",INDEX('Policy Characteristics'!D:D,MATCH($C438,'Policy Characteristics'!$C:$C,0)))</f>
        <v>Industry CCS</v>
      </c>
      <c r="K438" s="394" t="str">
        <f>IF(ISBLANK(INDEX('Policy Characteristics'!E:E,MATCH($C438,'Policy Characteristics'!$C:$C,0))),"",INDEX('Policy Characteristics'!E:E,MATCH($C438,'Policy Characteristics'!$C:$C,0)))</f>
        <v>indst CCS</v>
      </c>
      <c r="L438" s="398">
        <f>IF(ISBLANK(INDEX('Policy Characteristics'!F:F,MATCH($C438,'Policy Characteristics'!$C:$C,0))),"",INDEX('Policy Characteristics'!F:F,MATCH($C438,'Policy Characteristics'!$C:$C,0)))</f>
        <v>0</v>
      </c>
      <c r="M438" s="398">
        <f>IF(ISBLANK(INDEX('Policy Characteristics'!G:G,MATCH($C438,'Policy Characteristics'!$C:$C,0))),"",INDEX('Policy Characteristics'!G:G,MATCH($C438,'Policy Characteristics'!$C:$C,0)))</f>
        <v>1</v>
      </c>
      <c r="N438" s="398">
        <f>IF(ISBLANK(INDEX('Policy Characteristics'!H:H,MATCH($C438,'Policy Characteristics'!$C:$C,0))),"",INDEX('Policy Characteristics'!H:H,MATCH($C438,'Policy Characteristics'!$C:$C,0)))</f>
        <v>0.01</v>
      </c>
      <c r="O438" s="394" t="str">
        <f>IF(ISBLANK(INDEX('Policy Characteristics'!I:I,MATCH($C438,'Policy Characteristics'!$C:$C,0))),"",INDEX('Policy Characteristics'!I:I,MATCH($C438,'Policy Characteristics'!$C:$C,0)))</f>
        <v>% of CO2 captured</v>
      </c>
      <c r="P438" s="394" t="str">
        <f>IF(ISBLANK(INDEX('Policy Characteristics'!J:J,MATCH($C438,'Policy Characteristics'!$C:$C,0))),"",INDEX('Policy Characteristics'!J:J,MATCH($C438,'Policy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8" s="394" t="str">
        <f>IF(ISBLANK(INDEX('Policy Characteristics'!K:K,MATCH($C438,'Policy Characteristics'!$C:$C,0))),"",INDEX('Policy Characteristics'!K:K,MATCH($C438,'Policy Characteristics'!$C:$C,0)))</f>
        <v>ccs.html#ccs</v>
      </c>
      <c r="R438" s="394" t="str">
        <f>IF(ISBLANK(INDEX('Policy Characteristics'!L:L,MATCH($C438,'Policy Characteristics'!$C:$C,0))),"",INDEX('Policy Characteristics'!L:L,MATCH($C438,'Policy Characteristics'!$C:$C,0)))</f>
        <v>carbon-capture-and-sequestration.html</v>
      </c>
    </row>
    <row r="439" customHeight="1" spans="1:18">
      <c r="A439" s="394" t="str">
        <f>IF(ISBLANK(INDEX('Policy Characteristics'!A:A,MATCH($C439,'Policy Characteristics'!$C:$C,0))),"",INDEX('Policy Characteristics'!A:A,MATCH($C439,'Policy Characteristics'!$C:$C,0)))</f>
        <v>Industry</v>
      </c>
      <c r="B439" s="395" t="str">
        <f>IF(ISBLANK(INDEX('Policy Characteristics'!B:B,MATCH($C439,'Policy Characteristics'!$C:$C,0))),"",INDEX('Policy Characteristics'!B:B,MATCH($C439,'Policy Characteristics'!$C:$C,0)))</f>
        <v>Carbon Capture and Sequestration</v>
      </c>
      <c r="C439" s="394" t="str">
        <f t="shared" si="29"/>
        <v>Industry Sector Fraction of Potential Additional CCS Achieved</v>
      </c>
      <c r="D439" s="399" t="s">
        <v>774</v>
      </c>
      <c r="E439" s="399" t="s">
        <v>788</v>
      </c>
      <c r="F439" t="s">
        <v>775</v>
      </c>
      <c r="G439" s="399" t="s">
        <v>789</v>
      </c>
      <c r="H439" s="377">
        <v>944</v>
      </c>
      <c r="I439" s="396" t="s">
        <v>648</v>
      </c>
      <c r="J439" s="397" t="str">
        <f>IF(ISBLANK(INDEX('Policy Characteristics'!D:D,MATCH($C439,'Policy Characteristics'!$C:$C,0))),"",INDEX('Policy Characteristics'!D:D,MATCH($C439,'Policy Characteristics'!$C:$C,0)))</f>
        <v>Industry CCS</v>
      </c>
      <c r="K439" s="394" t="str">
        <f>IF(ISBLANK(INDEX('Policy Characteristics'!E:E,MATCH($C439,'Policy Characteristics'!$C:$C,0))),"",INDEX('Policy Characteristics'!E:E,MATCH($C439,'Policy Characteristics'!$C:$C,0)))</f>
        <v>indst CCS</v>
      </c>
      <c r="L439" s="398">
        <f>IF(ISBLANK(INDEX('Policy Characteristics'!F:F,MATCH($C439,'Policy Characteristics'!$C:$C,0))),"",INDEX('Policy Characteristics'!F:F,MATCH($C439,'Policy Characteristics'!$C:$C,0)))</f>
        <v>0</v>
      </c>
      <c r="M439" s="398">
        <f>IF(ISBLANK(INDEX('Policy Characteristics'!G:G,MATCH($C439,'Policy Characteristics'!$C:$C,0))),"",INDEX('Policy Characteristics'!G:G,MATCH($C439,'Policy Characteristics'!$C:$C,0)))</f>
        <v>1</v>
      </c>
      <c r="N439" s="398">
        <f>IF(ISBLANK(INDEX('Policy Characteristics'!H:H,MATCH($C439,'Policy Characteristics'!$C:$C,0))),"",INDEX('Policy Characteristics'!H:H,MATCH($C439,'Policy Characteristics'!$C:$C,0)))</f>
        <v>0.01</v>
      </c>
      <c r="O439" s="394" t="str">
        <f>IF(ISBLANK(INDEX('Policy Characteristics'!I:I,MATCH($C439,'Policy Characteristics'!$C:$C,0))),"",INDEX('Policy Characteristics'!I:I,MATCH($C439,'Policy Characteristics'!$C:$C,0)))</f>
        <v>% of CO2 captured</v>
      </c>
      <c r="P439" s="394" t="str">
        <f>IF(ISBLANK(INDEX('Policy Characteristics'!J:J,MATCH($C439,'Policy Characteristics'!$C:$C,0))),"",INDEX('Policy Characteristics'!J:J,MATCH($C439,'Policy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9" s="394" t="str">
        <f>IF(ISBLANK(INDEX('Policy Characteristics'!K:K,MATCH($C439,'Policy Characteristics'!$C:$C,0))),"",INDEX('Policy Characteristics'!K:K,MATCH($C439,'Policy Characteristics'!$C:$C,0)))</f>
        <v>ccs.html#ccs</v>
      </c>
      <c r="R439" s="394" t="str">
        <f>IF(ISBLANK(INDEX('Policy Characteristics'!L:L,MATCH($C439,'Policy Characteristics'!$C:$C,0))),"",INDEX('Policy Characteristics'!L:L,MATCH($C439,'Policy Characteristics'!$C:$C,0)))</f>
        <v>carbon-capture-and-sequestration.html</v>
      </c>
    </row>
    <row r="440" customHeight="1" spans="1:18">
      <c r="A440" s="394" t="str">
        <f>IF(ISBLANK(INDEX('Policy Characteristics'!A:A,MATCH($C440,'Policy Characteristics'!$C:$C,0))),"",INDEX('Policy Characteristics'!A:A,MATCH($C440,'Policy Characteristics'!$C:$C,0)))</f>
        <v>Industry</v>
      </c>
      <c r="B440" s="395" t="str">
        <f>IF(ISBLANK(INDEX('Policy Characteristics'!B:B,MATCH($C440,'Policy Characteristics'!$C:$C,0))),"",INDEX('Policy Characteristics'!B:B,MATCH($C440,'Policy Characteristics'!$C:$C,0)))</f>
        <v>Carbon Capture and Sequestration</v>
      </c>
      <c r="C440" s="394" t="str">
        <f t="shared" si="29"/>
        <v>Industry Sector Fraction of Potential Additional CCS Achieved</v>
      </c>
      <c r="D440" s="399" t="s">
        <v>774</v>
      </c>
      <c r="E440" s="399" t="s">
        <v>790</v>
      </c>
      <c r="F440" t="s">
        <v>775</v>
      </c>
      <c r="G440" s="399" t="s">
        <v>791</v>
      </c>
      <c r="H440" s="377">
        <v>945</v>
      </c>
      <c r="I440" s="396" t="s">
        <v>658</v>
      </c>
      <c r="J440" s="397" t="str">
        <f>IF(ISBLANK(INDEX('Policy Characteristics'!D:D,MATCH($C440,'Policy Characteristics'!$C:$C,0))),"",INDEX('Policy Characteristics'!D:D,MATCH($C440,'Policy Characteristics'!$C:$C,0)))</f>
        <v>Industry CCS</v>
      </c>
      <c r="K440" s="394" t="str">
        <f>IF(ISBLANK(INDEX('Policy Characteristics'!E:E,MATCH($C440,'Policy Characteristics'!$C:$C,0))),"",INDEX('Policy Characteristics'!E:E,MATCH($C440,'Policy Characteristics'!$C:$C,0)))</f>
        <v>indst CCS</v>
      </c>
      <c r="L440" s="398">
        <f>IF(ISBLANK(INDEX('Policy Characteristics'!F:F,MATCH($C440,'Policy Characteristics'!$C:$C,0))),"",INDEX('Policy Characteristics'!F:F,MATCH($C440,'Policy Characteristics'!$C:$C,0)))</f>
        <v>0</v>
      </c>
      <c r="M440" s="398">
        <f>IF(ISBLANK(INDEX('Policy Characteristics'!G:G,MATCH($C440,'Policy Characteristics'!$C:$C,0))),"",INDEX('Policy Characteristics'!G:G,MATCH($C440,'Policy Characteristics'!$C:$C,0)))</f>
        <v>1</v>
      </c>
      <c r="N440" s="398">
        <f>IF(ISBLANK(INDEX('Policy Characteristics'!H:H,MATCH($C440,'Policy Characteristics'!$C:$C,0))),"",INDEX('Policy Characteristics'!H:H,MATCH($C440,'Policy Characteristics'!$C:$C,0)))</f>
        <v>0.01</v>
      </c>
      <c r="O440" s="394" t="str">
        <f>IF(ISBLANK(INDEX('Policy Characteristics'!I:I,MATCH($C440,'Policy Characteristics'!$C:$C,0))),"",INDEX('Policy Characteristics'!I:I,MATCH($C440,'Policy Characteristics'!$C:$C,0)))</f>
        <v>% of CO2 captured</v>
      </c>
      <c r="P440" s="394" t="str">
        <f>IF(ISBLANK(INDEX('Policy Characteristics'!J:J,MATCH($C440,'Policy Characteristics'!$C:$C,0))),"",INDEX('Policy Characteristics'!J:J,MATCH($C440,'Policy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0" s="394" t="str">
        <f>IF(ISBLANK(INDEX('Policy Characteristics'!K:K,MATCH($C440,'Policy Characteristics'!$C:$C,0))),"",INDEX('Policy Characteristics'!K:K,MATCH($C440,'Policy Characteristics'!$C:$C,0)))</f>
        <v>ccs.html#ccs</v>
      </c>
      <c r="R440" s="394" t="str">
        <f>IF(ISBLANK(INDEX('Policy Characteristics'!L:L,MATCH($C440,'Policy Characteristics'!$C:$C,0))),"",INDEX('Policy Characteristics'!L:L,MATCH($C440,'Policy Characteristics'!$C:$C,0)))</f>
        <v>carbon-capture-and-sequestration.html</v>
      </c>
    </row>
    <row r="441" customHeight="1" spans="1:18">
      <c r="A441" s="394" t="str">
        <f>IF(ISBLANK(INDEX('Policy Characteristics'!A:A,MATCH($C441,'Policy Characteristics'!$C:$C,0))),"",INDEX('Policy Characteristics'!A:A,MATCH($C441,'Policy Characteristics'!$C:$C,0)))</f>
        <v>Industry</v>
      </c>
      <c r="B441" s="395" t="str">
        <f>IF(ISBLANK(INDEX('Policy Characteristics'!B:B,MATCH($C441,'Policy Characteristics'!$C:$C,0))),"",INDEX('Policy Characteristics'!B:B,MATCH($C441,'Policy Characteristics'!$C:$C,0)))</f>
        <v>Carbon Capture and Sequestration</v>
      </c>
      <c r="C441" s="394" t="str">
        <f t="shared" si="29"/>
        <v>Industry Sector Fraction of Potential Additional CCS Achieved</v>
      </c>
      <c r="D441" s="399" t="s">
        <v>776</v>
      </c>
      <c r="E441" s="399" t="s">
        <v>788</v>
      </c>
      <c r="F441" t="s">
        <v>777</v>
      </c>
      <c r="G441" s="399" t="s">
        <v>789</v>
      </c>
      <c r="H441" s="377">
        <v>946</v>
      </c>
      <c r="I441" s="396" t="s">
        <v>648</v>
      </c>
      <c r="J441" s="397" t="str">
        <f>IF(ISBLANK(INDEX('Policy Characteristics'!D:D,MATCH($C441,'Policy Characteristics'!$C:$C,0))),"",INDEX('Policy Characteristics'!D:D,MATCH($C441,'Policy Characteristics'!$C:$C,0)))</f>
        <v>Industry CCS</v>
      </c>
      <c r="K441" s="394" t="str">
        <f>IF(ISBLANK(INDEX('Policy Characteristics'!E:E,MATCH($C441,'Policy Characteristics'!$C:$C,0))),"",INDEX('Policy Characteristics'!E:E,MATCH($C441,'Policy Characteristics'!$C:$C,0)))</f>
        <v>indst CCS</v>
      </c>
      <c r="L441" s="398">
        <f>IF(ISBLANK(INDEX('Policy Characteristics'!F:F,MATCH($C441,'Policy Characteristics'!$C:$C,0))),"",INDEX('Policy Characteristics'!F:F,MATCH($C441,'Policy Characteristics'!$C:$C,0)))</f>
        <v>0</v>
      </c>
      <c r="M441" s="398">
        <f>IF(ISBLANK(INDEX('Policy Characteristics'!G:G,MATCH($C441,'Policy Characteristics'!$C:$C,0))),"",INDEX('Policy Characteristics'!G:G,MATCH($C441,'Policy Characteristics'!$C:$C,0)))</f>
        <v>1</v>
      </c>
      <c r="N441" s="398">
        <f>IF(ISBLANK(INDEX('Policy Characteristics'!H:H,MATCH($C441,'Policy Characteristics'!$C:$C,0))),"",INDEX('Policy Characteristics'!H:H,MATCH($C441,'Policy Characteristics'!$C:$C,0)))</f>
        <v>0.01</v>
      </c>
      <c r="O441" s="394" t="str">
        <f>IF(ISBLANK(INDEX('Policy Characteristics'!I:I,MATCH($C441,'Policy Characteristics'!$C:$C,0))),"",INDEX('Policy Characteristics'!I:I,MATCH($C441,'Policy Characteristics'!$C:$C,0)))</f>
        <v>% of CO2 captured</v>
      </c>
      <c r="P441" s="394" t="str">
        <f>IF(ISBLANK(INDEX('Policy Characteristics'!J:J,MATCH($C441,'Policy Characteristics'!$C:$C,0))),"",INDEX('Policy Characteristics'!J:J,MATCH($C441,'Policy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1" s="394" t="str">
        <f>IF(ISBLANK(INDEX('Policy Characteristics'!K:K,MATCH($C441,'Policy Characteristics'!$C:$C,0))),"",INDEX('Policy Characteristics'!K:K,MATCH($C441,'Policy Characteristics'!$C:$C,0)))</f>
        <v>ccs.html#ccs</v>
      </c>
      <c r="R441" s="394" t="str">
        <f>IF(ISBLANK(INDEX('Policy Characteristics'!L:L,MATCH($C441,'Policy Characteristics'!$C:$C,0))),"",INDEX('Policy Characteristics'!L:L,MATCH($C441,'Policy Characteristics'!$C:$C,0)))</f>
        <v>carbon-capture-and-sequestration.html</v>
      </c>
    </row>
    <row r="442" customHeight="1" spans="1:18">
      <c r="A442" s="394" t="str">
        <f>IF(ISBLANK(INDEX('Policy Characteristics'!A:A,MATCH($C442,'Policy Characteristics'!$C:$C,0))),"",INDEX('Policy Characteristics'!A:A,MATCH($C442,'Policy Characteristics'!$C:$C,0)))</f>
        <v>Industry</v>
      </c>
      <c r="B442" s="395" t="str">
        <f>IF(ISBLANK(INDEX('Policy Characteristics'!B:B,MATCH($C442,'Policy Characteristics'!$C:$C,0))),"",INDEX('Policy Characteristics'!B:B,MATCH($C442,'Policy Characteristics'!$C:$C,0)))</f>
        <v>Carbon Capture and Sequestration</v>
      </c>
      <c r="C442" s="394" t="str">
        <f t="shared" si="29"/>
        <v>Industry Sector Fraction of Potential Additional CCS Achieved</v>
      </c>
      <c r="D442" s="399" t="s">
        <v>776</v>
      </c>
      <c r="E442" s="399" t="s">
        <v>790</v>
      </c>
      <c r="F442" t="s">
        <v>777</v>
      </c>
      <c r="G442" s="399" t="s">
        <v>791</v>
      </c>
      <c r="H442" s="377">
        <v>947</v>
      </c>
      <c r="I442" s="396" t="s">
        <v>658</v>
      </c>
      <c r="J442" s="397" t="str">
        <f>IF(ISBLANK(INDEX('Policy Characteristics'!D:D,MATCH($C442,'Policy Characteristics'!$C:$C,0))),"",INDEX('Policy Characteristics'!D:D,MATCH($C442,'Policy Characteristics'!$C:$C,0)))</f>
        <v>Industry CCS</v>
      </c>
      <c r="K442" s="394" t="str">
        <f>IF(ISBLANK(INDEX('Policy Characteristics'!E:E,MATCH($C442,'Policy Characteristics'!$C:$C,0))),"",INDEX('Policy Characteristics'!E:E,MATCH($C442,'Policy Characteristics'!$C:$C,0)))</f>
        <v>indst CCS</v>
      </c>
      <c r="L442" s="398">
        <f>IF(ISBLANK(INDEX('Policy Characteristics'!F:F,MATCH($C442,'Policy Characteristics'!$C:$C,0))),"",INDEX('Policy Characteristics'!F:F,MATCH($C442,'Policy Characteristics'!$C:$C,0)))</f>
        <v>0</v>
      </c>
      <c r="M442" s="398">
        <f>IF(ISBLANK(INDEX('Policy Characteristics'!G:G,MATCH($C442,'Policy Characteristics'!$C:$C,0))),"",INDEX('Policy Characteristics'!G:G,MATCH($C442,'Policy Characteristics'!$C:$C,0)))</f>
        <v>1</v>
      </c>
      <c r="N442" s="398">
        <f>IF(ISBLANK(INDEX('Policy Characteristics'!H:H,MATCH($C442,'Policy Characteristics'!$C:$C,0))),"",INDEX('Policy Characteristics'!H:H,MATCH($C442,'Policy Characteristics'!$C:$C,0)))</f>
        <v>0.01</v>
      </c>
      <c r="O442" s="394" t="str">
        <f>IF(ISBLANK(INDEX('Policy Characteristics'!I:I,MATCH($C442,'Policy Characteristics'!$C:$C,0))),"",INDEX('Policy Characteristics'!I:I,MATCH($C442,'Policy Characteristics'!$C:$C,0)))</f>
        <v>% of CO2 captured</v>
      </c>
      <c r="P442" s="394" t="str">
        <f>IF(ISBLANK(INDEX('Policy Characteristics'!J:J,MATCH($C442,'Policy Characteristics'!$C:$C,0))),"",INDEX('Policy Characteristics'!J:J,MATCH($C442,'Policy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2" s="394" t="str">
        <f>IF(ISBLANK(INDEX('Policy Characteristics'!K:K,MATCH($C442,'Policy Characteristics'!$C:$C,0))),"",INDEX('Policy Characteristics'!K:K,MATCH($C442,'Policy Characteristics'!$C:$C,0)))</f>
        <v>ccs.html#ccs</v>
      </c>
      <c r="R442" s="394" t="str">
        <f>IF(ISBLANK(INDEX('Policy Characteristics'!L:L,MATCH($C442,'Policy Characteristics'!$C:$C,0))),"",INDEX('Policy Characteristics'!L:L,MATCH($C442,'Policy Characteristics'!$C:$C,0)))</f>
        <v>carbon-capture-and-sequestration.html</v>
      </c>
    </row>
    <row r="443" customHeight="1" spans="1:18">
      <c r="A443" s="394" t="str">
        <f>IF(ISBLANK(INDEX('Policy Characteristics'!A:A,MATCH($C443,'Policy Characteristics'!$C:$C,0))),"",INDEX('Policy Characteristics'!A:A,MATCH($C443,'Policy Characteristics'!$C:$C,0)))</f>
        <v>Industry</v>
      </c>
      <c r="B443" s="395" t="str">
        <f>IF(ISBLANK(INDEX('Policy Characteristics'!B:B,MATCH($C443,'Policy Characteristics'!$C:$C,0))),"",INDEX('Policy Characteristics'!B:B,MATCH($C443,'Policy Characteristics'!$C:$C,0)))</f>
        <v>Carbon Capture and Sequestration</v>
      </c>
      <c r="C443" s="394" t="str">
        <f t="shared" si="29"/>
        <v>Industry Sector Fraction of Potential Additional CCS Achieved</v>
      </c>
      <c r="D443" s="399" t="s">
        <v>778</v>
      </c>
      <c r="E443" s="399" t="s">
        <v>788</v>
      </c>
      <c r="F443" t="s">
        <v>779</v>
      </c>
      <c r="G443" s="399" t="s">
        <v>789</v>
      </c>
      <c r="H443" s="377">
        <v>948</v>
      </c>
      <c r="I443" s="396" t="s">
        <v>648</v>
      </c>
      <c r="J443" s="397" t="str">
        <f>IF(ISBLANK(INDEX('Policy Characteristics'!D:D,MATCH($C443,'Policy Characteristics'!$C:$C,0))),"",INDEX('Policy Characteristics'!D:D,MATCH($C443,'Policy Characteristics'!$C:$C,0)))</f>
        <v>Industry CCS</v>
      </c>
      <c r="K443" s="394" t="str">
        <f>IF(ISBLANK(INDEX('Policy Characteristics'!E:E,MATCH($C443,'Policy Characteristics'!$C:$C,0))),"",INDEX('Policy Characteristics'!E:E,MATCH($C443,'Policy Characteristics'!$C:$C,0)))</f>
        <v>indst CCS</v>
      </c>
      <c r="L443" s="398">
        <f>IF(ISBLANK(INDEX('Policy Characteristics'!F:F,MATCH($C443,'Policy Characteristics'!$C:$C,0))),"",INDEX('Policy Characteristics'!F:F,MATCH($C443,'Policy Characteristics'!$C:$C,0)))</f>
        <v>0</v>
      </c>
      <c r="M443" s="398">
        <f>IF(ISBLANK(INDEX('Policy Characteristics'!G:G,MATCH($C443,'Policy Characteristics'!$C:$C,0))),"",INDEX('Policy Characteristics'!G:G,MATCH($C443,'Policy Characteristics'!$C:$C,0)))</f>
        <v>1</v>
      </c>
      <c r="N443" s="398">
        <f>IF(ISBLANK(INDEX('Policy Characteristics'!H:H,MATCH($C443,'Policy Characteristics'!$C:$C,0))),"",INDEX('Policy Characteristics'!H:H,MATCH($C443,'Policy Characteristics'!$C:$C,0)))</f>
        <v>0.01</v>
      </c>
      <c r="O443" s="394" t="str">
        <f>IF(ISBLANK(INDEX('Policy Characteristics'!I:I,MATCH($C443,'Policy Characteristics'!$C:$C,0))),"",INDEX('Policy Characteristics'!I:I,MATCH($C443,'Policy Characteristics'!$C:$C,0)))</f>
        <v>% of CO2 captured</v>
      </c>
      <c r="P443" s="394" t="str">
        <f>IF(ISBLANK(INDEX('Policy Characteristics'!J:J,MATCH($C443,'Policy Characteristics'!$C:$C,0))),"",INDEX('Policy Characteristics'!J:J,MATCH($C443,'Policy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3" s="394" t="str">
        <f>IF(ISBLANK(INDEX('Policy Characteristics'!K:K,MATCH($C443,'Policy Characteristics'!$C:$C,0))),"",INDEX('Policy Characteristics'!K:K,MATCH($C443,'Policy Characteristics'!$C:$C,0)))</f>
        <v>ccs.html#ccs</v>
      </c>
      <c r="R443" s="394" t="str">
        <f>IF(ISBLANK(INDEX('Policy Characteristics'!L:L,MATCH($C443,'Policy Characteristics'!$C:$C,0))),"",INDEX('Policy Characteristics'!L:L,MATCH($C443,'Policy Characteristics'!$C:$C,0)))</f>
        <v>carbon-capture-and-sequestration.html</v>
      </c>
    </row>
    <row r="444" customHeight="1" spans="1:18">
      <c r="A444" s="394" t="str">
        <f>IF(ISBLANK(INDEX('Policy Characteristics'!A:A,MATCH($C444,'Policy Characteristics'!$C:$C,0))),"",INDEX('Policy Characteristics'!A:A,MATCH($C444,'Policy Characteristics'!$C:$C,0)))</f>
        <v>Industry</v>
      </c>
      <c r="B444" s="395" t="str">
        <f>IF(ISBLANK(INDEX('Policy Characteristics'!B:B,MATCH($C444,'Policy Characteristics'!$C:$C,0))),"",INDEX('Policy Characteristics'!B:B,MATCH($C444,'Policy Characteristics'!$C:$C,0)))</f>
        <v>Carbon Capture and Sequestration</v>
      </c>
      <c r="C444" s="394" t="str">
        <f t="shared" si="29"/>
        <v>Industry Sector Fraction of Potential Additional CCS Achieved</v>
      </c>
      <c r="D444" s="399" t="s">
        <v>778</v>
      </c>
      <c r="E444" s="399" t="s">
        <v>790</v>
      </c>
      <c r="F444" t="s">
        <v>779</v>
      </c>
      <c r="G444" s="399" t="s">
        <v>791</v>
      </c>
      <c r="H444" s="377">
        <v>949</v>
      </c>
      <c r="I444" s="396" t="s">
        <v>658</v>
      </c>
      <c r="J444" s="397" t="str">
        <f>IF(ISBLANK(INDEX('Policy Characteristics'!D:D,MATCH($C444,'Policy Characteristics'!$C:$C,0))),"",INDEX('Policy Characteristics'!D:D,MATCH($C444,'Policy Characteristics'!$C:$C,0)))</f>
        <v>Industry CCS</v>
      </c>
      <c r="K444" s="394" t="str">
        <f>IF(ISBLANK(INDEX('Policy Characteristics'!E:E,MATCH($C444,'Policy Characteristics'!$C:$C,0))),"",INDEX('Policy Characteristics'!E:E,MATCH($C444,'Policy Characteristics'!$C:$C,0)))</f>
        <v>indst CCS</v>
      </c>
      <c r="L444" s="398">
        <f>IF(ISBLANK(INDEX('Policy Characteristics'!F:F,MATCH($C444,'Policy Characteristics'!$C:$C,0))),"",INDEX('Policy Characteristics'!F:F,MATCH($C444,'Policy Characteristics'!$C:$C,0)))</f>
        <v>0</v>
      </c>
      <c r="M444" s="398">
        <f>IF(ISBLANK(INDEX('Policy Characteristics'!G:G,MATCH($C444,'Policy Characteristics'!$C:$C,0))),"",INDEX('Policy Characteristics'!G:G,MATCH($C444,'Policy Characteristics'!$C:$C,0)))</f>
        <v>1</v>
      </c>
      <c r="N444" s="398">
        <f>IF(ISBLANK(INDEX('Policy Characteristics'!H:H,MATCH($C444,'Policy Characteristics'!$C:$C,0))),"",INDEX('Policy Characteristics'!H:H,MATCH($C444,'Policy Characteristics'!$C:$C,0)))</f>
        <v>0.01</v>
      </c>
      <c r="O444" s="394" t="str">
        <f>IF(ISBLANK(INDEX('Policy Characteristics'!I:I,MATCH($C444,'Policy Characteristics'!$C:$C,0))),"",INDEX('Policy Characteristics'!I:I,MATCH($C444,'Policy Characteristics'!$C:$C,0)))</f>
        <v>% of CO2 captured</v>
      </c>
      <c r="P444" s="394" t="str">
        <f>IF(ISBLANK(INDEX('Policy Characteristics'!J:J,MATCH($C444,'Policy Characteristics'!$C:$C,0))),"",INDEX('Policy Characteristics'!J:J,MATCH($C444,'Policy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4" s="394" t="str">
        <f>IF(ISBLANK(INDEX('Policy Characteristics'!K:K,MATCH($C444,'Policy Characteristics'!$C:$C,0))),"",INDEX('Policy Characteristics'!K:K,MATCH($C444,'Policy Characteristics'!$C:$C,0)))</f>
        <v>ccs.html#ccs</v>
      </c>
      <c r="R444" s="394" t="str">
        <f>IF(ISBLANK(INDEX('Policy Characteristics'!L:L,MATCH($C444,'Policy Characteristics'!$C:$C,0))),"",INDEX('Policy Characteristics'!L:L,MATCH($C444,'Policy Characteristics'!$C:$C,0)))</f>
        <v>carbon-capture-and-sequestration.html</v>
      </c>
    </row>
    <row r="445" customHeight="1" spans="1:18">
      <c r="A445" s="394" t="str">
        <f>IF(ISBLANK(INDEX('Policy Characteristics'!A:A,MATCH($C445,'Policy Characteristics'!$C:$C,0))),"",INDEX('Policy Characteristics'!A:A,MATCH($C445,'Policy Characteristics'!$C:$C,0)))</f>
        <v>Industry</v>
      </c>
      <c r="B445" s="395" t="str">
        <f>IF(ISBLANK(INDEX('Policy Characteristics'!B:B,MATCH($C445,'Policy Characteristics'!$C:$C,0))),"",INDEX('Policy Characteristics'!B:B,MATCH($C445,'Policy Characteristics'!$C:$C,0)))</f>
        <v>Carbon Capture and Sequestration</v>
      </c>
      <c r="C445" s="394" t="str">
        <f t="shared" si="29"/>
        <v>Industry Sector Fraction of Potential Additional CCS Achieved</v>
      </c>
      <c r="D445" s="399" t="s">
        <v>780</v>
      </c>
      <c r="E445" s="399" t="s">
        <v>788</v>
      </c>
      <c r="F445" t="s">
        <v>781</v>
      </c>
      <c r="G445" s="399" t="s">
        <v>789</v>
      </c>
      <c r="H445" s="377">
        <v>950</v>
      </c>
      <c r="I445" s="396" t="s">
        <v>648</v>
      </c>
      <c r="J445" s="397" t="str">
        <f>IF(ISBLANK(INDEX('Policy Characteristics'!D:D,MATCH($C445,'Policy Characteristics'!$C:$C,0))),"",INDEX('Policy Characteristics'!D:D,MATCH($C445,'Policy Characteristics'!$C:$C,0)))</f>
        <v>Industry CCS</v>
      </c>
      <c r="K445" s="394" t="str">
        <f>IF(ISBLANK(INDEX('Policy Characteristics'!E:E,MATCH($C445,'Policy Characteristics'!$C:$C,0))),"",INDEX('Policy Characteristics'!E:E,MATCH($C445,'Policy Characteristics'!$C:$C,0)))</f>
        <v>indst CCS</v>
      </c>
      <c r="L445" s="398">
        <f>IF(ISBLANK(INDEX('Policy Characteristics'!F:F,MATCH($C445,'Policy Characteristics'!$C:$C,0))),"",INDEX('Policy Characteristics'!F:F,MATCH($C445,'Policy Characteristics'!$C:$C,0)))</f>
        <v>0</v>
      </c>
      <c r="M445" s="398">
        <f>IF(ISBLANK(INDEX('Policy Characteristics'!G:G,MATCH($C445,'Policy Characteristics'!$C:$C,0))),"",INDEX('Policy Characteristics'!G:G,MATCH($C445,'Policy Characteristics'!$C:$C,0)))</f>
        <v>1</v>
      </c>
      <c r="N445" s="398">
        <f>IF(ISBLANK(INDEX('Policy Characteristics'!H:H,MATCH($C445,'Policy Characteristics'!$C:$C,0))),"",INDEX('Policy Characteristics'!H:H,MATCH($C445,'Policy Characteristics'!$C:$C,0)))</f>
        <v>0.01</v>
      </c>
      <c r="O445" s="394" t="str">
        <f>IF(ISBLANK(INDEX('Policy Characteristics'!I:I,MATCH($C445,'Policy Characteristics'!$C:$C,0))),"",INDEX('Policy Characteristics'!I:I,MATCH($C445,'Policy Characteristics'!$C:$C,0)))</f>
        <v>% of CO2 captured</v>
      </c>
      <c r="P445" s="394" t="str">
        <f>IF(ISBLANK(INDEX('Policy Characteristics'!J:J,MATCH($C445,'Policy Characteristics'!$C:$C,0))),"",INDEX('Policy Characteristics'!J:J,MATCH($C445,'Policy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5" s="394" t="str">
        <f>IF(ISBLANK(INDEX('Policy Characteristics'!K:K,MATCH($C445,'Policy Characteristics'!$C:$C,0))),"",INDEX('Policy Characteristics'!K:K,MATCH($C445,'Policy Characteristics'!$C:$C,0)))</f>
        <v>ccs.html#ccs</v>
      </c>
      <c r="R445" s="394" t="str">
        <f>IF(ISBLANK(INDEX('Policy Characteristics'!L:L,MATCH($C445,'Policy Characteristics'!$C:$C,0))),"",INDEX('Policy Characteristics'!L:L,MATCH($C445,'Policy Characteristics'!$C:$C,0)))</f>
        <v>carbon-capture-and-sequestration.html</v>
      </c>
    </row>
    <row r="446" customHeight="1" spans="1:18">
      <c r="A446" s="394" t="str">
        <f>IF(ISBLANK(INDEX('Policy Characteristics'!A:A,MATCH($C446,'Policy Characteristics'!$C:$C,0))),"",INDEX('Policy Characteristics'!A:A,MATCH($C446,'Policy Characteristics'!$C:$C,0)))</f>
        <v>Industry</v>
      </c>
      <c r="B446" s="395" t="str">
        <f>IF(ISBLANK(INDEX('Policy Characteristics'!B:B,MATCH($C446,'Policy Characteristics'!$C:$C,0))),"",INDEX('Policy Characteristics'!B:B,MATCH($C446,'Policy Characteristics'!$C:$C,0)))</f>
        <v>Carbon Capture and Sequestration</v>
      </c>
      <c r="C446" s="394" t="str">
        <f t="shared" si="29"/>
        <v>Industry Sector Fraction of Potential Additional CCS Achieved</v>
      </c>
      <c r="D446" s="399" t="s">
        <v>780</v>
      </c>
      <c r="E446" s="399" t="s">
        <v>790</v>
      </c>
      <c r="F446" t="s">
        <v>781</v>
      </c>
      <c r="G446" s="399" t="s">
        <v>791</v>
      </c>
      <c r="H446" s="377">
        <v>951</v>
      </c>
      <c r="I446" s="396" t="s">
        <v>658</v>
      </c>
      <c r="J446" s="397" t="str">
        <f>IF(ISBLANK(INDEX('Policy Characteristics'!D:D,MATCH($C446,'Policy Characteristics'!$C:$C,0))),"",INDEX('Policy Characteristics'!D:D,MATCH($C446,'Policy Characteristics'!$C:$C,0)))</f>
        <v>Industry CCS</v>
      </c>
      <c r="K446" s="394" t="str">
        <f>IF(ISBLANK(INDEX('Policy Characteristics'!E:E,MATCH($C446,'Policy Characteristics'!$C:$C,0))),"",INDEX('Policy Characteristics'!E:E,MATCH($C446,'Policy Characteristics'!$C:$C,0)))</f>
        <v>indst CCS</v>
      </c>
      <c r="L446" s="398">
        <f>IF(ISBLANK(INDEX('Policy Characteristics'!F:F,MATCH($C446,'Policy Characteristics'!$C:$C,0))),"",INDEX('Policy Characteristics'!F:F,MATCH($C446,'Policy Characteristics'!$C:$C,0)))</f>
        <v>0</v>
      </c>
      <c r="M446" s="398">
        <f>IF(ISBLANK(INDEX('Policy Characteristics'!G:G,MATCH($C446,'Policy Characteristics'!$C:$C,0))),"",INDEX('Policy Characteristics'!G:G,MATCH($C446,'Policy Characteristics'!$C:$C,0)))</f>
        <v>1</v>
      </c>
      <c r="N446" s="398">
        <f>IF(ISBLANK(INDEX('Policy Characteristics'!H:H,MATCH($C446,'Policy Characteristics'!$C:$C,0))),"",INDEX('Policy Characteristics'!H:H,MATCH($C446,'Policy Characteristics'!$C:$C,0)))</f>
        <v>0.01</v>
      </c>
      <c r="O446" s="394" t="str">
        <f>IF(ISBLANK(INDEX('Policy Characteristics'!I:I,MATCH($C446,'Policy Characteristics'!$C:$C,0))),"",INDEX('Policy Characteristics'!I:I,MATCH($C446,'Policy Characteristics'!$C:$C,0)))</f>
        <v>% of CO2 captured</v>
      </c>
      <c r="P446" s="394" t="str">
        <f>IF(ISBLANK(INDEX('Policy Characteristics'!J:J,MATCH($C446,'Policy Characteristics'!$C:$C,0))),"",INDEX('Policy Characteristics'!J:J,MATCH($C446,'Policy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6" s="394" t="str">
        <f>IF(ISBLANK(INDEX('Policy Characteristics'!K:K,MATCH($C446,'Policy Characteristics'!$C:$C,0))),"",INDEX('Policy Characteristics'!K:K,MATCH($C446,'Policy Characteristics'!$C:$C,0)))</f>
        <v>ccs.html#ccs</v>
      </c>
      <c r="R446" s="394" t="str">
        <f>IF(ISBLANK(INDEX('Policy Characteristics'!L:L,MATCH($C446,'Policy Characteristics'!$C:$C,0))),"",INDEX('Policy Characteristics'!L:L,MATCH($C446,'Policy Characteristics'!$C:$C,0)))</f>
        <v>carbon-capture-and-sequestration.html</v>
      </c>
    </row>
    <row r="447" customHeight="1" spans="1:18">
      <c r="A447" s="394" t="str">
        <f>IF(ISBLANK(INDEX('Policy Characteristics'!A:A,MATCH($C447,'Policy Characteristics'!$C:$C,0))),"",INDEX('Policy Characteristics'!A:A,MATCH($C447,'Policy Characteristics'!$C:$C,0)))</f>
        <v>Industry</v>
      </c>
      <c r="B447" s="395" t="str">
        <f>IF(ISBLANK(INDEX('Policy Characteristics'!B:B,MATCH($C447,'Policy Characteristics'!$C:$C,0))),"",INDEX('Policy Characteristics'!B:B,MATCH($C447,'Policy Characteristics'!$C:$C,0)))</f>
        <v>Carbon Capture and Sequestration</v>
      </c>
      <c r="C447" s="394" t="str">
        <f t="shared" si="29"/>
        <v>Industry Sector Fraction of Potential Additional CCS Achieved</v>
      </c>
      <c r="D447" s="399" t="s">
        <v>782</v>
      </c>
      <c r="E447" s="399" t="s">
        <v>788</v>
      </c>
      <c r="F447" s="366" t="s">
        <v>783</v>
      </c>
      <c r="G447" s="399" t="s">
        <v>789</v>
      </c>
      <c r="H447" s="377">
        <v>952</v>
      </c>
      <c r="I447" s="396" t="s">
        <v>648</v>
      </c>
      <c r="J447" s="397" t="str">
        <f>IF(ISBLANK(INDEX('Policy Characteristics'!D:D,MATCH($C447,'Policy Characteristics'!$C:$C,0))),"",INDEX('Policy Characteristics'!D:D,MATCH($C447,'Policy Characteristics'!$C:$C,0)))</f>
        <v>Industry CCS</v>
      </c>
      <c r="K447" s="394" t="str">
        <f>IF(ISBLANK(INDEX('Policy Characteristics'!E:E,MATCH($C447,'Policy Characteristics'!$C:$C,0))),"",INDEX('Policy Characteristics'!E:E,MATCH($C447,'Policy Characteristics'!$C:$C,0)))</f>
        <v>indst CCS</v>
      </c>
      <c r="L447" s="398">
        <f>IF(ISBLANK(INDEX('Policy Characteristics'!F:F,MATCH($C447,'Policy Characteristics'!$C:$C,0))),"",INDEX('Policy Characteristics'!F:F,MATCH($C447,'Policy Characteristics'!$C:$C,0)))</f>
        <v>0</v>
      </c>
      <c r="M447" s="398">
        <f>IF(ISBLANK(INDEX('Policy Characteristics'!G:G,MATCH($C447,'Policy Characteristics'!$C:$C,0))),"",INDEX('Policy Characteristics'!G:G,MATCH($C447,'Policy Characteristics'!$C:$C,0)))</f>
        <v>1</v>
      </c>
      <c r="N447" s="398">
        <f>IF(ISBLANK(INDEX('Policy Characteristics'!H:H,MATCH($C447,'Policy Characteristics'!$C:$C,0))),"",INDEX('Policy Characteristics'!H:H,MATCH($C447,'Policy Characteristics'!$C:$C,0)))</f>
        <v>0.01</v>
      </c>
      <c r="O447" s="394" t="str">
        <f>IF(ISBLANK(INDEX('Policy Characteristics'!I:I,MATCH($C447,'Policy Characteristics'!$C:$C,0))),"",INDEX('Policy Characteristics'!I:I,MATCH($C447,'Policy Characteristics'!$C:$C,0)))</f>
        <v>% of CO2 captured</v>
      </c>
      <c r="P447" s="394" t="str">
        <f>IF(ISBLANK(INDEX('Policy Characteristics'!J:J,MATCH($C447,'Policy Characteristics'!$C:$C,0))),"",INDEX('Policy Characteristics'!J:J,MATCH($C447,'Policy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7" s="394" t="str">
        <f>IF(ISBLANK(INDEX('Policy Characteristics'!K:K,MATCH($C447,'Policy Characteristics'!$C:$C,0))),"",INDEX('Policy Characteristics'!K:K,MATCH($C447,'Policy Characteristics'!$C:$C,0)))</f>
        <v>ccs.html#ccs</v>
      </c>
      <c r="R447" s="394" t="str">
        <f>IF(ISBLANK(INDEX('Policy Characteristics'!L:L,MATCH($C447,'Policy Characteristics'!$C:$C,0))),"",INDEX('Policy Characteristics'!L:L,MATCH($C447,'Policy Characteristics'!$C:$C,0)))</f>
        <v>carbon-capture-and-sequestration.html</v>
      </c>
    </row>
    <row r="448" customHeight="1" spans="1:18">
      <c r="A448" s="394" t="str">
        <f>IF(ISBLANK(INDEX('Policy Characteristics'!A:A,MATCH($C448,'Policy Characteristics'!$C:$C,0))),"",INDEX('Policy Characteristics'!A:A,MATCH($C448,'Policy Characteristics'!$C:$C,0)))</f>
        <v>Industry</v>
      </c>
      <c r="B448" s="395" t="str">
        <f>IF(ISBLANK(INDEX('Policy Characteristics'!B:B,MATCH($C448,'Policy Characteristics'!$C:$C,0))),"",INDEX('Policy Characteristics'!B:B,MATCH($C448,'Policy Characteristics'!$C:$C,0)))</f>
        <v>Carbon Capture and Sequestration</v>
      </c>
      <c r="C448" s="394" t="str">
        <f t="shared" si="29"/>
        <v>Industry Sector Fraction of Potential Additional CCS Achieved</v>
      </c>
      <c r="D448" s="399" t="s">
        <v>782</v>
      </c>
      <c r="E448" s="399" t="s">
        <v>790</v>
      </c>
      <c r="F448" s="366" t="s">
        <v>783</v>
      </c>
      <c r="G448" s="399" t="s">
        <v>791</v>
      </c>
      <c r="H448" s="377">
        <v>953</v>
      </c>
      <c r="I448" s="396" t="s">
        <v>648</v>
      </c>
      <c r="J448" s="397" t="str">
        <f>IF(ISBLANK(INDEX('Policy Characteristics'!D:D,MATCH($C448,'Policy Characteristics'!$C:$C,0))),"",INDEX('Policy Characteristics'!D:D,MATCH($C448,'Policy Characteristics'!$C:$C,0)))</f>
        <v>Industry CCS</v>
      </c>
      <c r="K448" s="394" t="str">
        <f>IF(ISBLANK(INDEX('Policy Characteristics'!E:E,MATCH($C448,'Policy Characteristics'!$C:$C,0))),"",INDEX('Policy Characteristics'!E:E,MATCH($C448,'Policy Characteristics'!$C:$C,0)))</f>
        <v>indst CCS</v>
      </c>
      <c r="L448" s="398">
        <f>IF(ISBLANK(INDEX('Policy Characteristics'!F:F,MATCH($C448,'Policy Characteristics'!$C:$C,0))),"",INDEX('Policy Characteristics'!F:F,MATCH($C448,'Policy Characteristics'!$C:$C,0)))</f>
        <v>0</v>
      </c>
      <c r="M448" s="398">
        <f>IF(ISBLANK(INDEX('Policy Characteristics'!G:G,MATCH($C448,'Policy Characteristics'!$C:$C,0))),"",INDEX('Policy Characteristics'!G:G,MATCH($C448,'Policy Characteristics'!$C:$C,0)))</f>
        <v>1</v>
      </c>
      <c r="N448" s="398">
        <f>IF(ISBLANK(INDEX('Policy Characteristics'!H:H,MATCH($C448,'Policy Characteristics'!$C:$C,0))),"",INDEX('Policy Characteristics'!H:H,MATCH($C448,'Policy Characteristics'!$C:$C,0)))</f>
        <v>0.01</v>
      </c>
      <c r="O448" s="394" t="str">
        <f>IF(ISBLANK(INDEX('Policy Characteristics'!I:I,MATCH($C448,'Policy Characteristics'!$C:$C,0))),"",INDEX('Policy Characteristics'!I:I,MATCH($C448,'Policy Characteristics'!$C:$C,0)))</f>
        <v>% of CO2 captured</v>
      </c>
      <c r="P448" s="394" t="str">
        <f>IF(ISBLANK(INDEX('Policy Characteristics'!J:J,MATCH($C448,'Policy Characteristics'!$C:$C,0))),"",INDEX('Policy Characteristics'!J:J,MATCH($C448,'Policy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8" s="394" t="str">
        <f>IF(ISBLANK(INDEX('Policy Characteristics'!K:K,MATCH($C448,'Policy Characteristics'!$C:$C,0))),"",INDEX('Policy Characteristics'!K:K,MATCH($C448,'Policy Characteristics'!$C:$C,0)))</f>
        <v>ccs.html#ccs</v>
      </c>
      <c r="R448" s="394" t="str">
        <f>IF(ISBLANK(INDEX('Policy Characteristics'!L:L,MATCH($C448,'Policy Characteristics'!$C:$C,0))),"",INDEX('Policy Characteristics'!L:L,MATCH($C448,'Policy Characteristics'!$C:$C,0)))</f>
        <v>carbon-capture-and-sequestration.html</v>
      </c>
    </row>
    <row r="449" customHeight="1" spans="1:18">
      <c r="A449" s="394" t="str">
        <f>IF(ISBLANK(INDEX('Policy Characteristics'!A:A,MATCH($C449,'Policy Characteristics'!$C:$C,0))),"",INDEX('Policy Characteristics'!A:A,MATCH($C449,'Policy Characteristics'!$C:$C,0)))</f>
        <v>Industry</v>
      </c>
      <c r="B449" s="395" t="str">
        <f>IF(ISBLANK(INDEX('Policy Characteristics'!B:B,MATCH($C449,'Policy Characteristics'!$C:$C,0))),"",INDEX('Policy Characteristics'!B:B,MATCH($C449,'Policy Characteristics'!$C:$C,0)))</f>
        <v>Carbon Capture and Sequestration</v>
      </c>
      <c r="C449" s="394" t="str">
        <f t="shared" si="29"/>
        <v>Industry Sector Fraction of Potential Additional CCS Achieved</v>
      </c>
      <c r="D449" s="399" t="s">
        <v>784</v>
      </c>
      <c r="E449" s="399" t="s">
        <v>788</v>
      </c>
      <c r="F449" t="s">
        <v>785</v>
      </c>
      <c r="G449" s="399" t="s">
        <v>789</v>
      </c>
      <c r="H449" s="377">
        <v>954</v>
      </c>
      <c r="I449" s="396" t="s">
        <v>658</v>
      </c>
      <c r="J449" s="397" t="str">
        <f>IF(ISBLANK(INDEX('Policy Characteristics'!D:D,MATCH($C449,'Policy Characteristics'!$C:$C,0))),"",INDEX('Policy Characteristics'!D:D,MATCH($C449,'Policy Characteristics'!$C:$C,0)))</f>
        <v>Industry CCS</v>
      </c>
      <c r="K449" s="394" t="str">
        <f>IF(ISBLANK(INDEX('Policy Characteristics'!E:E,MATCH($C449,'Policy Characteristics'!$C:$C,0))),"",INDEX('Policy Characteristics'!E:E,MATCH($C449,'Policy Characteristics'!$C:$C,0)))</f>
        <v>indst CCS</v>
      </c>
      <c r="L449" s="398">
        <f>IF(ISBLANK(INDEX('Policy Characteristics'!F:F,MATCH($C449,'Policy Characteristics'!$C:$C,0))),"",INDEX('Policy Characteristics'!F:F,MATCH($C449,'Policy Characteristics'!$C:$C,0)))</f>
        <v>0</v>
      </c>
      <c r="M449" s="398">
        <f>IF(ISBLANK(INDEX('Policy Characteristics'!G:G,MATCH($C449,'Policy Characteristics'!$C:$C,0))),"",INDEX('Policy Characteristics'!G:G,MATCH($C449,'Policy Characteristics'!$C:$C,0)))</f>
        <v>1</v>
      </c>
      <c r="N449" s="398">
        <f>IF(ISBLANK(INDEX('Policy Characteristics'!H:H,MATCH($C449,'Policy Characteristics'!$C:$C,0))),"",INDEX('Policy Characteristics'!H:H,MATCH($C449,'Policy Characteristics'!$C:$C,0)))</f>
        <v>0.01</v>
      </c>
      <c r="O449" s="394" t="str">
        <f>IF(ISBLANK(INDEX('Policy Characteristics'!I:I,MATCH($C449,'Policy Characteristics'!$C:$C,0))),"",INDEX('Policy Characteristics'!I:I,MATCH($C449,'Policy Characteristics'!$C:$C,0)))</f>
        <v>% of CO2 captured</v>
      </c>
      <c r="P449" s="394" t="str">
        <f>IF(ISBLANK(INDEX('Policy Characteristics'!J:J,MATCH($C449,'Policy Characteristics'!$C:$C,0))),"",INDEX('Policy Characteristics'!J:J,MATCH($C449,'Policy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9" s="394" t="str">
        <f>IF(ISBLANK(INDEX('Policy Characteristics'!K:K,MATCH($C449,'Policy Characteristics'!$C:$C,0))),"",INDEX('Policy Characteristics'!K:K,MATCH($C449,'Policy Characteristics'!$C:$C,0)))</f>
        <v>ccs.html#ccs</v>
      </c>
      <c r="R449" s="394" t="str">
        <f>IF(ISBLANK(INDEX('Policy Characteristics'!L:L,MATCH($C449,'Policy Characteristics'!$C:$C,0))),"",INDEX('Policy Characteristics'!L:L,MATCH($C449,'Policy Characteristics'!$C:$C,0)))</f>
        <v>carbon-capture-and-sequestration.html</v>
      </c>
    </row>
    <row r="450" customHeight="1" spans="1:18">
      <c r="A450" s="394" t="str">
        <f>IF(ISBLANK(INDEX('Policy Characteristics'!A:A,MATCH($C450,'Policy Characteristics'!$C:$C,0))),"",INDEX('Policy Characteristics'!A:A,MATCH($C450,'Policy Characteristics'!$C:$C,0)))</f>
        <v>Industry</v>
      </c>
      <c r="B450" s="395" t="str">
        <f>IF(ISBLANK(INDEX('Policy Characteristics'!B:B,MATCH($C450,'Policy Characteristics'!$C:$C,0))),"",INDEX('Policy Characteristics'!B:B,MATCH($C450,'Policy Characteristics'!$C:$C,0)))</f>
        <v>Carbon Capture and Sequestration</v>
      </c>
      <c r="C450" s="394" t="str">
        <f t="shared" si="29"/>
        <v>Industry Sector Fraction of Potential Additional CCS Achieved</v>
      </c>
      <c r="D450" s="399" t="s">
        <v>784</v>
      </c>
      <c r="E450" s="399" t="s">
        <v>790</v>
      </c>
      <c r="F450" t="s">
        <v>785</v>
      </c>
      <c r="G450" s="399" t="s">
        <v>791</v>
      </c>
      <c r="H450" s="377">
        <v>955</v>
      </c>
      <c r="I450" s="396" t="s">
        <v>658</v>
      </c>
      <c r="J450" s="397" t="str">
        <f>IF(ISBLANK(INDEX('Policy Characteristics'!D:D,MATCH($C450,'Policy Characteristics'!$C:$C,0))),"",INDEX('Policy Characteristics'!D:D,MATCH($C450,'Policy Characteristics'!$C:$C,0)))</f>
        <v>Industry CCS</v>
      </c>
      <c r="K450" s="394" t="str">
        <f>IF(ISBLANK(INDEX('Policy Characteristics'!E:E,MATCH($C450,'Policy Characteristics'!$C:$C,0))),"",INDEX('Policy Characteristics'!E:E,MATCH($C450,'Policy Characteristics'!$C:$C,0)))</f>
        <v>indst CCS</v>
      </c>
      <c r="L450" s="398">
        <f>IF(ISBLANK(INDEX('Policy Characteristics'!F:F,MATCH($C450,'Policy Characteristics'!$C:$C,0))),"",INDEX('Policy Characteristics'!F:F,MATCH($C450,'Policy Characteristics'!$C:$C,0)))</f>
        <v>0</v>
      </c>
      <c r="M450" s="398">
        <f>IF(ISBLANK(INDEX('Policy Characteristics'!G:G,MATCH($C450,'Policy Characteristics'!$C:$C,0))),"",INDEX('Policy Characteristics'!G:G,MATCH($C450,'Policy Characteristics'!$C:$C,0)))</f>
        <v>1</v>
      </c>
      <c r="N450" s="398">
        <f>IF(ISBLANK(INDEX('Policy Characteristics'!H:H,MATCH($C450,'Policy Characteristics'!$C:$C,0))),"",INDEX('Policy Characteristics'!H:H,MATCH($C450,'Policy Characteristics'!$C:$C,0)))</f>
        <v>0.01</v>
      </c>
      <c r="O450" s="394" t="str">
        <f>IF(ISBLANK(INDEX('Policy Characteristics'!I:I,MATCH($C450,'Policy Characteristics'!$C:$C,0))),"",INDEX('Policy Characteristics'!I:I,MATCH($C450,'Policy Characteristics'!$C:$C,0)))</f>
        <v>% of CO2 captured</v>
      </c>
      <c r="P450" s="394" t="str">
        <f>IF(ISBLANK(INDEX('Policy Characteristics'!J:J,MATCH($C450,'Policy Characteristics'!$C:$C,0))),"",INDEX('Policy Characteristics'!J:J,MATCH($C450,'Policy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50" s="394" t="str">
        <f>IF(ISBLANK(INDEX('Policy Characteristics'!K:K,MATCH($C450,'Policy Characteristics'!$C:$C,0))),"",INDEX('Policy Characteristics'!K:K,MATCH($C450,'Policy Characteristics'!$C:$C,0)))</f>
        <v>ccs.html#ccs</v>
      </c>
      <c r="R450" s="394" t="str">
        <f>IF(ISBLANK(INDEX('Policy Characteristics'!L:L,MATCH($C450,'Policy Characteristics'!$C:$C,0))),"",INDEX('Policy Characteristics'!L:L,MATCH($C450,'Policy Characteristics'!$C:$C,0)))</f>
        <v>carbon-capture-and-sequestration.html</v>
      </c>
    </row>
    <row r="451" customHeight="1" spans="1:18">
      <c r="A451" s="394" t="str">
        <f>IF(ISBLANK(INDEX('Policy Characteristics'!A:A,MATCH($C451,'Policy Characteristics'!$C:$C,0))),"",INDEX('Policy Characteristics'!A:A,MATCH($C451,'Policy Characteristics'!$C:$C,0)))</f>
        <v>Industry</v>
      </c>
      <c r="B451" s="395" t="str">
        <f>IF(ISBLANK(INDEX('Policy Characteristics'!B:B,MATCH($C451,'Policy Characteristics'!$C:$C,0))),"",INDEX('Policy Characteristics'!B:B,MATCH($C451,'Policy Characteristics'!$C:$C,0)))</f>
        <v>Carbon Capture and Sequestration</v>
      </c>
      <c r="C451" s="394" t="str">
        <f t="shared" si="29"/>
        <v>Industry Sector Fraction of Potential Additional CCS Achieved</v>
      </c>
      <c r="D451" s="399" t="s">
        <v>786</v>
      </c>
      <c r="E451" s="399" t="s">
        <v>788</v>
      </c>
      <c r="F451" t="s">
        <v>787</v>
      </c>
      <c r="G451" s="399" t="s">
        <v>789</v>
      </c>
      <c r="H451" s="377">
        <v>956</v>
      </c>
      <c r="I451" s="396" t="s">
        <v>658</v>
      </c>
      <c r="J451" s="397" t="str">
        <f>IF(ISBLANK(INDEX('Policy Characteristics'!D:D,MATCH($C451,'Policy Characteristics'!$C:$C,0))),"",INDEX('Policy Characteristics'!D:D,MATCH($C451,'Policy Characteristics'!$C:$C,0)))</f>
        <v>Industry CCS</v>
      </c>
      <c r="K451" s="394" t="str">
        <f>IF(ISBLANK(INDEX('Policy Characteristics'!E:E,MATCH($C451,'Policy Characteristics'!$C:$C,0))),"",INDEX('Policy Characteristics'!E:E,MATCH($C451,'Policy Characteristics'!$C:$C,0)))</f>
        <v>indst CCS</v>
      </c>
      <c r="L451" s="398">
        <f>IF(ISBLANK(INDEX('Policy Characteristics'!F:F,MATCH($C451,'Policy Characteristics'!$C:$C,0))),"",INDEX('Policy Characteristics'!F:F,MATCH($C451,'Policy Characteristics'!$C:$C,0)))</f>
        <v>0</v>
      </c>
      <c r="M451" s="398">
        <f>IF(ISBLANK(INDEX('Policy Characteristics'!G:G,MATCH($C451,'Policy Characteristics'!$C:$C,0))),"",INDEX('Policy Characteristics'!G:G,MATCH($C451,'Policy Characteristics'!$C:$C,0)))</f>
        <v>1</v>
      </c>
      <c r="N451" s="398">
        <f>IF(ISBLANK(INDEX('Policy Characteristics'!H:H,MATCH($C451,'Policy Characteristics'!$C:$C,0))),"",INDEX('Policy Characteristics'!H:H,MATCH($C451,'Policy Characteristics'!$C:$C,0)))</f>
        <v>0.01</v>
      </c>
      <c r="O451" s="394" t="str">
        <f>IF(ISBLANK(INDEX('Policy Characteristics'!I:I,MATCH($C451,'Policy Characteristics'!$C:$C,0))),"",INDEX('Policy Characteristics'!I:I,MATCH($C451,'Policy Characteristics'!$C:$C,0)))</f>
        <v>% of CO2 captured</v>
      </c>
      <c r="P451" s="394" t="str">
        <f>IF(ISBLANK(INDEX('Policy Characteristics'!J:J,MATCH($C451,'Policy Characteristics'!$C:$C,0))),"",INDEX('Policy Characteristics'!J:J,MATCH($C451,'Policy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51" s="394" t="str">
        <f>IF(ISBLANK(INDEX('Policy Characteristics'!K:K,MATCH($C451,'Policy Characteristics'!$C:$C,0))),"",INDEX('Policy Characteristics'!K:K,MATCH($C451,'Policy Characteristics'!$C:$C,0)))</f>
        <v>ccs.html#ccs</v>
      </c>
      <c r="R451" s="394" t="str">
        <f>IF(ISBLANK(INDEX('Policy Characteristics'!L:L,MATCH($C451,'Policy Characteristics'!$C:$C,0))),"",INDEX('Policy Characteristics'!L:L,MATCH($C451,'Policy Characteristics'!$C:$C,0)))</f>
        <v>carbon-capture-and-sequestration.html</v>
      </c>
    </row>
    <row r="452" customHeight="1" spans="1:18">
      <c r="A452" s="394" t="str">
        <f>IF(ISBLANK(INDEX('Policy Characteristics'!A:A,MATCH($C452,'Policy Characteristics'!$C:$C,0))),"",INDEX('Policy Characteristics'!A:A,MATCH($C452,'Policy Characteristics'!$C:$C,0)))</f>
        <v>Industry</v>
      </c>
      <c r="B452" s="395" t="str">
        <f>IF(ISBLANK(INDEX('Policy Characteristics'!B:B,MATCH($C452,'Policy Characteristics'!$C:$C,0))),"",INDEX('Policy Characteristics'!B:B,MATCH($C452,'Policy Characteristics'!$C:$C,0)))</f>
        <v>Carbon Capture and Sequestration</v>
      </c>
      <c r="C452" s="394" t="str">
        <f t="shared" si="29"/>
        <v>Industry Sector Fraction of Potential Additional CCS Achieved</v>
      </c>
      <c r="D452" s="399" t="s">
        <v>786</v>
      </c>
      <c r="E452" s="399" t="s">
        <v>790</v>
      </c>
      <c r="F452" t="s">
        <v>787</v>
      </c>
      <c r="G452" s="399" t="s">
        <v>791</v>
      </c>
      <c r="H452" s="377">
        <v>957</v>
      </c>
      <c r="I452" s="396" t="s">
        <v>658</v>
      </c>
      <c r="J452" s="397" t="str">
        <f>IF(ISBLANK(INDEX('Policy Characteristics'!D:D,MATCH($C452,'Policy Characteristics'!$C:$C,0))),"",INDEX('Policy Characteristics'!D:D,MATCH($C452,'Policy Characteristics'!$C:$C,0)))</f>
        <v>Industry CCS</v>
      </c>
      <c r="K452" s="394" t="str">
        <f>IF(ISBLANK(INDEX('Policy Characteristics'!E:E,MATCH($C452,'Policy Characteristics'!$C:$C,0))),"",INDEX('Policy Characteristics'!E:E,MATCH($C452,'Policy Characteristics'!$C:$C,0)))</f>
        <v>indst CCS</v>
      </c>
      <c r="L452" s="398">
        <f>IF(ISBLANK(INDEX('Policy Characteristics'!F:F,MATCH($C452,'Policy Characteristics'!$C:$C,0))),"",INDEX('Policy Characteristics'!F:F,MATCH($C452,'Policy Characteristics'!$C:$C,0)))</f>
        <v>0</v>
      </c>
      <c r="M452" s="398">
        <f>IF(ISBLANK(INDEX('Policy Characteristics'!G:G,MATCH($C452,'Policy Characteristics'!$C:$C,0))),"",INDEX('Policy Characteristics'!G:G,MATCH($C452,'Policy Characteristics'!$C:$C,0)))</f>
        <v>1</v>
      </c>
      <c r="N452" s="398">
        <f>IF(ISBLANK(INDEX('Policy Characteristics'!H:H,MATCH($C452,'Policy Characteristics'!$C:$C,0))),"",INDEX('Policy Characteristics'!H:H,MATCH($C452,'Policy Characteristics'!$C:$C,0)))</f>
        <v>0.01</v>
      </c>
      <c r="O452" s="394" t="str">
        <f>IF(ISBLANK(INDEX('Policy Characteristics'!I:I,MATCH($C452,'Policy Characteristics'!$C:$C,0))),"",INDEX('Policy Characteristics'!I:I,MATCH($C452,'Policy Characteristics'!$C:$C,0)))</f>
        <v>% of CO2 captured</v>
      </c>
      <c r="P452" s="394" t="str">
        <f>IF(ISBLANK(INDEX('Policy Characteristics'!J:J,MATCH($C452,'Policy Characteristics'!$C:$C,0))),"",INDEX('Policy Characteristics'!J:J,MATCH($C452,'Policy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52" s="394" t="str">
        <f>IF(ISBLANK(INDEX('Policy Characteristics'!K:K,MATCH($C452,'Policy Characteristics'!$C:$C,0))),"",INDEX('Policy Characteristics'!K:K,MATCH($C452,'Policy Characteristics'!$C:$C,0)))</f>
        <v>ccs.html#ccs</v>
      </c>
      <c r="R452" s="394" t="str">
        <f>IF(ISBLANK(INDEX('Policy Characteristics'!L:L,MATCH($C452,'Policy Characteristics'!$C:$C,0))),"",INDEX('Policy Characteristics'!L:L,MATCH($C452,'Policy Characteristics'!$C:$C,0)))</f>
        <v>carbon-capture-and-sequestration.html</v>
      </c>
    </row>
    <row r="453" customHeight="1" spans="1:18">
      <c r="A453" s="394" t="str">
        <f>IF(ISBLANK(INDEX('Policy Characteristics'!A:A,MATCH($C453,'Policy Characteristics'!$C:$C,0))),"",INDEX('Policy Characteristics'!A:A,MATCH($C453,'Policy Characteristics'!$C:$C,0)))</f>
        <v>Industry</v>
      </c>
      <c r="B453" s="395" t="str">
        <f>IF(ISBLANK(INDEX('Policy Characteristics'!B:B,MATCH($C453,'Policy Characteristics'!$C:$C,0))),"",INDEX('Policy Characteristics'!B:B,MATCH($C453,'Policy Characteristics'!$C:$C,0)))</f>
        <v>Cement Clinker Substitution</v>
      </c>
      <c r="C453" t="s">
        <v>343</v>
      </c>
      <c r="D453" s="399"/>
      <c r="E453" s="399"/>
      <c r="F453" s="399"/>
      <c r="G453" s="399"/>
      <c r="H453" s="377">
        <v>43</v>
      </c>
      <c r="I453" s="396" t="s">
        <v>648</v>
      </c>
      <c r="J453" s="397" t="str">
        <f>IF(ISBLANK(INDEX('Policy Characteristics'!D:D,MATCH($C453,'Policy Characteristics'!$C:$C,0))),"",INDEX('Policy Characteristics'!D:D,MATCH($C453,'Policy Characteristics'!$C:$C,0)))</f>
        <v>Cement Clinker Substitution</v>
      </c>
      <c r="K453" s="394" t="str">
        <f>IF(ISBLANK(INDEX('Policy Characteristics'!E:E,MATCH($C453,'Policy Characteristics'!$C:$C,0))),"",INDEX('Policy Characteristics'!E:E,MATCH($C453,'Policy Characteristics'!$C:$C,0)))</f>
        <v>indst cement measures</v>
      </c>
      <c r="L453" s="398">
        <f>IF(ISBLANK(INDEX('Policy Characteristics'!F:F,MATCH($C453,'Policy Characteristics'!$C:$C,0))),"",INDEX('Policy Characteristics'!F:F,MATCH($C453,'Policy Characteristics'!$C:$C,0)))</f>
        <v>0</v>
      </c>
      <c r="M453" s="398">
        <f>IF(ISBLANK(INDEX('Policy Characteristics'!G:G,MATCH($C453,'Policy Characteristics'!$C:$C,0))),"",INDEX('Policy Characteristics'!G:G,MATCH($C453,'Policy Characteristics'!$C:$C,0)))</f>
        <v>1</v>
      </c>
      <c r="N453" s="398">
        <f>IF(ISBLANK(INDEX('Policy Characteristics'!H:H,MATCH($C453,'Policy Characteristics'!$C:$C,0))),"",INDEX('Policy Characteristics'!H:H,MATCH($C453,'Policy Characteristics'!$C:$C,0)))</f>
        <v>0.01</v>
      </c>
      <c r="O453" s="394" t="str">
        <f>IF(ISBLANK(INDEX('Policy Characteristics'!I:I,MATCH($C453,'Policy Characteristics'!$C:$C,0))),"",INDEX('Policy Characteristics'!I:I,MATCH($C453,'Policy Characteristics'!$C:$C,0)))</f>
        <v>% of potential achieved</v>
      </c>
      <c r="P453" s="394" t="str">
        <f>IF(ISBLANK(INDEX('Policy Characteristics'!J:J,MATCH($C453,'Policy Characteristics'!$C:$C,0))),"",INDEX('Policy Characteristics'!J:J,MATCH($C453,'Policy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from 74% to 60%, clinker percentage will decrease by 18.9%.</v>
      </c>
      <c r="Q453" s="394" t="str">
        <f>IF(ISBLANK(INDEX('Policy Characteristics'!K:K,MATCH($C453,'Policy Characteristics'!$C:$C,0))),"",INDEX('Policy Characteristics'!K:K,MATCH($C453,'Policy Characteristics'!$C:$C,0)))</f>
        <v>industry-ag-main.html#clinker</v>
      </c>
      <c r="R453" s="394" t="str">
        <f>IF(ISBLANK(INDEX('Policy Characteristics'!L:L,MATCH($C453,'Policy Characteristics'!$C:$C,0))),"",INDEX('Policy Characteristics'!L:L,MATCH($C453,'Policy Characteristics'!$C:$C,0)))</f>
        <v>cement-clinker-substitution.html</v>
      </c>
    </row>
    <row r="454" s="384" customFormat="1" customHeight="1" spans="1:18">
      <c r="A454" s="394" t="str">
        <f>IF(ISBLANK(INDEX('Policy Characteristics'!A:A,MATCH($C454,'Policy Characteristics'!$C:$C,0))),"",INDEX('Policy Characteristics'!A:A,MATCH($C454,'Policy Characteristics'!$C:$C,0)))</f>
        <v>Industry</v>
      </c>
      <c r="B454" s="395" t="str">
        <f>IF(ISBLANK(INDEX('Policy Characteristics'!B:B,MATCH($C454,'Policy Characteristics'!$C:$C,0))),"",INDEX('Policy Characteristics'!B:B,MATCH($C454,'Policy Characteristics'!$C:$C,0)))</f>
        <v>Cogeneration and Waste Heat Recovery</v>
      </c>
      <c r="C454" t="s">
        <v>350</v>
      </c>
      <c r="D454" s="399"/>
      <c r="E454" s="399"/>
      <c r="F454" s="399"/>
      <c r="G454" s="399"/>
      <c r="H454" s="377">
        <v>44</v>
      </c>
      <c r="I454" s="396" t="s">
        <v>648</v>
      </c>
      <c r="J454" s="397" t="str">
        <f>IF(ISBLANK(INDEX('Policy Characteristics'!D:D,MATCH($C454,'Policy Characteristics'!$C:$C,0))),"",INDEX('Policy Characteristics'!D:D,MATCH($C454,'Policy Characteristics'!$C:$C,0)))</f>
        <v>Cogeneration and Waste Heat Recovery</v>
      </c>
      <c r="K454" s="394" t="str">
        <f>IF(ISBLANK(INDEX('Policy Characteristics'!E:E,MATCH($C454,'Policy Characteristics'!$C:$C,0))),"",INDEX('Policy Characteristics'!E:E,MATCH($C454,'Policy Characteristics'!$C:$C,0)))</f>
        <v>indst CHP</v>
      </c>
      <c r="L454" s="398">
        <f>IF(ISBLANK(INDEX('Policy Characteristics'!F:F,MATCH($C454,'Policy Characteristics'!$C:$C,0))),"",INDEX('Policy Characteristics'!F:F,MATCH($C454,'Policy Characteristics'!$C:$C,0)))</f>
        <v>0</v>
      </c>
      <c r="M454" s="398">
        <f>IF(ISBLANK(INDEX('Policy Characteristics'!G:G,MATCH($C454,'Policy Characteristics'!$C:$C,0))),"",INDEX('Policy Characteristics'!G:G,MATCH($C454,'Policy Characteristics'!$C:$C,0)))</f>
        <v>1</v>
      </c>
      <c r="N454" s="398">
        <f>IF(ISBLANK(INDEX('Policy Characteristics'!H:H,MATCH($C454,'Policy Characteristics'!$C:$C,0))),"",INDEX('Policy Characteristics'!H:H,MATCH($C454,'Policy Characteristics'!$C:$C,0)))</f>
        <v>0.01</v>
      </c>
      <c r="O454" s="394" t="str">
        <f>IF(ISBLANK(INDEX('Policy Characteristics'!I:I,MATCH($C454,'Policy Characteristics'!$C:$C,0))),"",INDEX('Policy Characteristics'!I:I,MATCH($C454,'Policy Characteristics'!$C:$C,0)))</f>
        <v>% of potential achieved</v>
      </c>
      <c r="P454" s="394" t="str">
        <f>IF(ISBLANK(INDEX('Policy Characteristics'!J:J,MATCH($C454,'Policy Characteristics'!$C:$C,0))),"",INDEX('Policy Characteristics'!J:J,MATCH($C454,'Policy Characteristics'!$C:$C,0)))</f>
        <v>**Description:** This policy reduces fuel consumption in the industry sector by increasing the use of cogeneration (also known as combined heat and power) and recovery of waste heat (to perform useful work).</v>
      </c>
      <c r="Q454" s="394" t="str">
        <f>IF(ISBLANK(INDEX('Policy Characteristics'!K:K,MATCH($C454,'Policy Characteristics'!$C:$C,0))),"",INDEX('Policy Characteristics'!K:K,MATCH($C454,'Policy Characteristics'!$C:$C,0)))</f>
        <v>industry-ag-main.html#cogen</v>
      </c>
      <c r="R454" s="394" t="str">
        <f>IF(ISBLANK(INDEX('Policy Characteristics'!L:L,MATCH($C454,'Policy Characteristics'!$C:$C,0))),"",INDEX('Policy Characteristics'!L:L,MATCH($C454,'Policy Characteristics'!$C:$C,0)))</f>
        <v>cogeneration-and-waste-heat-recovery.html</v>
      </c>
    </row>
    <row r="455" s="384" customFormat="1" customHeight="1" spans="1:18">
      <c r="A455" s="394" t="str">
        <f>IF(ISBLANK(INDEX('Policy Characteristics'!A:A,MATCH($C455,'Policy Characteristics'!$C:$C,0))),"",INDEX('Policy Characteristics'!A:A,MATCH($C455,'Policy Characteristics'!$C:$C,0)))</f>
        <v>Industry</v>
      </c>
      <c r="B455" s="395" t="str">
        <f>IF(ISBLANK(INDEX('Policy Characteristics'!B:B,MATCH($C455,'Policy Characteristics'!$C:$C,0))),"",INDEX('Policy Characteristics'!B:B,MATCH($C455,'Policy Characteristics'!$C:$C,0)))</f>
        <v>Early Retirement of Industrial Facilities</v>
      </c>
      <c r="C455" t="s">
        <v>356</v>
      </c>
      <c r="D455" s="399"/>
      <c r="E455" s="399"/>
      <c r="F455" s="399"/>
      <c r="G455" s="399"/>
      <c r="H455" s="377">
        <v>45</v>
      </c>
      <c r="I455" s="396" t="s">
        <v>648</v>
      </c>
      <c r="J455" s="397" t="str">
        <f>IF(ISBLANK(INDEX('Policy Characteristics'!D:D,MATCH($C455,'Policy Characteristics'!$C:$C,0))),"",INDEX('Policy Characteristics'!D:D,MATCH($C455,'Policy Characteristics'!$C:$C,0)))</f>
        <v>Early Retirement of Industrial Facilities</v>
      </c>
      <c r="K455" s="394" t="str">
        <f>IF(ISBLANK(INDEX('Policy Characteristics'!E:E,MATCH($C455,'Policy Characteristics'!$C:$C,0))),"",INDEX('Policy Characteristics'!E:E,MATCH($C455,'Policy Characteristics'!$C:$C,0)))</f>
        <v>indst early retirement</v>
      </c>
      <c r="L455" s="398">
        <f>IF(ISBLANK(INDEX('Policy Characteristics'!F:F,MATCH($C455,'Policy Characteristics'!$C:$C,0))),"",INDEX('Policy Characteristics'!F:F,MATCH($C455,'Policy Characteristics'!$C:$C,0)))</f>
        <v>0</v>
      </c>
      <c r="M455" s="398">
        <f>IF(ISBLANK(INDEX('Policy Characteristics'!G:G,MATCH($C455,'Policy Characteristics'!$C:$C,0))),"",INDEX('Policy Characteristics'!G:G,MATCH($C455,'Policy Characteristics'!$C:$C,0)))</f>
        <v>1</v>
      </c>
      <c r="N455" s="398">
        <f>IF(ISBLANK(INDEX('Policy Characteristics'!H:H,MATCH($C455,'Policy Characteristics'!$C:$C,0))),"",INDEX('Policy Characteristics'!H:H,MATCH($C455,'Policy Characteristics'!$C:$C,0)))</f>
        <v>0.01</v>
      </c>
      <c r="O455" s="394" t="str">
        <f>IF(ISBLANK(INDEX('Policy Characteristics'!I:I,MATCH($C455,'Policy Characteristics'!$C:$C,0))),"",INDEX('Policy Characteristics'!I:I,MATCH($C455,'Policy Characteristics'!$C:$C,0)))</f>
        <v>% of potential achieved</v>
      </c>
      <c r="P455" s="394" t="str">
        <f>IF(ISBLANK(INDEX('Policy Characteristics'!J:J,MATCH($C455,'Policy Characteristics'!$C:$C,0))),"",INDEX('Policy Characteristics'!J:J,MATCH($C455,'Policy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In Inner Mongolia, if this policy is fully implemented, fuel use in the 6 high energy-consuming industriesis will reduced between 1% and 11% in 2025.</v>
      </c>
      <c r="Q455" s="394" t="str">
        <f>IF(ISBLANK(INDEX('Policy Characteristics'!K:K,MATCH($C455,'Policy Characteristics'!$C:$C,0))),"",INDEX('Policy Characteristics'!K:K,MATCH($C455,'Policy Characteristics'!$C:$C,0)))</f>
        <v>industry-ag-main.html#early-ret</v>
      </c>
      <c r="R455" s="394" t="str">
        <f>IF(ISBLANK(INDEX('Policy Characteristics'!L:L,MATCH($C455,'Policy Characteristics'!$C:$C,0))),"",INDEX('Policy Characteristics'!L:L,MATCH($C455,'Policy Characteristics'!$C:$C,0)))</f>
        <v>early-retirement-of-industrial-facilities.html</v>
      </c>
    </row>
    <row r="456" customHeight="1" spans="1:18">
      <c r="A456" s="394" t="str">
        <f>IF(ISBLANK(INDEX('Policy Characteristics'!A:A,MATCH($C456,'Policy Characteristics'!$C:$C,0))),"",INDEX('Policy Characteristics'!A:A,MATCH($C456,'Policy Characteristics'!$C:$C,0)))</f>
        <v>Industry</v>
      </c>
      <c r="B456" s="395" t="str">
        <f>IF(ISBLANK(INDEX('Policy Characteristics'!B:B,MATCH($C456,'Policy Characteristics'!$C:$C,0))),"",INDEX('Policy Characteristics'!B:B,MATCH($C456,'Policy Characteristics'!$C:$C,0)))</f>
        <v>Electrification + Hydrogen (Med &amp; High Temp)</v>
      </c>
      <c r="C456" t="s">
        <v>375</v>
      </c>
      <c r="D456" s="399" t="s">
        <v>738</v>
      </c>
      <c r="E456" s="399" t="s">
        <v>792</v>
      </c>
      <c r="F456" t="s">
        <v>739</v>
      </c>
      <c r="G456" s="399" t="s">
        <v>793</v>
      </c>
      <c r="H456" s="377">
        <v>1208</v>
      </c>
      <c r="I456" s="396" t="s">
        <v>648</v>
      </c>
      <c r="J456" s="397" t="str">
        <f>IF(ISBLANK(INDEX('Policy Characteristics'!D:D,MATCH($C456,'Policy Characteristics'!$C:$C,0))),"",INDEX('Policy Characteristics'!D:D,MATCH($C456,'Policy Characteristics'!$C:$C,0)))</f>
        <v>Electrification + Hydrogen</v>
      </c>
      <c r="K456" s="394" t="str">
        <f>IF(ISBLANK(INDEX('Policy Characteristics'!E:E,MATCH($C456,'Policy Characteristics'!$C:$C,0))),"",INDEX('Policy Characteristics'!E:E,MATCH($C456,'Policy Characteristics'!$C:$C,0)))</f>
        <v>indst med and high temp fuel type shifting</v>
      </c>
      <c r="L456" s="398">
        <f>IF(ISBLANK(INDEX('Policy Characteristics'!F:F,MATCH($C456,'Policy Characteristics'!$C:$C,0))),"",INDEX('Policy Characteristics'!F:F,MATCH($C456,'Policy Characteristics'!$C:$C,0)))</f>
        <v>0</v>
      </c>
      <c r="M456" s="398">
        <f>IF(ISBLANK(INDEX('Policy Characteristics'!G:G,MATCH($C456,'Policy Characteristics'!$C:$C,0))),"",INDEX('Policy Characteristics'!G:G,MATCH($C456,'Policy Characteristics'!$C:$C,0)))</f>
        <v>1</v>
      </c>
      <c r="N456" s="398">
        <f>IF(ISBLANK(INDEX('Policy Characteristics'!H:H,MATCH($C456,'Policy Characteristics'!$C:$C,0))),"",INDEX('Policy Characteristics'!H:H,MATCH($C456,'Policy Characteristics'!$C:$C,0)))</f>
        <v>0.01</v>
      </c>
      <c r="O456" s="394" t="str">
        <f>IF(ISBLANK(INDEX('Policy Characteristics'!I:I,MATCH($C456,'Policy Characteristics'!$C:$C,0))),"",INDEX('Policy Characteristics'!I:I,MATCH($C456,'Policy Characteristics'!$C:$C,0)))</f>
        <v>% of fuel shifted</v>
      </c>
      <c r="P456" s="394" t="str">
        <f>IF(ISBLANK(INDEX('Policy Characteristics'!J:J,MATCH($C456,'Policy Characteristics'!$C:$C,0))),"",INDEX('Policy Characteristics'!J:J,MATCH($C456,'Policy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6" s="394" t="str">
        <f>IF(ISBLANK(INDEX('Policy Characteristics'!K:K,MATCH($C456,'Policy Characteristics'!$C:$C,0))),"",INDEX('Policy Characteristics'!K:K,MATCH($C456,'Policy Characteristics'!$C:$C,0)))</f>
        <v>industry-ag-main.html#fuel-switching</v>
      </c>
      <c r="R456" s="394" t="str">
        <f>IF(ISBLANK(INDEX('Policy Characteristics'!L:L,MATCH($C456,'Policy Characteristics'!$C:$C,0))),"",INDEX('Policy Characteristics'!L:L,MATCH($C456,'Policy Characteristics'!$C:$C,0)))</f>
        <v>industry-elec-and-hydrogen.html</v>
      </c>
    </row>
    <row r="457" customHeight="1" spans="1:18">
      <c r="A457" s="394" t="str">
        <f>IF(ISBLANK(INDEX('Policy Characteristics'!A:A,MATCH($C457,'Policy Characteristics'!$C:$C,0))),"",INDEX('Policy Characteristics'!A:A,MATCH($C457,'Policy Characteristics'!$C:$C,0)))</f>
        <v>Industry</v>
      </c>
      <c r="B457" s="395" t="str">
        <f>IF(ISBLANK(INDEX('Policy Characteristics'!B:B,MATCH($C457,'Policy Characteristics'!$C:$C,0))),"",INDEX('Policy Characteristics'!B:B,MATCH($C457,'Policy Characteristics'!$C:$C,0)))</f>
        <v>Electrification + Hydrogen (Med &amp; High Temp)</v>
      </c>
      <c r="C457" s="394" t="str">
        <f t="shared" ref="C457:C488" si="30">C$456</f>
        <v>Fraction of Med and High Temp Industrial Heat Shifted to Other Fuels</v>
      </c>
      <c r="D457" s="399" t="s">
        <v>738</v>
      </c>
      <c r="E457" s="399" t="s">
        <v>794</v>
      </c>
      <c r="F457" t="s">
        <v>739</v>
      </c>
      <c r="G457" s="399" t="s">
        <v>795</v>
      </c>
      <c r="H457" s="377">
        <v>1209</v>
      </c>
      <c r="I457" s="396" t="s">
        <v>658</v>
      </c>
      <c r="J457" s="397" t="str">
        <f>IF(ISBLANK(INDEX('Policy Characteristics'!D:D,MATCH($C457,'Policy Characteristics'!$C:$C,0))),"",INDEX('Policy Characteristics'!D:D,MATCH($C457,'Policy Characteristics'!$C:$C,0)))</f>
        <v>Electrification + Hydrogen</v>
      </c>
      <c r="K457" s="394" t="str">
        <f>IF(ISBLANK(INDEX('Policy Characteristics'!E:E,MATCH($C457,'Policy Characteristics'!$C:$C,0))),"",INDEX('Policy Characteristics'!E:E,MATCH($C457,'Policy Characteristics'!$C:$C,0)))</f>
        <v>indst med and high temp fuel type shifting</v>
      </c>
      <c r="L457" s="398">
        <f>IF(ISBLANK(INDEX('Policy Characteristics'!F:F,MATCH($C457,'Policy Characteristics'!$C:$C,0))),"",INDEX('Policy Characteristics'!F:F,MATCH($C457,'Policy Characteristics'!$C:$C,0)))</f>
        <v>0</v>
      </c>
      <c r="M457" s="398">
        <f>IF(ISBLANK(INDEX('Policy Characteristics'!G:G,MATCH($C457,'Policy Characteristics'!$C:$C,0))),"",INDEX('Policy Characteristics'!G:G,MATCH($C457,'Policy Characteristics'!$C:$C,0)))</f>
        <v>1</v>
      </c>
      <c r="N457" s="398">
        <f>IF(ISBLANK(INDEX('Policy Characteristics'!H:H,MATCH($C457,'Policy Characteristics'!$C:$C,0))),"",INDEX('Policy Characteristics'!H:H,MATCH($C457,'Policy Characteristics'!$C:$C,0)))</f>
        <v>0.01</v>
      </c>
      <c r="O457" s="394" t="str">
        <f>IF(ISBLANK(INDEX('Policy Characteristics'!I:I,MATCH($C457,'Policy Characteristics'!$C:$C,0))),"",INDEX('Policy Characteristics'!I:I,MATCH($C457,'Policy Characteristics'!$C:$C,0)))</f>
        <v>% of fuel shifted</v>
      </c>
      <c r="P457" s="394" t="str">
        <f>IF(ISBLANK(INDEX('Policy Characteristics'!J:J,MATCH($C457,'Policy Characteristics'!$C:$C,0))),"",INDEX('Policy Characteristics'!J:J,MATCH($C457,'Policy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7" s="394" t="str">
        <f>IF(ISBLANK(INDEX('Policy Characteristics'!K:K,MATCH($C457,'Policy Characteristics'!$C:$C,0))),"",INDEX('Policy Characteristics'!K:K,MATCH($C457,'Policy Characteristics'!$C:$C,0)))</f>
        <v>industry-ag-main.html#fuel-switching</v>
      </c>
      <c r="R457" s="394" t="str">
        <f>IF(ISBLANK(INDEX('Policy Characteristics'!L:L,MATCH($C457,'Policy Characteristics'!$C:$C,0))),"",INDEX('Policy Characteristics'!L:L,MATCH($C457,'Policy Characteristics'!$C:$C,0)))</f>
        <v>industry-elec-and-hydrogen.html</v>
      </c>
    </row>
    <row r="458" customHeight="1" spans="1:18">
      <c r="A458" s="394" t="str">
        <f>IF(ISBLANK(INDEX('Policy Characteristics'!A:A,MATCH($C458,'Policy Characteristics'!$C:$C,0))),"",INDEX('Policy Characteristics'!A:A,MATCH($C458,'Policy Characteristics'!$C:$C,0)))</f>
        <v>Industry</v>
      </c>
      <c r="B458" s="395" t="str">
        <f>IF(ISBLANK(INDEX('Policy Characteristics'!B:B,MATCH($C458,'Policy Characteristics'!$C:$C,0))),"",INDEX('Policy Characteristics'!B:B,MATCH($C458,'Policy Characteristics'!$C:$C,0)))</f>
        <v>Electrification + Hydrogen (Med &amp; High Temp)</v>
      </c>
      <c r="C458" s="394" t="str">
        <f t="shared" si="30"/>
        <v>Fraction of Med and High Temp Industrial Heat Shifted to Other Fuels</v>
      </c>
      <c r="D458" s="399" t="s">
        <v>738</v>
      </c>
      <c r="E458" s="399" t="s">
        <v>796</v>
      </c>
      <c r="F458" t="s">
        <v>739</v>
      </c>
      <c r="G458" s="399" t="s">
        <v>797</v>
      </c>
      <c r="H458" s="377">
        <v>1210</v>
      </c>
      <c r="I458" s="396" t="s">
        <v>658</v>
      </c>
      <c r="J458" s="397" t="str">
        <f>IF(ISBLANK(INDEX('Policy Characteristics'!D:D,MATCH($C458,'Policy Characteristics'!$C:$C,0))),"",INDEX('Policy Characteristics'!D:D,MATCH($C458,'Policy Characteristics'!$C:$C,0)))</f>
        <v>Electrification + Hydrogen</v>
      </c>
      <c r="K458" s="394" t="str">
        <f>IF(ISBLANK(INDEX('Policy Characteristics'!E:E,MATCH($C458,'Policy Characteristics'!$C:$C,0))),"",INDEX('Policy Characteristics'!E:E,MATCH($C458,'Policy Characteristics'!$C:$C,0)))</f>
        <v>indst med and high temp fuel type shifting</v>
      </c>
      <c r="L458" s="398">
        <f>IF(ISBLANK(INDEX('Policy Characteristics'!F:F,MATCH($C458,'Policy Characteristics'!$C:$C,0))),"",INDEX('Policy Characteristics'!F:F,MATCH($C458,'Policy Characteristics'!$C:$C,0)))</f>
        <v>0</v>
      </c>
      <c r="M458" s="398">
        <f>IF(ISBLANK(INDEX('Policy Characteristics'!G:G,MATCH($C458,'Policy Characteristics'!$C:$C,0))),"",INDEX('Policy Characteristics'!G:G,MATCH($C458,'Policy Characteristics'!$C:$C,0)))</f>
        <v>1</v>
      </c>
      <c r="N458" s="398">
        <f>IF(ISBLANK(INDEX('Policy Characteristics'!H:H,MATCH($C458,'Policy Characteristics'!$C:$C,0))),"",INDEX('Policy Characteristics'!H:H,MATCH($C458,'Policy Characteristics'!$C:$C,0)))</f>
        <v>0.01</v>
      </c>
      <c r="O458" s="394" t="str">
        <f>IF(ISBLANK(INDEX('Policy Characteristics'!I:I,MATCH($C458,'Policy Characteristics'!$C:$C,0))),"",INDEX('Policy Characteristics'!I:I,MATCH($C458,'Policy Characteristics'!$C:$C,0)))</f>
        <v>% of fuel shifted</v>
      </c>
      <c r="P458" s="394" t="str">
        <f>IF(ISBLANK(INDEX('Policy Characteristics'!J:J,MATCH($C458,'Policy Characteristics'!$C:$C,0))),"",INDEX('Policy Characteristics'!J:J,MATCH($C458,'Policy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8" s="394" t="str">
        <f>IF(ISBLANK(INDEX('Policy Characteristics'!K:K,MATCH($C458,'Policy Characteristics'!$C:$C,0))),"",INDEX('Policy Characteristics'!K:K,MATCH($C458,'Policy Characteristics'!$C:$C,0)))</f>
        <v>industry-ag-main.html#fuel-switching</v>
      </c>
      <c r="R458" s="394" t="str">
        <f>IF(ISBLANK(INDEX('Policy Characteristics'!L:L,MATCH($C458,'Policy Characteristics'!$C:$C,0))),"",INDEX('Policy Characteristics'!L:L,MATCH($C458,'Policy Characteristics'!$C:$C,0)))</f>
        <v>industry-elec-and-hydrogen.html</v>
      </c>
    </row>
    <row r="459" customHeight="1" spans="1:18">
      <c r="A459" s="394" t="str">
        <f>IF(ISBLANK(INDEX('Policy Characteristics'!A:A,MATCH($C459,'Policy Characteristics'!$C:$C,0))),"",INDEX('Policy Characteristics'!A:A,MATCH($C459,'Policy Characteristics'!$C:$C,0)))</f>
        <v>Industry</v>
      </c>
      <c r="B459" s="395" t="str">
        <f>IF(ISBLANK(INDEX('Policy Characteristics'!B:B,MATCH($C459,'Policy Characteristics'!$C:$C,0))),"",INDEX('Policy Characteristics'!B:B,MATCH($C459,'Policy Characteristics'!$C:$C,0)))</f>
        <v>Electrification + Hydrogen (Med &amp; High Temp)</v>
      </c>
      <c r="C459" s="394" t="str">
        <f t="shared" si="30"/>
        <v>Fraction of Med and High Temp Industrial Heat Shifted to Other Fuels</v>
      </c>
      <c r="D459" s="399" t="s">
        <v>738</v>
      </c>
      <c r="E459" s="399" t="s">
        <v>798</v>
      </c>
      <c r="F459" t="s">
        <v>739</v>
      </c>
      <c r="G459" s="399" t="s">
        <v>799</v>
      </c>
      <c r="H459" s="377">
        <v>1211</v>
      </c>
      <c r="I459" s="396" t="s">
        <v>658</v>
      </c>
      <c r="J459" s="397" t="str">
        <f>IF(ISBLANK(INDEX('Policy Characteristics'!D:D,MATCH($C459,'Policy Characteristics'!$C:$C,0))),"",INDEX('Policy Characteristics'!D:D,MATCH($C459,'Policy Characteristics'!$C:$C,0)))</f>
        <v>Electrification + Hydrogen</v>
      </c>
      <c r="K459" s="394" t="str">
        <f>IF(ISBLANK(INDEX('Policy Characteristics'!E:E,MATCH($C459,'Policy Characteristics'!$C:$C,0))),"",INDEX('Policy Characteristics'!E:E,MATCH($C459,'Policy Characteristics'!$C:$C,0)))</f>
        <v>indst med and high temp fuel type shifting</v>
      </c>
      <c r="L459" s="398">
        <f>IF(ISBLANK(INDEX('Policy Characteristics'!F:F,MATCH($C459,'Policy Characteristics'!$C:$C,0))),"",INDEX('Policy Characteristics'!F:F,MATCH($C459,'Policy Characteristics'!$C:$C,0)))</f>
        <v>0</v>
      </c>
      <c r="M459" s="398">
        <f>IF(ISBLANK(INDEX('Policy Characteristics'!G:G,MATCH($C459,'Policy Characteristics'!$C:$C,0))),"",INDEX('Policy Characteristics'!G:G,MATCH($C459,'Policy Characteristics'!$C:$C,0)))</f>
        <v>1</v>
      </c>
      <c r="N459" s="398">
        <f>IF(ISBLANK(INDEX('Policy Characteristics'!H:H,MATCH($C459,'Policy Characteristics'!$C:$C,0))),"",INDEX('Policy Characteristics'!H:H,MATCH($C459,'Policy Characteristics'!$C:$C,0)))</f>
        <v>0.01</v>
      </c>
      <c r="O459" s="394" t="str">
        <f>IF(ISBLANK(INDEX('Policy Characteristics'!I:I,MATCH($C459,'Policy Characteristics'!$C:$C,0))),"",INDEX('Policy Characteristics'!I:I,MATCH($C459,'Policy Characteristics'!$C:$C,0)))</f>
        <v>% of fuel shifted</v>
      </c>
      <c r="P459" s="394" t="str">
        <f>IF(ISBLANK(INDEX('Policy Characteristics'!J:J,MATCH($C459,'Policy Characteristics'!$C:$C,0))),"",INDEX('Policy Characteristics'!J:J,MATCH($C459,'Policy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9" s="394" t="str">
        <f>IF(ISBLANK(INDEX('Policy Characteristics'!K:K,MATCH($C459,'Policy Characteristics'!$C:$C,0))),"",INDEX('Policy Characteristics'!K:K,MATCH($C459,'Policy Characteristics'!$C:$C,0)))</f>
        <v>industry-ag-main.html#fuel-switching</v>
      </c>
      <c r="R459" s="394" t="str">
        <f>IF(ISBLANK(INDEX('Policy Characteristics'!L:L,MATCH($C459,'Policy Characteristics'!$C:$C,0))),"",INDEX('Policy Characteristics'!L:L,MATCH($C459,'Policy Characteristics'!$C:$C,0)))</f>
        <v>industry-elec-and-hydrogen.html</v>
      </c>
    </row>
    <row r="460" customHeight="1" spans="1:18">
      <c r="A460" s="394" t="str">
        <f>IF(ISBLANK(INDEX('Policy Characteristics'!A:A,MATCH($C460,'Policy Characteristics'!$C:$C,0))),"",INDEX('Policy Characteristics'!A:A,MATCH($C460,'Policy Characteristics'!$C:$C,0)))</f>
        <v>Industry</v>
      </c>
      <c r="B460" s="395" t="str">
        <f>IF(ISBLANK(INDEX('Policy Characteristics'!B:B,MATCH($C460,'Policy Characteristics'!$C:$C,0))),"",INDEX('Policy Characteristics'!B:B,MATCH($C460,'Policy Characteristics'!$C:$C,0)))</f>
        <v>Electrification + Hydrogen (Med &amp; High Temp)</v>
      </c>
      <c r="C460" s="394" t="str">
        <f t="shared" si="30"/>
        <v>Fraction of Med and High Temp Industrial Heat Shifted to Other Fuels</v>
      </c>
      <c r="D460" s="399" t="s">
        <v>738</v>
      </c>
      <c r="E460" s="399" t="s">
        <v>800</v>
      </c>
      <c r="F460" t="s">
        <v>739</v>
      </c>
      <c r="G460" s="399" t="s">
        <v>801</v>
      </c>
      <c r="H460" s="377">
        <v>1212</v>
      </c>
      <c r="I460" s="396" t="s">
        <v>658</v>
      </c>
      <c r="J460" s="397" t="str">
        <f>IF(ISBLANK(INDEX('Policy Characteristics'!D:D,MATCH($C460,'Policy Characteristics'!$C:$C,0))),"",INDEX('Policy Characteristics'!D:D,MATCH($C460,'Policy Characteristics'!$C:$C,0)))</f>
        <v>Electrification + Hydrogen</v>
      </c>
      <c r="K460" s="394" t="str">
        <f>IF(ISBLANK(INDEX('Policy Characteristics'!E:E,MATCH($C460,'Policy Characteristics'!$C:$C,0))),"",INDEX('Policy Characteristics'!E:E,MATCH($C460,'Policy Characteristics'!$C:$C,0)))</f>
        <v>indst med and high temp fuel type shifting</v>
      </c>
      <c r="L460" s="398">
        <f>IF(ISBLANK(INDEX('Policy Characteristics'!F:F,MATCH($C460,'Policy Characteristics'!$C:$C,0))),"",INDEX('Policy Characteristics'!F:F,MATCH($C460,'Policy Characteristics'!$C:$C,0)))</f>
        <v>0</v>
      </c>
      <c r="M460" s="398">
        <f>IF(ISBLANK(INDEX('Policy Characteristics'!G:G,MATCH($C460,'Policy Characteristics'!$C:$C,0))),"",INDEX('Policy Characteristics'!G:G,MATCH($C460,'Policy Characteristics'!$C:$C,0)))</f>
        <v>1</v>
      </c>
      <c r="N460" s="398">
        <f>IF(ISBLANK(INDEX('Policy Characteristics'!H:H,MATCH($C460,'Policy Characteristics'!$C:$C,0))),"",INDEX('Policy Characteristics'!H:H,MATCH($C460,'Policy Characteristics'!$C:$C,0)))</f>
        <v>0.01</v>
      </c>
      <c r="O460" s="394" t="str">
        <f>IF(ISBLANK(INDEX('Policy Characteristics'!I:I,MATCH($C460,'Policy Characteristics'!$C:$C,0))),"",INDEX('Policy Characteristics'!I:I,MATCH($C460,'Policy Characteristics'!$C:$C,0)))</f>
        <v>% of fuel shifted</v>
      </c>
      <c r="P460" s="394" t="str">
        <f>IF(ISBLANK(INDEX('Policy Characteristics'!J:J,MATCH($C460,'Policy Characteristics'!$C:$C,0))),"",INDEX('Policy Characteristics'!J:J,MATCH($C460,'Policy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0" s="394" t="str">
        <f>IF(ISBLANK(INDEX('Policy Characteristics'!K:K,MATCH($C460,'Policy Characteristics'!$C:$C,0))),"",INDEX('Policy Characteristics'!K:K,MATCH($C460,'Policy Characteristics'!$C:$C,0)))</f>
        <v>industry-ag-main.html#fuel-switching</v>
      </c>
      <c r="R460" s="394" t="str">
        <f>IF(ISBLANK(INDEX('Policy Characteristics'!L:L,MATCH($C460,'Policy Characteristics'!$C:$C,0))),"",INDEX('Policy Characteristics'!L:L,MATCH($C460,'Policy Characteristics'!$C:$C,0)))</f>
        <v>industry-elec-and-hydrogen.html</v>
      </c>
    </row>
    <row r="461" customHeight="1" spans="1:18">
      <c r="A461" s="394" t="str">
        <f>IF(ISBLANK(INDEX('Policy Characteristics'!A:A,MATCH($C461,'Policy Characteristics'!$C:$C,0))),"",INDEX('Policy Characteristics'!A:A,MATCH($C461,'Policy Characteristics'!$C:$C,0)))</f>
        <v>Industry</v>
      </c>
      <c r="B461" s="395" t="str">
        <f>IF(ISBLANK(INDEX('Policy Characteristics'!B:B,MATCH($C461,'Policy Characteristics'!$C:$C,0))),"",INDEX('Policy Characteristics'!B:B,MATCH($C461,'Policy Characteristics'!$C:$C,0)))</f>
        <v>Electrification + Hydrogen (Med &amp; High Temp)</v>
      </c>
      <c r="C461" s="394" t="str">
        <f t="shared" si="30"/>
        <v>Fraction of Med and High Temp Industrial Heat Shifted to Other Fuels</v>
      </c>
      <c r="D461" s="399" t="s">
        <v>738</v>
      </c>
      <c r="E461" s="399" t="s">
        <v>802</v>
      </c>
      <c r="F461" t="s">
        <v>739</v>
      </c>
      <c r="G461" s="399" t="s">
        <v>803</v>
      </c>
      <c r="H461" s="377">
        <v>1213</v>
      </c>
      <c r="I461" s="396" t="s">
        <v>658</v>
      </c>
      <c r="J461" s="397" t="str">
        <f>IF(ISBLANK(INDEX('Policy Characteristics'!D:D,MATCH($C461,'Policy Characteristics'!$C:$C,0))),"",INDEX('Policy Characteristics'!D:D,MATCH($C461,'Policy Characteristics'!$C:$C,0)))</f>
        <v>Electrification + Hydrogen</v>
      </c>
      <c r="K461" s="394" t="str">
        <f>IF(ISBLANK(INDEX('Policy Characteristics'!E:E,MATCH($C461,'Policy Characteristics'!$C:$C,0))),"",INDEX('Policy Characteristics'!E:E,MATCH($C461,'Policy Characteristics'!$C:$C,0)))</f>
        <v>indst med and high temp fuel type shifting</v>
      </c>
      <c r="L461" s="398">
        <f>IF(ISBLANK(INDEX('Policy Characteristics'!F:F,MATCH($C461,'Policy Characteristics'!$C:$C,0))),"",INDEX('Policy Characteristics'!F:F,MATCH($C461,'Policy Characteristics'!$C:$C,0)))</f>
        <v>0</v>
      </c>
      <c r="M461" s="398">
        <f>IF(ISBLANK(INDEX('Policy Characteristics'!G:G,MATCH($C461,'Policy Characteristics'!$C:$C,0))),"",INDEX('Policy Characteristics'!G:G,MATCH($C461,'Policy Characteristics'!$C:$C,0)))</f>
        <v>1</v>
      </c>
      <c r="N461" s="398">
        <f>IF(ISBLANK(INDEX('Policy Characteristics'!H:H,MATCH($C461,'Policy Characteristics'!$C:$C,0))),"",INDEX('Policy Characteristics'!H:H,MATCH($C461,'Policy Characteristics'!$C:$C,0)))</f>
        <v>0.01</v>
      </c>
      <c r="O461" s="394" t="str">
        <f>IF(ISBLANK(INDEX('Policy Characteristics'!I:I,MATCH($C461,'Policy Characteristics'!$C:$C,0))),"",INDEX('Policy Characteristics'!I:I,MATCH($C461,'Policy Characteristics'!$C:$C,0)))</f>
        <v>% of fuel shifted</v>
      </c>
      <c r="P461" s="394" t="str">
        <f>IF(ISBLANK(INDEX('Policy Characteristics'!J:J,MATCH($C461,'Policy Characteristics'!$C:$C,0))),"",INDEX('Policy Characteristics'!J:J,MATCH($C461,'Policy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1" s="394" t="str">
        <f>IF(ISBLANK(INDEX('Policy Characteristics'!K:K,MATCH($C461,'Policy Characteristics'!$C:$C,0))),"",INDEX('Policy Characteristics'!K:K,MATCH($C461,'Policy Characteristics'!$C:$C,0)))</f>
        <v>industry-ag-main.html#fuel-switching</v>
      </c>
      <c r="R461" s="394" t="str">
        <f>IF(ISBLANK(INDEX('Policy Characteristics'!L:L,MATCH($C461,'Policy Characteristics'!$C:$C,0))),"",INDEX('Policy Characteristics'!L:L,MATCH($C461,'Policy Characteristics'!$C:$C,0)))</f>
        <v>industry-elec-and-hydrogen.html</v>
      </c>
    </row>
    <row r="462" customHeight="1" spans="1:18">
      <c r="A462" s="394" t="str">
        <f>IF(ISBLANK(INDEX('Policy Characteristics'!A:A,MATCH($C462,'Policy Characteristics'!$C:$C,0))),"",INDEX('Policy Characteristics'!A:A,MATCH($C462,'Policy Characteristics'!$C:$C,0)))</f>
        <v>Industry</v>
      </c>
      <c r="B462" s="395" t="str">
        <f>IF(ISBLANK(INDEX('Policy Characteristics'!B:B,MATCH($C462,'Policy Characteristics'!$C:$C,0))),"",INDEX('Policy Characteristics'!B:B,MATCH($C462,'Policy Characteristics'!$C:$C,0)))</f>
        <v>Electrification + Hydrogen (Med &amp; High Temp)</v>
      </c>
      <c r="C462" s="394" t="str">
        <f t="shared" si="30"/>
        <v>Fraction of Med and High Temp Industrial Heat Shifted to Other Fuels</v>
      </c>
      <c r="D462" s="399" t="s">
        <v>738</v>
      </c>
      <c r="E462" s="399" t="s">
        <v>804</v>
      </c>
      <c r="F462" t="s">
        <v>739</v>
      </c>
      <c r="G462" s="399" t="s">
        <v>805</v>
      </c>
      <c r="H462" s="377">
        <v>1214</v>
      </c>
      <c r="I462" s="396" t="s">
        <v>658</v>
      </c>
      <c r="J462" s="397" t="str">
        <f>IF(ISBLANK(INDEX('Policy Characteristics'!D:D,MATCH($C462,'Policy Characteristics'!$C:$C,0))),"",INDEX('Policy Characteristics'!D:D,MATCH($C462,'Policy Characteristics'!$C:$C,0)))</f>
        <v>Electrification + Hydrogen</v>
      </c>
      <c r="K462" s="394" t="str">
        <f>IF(ISBLANK(INDEX('Policy Characteristics'!E:E,MATCH($C462,'Policy Characteristics'!$C:$C,0))),"",INDEX('Policy Characteristics'!E:E,MATCH($C462,'Policy Characteristics'!$C:$C,0)))</f>
        <v>indst med and high temp fuel type shifting</v>
      </c>
      <c r="L462" s="398">
        <f>IF(ISBLANK(INDEX('Policy Characteristics'!F:F,MATCH($C462,'Policy Characteristics'!$C:$C,0))),"",INDEX('Policy Characteristics'!F:F,MATCH($C462,'Policy Characteristics'!$C:$C,0)))</f>
        <v>0</v>
      </c>
      <c r="M462" s="398">
        <f>IF(ISBLANK(INDEX('Policy Characteristics'!G:G,MATCH($C462,'Policy Characteristics'!$C:$C,0))),"",INDEX('Policy Characteristics'!G:G,MATCH($C462,'Policy Characteristics'!$C:$C,0)))</f>
        <v>1</v>
      </c>
      <c r="N462" s="398">
        <f>IF(ISBLANK(INDEX('Policy Characteristics'!H:H,MATCH($C462,'Policy Characteristics'!$C:$C,0))),"",INDEX('Policy Characteristics'!H:H,MATCH($C462,'Policy Characteristics'!$C:$C,0)))</f>
        <v>0.01</v>
      </c>
      <c r="O462" s="394" t="str">
        <f>IF(ISBLANK(INDEX('Policy Characteristics'!I:I,MATCH($C462,'Policy Characteristics'!$C:$C,0))),"",INDEX('Policy Characteristics'!I:I,MATCH($C462,'Policy Characteristics'!$C:$C,0)))</f>
        <v>% of fuel shifted</v>
      </c>
      <c r="P462" s="394" t="str">
        <f>IF(ISBLANK(INDEX('Policy Characteristics'!J:J,MATCH($C462,'Policy Characteristics'!$C:$C,0))),"",INDEX('Policy Characteristics'!J:J,MATCH($C462,'Policy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2" s="394" t="str">
        <f>IF(ISBLANK(INDEX('Policy Characteristics'!K:K,MATCH($C462,'Policy Characteristics'!$C:$C,0))),"",INDEX('Policy Characteristics'!K:K,MATCH($C462,'Policy Characteristics'!$C:$C,0)))</f>
        <v>industry-ag-main.html#fuel-switching</v>
      </c>
      <c r="R462" s="394" t="str">
        <f>IF(ISBLANK(INDEX('Policy Characteristics'!L:L,MATCH($C462,'Policy Characteristics'!$C:$C,0))),"",INDEX('Policy Characteristics'!L:L,MATCH($C462,'Policy Characteristics'!$C:$C,0)))</f>
        <v>industry-elec-and-hydrogen.html</v>
      </c>
    </row>
    <row r="463" customHeight="1" spans="1:18">
      <c r="A463" s="394" t="str">
        <f>IF(ISBLANK(INDEX('Policy Characteristics'!A:A,MATCH($C463,'Policy Characteristics'!$C:$C,0))),"",INDEX('Policy Characteristics'!A:A,MATCH($C463,'Policy Characteristics'!$C:$C,0)))</f>
        <v>Industry</v>
      </c>
      <c r="B463" s="395" t="str">
        <f>IF(ISBLANK(INDEX('Policy Characteristics'!B:B,MATCH($C463,'Policy Characteristics'!$C:$C,0))),"",INDEX('Policy Characteristics'!B:B,MATCH($C463,'Policy Characteristics'!$C:$C,0)))</f>
        <v>Electrification + Hydrogen (Med &amp; High Temp)</v>
      </c>
      <c r="C463" s="394" t="str">
        <f t="shared" si="30"/>
        <v>Fraction of Med and High Temp Industrial Heat Shifted to Other Fuels</v>
      </c>
      <c r="D463" s="399" t="s">
        <v>738</v>
      </c>
      <c r="E463" s="399" t="s">
        <v>806</v>
      </c>
      <c r="F463" t="s">
        <v>739</v>
      </c>
      <c r="G463" s="399" t="s">
        <v>807</v>
      </c>
      <c r="H463" s="377">
        <v>1215</v>
      </c>
      <c r="I463" s="396" t="s">
        <v>658</v>
      </c>
      <c r="J463" s="397" t="str">
        <f>IF(ISBLANK(INDEX('Policy Characteristics'!D:D,MATCH($C463,'Policy Characteristics'!$C:$C,0))),"",INDEX('Policy Characteristics'!D:D,MATCH($C463,'Policy Characteristics'!$C:$C,0)))</f>
        <v>Electrification + Hydrogen</v>
      </c>
      <c r="K463" s="394" t="str">
        <f>IF(ISBLANK(INDEX('Policy Characteristics'!E:E,MATCH($C463,'Policy Characteristics'!$C:$C,0))),"",INDEX('Policy Characteristics'!E:E,MATCH($C463,'Policy Characteristics'!$C:$C,0)))</f>
        <v>indst med and high temp fuel type shifting</v>
      </c>
      <c r="L463" s="398">
        <f>IF(ISBLANK(INDEX('Policy Characteristics'!F:F,MATCH($C463,'Policy Characteristics'!$C:$C,0))),"",INDEX('Policy Characteristics'!F:F,MATCH($C463,'Policy Characteristics'!$C:$C,0)))</f>
        <v>0</v>
      </c>
      <c r="M463" s="398">
        <f>IF(ISBLANK(INDEX('Policy Characteristics'!G:G,MATCH($C463,'Policy Characteristics'!$C:$C,0))),"",INDEX('Policy Characteristics'!G:G,MATCH($C463,'Policy Characteristics'!$C:$C,0)))</f>
        <v>1</v>
      </c>
      <c r="N463" s="398">
        <f>IF(ISBLANK(INDEX('Policy Characteristics'!H:H,MATCH($C463,'Policy Characteristics'!$C:$C,0))),"",INDEX('Policy Characteristics'!H:H,MATCH($C463,'Policy Characteristics'!$C:$C,0)))</f>
        <v>0.01</v>
      </c>
      <c r="O463" s="394" t="str">
        <f>IF(ISBLANK(INDEX('Policy Characteristics'!I:I,MATCH($C463,'Policy Characteristics'!$C:$C,0))),"",INDEX('Policy Characteristics'!I:I,MATCH($C463,'Policy Characteristics'!$C:$C,0)))</f>
        <v>% of fuel shifted</v>
      </c>
      <c r="P463" s="394" t="str">
        <f>IF(ISBLANK(INDEX('Policy Characteristics'!J:J,MATCH($C463,'Policy Characteristics'!$C:$C,0))),"",INDEX('Policy Characteristics'!J:J,MATCH($C463,'Policy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3" s="394" t="str">
        <f>IF(ISBLANK(INDEX('Policy Characteristics'!K:K,MATCH($C463,'Policy Characteristics'!$C:$C,0))),"",INDEX('Policy Characteristics'!K:K,MATCH($C463,'Policy Characteristics'!$C:$C,0)))</f>
        <v>industry-ag-main.html#fuel-switching</v>
      </c>
      <c r="R463" s="394" t="str">
        <f>IF(ISBLANK(INDEX('Policy Characteristics'!L:L,MATCH($C463,'Policy Characteristics'!$C:$C,0))),"",INDEX('Policy Characteristics'!L:L,MATCH($C463,'Policy Characteristics'!$C:$C,0)))</f>
        <v>industry-elec-and-hydrogen.html</v>
      </c>
    </row>
    <row r="464" customHeight="1" spans="1:18">
      <c r="A464" s="394" t="str">
        <f>IF(ISBLANK(INDEX('Policy Characteristics'!A:A,MATCH($C464,'Policy Characteristics'!$C:$C,0))),"",INDEX('Policy Characteristics'!A:A,MATCH($C464,'Policy Characteristics'!$C:$C,0)))</f>
        <v>Industry</v>
      </c>
      <c r="B464" s="395" t="str">
        <f>IF(ISBLANK(INDEX('Policy Characteristics'!B:B,MATCH($C464,'Policy Characteristics'!$C:$C,0))),"",INDEX('Policy Characteristics'!B:B,MATCH($C464,'Policy Characteristics'!$C:$C,0)))</f>
        <v>Electrification + Hydrogen (Med &amp; High Temp)</v>
      </c>
      <c r="C464" s="394" t="str">
        <f t="shared" si="30"/>
        <v>Fraction of Med and High Temp Industrial Heat Shifted to Other Fuels</v>
      </c>
      <c r="D464" s="399" t="s">
        <v>738</v>
      </c>
      <c r="E464" s="399" t="s">
        <v>808</v>
      </c>
      <c r="F464" t="s">
        <v>739</v>
      </c>
      <c r="G464" s="399" t="s">
        <v>809</v>
      </c>
      <c r="H464" s="377">
        <v>1216</v>
      </c>
      <c r="I464" s="396" t="s">
        <v>658</v>
      </c>
      <c r="J464" s="397" t="str">
        <f>IF(ISBLANK(INDEX('Policy Characteristics'!D:D,MATCH($C464,'Policy Characteristics'!$C:$C,0))),"",INDEX('Policy Characteristics'!D:D,MATCH($C464,'Policy Characteristics'!$C:$C,0)))</f>
        <v>Electrification + Hydrogen</v>
      </c>
      <c r="K464" s="394" t="str">
        <f>IF(ISBLANK(INDEX('Policy Characteristics'!E:E,MATCH($C464,'Policy Characteristics'!$C:$C,0))),"",INDEX('Policy Characteristics'!E:E,MATCH($C464,'Policy Characteristics'!$C:$C,0)))</f>
        <v>indst med and high temp fuel type shifting</v>
      </c>
      <c r="L464" s="398">
        <f>IF(ISBLANK(INDEX('Policy Characteristics'!F:F,MATCH($C464,'Policy Characteristics'!$C:$C,0))),"",INDEX('Policy Characteristics'!F:F,MATCH($C464,'Policy Characteristics'!$C:$C,0)))</f>
        <v>0</v>
      </c>
      <c r="M464" s="398">
        <f>IF(ISBLANK(INDEX('Policy Characteristics'!G:G,MATCH($C464,'Policy Characteristics'!$C:$C,0))),"",INDEX('Policy Characteristics'!G:G,MATCH($C464,'Policy Characteristics'!$C:$C,0)))</f>
        <v>1</v>
      </c>
      <c r="N464" s="398">
        <f>IF(ISBLANK(INDEX('Policy Characteristics'!H:H,MATCH($C464,'Policy Characteristics'!$C:$C,0))),"",INDEX('Policy Characteristics'!H:H,MATCH($C464,'Policy Characteristics'!$C:$C,0)))</f>
        <v>0.01</v>
      </c>
      <c r="O464" s="394" t="str">
        <f>IF(ISBLANK(INDEX('Policy Characteristics'!I:I,MATCH($C464,'Policy Characteristics'!$C:$C,0))),"",INDEX('Policy Characteristics'!I:I,MATCH($C464,'Policy Characteristics'!$C:$C,0)))</f>
        <v>% of fuel shifted</v>
      </c>
      <c r="P464" s="394" t="str">
        <f>IF(ISBLANK(INDEX('Policy Characteristics'!J:J,MATCH($C464,'Policy Characteristics'!$C:$C,0))),"",INDEX('Policy Characteristics'!J:J,MATCH($C464,'Policy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4" s="394" t="str">
        <f>IF(ISBLANK(INDEX('Policy Characteristics'!K:K,MATCH($C464,'Policy Characteristics'!$C:$C,0))),"",INDEX('Policy Characteristics'!K:K,MATCH($C464,'Policy Characteristics'!$C:$C,0)))</f>
        <v>industry-ag-main.html#fuel-switching</v>
      </c>
      <c r="R464" s="394" t="str">
        <f>IF(ISBLANK(INDEX('Policy Characteristics'!L:L,MATCH($C464,'Policy Characteristics'!$C:$C,0))),"",INDEX('Policy Characteristics'!L:L,MATCH($C464,'Policy Characteristics'!$C:$C,0)))</f>
        <v>industry-elec-and-hydrogen.html</v>
      </c>
    </row>
    <row r="465" customHeight="1" spans="1:18">
      <c r="A465" s="394" t="str">
        <f>IF(ISBLANK(INDEX('Policy Characteristics'!A:A,MATCH($C465,'Policy Characteristics'!$C:$C,0))),"",INDEX('Policy Characteristics'!A:A,MATCH($C465,'Policy Characteristics'!$C:$C,0)))</f>
        <v>Industry</v>
      </c>
      <c r="B465" s="395" t="str">
        <f>IF(ISBLANK(INDEX('Policy Characteristics'!B:B,MATCH($C465,'Policy Characteristics'!$C:$C,0))),"",INDEX('Policy Characteristics'!B:B,MATCH($C465,'Policy Characteristics'!$C:$C,0)))</f>
        <v>Electrification + Hydrogen (Med &amp; High Temp)</v>
      </c>
      <c r="C465" s="394" t="str">
        <f t="shared" si="30"/>
        <v>Fraction of Med and High Temp Industrial Heat Shifted to Other Fuels</v>
      </c>
      <c r="D465" s="399" t="s">
        <v>738</v>
      </c>
      <c r="E465" s="399" t="s">
        <v>810</v>
      </c>
      <c r="F465" t="s">
        <v>739</v>
      </c>
      <c r="G465" s="399" t="s">
        <v>811</v>
      </c>
      <c r="H465" s="377">
        <v>1217</v>
      </c>
      <c r="I465" s="396" t="s">
        <v>648</v>
      </c>
      <c r="J465" s="397" t="str">
        <f>IF(ISBLANK(INDEX('Policy Characteristics'!D:D,MATCH($C465,'Policy Characteristics'!$C:$C,0))),"",INDEX('Policy Characteristics'!D:D,MATCH($C465,'Policy Characteristics'!$C:$C,0)))</f>
        <v>Electrification + Hydrogen</v>
      </c>
      <c r="K465" s="394" t="str">
        <f>IF(ISBLANK(INDEX('Policy Characteristics'!E:E,MATCH($C465,'Policy Characteristics'!$C:$C,0))),"",INDEX('Policy Characteristics'!E:E,MATCH($C465,'Policy Characteristics'!$C:$C,0)))</f>
        <v>indst med and high temp fuel type shifting</v>
      </c>
      <c r="L465" s="398">
        <f>IF(ISBLANK(INDEX('Policy Characteristics'!F:F,MATCH($C465,'Policy Characteristics'!$C:$C,0))),"",INDEX('Policy Characteristics'!F:F,MATCH($C465,'Policy Characteristics'!$C:$C,0)))</f>
        <v>0</v>
      </c>
      <c r="M465" s="398">
        <f>IF(ISBLANK(INDEX('Policy Characteristics'!G:G,MATCH($C465,'Policy Characteristics'!$C:$C,0))),"",INDEX('Policy Characteristics'!G:G,MATCH($C465,'Policy Characteristics'!$C:$C,0)))</f>
        <v>1</v>
      </c>
      <c r="N465" s="398">
        <f>IF(ISBLANK(INDEX('Policy Characteristics'!H:H,MATCH($C465,'Policy Characteristics'!$C:$C,0))),"",INDEX('Policy Characteristics'!H:H,MATCH($C465,'Policy Characteristics'!$C:$C,0)))</f>
        <v>0.01</v>
      </c>
      <c r="O465" s="394" t="str">
        <f>IF(ISBLANK(INDEX('Policy Characteristics'!I:I,MATCH($C465,'Policy Characteristics'!$C:$C,0))),"",INDEX('Policy Characteristics'!I:I,MATCH($C465,'Policy Characteristics'!$C:$C,0)))</f>
        <v>% of fuel shifted</v>
      </c>
      <c r="P465" s="394" t="str">
        <f>IF(ISBLANK(INDEX('Policy Characteristics'!J:J,MATCH($C465,'Policy Characteristics'!$C:$C,0))),"",INDEX('Policy Characteristics'!J:J,MATCH($C465,'Policy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5" s="394" t="str">
        <f>IF(ISBLANK(INDEX('Policy Characteristics'!K:K,MATCH($C465,'Policy Characteristics'!$C:$C,0))),"",INDEX('Policy Characteristics'!K:K,MATCH($C465,'Policy Characteristics'!$C:$C,0)))</f>
        <v>industry-ag-main.html#fuel-switching</v>
      </c>
      <c r="R465" s="394" t="str">
        <f>IF(ISBLANK(INDEX('Policy Characteristics'!L:L,MATCH($C465,'Policy Characteristics'!$C:$C,0))),"",INDEX('Policy Characteristics'!L:L,MATCH($C465,'Policy Characteristics'!$C:$C,0)))</f>
        <v>industry-elec-and-hydrogen.html</v>
      </c>
    </row>
    <row r="466" customHeight="1" spans="1:18">
      <c r="A466" s="394" t="str">
        <f>IF(ISBLANK(INDEX('Policy Characteristics'!A:A,MATCH($C466,'Policy Characteristics'!$C:$C,0))),"",INDEX('Policy Characteristics'!A:A,MATCH($C466,'Policy Characteristics'!$C:$C,0)))</f>
        <v>Industry</v>
      </c>
      <c r="B466" s="395" t="str">
        <f>IF(ISBLANK(INDEX('Policy Characteristics'!B:B,MATCH($C466,'Policy Characteristics'!$C:$C,0))),"",INDEX('Policy Characteristics'!B:B,MATCH($C466,'Policy Characteristics'!$C:$C,0)))</f>
        <v>Electrification + Hydrogen (Med &amp; High Temp)</v>
      </c>
      <c r="C466" s="394" t="str">
        <f t="shared" si="30"/>
        <v>Fraction of Med and High Temp Industrial Heat Shifted to Other Fuels</v>
      </c>
      <c r="D466" s="399" t="s">
        <v>740</v>
      </c>
      <c r="E466" s="399" t="s">
        <v>792</v>
      </c>
      <c r="F466" t="s">
        <v>741</v>
      </c>
      <c r="G466" s="399" t="s">
        <v>793</v>
      </c>
      <c r="H466" s="377">
        <v>1218</v>
      </c>
      <c r="I466" s="396" t="s">
        <v>648</v>
      </c>
      <c r="J466" s="397" t="str">
        <f>IF(ISBLANK(INDEX('Policy Characteristics'!D:D,MATCH($C466,'Policy Characteristics'!$C:$C,0))),"",INDEX('Policy Characteristics'!D:D,MATCH($C466,'Policy Characteristics'!$C:$C,0)))</f>
        <v>Electrification + Hydrogen</v>
      </c>
      <c r="K466" s="394" t="str">
        <f>IF(ISBLANK(INDEX('Policy Characteristics'!E:E,MATCH($C466,'Policy Characteristics'!$C:$C,0))),"",INDEX('Policy Characteristics'!E:E,MATCH($C466,'Policy Characteristics'!$C:$C,0)))</f>
        <v>indst med and high temp fuel type shifting</v>
      </c>
      <c r="L466" s="398">
        <f>IF(ISBLANK(INDEX('Policy Characteristics'!F:F,MATCH($C466,'Policy Characteristics'!$C:$C,0))),"",INDEX('Policy Characteristics'!F:F,MATCH($C466,'Policy Characteristics'!$C:$C,0)))</f>
        <v>0</v>
      </c>
      <c r="M466" s="398">
        <f>IF(ISBLANK(INDEX('Policy Characteristics'!G:G,MATCH($C466,'Policy Characteristics'!$C:$C,0))),"",INDEX('Policy Characteristics'!G:G,MATCH($C466,'Policy Characteristics'!$C:$C,0)))</f>
        <v>1</v>
      </c>
      <c r="N466" s="398">
        <f>IF(ISBLANK(INDEX('Policy Characteristics'!H:H,MATCH($C466,'Policy Characteristics'!$C:$C,0))),"",INDEX('Policy Characteristics'!H:H,MATCH($C466,'Policy Characteristics'!$C:$C,0)))</f>
        <v>0.01</v>
      </c>
      <c r="O466" s="394" t="str">
        <f>IF(ISBLANK(INDEX('Policy Characteristics'!I:I,MATCH($C466,'Policy Characteristics'!$C:$C,0))),"",INDEX('Policy Characteristics'!I:I,MATCH($C466,'Policy Characteristics'!$C:$C,0)))</f>
        <v>% of fuel shifted</v>
      </c>
      <c r="P466" s="394" t="str">
        <f>IF(ISBLANK(INDEX('Policy Characteristics'!J:J,MATCH($C466,'Policy Characteristics'!$C:$C,0))),"",INDEX('Policy Characteristics'!J:J,MATCH($C466,'Policy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6" s="394" t="str">
        <f>IF(ISBLANK(INDEX('Policy Characteristics'!K:K,MATCH($C466,'Policy Characteristics'!$C:$C,0))),"",INDEX('Policy Characteristics'!K:K,MATCH($C466,'Policy Characteristics'!$C:$C,0)))</f>
        <v>industry-ag-main.html#fuel-switching</v>
      </c>
      <c r="R466" s="394" t="str">
        <f>IF(ISBLANK(INDEX('Policy Characteristics'!L:L,MATCH($C466,'Policy Characteristics'!$C:$C,0))),"",INDEX('Policy Characteristics'!L:L,MATCH($C466,'Policy Characteristics'!$C:$C,0)))</f>
        <v>industry-elec-and-hydrogen.html</v>
      </c>
    </row>
    <row r="467" customHeight="1" spans="1:18">
      <c r="A467" s="394" t="str">
        <f>IF(ISBLANK(INDEX('Policy Characteristics'!A:A,MATCH($C467,'Policy Characteristics'!$C:$C,0))),"",INDEX('Policy Characteristics'!A:A,MATCH($C467,'Policy Characteristics'!$C:$C,0)))</f>
        <v>Industry</v>
      </c>
      <c r="B467" s="395" t="str">
        <f>IF(ISBLANK(INDEX('Policy Characteristics'!B:B,MATCH($C467,'Policy Characteristics'!$C:$C,0))),"",INDEX('Policy Characteristics'!B:B,MATCH($C467,'Policy Characteristics'!$C:$C,0)))</f>
        <v>Electrification + Hydrogen (Med &amp; High Temp)</v>
      </c>
      <c r="C467" s="394" t="str">
        <f t="shared" si="30"/>
        <v>Fraction of Med and High Temp Industrial Heat Shifted to Other Fuels</v>
      </c>
      <c r="D467" s="399" t="s">
        <v>740</v>
      </c>
      <c r="E467" s="399" t="s">
        <v>794</v>
      </c>
      <c r="F467" t="s">
        <v>741</v>
      </c>
      <c r="G467" s="399" t="s">
        <v>795</v>
      </c>
      <c r="H467" s="377">
        <v>1219</v>
      </c>
      <c r="I467" s="396" t="s">
        <v>658</v>
      </c>
      <c r="J467" s="397" t="str">
        <f>IF(ISBLANK(INDEX('Policy Characteristics'!D:D,MATCH($C467,'Policy Characteristics'!$C:$C,0))),"",INDEX('Policy Characteristics'!D:D,MATCH($C467,'Policy Characteristics'!$C:$C,0)))</f>
        <v>Electrification + Hydrogen</v>
      </c>
      <c r="K467" s="394" t="str">
        <f>IF(ISBLANK(INDEX('Policy Characteristics'!E:E,MATCH($C467,'Policy Characteristics'!$C:$C,0))),"",INDEX('Policy Characteristics'!E:E,MATCH($C467,'Policy Characteristics'!$C:$C,0)))</f>
        <v>indst med and high temp fuel type shifting</v>
      </c>
      <c r="L467" s="398">
        <f>IF(ISBLANK(INDEX('Policy Characteristics'!F:F,MATCH($C467,'Policy Characteristics'!$C:$C,0))),"",INDEX('Policy Characteristics'!F:F,MATCH($C467,'Policy Characteristics'!$C:$C,0)))</f>
        <v>0</v>
      </c>
      <c r="M467" s="398">
        <f>IF(ISBLANK(INDEX('Policy Characteristics'!G:G,MATCH($C467,'Policy Characteristics'!$C:$C,0))),"",INDEX('Policy Characteristics'!G:G,MATCH($C467,'Policy Characteristics'!$C:$C,0)))</f>
        <v>1</v>
      </c>
      <c r="N467" s="398">
        <f>IF(ISBLANK(INDEX('Policy Characteristics'!H:H,MATCH($C467,'Policy Characteristics'!$C:$C,0))),"",INDEX('Policy Characteristics'!H:H,MATCH($C467,'Policy Characteristics'!$C:$C,0)))</f>
        <v>0.01</v>
      </c>
      <c r="O467" s="394" t="str">
        <f>IF(ISBLANK(INDEX('Policy Characteristics'!I:I,MATCH($C467,'Policy Characteristics'!$C:$C,0))),"",INDEX('Policy Characteristics'!I:I,MATCH($C467,'Policy Characteristics'!$C:$C,0)))</f>
        <v>% of fuel shifted</v>
      </c>
      <c r="P467" s="394" t="str">
        <f>IF(ISBLANK(INDEX('Policy Characteristics'!J:J,MATCH($C467,'Policy Characteristics'!$C:$C,0))),"",INDEX('Policy Characteristics'!J:J,MATCH($C467,'Policy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7" s="394" t="str">
        <f>IF(ISBLANK(INDEX('Policy Characteristics'!K:K,MATCH($C467,'Policy Characteristics'!$C:$C,0))),"",INDEX('Policy Characteristics'!K:K,MATCH($C467,'Policy Characteristics'!$C:$C,0)))</f>
        <v>industry-ag-main.html#fuel-switching</v>
      </c>
      <c r="R467" s="394" t="str">
        <f>IF(ISBLANK(INDEX('Policy Characteristics'!L:L,MATCH($C467,'Policy Characteristics'!$C:$C,0))),"",INDEX('Policy Characteristics'!L:L,MATCH($C467,'Policy Characteristics'!$C:$C,0)))</f>
        <v>industry-elec-and-hydrogen.html</v>
      </c>
    </row>
    <row r="468" customHeight="1" spans="1:18">
      <c r="A468" s="394" t="str">
        <f>IF(ISBLANK(INDEX('Policy Characteristics'!A:A,MATCH($C468,'Policy Characteristics'!$C:$C,0))),"",INDEX('Policy Characteristics'!A:A,MATCH($C468,'Policy Characteristics'!$C:$C,0)))</f>
        <v>Industry</v>
      </c>
      <c r="B468" s="395" t="str">
        <f>IF(ISBLANK(INDEX('Policy Characteristics'!B:B,MATCH($C468,'Policy Characteristics'!$C:$C,0))),"",INDEX('Policy Characteristics'!B:B,MATCH($C468,'Policy Characteristics'!$C:$C,0)))</f>
        <v>Electrification + Hydrogen (Med &amp; High Temp)</v>
      </c>
      <c r="C468" s="394" t="str">
        <f t="shared" si="30"/>
        <v>Fraction of Med and High Temp Industrial Heat Shifted to Other Fuels</v>
      </c>
      <c r="D468" s="399" t="s">
        <v>740</v>
      </c>
      <c r="E468" s="399" t="s">
        <v>796</v>
      </c>
      <c r="F468" t="s">
        <v>741</v>
      </c>
      <c r="G468" s="399" t="s">
        <v>797</v>
      </c>
      <c r="H468" s="377">
        <v>1220</v>
      </c>
      <c r="I468" s="396" t="s">
        <v>658</v>
      </c>
      <c r="J468" s="397" t="str">
        <f>IF(ISBLANK(INDEX('Policy Characteristics'!D:D,MATCH($C468,'Policy Characteristics'!$C:$C,0))),"",INDEX('Policy Characteristics'!D:D,MATCH($C468,'Policy Characteristics'!$C:$C,0)))</f>
        <v>Electrification + Hydrogen</v>
      </c>
      <c r="K468" s="394" t="str">
        <f>IF(ISBLANK(INDEX('Policy Characteristics'!E:E,MATCH($C468,'Policy Characteristics'!$C:$C,0))),"",INDEX('Policy Characteristics'!E:E,MATCH($C468,'Policy Characteristics'!$C:$C,0)))</f>
        <v>indst med and high temp fuel type shifting</v>
      </c>
      <c r="L468" s="398">
        <f>IF(ISBLANK(INDEX('Policy Characteristics'!F:F,MATCH($C468,'Policy Characteristics'!$C:$C,0))),"",INDEX('Policy Characteristics'!F:F,MATCH($C468,'Policy Characteristics'!$C:$C,0)))</f>
        <v>0</v>
      </c>
      <c r="M468" s="398">
        <f>IF(ISBLANK(INDEX('Policy Characteristics'!G:G,MATCH($C468,'Policy Characteristics'!$C:$C,0))),"",INDEX('Policy Characteristics'!G:G,MATCH($C468,'Policy Characteristics'!$C:$C,0)))</f>
        <v>1</v>
      </c>
      <c r="N468" s="398">
        <f>IF(ISBLANK(INDEX('Policy Characteristics'!H:H,MATCH($C468,'Policy Characteristics'!$C:$C,0))),"",INDEX('Policy Characteristics'!H:H,MATCH($C468,'Policy Characteristics'!$C:$C,0)))</f>
        <v>0.01</v>
      </c>
      <c r="O468" s="394" t="str">
        <f>IF(ISBLANK(INDEX('Policy Characteristics'!I:I,MATCH($C468,'Policy Characteristics'!$C:$C,0))),"",INDEX('Policy Characteristics'!I:I,MATCH($C468,'Policy Characteristics'!$C:$C,0)))</f>
        <v>% of fuel shifted</v>
      </c>
      <c r="P468" s="394" t="str">
        <f>IF(ISBLANK(INDEX('Policy Characteristics'!J:J,MATCH($C468,'Policy Characteristics'!$C:$C,0))),"",INDEX('Policy Characteristics'!J:J,MATCH($C468,'Policy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8" s="394" t="str">
        <f>IF(ISBLANK(INDEX('Policy Characteristics'!K:K,MATCH($C468,'Policy Characteristics'!$C:$C,0))),"",INDEX('Policy Characteristics'!K:K,MATCH($C468,'Policy Characteristics'!$C:$C,0)))</f>
        <v>industry-ag-main.html#fuel-switching</v>
      </c>
      <c r="R468" s="394" t="str">
        <f>IF(ISBLANK(INDEX('Policy Characteristics'!L:L,MATCH($C468,'Policy Characteristics'!$C:$C,0))),"",INDEX('Policy Characteristics'!L:L,MATCH($C468,'Policy Characteristics'!$C:$C,0)))</f>
        <v>industry-elec-and-hydrogen.html</v>
      </c>
    </row>
    <row r="469" customHeight="1" spans="1:18">
      <c r="A469" s="394" t="str">
        <f>IF(ISBLANK(INDEX('Policy Characteristics'!A:A,MATCH($C469,'Policy Characteristics'!$C:$C,0))),"",INDEX('Policy Characteristics'!A:A,MATCH($C469,'Policy Characteristics'!$C:$C,0)))</f>
        <v>Industry</v>
      </c>
      <c r="B469" s="395" t="str">
        <f>IF(ISBLANK(INDEX('Policy Characteristics'!B:B,MATCH($C469,'Policy Characteristics'!$C:$C,0))),"",INDEX('Policy Characteristics'!B:B,MATCH($C469,'Policy Characteristics'!$C:$C,0)))</f>
        <v>Electrification + Hydrogen (Med &amp; High Temp)</v>
      </c>
      <c r="C469" s="394" t="str">
        <f t="shared" si="30"/>
        <v>Fraction of Med and High Temp Industrial Heat Shifted to Other Fuels</v>
      </c>
      <c r="D469" s="399" t="s">
        <v>740</v>
      </c>
      <c r="E469" s="399" t="s">
        <v>798</v>
      </c>
      <c r="F469" t="s">
        <v>741</v>
      </c>
      <c r="G469" s="399" t="s">
        <v>799</v>
      </c>
      <c r="H469" s="377">
        <v>1221</v>
      </c>
      <c r="I469" s="396" t="s">
        <v>658</v>
      </c>
      <c r="J469" s="397" t="str">
        <f>IF(ISBLANK(INDEX('Policy Characteristics'!D:D,MATCH($C469,'Policy Characteristics'!$C:$C,0))),"",INDEX('Policy Characteristics'!D:D,MATCH($C469,'Policy Characteristics'!$C:$C,0)))</f>
        <v>Electrification + Hydrogen</v>
      </c>
      <c r="K469" s="394" t="str">
        <f>IF(ISBLANK(INDEX('Policy Characteristics'!E:E,MATCH($C469,'Policy Characteristics'!$C:$C,0))),"",INDEX('Policy Characteristics'!E:E,MATCH($C469,'Policy Characteristics'!$C:$C,0)))</f>
        <v>indst med and high temp fuel type shifting</v>
      </c>
      <c r="L469" s="398">
        <f>IF(ISBLANK(INDEX('Policy Characteristics'!F:F,MATCH($C469,'Policy Characteristics'!$C:$C,0))),"",INDEX('Policy Characteristics'!F:F,MATCH($C469,'Policy Characteristics'!$C:$C,0)))</f>
        <v>0</v>
      </c>
      <c r="M469" s="398">
        <f>IF(ISBLANK(INDEX('Policy Characteristics'!G:G,MATCH($C469,'Policy Characteristics'!$C:$C,0))),"",INDEX('Policy Characteristics'!G:G,MATCH($C469,'Policy Characteristics'!$C:$C,0)))</f>
        <v>1</v>
      </c>
      <c r="N469" s="398">
        <f>IF(ISBLANK(INDEX('Policy Characteristics'!H:H,MATCH($C469,'Policy Characteristics'!$C:$C,0))),"",INDEX('Policy Characteristics'!H:H,MATCH($C469,'Policy Characteristics'!$C:$C,0)))</f>
        <v>0.01</v>
      </c>
      <c r="O469" s="394" t="str">
        <f>IF(ISBLANK(INDEX('Policy Characteristics'!I:I,MATCH($C469,'Policy Characteristics'!$C:$C,0))),"",INDEX('Policy Characteristics'!I:I,MATCH($C469,'Policy Characteristics'!$C:$C,0)))</f>
        <v>% of fuel shifted</v>
      </c>
      <c r="P469" s="394" t="str">
        <f>IF(ISBLANK(INDEX('Policy Characteristics'!J:J,MATCH($C469,'Policy Characteristics'!$C:$C,0))),"",INDEX('Policy Characteristics'!J:J,MATCH($C469,'Policy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9" s="394" t="str">
        <f>IF(ISBLANK(INDEX('Policy Characteristics'!K:K,MATCH($C469,'Policy Characteristics'!$C:$C,0))),"",INDEX('Policy Characteristics'!K:K,MATCH($C469,'Policy Characteristics'!$C:$C,0)))</f>
        <v>industry-ag-main.html#fuel-switching</v>
      </c>
      <c r="R469" s="394" t="str">
        <f>IF(ISBLANK(INDEX('Policy Characteristics'!L:L,MATCH($C469,'Policy Characteristics'!$C:$C,0))),"",INDEX('Policy Characteristics'!L:L,MATCH($C469,'Policy Characteristics'!$C:$C,0)))</f>
        <v>industry-elec-and-hydrogen.html</v>
      </c>
    </row>
    <row r="470" customHeight="1" spans="1:18">
      <c r="A470" s="394" t="str">
        <f>IF(ISBLANK(INDEX('Policy Characteristics'!A:A,MATCH($C470,'Policy Characteristics'!$C:$C,0))),"",INDEX('Policy Characteristics'!A:A,MATCH($C470,'Policy Characteristics'!$C:$C,0)))</f>
        <v>Industry</v>
      </c>
      <c r="B470" s="395" t="str">
        <f>IF(ISBLANK(INDEX('Policy Characteristics'!B:B,MATCH($C470,'Policy Characteristics'!$C:$C,0))),"",INDEX('Policy Characteristics'!B:B,MATCH($C470,'Policy Characteristics'!$C:$C,0)))</f>
        <v>Electrification + Hydrogen (Med &amp; High Temp)</v>
      </c>
      <c r="C470" s="394" t="str">
        <f t="shared" si="30"/>
        <v>Fraction of Med and High Temp Industrial Heat Shifted to Other Fuels</v>
      </c>
      <c r="D470" s="399" t="s">
        <v>740</v>
      </c>
      <c r="E470" s="399" t="s">
        <v>800</v>
      </c>
      <c r="F470" t="s">
        <v>741</v>
      </c>
      <c r="G470" s="399" t="s">
        <v>801</v>
      </c>
      <c r="H470" s="377">
        <v>1222</v>
      </c>
      <c r="I470" s="396" t="s">
        <v>658</v>
      </c>
      <c r="J470" s="397" t="str">
        <f>IF(ISBLANK(INDEX('Policy Characteristics'!D:D,MATCH($C470,'Policy Characteristics'!$C:$C,0))),"",INDEX('Policy Characteristics'!D:D,MATCH($C470,'Policy Characteristics'!$C:$C,0)))</f>
        <v>Electrification + Hydrogen</v>
      </c>
      <c r="K470" s="394" t="str">
        <f>IF(ISBLANK(INDEX('Policy Characteristics'!E:E,MATCH($C470,'Policy Characteristics'!$C:$C,0))),"",INDEX('Policy Characteristics'!E:E,MATCH($C470,'Policy Characteristics'!$C:$C,0)))</f>
        <v>indst med and high temp fuel type shifting</v>
      </c>
      <c r="L470" s="398">
        <f>IF(ISBLANK(INDEX('Policy Characteristics'!F:F,MATCH($C470,'Policy Characteristics'!$C:$C,0))),"",INDEX('Policy Characteristics'!F:F,MATCH($C470,'Policy Characteristics'!$C:$C,0)))</f>
        <v>0</v>
      </c>
      <c r="M470" s="398">
        <f>IF(ISBLANK(INDEX('Policy Characteristics'!G:G,MATCH($C470,'Policy Characteristics'!$C:$C,0))),"",INDEX('Policy Characteristics'!G:G,MATCH($C470,'Policy Characteristics'!$C:$C,0)))</f>
        <v>1</v>
      </c>
      <c r="N470" s="398">
        <f>IF(ISBLANK(INDEX('Policy Characteristics'!H:H,MATCH($C470,'Policy Characteristics'!$C:$C,0))),"",INDEX('Policy Characteristics'!H:H,MATCH($C470,'Policy Characteristics'!$C:$C,0)))</f>
        <v>0.01</v>
      </c>
      <c r="O470" s="394" t="str">
        <f>IF(ISBLANK(INDEX('Policy Characteristics'!I:I,MATCH($C470,'Policy Characteristics'!$C:$C,0))),"",INDEX('Policy Characteristics'!I:I,MATCH($C470,'Policy Characteristics'!$C:$C,0)))</f>
        <v>% of fuel shifted</v>
      </c>
      <c r="P470" s="394" t="str">
        <f>IF(ISBLANK(INDEX('Policy Characteristics'!J:J,MATCH($C470,'Policy Characteristics'!$C:$C,0))),"",INDEX('Policy Characteristics'!J:J,MATCH($C470,'Policy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0" s="394" t="str">
        <f>IF(ISBLANK(INDEX('Policy Characteristics'!K:K,MATCH($C470,'Policy Characteristics'!$C:$C,0))),"",INDEX('Policy Characteristics'!K:K,MATCH($C470,'Policy Characteristics'!$C:$C,0)))</f>
        <v>industry-ag-main.html#fuel-switching</v>
      </c>
      <c r="R470" s="394" t="str">
        <f>IF(ISBLANK(INDEX('Policy Characteristics'!L:L,MATCH($C470,'Policy Characteristics'!$C:$C,0))),"",INDEX('Policy Characteristics'!L:L,MATCH($C470,'Policy Characteristics'!$C:$C,0)))</f>
        <v>industry-elec-and-hydrogen.html</v>
      </c>
    </row>
    <row r="471" customHeight="1" spans="1:18">
      <c r="A471" s="394" t="str">
        <f>IF(ISBLANK(INDEX('Policy Characteristics'!A:A,MATCH($C471,'Policy Characteristics'!$C:$C,0))),"",INDEX('Policy Characteristics'!A:A,MATCH($C471,'Policy Characteristics'!$C:$C,0)))</f>
        <v>Industry</v>
      </c>
      <c r="B471" s="395" t="str">
        <f>IF(ISBLANK(INDEX('Policy Characteristics'!B:B,MATCH($C471,'Policy Characteristics'!$C:$C,0))),"",INDEX('Policy Characteristics'!B:B,MATCH($C471,'Policy Characteristics'!$C:$C,0)))</f>
        <v>Electrification + Hydrogen (Med &amp; High Temp)</v>
      </c>
      <c r="C471" s="394" t="str">
        <f t="shared" si="30"/>
        <v>Fraction of Med and High Temp Industrial Heat Shifted to Other Fuels</v>
      </c>
      <c r="D471" s="399" t="s">
        <v>740</v>
      </c>
      <c r="E471" s="399" t="s">
        <v>802</v>
      </c>
      <c r="F471" t="s">
        <v>741</v>
      </c>
      <c r="G471" s="399" t="s">
        <v>803</v>
      </c>
      <c r="H471" s="377">
        <v>1223</v>
      </c>
      <c r="I471" s="396" t="s">
        <v>658</v>
      </c>
      <c r="J471" s="397" t="str">
        <f>IF(ISBLANK(INDEX('Policy Characteristics'!D:D,MATCH($C471,'Policy Characteristics'!$C:$C,0))),"",INDEX('Policy Characteristics'!D:D,MATCH($C471,'Policy Characteristics'!$C:$C,0)))</f>
        <v>Electrification + Hydrogen</v>
      </c>
      <c r="K471" s="394" t="str">
        <f>IF(ISBLANK(INDEX('Policy Characteristics'!E:E,MATCH($C471,'Policy Characteristics'!$C:$C,0))),"",INDEX('Policy Characteristics'!E:E,MATCH($C471,'Policy Characteristics'!$C:$C,0)))</f>
        <v>indst med and high temp fuel type shifting</v>
      </c>
      <c r="L471" s="398">
        <f>IF(ISBLANK(INDEX('Policy Characteristics'!F:F,MATCH($C471,'Policy Characteristics'!$C:$C,0))),"",INDEX('Policy Characteristics'!F:F,MATCH($C471,'Policy Characteristics'!$C:$C,0)))</f>
        <v>0</v>
      </c>
      <c r="M471" s="398">
        <f>IF(ISBLANK(INDEX('Policy Characteristics'!G:G,MATCH($C471,'Policy Characteristics'!$C:$C,0))),"",INDEX('Policy Characteristics'!G:G,MATCH($C471,'Policy Characteristics'!$C:$C,0)))</f>
        <v>1</v>
      </c>
      <c r="N471" s="398">
        <f>IF(ISBLANK(INDEX('Policy Characteristics'!H:H,MATCH($C471,'Policy Characteristics'!$C:$C,0))),"",INDEX('Policy Characteristics'!H:H,MATCH($C471,'Policy Characteristics'!$C:$C,0)))</f>
        <v>0.01</v>
      </c>
      <c r="O471" s="394" t="str">
        <f>IF(ISBLANK(INDEX('Policy Characteristics'!I:I,MATCH($C471,'Policy Characteristics'!$C:$C,0))),"",INDEX('Policy Characteristics'!I:I,MATCH($C471,'Policy Characteristics'!$C:$C,0)))</f>
        <v>% of fuel shifted</v>
      </c>
      <c r="P471" s="394" t="str">
        <f>IF(ISBLANK(INDEX('Policy Characteristics'!J:J,MATCH($C471,'Policy Characteristics'!$C:$C,0))),"",INDEX('Policy Characteristics'!J:J,MATCH($C471,'Policy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1" s="394" t="str">
        <f>IF(ISBLANK(INDEX('Policy Characteristics'!K:K,MATCH($C471,'Policy Characteristics'!$C:$C,0))),"",INDEX('Policy Characteristics'!K:K,MATCH($C471,'Policy Characteristics'!$C:$C,0)))</f>
        <v>industry-ag-main.html#fuel-switching</v>
      </c>
      <c r="R471" s="394" t="str">
        <f>IF(ISBLANK(INDEX('Policy Characteristics'!L:L,MATCH($C471,'Policy Characteristics'!$C:$C,0))),"",INDEX('Policy Characteristics'!L:L,MATCH($C471,'Policy Characteristics'!$C:$C,0)))</f>
        <v>industry-elec-and-hydrogen.html</v>
      </c>
    </row>
    <row r="472" customHeight="1" spans="1:18">
      <c r="A472" s="394" t="str">
        <f>IF(ISBLANK(INDEX('Policy Characteristics'!A:A,MATCH($C472,'Policy Characteristics'!$C:$C,0))),"",INDEX('Policy Characteristics'!A:A,MATCH($C472,'Policy Characteristics'!$C:$C,0)))</f>
        <v>Industry</v>
      </c>
      <c r="B472" s="395" t="str">
        <f>IF(ISBLANK(INDEX('Policy Characteristics'!B:B,MATCH($C472,'Policy Characteristics'!$C:$C,0))),"",INDEX('Policy Characteristics'!B:B,MATCH($C472,'Policy Characteristics'!$C:$C,0)))</f>
        <v>Electrification + Hydrogen (Med &amp; High Temp)</v>
      </c>
      <c r="C472" s="394" t="str">
        <f t="shared" si="30"/>
        <v>Fraction of Med and High Temp Industrial Heat Shifted to Other Fuels</v>
      </c>
      <c r="D472" s="399" t="s">
        <v>740</v>
      </c>
      <c r="E472" s="399" t="s">
        <v>804</v>
      </c>
      <c r="F472" t="s">
        <v>741</v>
      </c>
      <c r="G472" s="399" t="s">
        <v>805</v>
      </c>
      <c r="H472" s="377">
        <v>1224</v>
      </c>
      <c r="I472" s="396" t="s">
        <v>658</v>
      </c>
      <c r="J472" s="397" t="str">
        <f>IF(ISBLANK(INDEX('Policy Characteristics'!D:D,MATCH($C472,'Policy Characteristics'!$C:$C,0))),"",INDEX('Policy Characteristics'!D:D,MATCH($C472,'Policy Characteristics'!$C:$C,0)))</f>
        <v>Electrification + Hydrogen</v>
      </c>
      <c r="K472" s="394" t="str">
        <f>IF(ISBLANK(INDEX('Policy Characteristics'!E:E,MATCH($C472,'Policy Characteristics'!$C:$C,0))),"",INDEX('Policy Characteristics'!E:E,MATCH($C472,'Policy Characteristics'!$C:$C,0)))</f>
        <v>indst med and high temp fuel type shifting</v>
      </c>
      <c r="L472" s="398">
        <f>IF(ISBLANK(INDEX('Policy Characteristics'!F:F,MATCH($C472,'Policy Characteristics'!$C:$C,0))),"",INDEX('Policy Characteristics'!F:F,MATCH($C472,'Policy Characteristics'!$C:$C,0)))</f>
        <v>0</v>
      </c>
      <c r="M472" s="398">
        <f>IF(ISBLANK(INDEX('Policy Characteristics'!G:G,MATCH($C472,'Policy Characteristics'!$C:$C,0))),"",INDEX('Policy Characteristics'!G:G,MATCH($C472,'Policy Characteristics'!$C:$C,0)))</f>
        <v>1</v>
      </c>
      <c r="N472" s="398">
        <f>IF(ISBLANK(INDEX('Policy Characteristics'!H:H,MATCH($C472,'Policy Characteristics'!$C:$C,0))),"",INDEX('Policy Characteristics'!H:H,MATCH($C472,'Policy Characteristics'!$C:$C,0)))</f>
        <v>0.01</v>
      </c>
      <c r="O472" s="394" t="str">
        <f>IF(ISBLANK(INDEX('Policy Characteristics'!I:I,MATCH($C472,'Policy Characteristics'!$C:$C,0))),"",INDEX('Policy Characteristics'!I:I,MATCH($C472,'Policy Characteristics'!$C:$C,0)))</f>
        <v>% of fuel shifted</v>
      </c>
      <c r="P472" s="394" t="str">
        <f>IF(ISBLANK(INDEX('Policy Characteristics'!J:J,MATCH($C472,'Policy Characteristics'!$C:$C,0))),"",INDEX('Policy Characteristics'!J:J,MATCH($C472,'Policy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2" s="394" t="str">
        <f>IF(ISBLANK(INDEX('Policy Characteristics'!K:K,MATCH($C472,'Policy Characteristics'!$C:$C,0))),"",INDEX('Policy Characteristics'!K:K,MATCH($C472,'Policy Characteristics'!$C:$C,0)))</f>
        <v>industry-ag-main.html#fuel-switching</v>
      </c>
      <c r="R472" s="394" t="str">
        <f>IF(ISBLANK(INDEX('Policy Characteristics'!L:L,MATCH($C472,'Policy Characteristics'!$C:$C,0))),"",INDEX('Policy Characteristics'!L:L,MATCH($C472,'Policy Characteristics'!$C:$C,0)))</f>
        <v>industry-elec-and-hydrogen.html</v>
      </c>
    </row>
    <row r="473" customHeight="1" spans="1:18">
      <c r="A473" s="394" t="str">
        <f>IF(ISBLANK(INDEX('Policy Characteristics'!A:A,MATCH($C473,'Policy Characteristics'!$C:$C,0))),"",INDEX('Policy Characteristics'!A:A,MATCH($C473,'Policy Characteristics'!$C:$C,0)))</f>
        <v>Industry</v>
      </c>
      <c r="B473" s="395" t="str">
        <f>IF(ISBLANK(INDEX('Policy Characteristics'!B:B,MATCH($C473,'Policy Characteristics'!$C:$C,0))),"",INDEX('Policy Characteristics'!B:B,MATCH($C473,'Policy Characteristics'!$C:$C,0)))</f>
        <v>Electrification + Hydrogen (Med &amp; High Temp)</v>
      </c>
      <c r="C473" s="394" t="str">
        <f t="shared" si="30"/>
        <v>Fraction of Med and High Temp Industrial Heat Shifted to Other Fuels</v>
      </c>
      <c r="D473" s="399" t="s">
        <v>740</v>
      </c>
      <c r="E473" s="399" t="s">
        <v>806</v>
      </c>
      <c r="F473" t="s">
        <v>741</v>
      </c>
      <c r="G473" s="399" t="s">
        <v>807</v>
      </c>
      <c r="H473" s="377">
        <v>1225</v>
      </c>
      <c r="I473" s="396" t="s">
        <v>658</v>
      </c>
      <c r="J473" s="397" t="str">
        <f>IF(ISBLANK(INDEX('Policy Characteristics'!D:D,MATCH($C473,'Policy Characteristics'!$C:$C,0))),"",INDEX('Policy Characteristics'!D:D,MATCH($C473,'Policy Characteristics'!$C:$C,0)))</f>
        <v>Electrification + Hydrogen</v>
      </c>
      <c r="K473" s="394" t="str">
        <f>IF(ISBLANK(INDEX('Policy Characteristics'!E:E,MATCH($C473,'Policy Characteristics'!$C:$C,0))),"",INDEX('Policy Characteristics'!E:E,MATCH($C473,'Policy Characteristics'!$C:$C,0)))</f>
        <v>indst med and high temp fuel type shifting</v>
      </c>
      <c r="L473" s="398">
        <f>IF(ISBLANK(INDEX('Policy Characteristics'!F:F,MATCH($C473,'Policy Characteristics'!$C:$C,0))),"",INDEX('Policy Characteristics'!F:F,MATCH($C473,'Policy Characteristics'!$C:$C,0)))</f>
        <v>0</v>
      </c>
      <c r="M473" s="398">
        <f>IF(ISBLANK(INDEX('Policy Characteristics'!G:G,MATCH($C473,'Policy Characteristics'!$C:$C,0))),"",INDEX('Policy Characteristics'!G:G,MATCH($C473,'Policy Characteristics'!$C:$C,0)))</f>
        <v>1</v>
      </c>
      <c r="N473" s="398">
        <f>IF(ISBLANK(INDEX('Policy Characteristics'!H:H,MATCH($C473,'Policy Characteristics'!$C:$C,0))),"",INDEX('Policy Characteristics'!H:H,MATCH($C473,'Policy Characteristics'!$C:$C,0)))</f>
        <v>0.01</v>
      </c>
      <c r="O473" s="394" t="str">
        <f>IF(ISBLANK(INDEX('Policy Characteristics'!I:I,MATCH($C473,'Policy Characteristics'!$C:$C,0))),"",INDEX('Policy Characteristics'!I:I,MATCH($C473,'Policy Characteristics'!$C:$C,0)))</f>
        <v>% of fuel shifted</v>
      </c>
      <c r="P473" s="394" t="str">
        <f>IF(ISBLANK(INDEX('Policy Characteristics'!J:J,MATCH($C473,'Policy Characteristics'!$C:$C,0))),"",INDEX('Policy Characteristics'!J:J,MATCH($C473,'Policy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3" s="394" t="str">
        <f>IF(ISBLANK(INDEX('Policy Characteristics'!K:K,MATCH($C473,'Policy Characteristics'!$C:$C,0))),"",INDEX('Policy Characteristics'!K:K,MATCH($C473,'Policy Characteristics'!$C:$C,0)))</f>
        <v>industry-ag-main.html#fuel-switching</v>
      </c>
      <c r="R473" s="394" t="str">
        <f>IF(ISBLANK(INDEX('Policy Characteristics'!L:L,MATCH($C473,'Policy Characteristics'!$C:$C,0))),"",INDEX('Policy Characteristics'!L:L,MATCH($C473,'Policy Characteristics'!$C:$C,0)))</f>
        <v>industry-elec-and-hydrogen.html</v>
      </c>
    </row>
    <row r="474" customHeight="1" spans="1:18">
      <c r="A474" s="394" t="str">
        <f>IF(ISBLANK(INDEX('Policy Characteristics'!A:A,MATCH($C474,'Policy Characteristics'!$C:$C,0))),"",INDEX('Policy Characteristics'!A:A,MATCH($C474,'Policy Characteristics'!$C:$C,0)))</f>
        <v>Industry</v>
      </c>
      <c r="B474" s="395" t="str">
        <f>IF(ISBLANK(INDEX('Policy Characteristics'!B:B,MATCH($C474,'Policy Characteristics'!$C:$C,0))),"",INDEX('Policy Characteristics'!B:B,MATCH($C474,'Policy Characteristics'!$C:$C,0)))</f>
        <v>Electrification + Hydrogen (Med &amp; High Temp)</v>
      </c>
      <c r="C474" s="394" t="str">
        <f t="shared" si="30"/>
        <v>Fraction of Med and High Temp Industrial Heat Shifted to Other Fuels</v>
      </c>
      <c r="D474" s="399" t="s">
        <v>740</v>
      </c>
      <c r="E474" s="399" t="s">
        <v>808</v>
      </c>
      <c r="F474" t="s">
        <v>741</v>
      </c>
      <c r="G474" s="399" t="s">
        <v>809</v>
      </c>
      <c r="H474" s="377">
        <v>1226</v>
      </c>
      <c r="I474" s="396" t="s">
        <v>658</v>
      </c>
      <c r="J474" s="397" t="str">
        <f>IF(ISBLANK(INDEX('Policy Characteristics'!D:D,MATCH($C474,'Policy Characteristics'!$C:$C,0))),"",INDEX('Policy Characteristics'!D:D,MATCH($C474,'Policy Characteristics'!$C:$C,0)))</f>
        <v>Electrification + Hydrogen</v>
      </c>
      <c r="K474" s="394" t="str">
        <f>IF(ISBLANK(INDEX('Policy Characteristics'!E:E,MATCH($C474,'Policy Characteristics'!$C:$C,0))),"",INDEX('Policy Characteristics'!E:E,MATCH($C474,'Policy Characteristics'!$C:$C,0)))</f>
        <v>indst med and high temp fuel type shifting</v>
      </c>
      <c r="L474" s="398">
        <f>IF(ISBLANK(INDEX('Policy Characteristics'!F:F,MATCH($C474,'Policy Characteristics'!$C:$C,0))),"",INDEX('Policy Characteristics'!F:F,MATCH($C474,'Policy Characteristics'!$C:$C,0)))</f>
        <v>0</v>
      </c>
      <c r="M474" s="398">
        <f>IF(ISBLANK(INDEX('Policy Characteristics'!G:G,MATCH($C474,'Policy Characteristics'!$C:$C,0))),"",INDEX('Policy Characteristics'!G:G,MATCH($C474,'Policy Characteristics'!$C:$C,0)))</f>
        <v>1</v>
      </c>
      <c r="N474" s="398">
        <f>IF(ISBLANK(INDEX('Policy Characteristics'!H:H,MATCH($C474,'Policy Characteristics'!$C:$C,0))),"",INDEX('Policy Characteristics'!H:H,MATCH($C474,'Policy Characteristics'!$C:$C,0)))</f>
        <v>0.01</v>
      </c>
      <c r="O474" s="394" t="str">
        <f>IF(ISBLANK(INDEX('Policy Characteristics'!I:I,MATCH($C474,'Policy Characteristics'!$C:$C,0))),"",INDEX('Policy Characteristics'!I:I,MATCH($C474,'Policy Characteristics'!$C:$C,0)))</f>
        <v>% of fuel shifted</v>
      </c>
      <c r="P474" s="394" t="str">
        <f>IF(ISBLANK(INDEX('Policy Characteristics'!J:J,MATCH($C474,'Policy Characteristics'!$C:$C,0))),"",INDEX('Policy Characteristics'!J:J,MATCH($C474,'Policy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4" s="394" t="str">
        <f>IF(ISBLANK(INDEX('Policy Characteristics'!K:K,MATCH($C474,'Policy Characteristics'!$C:$C,0))),"",INDEX('Policy Characteristics'!K:K,MATCH($C474,'Policy Characteristics'!$C:$C,0)))</f>
        <v>industry-ag-main.html#fuel-switching</v>
      </c>
      <c r="R474" s="394" t="str">
        <f>IF(ISBLANK(INDEX('Policy Characteristics'!L:L,MATCH($C474,'Policy Characteristics'!$C:$C,0))),"",INDEX('Policy Characteristics'!L:L,MATCH($C474,'Policy Characteristics'!$C:$C,0)))</f>
        <v>industry-elec-and-hydrogen.html</v>
      </c>
    </row>
    <row r="475" customHeight="1" spans="1:18">
      <c r="A475" s="394" t="str">
        <f>IF(ISBLANK(INDEX('Policy Characteristics'!A:A,MATCH($C475,'Policy Characteristics'!$C:$C,0))),"",INDEX('Policy Characteristics'!A:A,MATCH($C475,'Policy Characteristics'!$C:$C,0)))</f>
        <v>Industry</v>
      </c>
      <c r="B475" s="395" t="str">
        <f>IF(ISBLANK(INDEX('Policy Characteristics'!B:B,MATCH($C475,'Policy Characteristics'!$C:$C,0))),"",INDEX('Policy Characteristics'!B:B,MATCH($C475,'Policy Characteristics'!$C:$C,0)))</f>
        <v>Electrification + Hydrogen (Med &amp; High Temp)</v>
      </c>
      <c r="C475" s="394" t="str">
        <f t="shared" si="30"/>
        <v>Fraction of Med and High Temp Industrial Heat Shifted to Other Fuels</v>
      </c>
      <c r="D475" s="399" t="s">
        <v>740</v>
      </c>
      <c r="E475" s="399" t="s">
        <v>810</v>
      </c>
      <c r="F475" t="s">
        <v>741</v>
      </c>
      <c r="G475" s="399" t="s">
        <v>811</v>
      </c>
      <c r="H475" s="377">
        <v>1227</v>
      </c>
      <c r="I475" s="396" t="s">
        <v>648</v>
      </c>
      <c r="J475" s="397" t="str">
        <f>IF(ISBLANK(INDEX('Policy Characteristics'!D:D,MATCH($C475,'Policy Characteristics'!$C:$C,0))),"",INDEX('Policy Characteristics'!D:D,MATCH($C475,'Policy Characteristics'!$C:$C,0)))</f>
        <v>Electrification + Hydrogen</v>
      </c>
      <c r="K475" s="394" t="str">
        <f>IF(ISBLANK(INDEX('Policy Characteristics'!E:E,MATCH($C475,'Policy Characteristics'!$C:$C,0))),"",INDEX('Policy Characteristics'!E:E,MATCH($C475,'Policy Characteristics'!$C:$C,0)))</f>
        <v>indst med and high temp fuel type shifting</v>
      </c>
      <c r="L475" s="398">
        <f>IF(ISBLANK(INDEX('Policy Characteristics'!F:F,MATCH($C475,'Policy Characteristics'!$C:$C,0))),"",INDEX('Policy Characteristics'!F:F,MATCH($C475,'Policy Characteristics'!$C:$C,0)))</f>
        <v>0</v>
      </c>
      <c r="M475" s="398">
        <f>IF(ISBLANK(INDEX('Policy Characteristics'!G:G,MATCH($C475,'Policy Characteristics'!$C:$C,0))),"",INDEX('Policy Characteristics'!G:G,MATCH($C475,'Policy Characteristics'!$C:$C,0)))</f>
        <v>1</v>
      </c>
      <c r="N475" s="398">
        <f>IF(ISBLANK(INDEX('Policy Characteristics'!H:H,MATCH($C475,'Policy Characteristics'!$C:$C,0))),"",INDEX('Policy Characteristics'!H:H,MATCH($C475,'Policy Characteristics'!$C:$C,0)))</f>
        <v>0.01</v>
      </c>
      <c r="O475" s="394" t="str">
        <f>IF(ISBLANK(INDEX('Policy Characteristics'!I:I,MATCH($C475,'Policy Characteristics'!$C:$C,0))),"",INDEX('Policy Characteristics'!I:I,MATCH($C475,'Policy Characteristics'!$C:$C,0)))</f>
        <v>% of fuel shifted</v>
      </c>
      <c r="P475" s="394" t="str">
        <f>IF(ISBLANK(INDEX('Policy Characteristics'!J:J,MATCH($C475,'Policy Characteristics'!$C:$C,0))),"",INDEX('Policy Characteristics'!J:J,MATCH($C475,'Policy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5" s="394" t="str">
        <f>IF(ISBLANK(INDEX('Policy Characteristics'!K:K,MATCH($C475,'Policy Characteristics'!$C:$C,0))),"",INDEX('Policy Characteristics'!K:K,MATCH($C475,'Policy Characteristics'!$C:$C,0)))</f>
        <v>industry-ag-main.html#fuel-switching</v>
      </c>
      <c r="R475" s="394" t="str">
        <f>IF(ISBLANK(INDEX('Policy Characteristics'!L:L,MATCH($C475,'Policy Characteristics'!$C:$C,0))),"",INDEX('Policy Characteristics'!L:L,MATCH($C475,'Policy Characteristics'!$C:$C,0)))</f>
        <v>industry-elec-and-hydrogen.html</v>
      </c>
    </row>
    <row r="476" customHeight="1" spans="1:18">
      <c r="A476" s="394" t="str">
        <f>IF(ISBLANK(INDEX('Policy Characteristics'!A:A,MATCH($C476,'Policy Characteristics'!$C:$C,0))),"",INDEX('Policy Characteristics'!A:A,MATCH($C476,'Policy Characteristics'!$C:$C,0)))</f>
        <v>Industry</v>
      </c>
      <c r="B476" s="395" t="str">
        <f>IF(ISBLANK(INDEX('Policy Characteristics'!B:B,MATCH($C476,'Policy Characteristics'!$C:$C,0))),"",INDEX('Policy Characteristics'!B:B,MATCH($C476,'Policy Characteristics'!$C:$C,0)))</f>
        <v>Electrification + Hydrogen (Med &amp; High Temp)</v>
      </c>
      <c r="C476" s="394" t="str">
        <f t="shared" si="30"/>
        <v>Fraction of Med and High Temp Industrial Heat Shifted to Other Fuels</v>
      </c>
      <c r="D476" s="399" t="s">
        <v>742</v>
      </c>
      <c r="E476" s="399" t="s">
        <v>792</v>
      </c>
      <c r="F476" t="s">
        <v>743</v>
      </c>
      <c r="G476" s="399" t="s">
        <v>793</v>
      </c>
      <c r="H476" s="377">
        <v>1228</v>
      </c>
      <c r="I476" s="396" t="s">
        <v>648</v>
      </c>
      <c r="J476" s="397" t="str">
        <f>IF(ISBLANK(INDEX('Policy Characteristics'!D:D,MATCH($C476,'Policy Characteristics'!$C:$C,0))),"",INDEX('Policy Characteristics'!D:D,MATCH($C476,'Policy Characteristics'!$C:$C,0)))</f>
        <v>Electrification + Hydrogen</v>
      </c>
      <c r="K476" s="394" t="str">
        <f>IF(ISBLANK(INDEX('Policy Characteristics'!E:E,MATCH($C476,'Policy Characteristics'!$C:$C,0))),"",INDEX('Policy Characteristics'!E:E,MATCH($C476,'Policy Characteristics'!$C:$C,0)))</f>
        <v>indst med and high temp fuel type shifting</v>
      </c>
      <c r="L476" s="398">
        <f>IF(ISBLANK(INDEX('Policy Characteristics'!F:F,MATCH($C476,'Policy Characteristics'!$C:$C,0))),"",INDEX('Policy Characteristics'!F:F,MATCH($C476,'Policy Characteristics'!$C:$C,0)))</f>
        <v>0</v>
      </c>
      <c r="M476" s="398">
        <f>IF(ISBLANK(INDEX('Policy Characteristics'!G:G,MATCH($C476,'Policy Characteristics'!$C:$C,0))),"",INDEX('Policy Characteristics'!G:G,MATCH($C476,'Policy Characteristics'!$C:$C,0)))</f>
        <v>1</v>
      </c>
      <c r="N476" s="398">
        <f>IF(ISBLANK(INDEX('Policy Characteristics'!H:H,MATCH($C476,'Policy Characteristics'!$C:$C,0))),"",INDEX('Policy Characteristics'!H:H,MATCH($C476,'Policy Characteristics'!$C:$C,0)))</f>
        <v>0.01</v>
      </c>
      <c r="O476" s="394" t="str">
        <f>IF(ISBLANK(INDEX('Policy Characteristics'!I:I,MATCH($C476,'Policy Characteristics'!$C:$C,0))),"",INDEX('Policy Characteristics'!I:I,MATCH($C476,'Policy Characteristics'!$C:$C,0)))</f>
        <v>% of fuel shifted</v>
      </c>
      <c r="P476" s="394" t="str">
        <f>IF(ISBLANK(INDEX('Policy Characteristics'!J:J,MATCH($C476,'Policy Characteristics'!$C:$C,0))),"",INDEX('Policy Characteristics'!J:J,MATCH($C476,'Policy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6" s="394" t="str">
        <f>IF(ISBLANK(INDEX('Policy Characteristics'!K:K,MATCH($C476,'Policy Characteristics'!$C:$C,0))),"",INDEX('Policy Characteristics'!K:K,MATCH($C476,'Policy Characteristics'!$C:$C,0)))</f>
        <v>industry-ag-main.html#fuel-switching</v>
      </c>
      <c r="R476" s="394" t="str">
        <f>IF(ISBLANK(INDEX('Policy Characteristics'!L:L,MATCH($C476,'Policy Characteristics'!$C:$C,0))),"",INDEX('Policy Characteristics'!L:L,MATCH($C476,'Policy Characteristics'!$C:$C,0)))</f>
        <v>industry-elec-and-hydrogen.html</v>
      </c>
    </row>
    <row r="477" customHeight="1" spans="1:18">
      <c r="A477" s="394" t="str">
        <f>IF(ISBLANK(INDEX('Policy Characteristics'!A:A,MATCH($C477,'Policy Characteristics'!$C:$C,0))),"",INDEX('Policy Characteristics'!A:A,MATCH($C477,'Policy Characteristics'!$C:$C,0)))</f>
        <v>Industry</v>
      </c>
      <c r="B477" s="395" t="str">
        <f>IF(ISBLANK(INDEX('Policy Characteristics'!B:B,MATCH($C477,'Policy Characteristics'!$C:$C,0))),"",INDEX('Policy Characteristics'!B:B,MATCH($C477,'Policy Characteristics'!$C:$C,0)))</f>
        <v>Electrification + Hydrogen (Med &amp; High Temp)</v>
      </c>
      <c r="C477" s="394" t="str">
        <f t="shared" si="30"/>
        <v>Fraction of Med and High Temp Industrial Heat Shifted to Other Fuels</v>
      </c>
      <c r="D477" s="399" t="s">
        <v>742</v>
      </c>
      <c r="E477" s="399" t="s">
        <v>794</v>
      </c>
      <c r="F477" t="s">
        <v>743</v>
      </c>
      <c r="G477" s="399" t="s">
        <v>795</v>
      </c>
      <c r="H477" s="377">
        <v>1229</v>
      </c>
      <c r="I477" s="396" t="s">
        <v>658</v>
      </c>
      <c r="J477" s="397" t="str">
        <f>IF(ISBLANK(INDEX('Policy Characteristics'!D:D,MATCH($C477,'Policy Characteristics'!$C:$C,0))),"",INDEX('Policy Characteristics'!D:D,MATCH($C477,'Policy Characteristics'!$C:$C,0)))</f>
        <v>Electrification + Hydrogen</v>
      </c>
      <c r="K477" s="394" t="str">
        <f>IF(ISBLANK(INDEX('Policy Characteristics'!E:E,MATCH($C477,'Policy Characteristics'!$C:$C,0))),"",INDEX('Policy Characteristics'!E:E,MATCH($C477,'Policy Characteristics'!$C:$C,0)))</f>
        <v>indst med and high temp fuel type shifting</v>
      </c>
      <c r="L477" s="398">
        <f>IF(ISBLANK(INDEX('Policy Characteristics'!F:F,MATCH($C477,'Policy Characteristics'!$C:$C,0))),"",INDEX('Policy Characteristics'!F:F,MATCH($C477,'Policy Characteristics'!$C:$C,0)))</f>
        <v>0</v>
      </c>
      <c r="M477" s="398">
        <f>IF(ISBLANK(INDEX('Policy Characteristics'!G:G,MATCH($C477,'Policy Characteristics'!$C:$C,0))),"",INDEX('Policy Characteristics'!G:G,MATCH($C477,'Policy Characteristics'!$C:$C,0)))</f>
        <v>1</v>
      </c>
      <c r="N477" s="398">
        <f>IF(ISBLANK(INDEX('Policy Characteristics'!H:H,MATCH($C477,'Policy Characteristics'!$C:$C,0))),"",INDEX('Policy Characteristics'!H:H,MATCH($C477,'Policy Characteristics'!$C:$C,0)))</f>
        <v>0.01</v>
      </c>
      <c r="O477" s="394" t="str">
        <f>IF(ISBLANK(INDEX('Policy Characteristics'!I:I,MATCH($C477,'Policy Characteristics'!$C:$C,0))),"",INDEX('Policy Characteristics'!I:I,MATCH($C477,'Policy Characteristics'!$C:$C,0)))</f>
        <v>% of fuel shifted</v>
      </c>
      <c r="P477" s="394" t="str">
        <f>IF(ISBLANK(INDEX('Policy Characteristics'!J:J,MATCH($C477,'Policy Characteristics'!$C:$C,0))),"",INDEX('Policy Characteristics'!J:J,MATCH($C477,'Policy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7" s="394" t="str">
        <f>IF(ISBLANK(INDEX('Policy Characteristics'!K:K,MATCH($C477,'Policy Characteristics'!$C:$C,0))),"",INDEX('Policy Characteristics'!K:K,MATCH($C477,'Policy Characteristics'!$C:$C,0)))</f>
        <v>industry-ag-main.html#fuel-switching</v>
      </c>
      <c r="R477" s="394" t="str">
        <f>IF(ISBLANK(INDEX('Policy Characteristics'!L:L,MATCH($C477,'Policy Characteristics'!$C:$C,0))),"",INDEX('Policy Characteristics'!L:L,MATCH($C477,'Policy Characteristics'!$C:$C,0)))</f>
        <v>industry-elec-and-hydrogen.html</v>
      </c>
    </row>
    <row r="478" customHeight="1" spans="1:18">
      <c r="A478" s="394" t="str">
        <f>IF(ISBLANK(INDEX('Policy Characteristics'!A:A,MATCH($C478,'Policy Characteristics'!$C:$C,0))),"",INDEX('Policy Characteristics'!A:A,MATCH($C478,'Policy Characteristics'!$C:$C,0)))</f>
        <v>Industry</v>
      </c>
      <c r="B478" s="395" t="str">
        <f>IF(ISBLANK(INDEX('Policy Characteristics'!B:B,MATCH($C478,'Policy Characteristics'!$C:$C,0))),"",INDEX('Policy Characteristics'!B:B,MATCH($C478,'Policy Characteristics'!$C:$C,0)))</f>
        <v>Electrification + Hydrogen (Med &amp; High Temp)</v>
      </c>
      <c r="C478" s="394" t="str">
        <f t="shared" si="30"/>
        <v>Fraction of Med and High Temp Industrial Heat Shifted to Other Fuels</v>
      </c>
      <c r="D478" s="399" t="s">
        <v>742</v>
      </c>
      <c r="E478" s="399" t="s">
        <v>796</v>
      </c>
      <c r="F478" t="s">
        <v>743</v>
      </c>
      <c r="G478" s="399" t="s">
        <v>797</v>
      </c>
      <c r="H478" s="377">
        <v>1230</v>
      </c>
      <c r="I478" s="396" t="s">
        <v>658</v>
      </c>
      <c r="J478" s="397" t="str">
        <f>IF(ISBLANK(INDEX('Policy Characteristics'!D:D,MATCH($C478,'Policy Characteristics'!$C:$C,0))),"",INDEX('Policy Characteristics'!D:D,MATCH($C478,'Policy Characteristics'!$C:$C,0)))</f>
        <v>Electrification + Hydrogen</v>
      </c>
      <c r="K478" s="394" t="str">
        <f>IF(ISBLANK(INDEX('Policy Characteristics'!E:E,MATCH($C478,'Policy Characteristics'!$C:$C,0))),"",INDEX('Policy Characteristics'!E:E,MATCH($C478,'Policy Characteristics'!$C:$C,0)))</f>
        <v>indst med and high temp fuel type shifting</v>
      </c>
      <c r="L478" s="398">
        <f>IF(ISBLANK(INDEX('Policy Characteristics'!F:F,MATCH($C478,'Policy Characteristics'!$C:$C,0))),"",INDEX('Policy Characteristics'!F:F,MATCH($C478,'Policy Characteristics'!$C:$C,0)))</f>
        <v>0</v>
      </c>
      <c r="M478" s="398">
        <f>IF(ISBLANK(INDEX('Policy Characteristics'!G:G,MATCH($C478,'Policy Characteristics'!$C:$C,0))),"",INDEX('Policy Characteristics'!G:G,MATCH($C478,'Policy Characteristics'!$C:$C,0)))</f>
        <v>1</v>
      </c>
      <c r="N478" s="398">
        <f>IF(ISBLANK(INDEX('Policy Characteristics'!H:H,MATCH($C478,'Policy Characteristics'!$C:$C,0))),"",INDEX('Policy Characteristics'!H:H,MATCH($C478,'Policy Characteristics'!$C:$C,0)))</f>
        <v>0.01</v>
      </c>
      <c r="O478" s="394" t="str">
        <f>IF(ISBLANK(INDEX('Policy Characteristics'!I:I,MATCH($C478,'Policy Characteristics'!$C:$C,0))),"",INDEX('Policy Characteristics'!I:I,MATCH($C478,'Policy Characteristics'!$C:$C,0)))</f>
        <v>% of fuel shifted</v>
      </c>
      <c r="P478" s="394" t="str">
        <f>IF(ISBLANK(INDEX('Policy Characteristics'!J:J,MATCH($C478,'Policy Characteristics'!$C:$C,0))),"",INDEX('Policy Characteristics'!J:J,MATCH($C478,'Policy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8" s="394" t="str">
        <f>IF(ISBLANK(INDEX('Policy Characteristics'!K:K,MATCH($C478,'Policy Characteristics'!$C:$C,0))),"",INDEX('Policy Characteristics'!K:K,MATCH($C478,'Policy Characteristics'!$C:$C,0)))</f>
        <v>industry-ag-main.html#fuel-switching</v>
      </c>
      <c r="R478" s="394" t="str">
        <f>IF(ISBLANK(INDEX('Policy Characteristics'!L:L,MATCH($C478,'Policy Characteristics'!$C:$C,0))),"",INDEX('Policy Characteristics'!L:L,MATCH($C478,'Policy Characteristics'!$C:$C,0)))</f>
        <v>industry-elec-and-hydrogen.html</v>
      </c>
    </row>
    <row r="479" customHeight="1" spans="1:18">
      <c r="A479" s="394" t="str">
        <f>IF(ISBLANK(INDEX('Policy Characteristics'!A:A,MATCH($C479,'Policy Characteristics'!$C:$C,0))),"",INDEX('Policy Characteristics'!A:A,MATCH($C479,'Policy Characteristics'!$C:$C,0)))</f>
        <v>Industry</v>
      </c>
      <c r="B479" s="395" t="str">
        <f>IF(ISBLANK(INDEX('Policy Characteristics'!B:B,MATCH($C479,'Policy Characteristics'!$C:$C,0))),"",INDEX('Policy Characteristics'!B:B,MATCH($C479,'Policy Characteristics'!$C:$C,0)))</f>
        <v>Electrification + Hydrogen (Med &amp; High Temp)</v>
      </c>
      <c r="C479" s="394" t="str">
        <f t="shared" si="30"/>
        <v>Fraction of Med and High Temp Industrial Heat Shifted to Other Fuels</v>
      </c>
      <c r="D479" s="399" t="s">
        <v>742</v>
      </c>
      <c r="E479" s="399" t="s">
        <v>798</v>
      </c>
      <c r="F479" t="s">
        <v>743</v>
      </c>
      <c r="G479" s="399" t="s">
        <v>799</v>
      </c>
      <c r="H479" s="377">
        <v>1231</v>
      </c>
      <c r="I479" s="396" t="s">
        <v>658</v>
      </c>
      <c r="J479" s="397" t="str">
        <f>IF(ISBLANK(INDEX('Policy Characteristics'!D:D,MATCH($C479,'Policy Characteristics'!$C:$C,0))),"",INDEX('Policy Characteristics'!D:D,MATCH($C479,'Policy Characteristics'!$C:$C,0)))</f>
        <v>Electrification + Hydrogen</v>
      </c>
      <c r="K479" s="394" t="str">
        <f>IF(ISBLANK(INDEX('Policy Characteristics'!E:E,MATCH($C479,'Policy Characteristics'!$C:$C,0))),"",INDEX('Policy Characteristics'!E:E,MATCH($C479,'Policy Characteristics'!$C:$C,0)))</f>
        <v>indst med and high temp fuel type shifting</v>
      </c>
      <c r="L479" s="398">
        <f>IF(ISBLANK(INDEX('Policy Characteristics'!F:F,MATCH($C479,'Policy Characteristics'!$C:$C,0))),"",INDEX('Policy Characteristics'!F:F,MATCH($C479,'Policy Characteristics'!$C:$C,0)))</f>
        <v>0</v>
      </c>
      <c r="M479" s="398">
        <f>IF(ISBLANK(INDEX('Policy Characteristics'!G:G,MATCH($C479,'Policy Characteristics'!$C:$C,0))),"",INDEX('Policy Characteristics'!G:G,MATCH($C479,'Policy Characteristics'!$C:$C,0)))</f>
        <v>1</v>
      </c>
      <c r="N479" s="398">
        <f>IF(ISBLANK(INDEX('Policy Characteristics'!H:H,MATCH($C479,'Policy Characteristics'!$C:$C,0))),"",INDEX('Policy Characteristics'!H:H,MATCH($C479,'Policy Characteristics'!$C:$C,0)))</f>
        <v>0.01</v>
      </c>
      <c r="O479" s="394" t="str">
        <f>IF(ISBLANK(INDEX('Policy Characteristics'!I:I,MATCH($C479,'Policy Characteristics'!$C:$C,0))),"",INDEX('Policy Characteristics'!I:I,MATCH($C479,'Policy Characteristics'!$C:$C,0)))</f>
        <v>% of fuel shifted</v>
      </c>
      <c r="P479" s="394" t="str">
        <f>IF(ISBLANK(INDEX('Policy Characteristics'!J:J,MATCH($C479,'Policy Characteristics'!$C:$C,0))),"",INDEX('Policy Characteristics'!J:J,MATCH($C479,'Policy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9" s="394" t="str">
        <f>IF(ISBLANK(INDEX('Policy Characteristics'!K:K,MATCH($C479,'Policy Characteristics'!$C:$C,0))),"",INDEX('Policy Characteristics'!K:K,MATCH($C479,'Policy Characteristics'!$C:$C,0)))</f>
        <v>industry-ag-main.html#fuel-switching</v>
      </c>
      <c r="R479" s="394" t="str">
        <f>IF(ISBLANK(INDEX('Policy Characteristics'!L:L,MATCH($C479,'Policy Characteristics'!$C:$C,0))),"",INDEX('Policy Characteristics'!L:L,MATCH($C479,'Policy Characteristics'!$C:$C,0)))</f>
        <v>industry-elec-and-hydrogen.html</v>
      </c>
    </row>
    <row r="480" customHeight="1" spans="1:18">
      <c r="A480" s="394" t="str">
        <f>IF(ISBLANK(INDEX('Policy Characteristics'!A:A,MATCH($C480,'Policy Characteristics'!$C:$C,0))),"",INDEX('Policy Characteristics'!A:A,MATCH($C480,'Policy Characteristics'!$C:$C,0)))</f>
        <v>Industry</v>
      </c>
      <c r="B480" s="395" t="str">
        <f>IF(ISBLANK(INDEX('Policy Characteristics'!B:B,MATCH($C480,'Policy Characteristics'!$C:$C,0))),"",INDEX('Policy Characteristics'!B:B,MATCH($C480,'Policy Characteristics'!$C:$C,0)))</f>
        <v>Electrification + Hydrogen (Med &amp; High Temp)</v>
      </c>
      <c r="C480" s="394" t="str">
        <f t="shared" si="30"/>
        <v>Fraction of Med and High Temp Industrial Heat Shifted to Other Fuels</v>
      </c>
      <c r="D480" s="399" t="s">
        <v>742</v>
      </c>
      <c r="E480" s="399" t="s">
        <v>800</v>
      </c>
      <c r="F480" t="s">
        <v>743</v>
      </c>
      <c r="G480" s="399" t="s">
        <v>801</v>
      </c>
      <c r="H480" s="377">
        <v>1232</v>
      </c>
      <c r="I480" s="396" t="s">
        <v>658</v>
      </c>
      <c r="J480" s="397" t="str">
        <f>IF(ISBLANK(INDEX('Policy Characteristics'!D:D,MATCH($C480,'Policy Characteristics'!$C:$C,0))),"",INDEX('Policy Characteristics'!D:D,MATCH($C480,'Policy Characteristics'!$C:$C,0)))</f>
        <v>Electrification + Hydrogen</v>
      </c>
      <c r="K480" s="394" t="str">
        <f>IF(ISBLANK(INDEX('Policy Characteristics'!E:E,MATCH($C480,'Policy Characteristics'!$C:$C,0))),"",INDEX('Policy Characteristics'!E:E,MATCH($C480,'Policy Characteristics'!$C:$C,0)))</f>
        <v>indst med and high temp fuel type shifting</v>
      </c>
      <c r="L480" s="398">
        <f>IF(ISBLANK(INDEX('Policy Characteristics'!F:F,MATCH($C480,'Policy Characteristics'!$C:$C,0))),"",INDEX('Policy Characteristics'!F:F,MATCH($C480,'Policy Characteristics'!$C:$C,0)))</f>
        <v>0</v>
      </c>
      <c r="M480" s="398">
        <f>IF(ISBLANK(INDEX('Policy Characteristics'!G:G,MATCH($C480,'Policy Characteristics'!$C:$C,0))),"",INDEX('Policy Characteristics'!G:G,MATCH($C480,'Policy Characteristics'!$C:$C,0)))</f>
        <v>1</v>
      </c>
      <c r="N480" s="398">
        <f>IF(ISBLANK(INDEX('Policy Characteristics'!H:H,MATCH($C480,'Policy Characteristics'!$C:$C,0))),"",INDEX('Policy Characteristics'!H:H,MATCH($C480,'Policy Characteristics'!$C:$C,0)))</f>
        <v>0.01</v>
      </c>
      <c r="O480" s="394" t="str">
        <f>IF(ISBLANK(INDEX('Policy Characteristics'!I:I,MATCH($C480,'Policy Characteristics'!$C:$C,0))),"",INDEX('Policy Characteristics'!I:I,MATCH($C480,'Policy Characteristics'!$C:$C,0)))</f>
        <v>% of fuel shifted</v>
      </c>
      <c r="P480" s="394" t="str">
        <f>IF(ISBLANK(INDEX('Policy Characteristics'!J:J,MATCH($C480,'Policy Characteristics'!$C:$C,0))),"",INDEX('Policy Characteristics'!J:J,MATCH($C480,'Policy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0" s="394" t="str">
        <f>IF(ISBLANK(INDEX('Policy Characteristics'!K:K,MATCH($C480,'Policy Characteristics'!$C:$C,0))),"",INDEX('Policy Characteristics'!K:K,MATCH($C480,'Policy Characteristics'!$C:$C,0)))</f>
        <v>industry-ag-main.html#fuel-switching</v>
      </c>
      <c r="R480" s="394" t="str">
        <f>IF(ISBLANK(INDEX('Policy Characteristics'!L:L,MATCH($C480,'Policy Characteristics'!$C:$C,0))),"",INDEX('Policy Characteristics'!L:L,MATCH($C480,'Policy Characteristics'!$C:$C,0)))</f>
        <v>industry-elec-and-hydrogen.html</v>
      </c>
    </row>
    <row r="481" customHeight="1" spans="1:18">
      <c r="A481" s="394" t="str">
        <f>IF(ISBLANK(INDEX('Policy Characteristics'!A:A,MATCH($C481,'Policy Characteristics'!$C:$C,0))),"",INDEX('Policy Characteristics'!A:A,MATCH($C481,'Policy Characteristics'!$C:$C,0)))</f>
        <v>Industry</v>
      </c>
      <c r="B481" s="395" t="str">
        <f>IF(ISBLANK(INDEX('Policy Characteristics'!B:B,MATCH($C481,'Policy Characteristics'!$C:$C,0))),"",INDEX('Policy Characteristics'!B:B,MATCH($C481,'Policy Characteristics'!$C:$C,0)))</f>
        <v>Electrification + Hydrogen (Med &amp; High Temp)</v>
      </c>
      <c r="C481" s="394" t="str">
        <f t="shared" si="30"/>
        <v>Fraction of Med and High Temp Industrial Heat Shifted to Other Fuels</v>
      </c>
      <c r="D481" s="399" t="s">
        <v>742</v>
      </c>
      <c r="E481" s="399" t="s">
        <v>802</v>
      </c>
      <c r="F481" t="s">
        <v>743</v>
      </c>
      <c r="G481" s="399" t="s">
        <v>803</v>
      </c>
      <c r="H481" s="377">
        <v>1233</v>
      </c>
      <c r="I481" s="396" t="s">
        <v>658</v>
      </c>
      <c r="J481" s="397" t="str">
        <f>IF(ISBLANK(INDEX('Policy Characteristics'!D:D,MATCH($C481,'Policy Characteristics'!$C:$C,0))),"",INDEX('Policy Characteristics'!D:D,MATCH($C481,'Policy Characteristics'!$C:$C,0)))</f>
        <v>Electrification + Hydrogen</v>
      </c>
      <c r="K481" s="394" t="str">
        <f>IF(ISBLANK(INDEX('Policy Characteristics'!E:E,MATCH($C481,'Policy Characteristics'!$C:$C,0))),"",INDEX('Policy Characteristics'!E:E,MATCH($C481,'Policy Characteristics'!$C:$C,0)))</f>
        <v>indst med and high temp fuel type shifting</v>
      </c>
      <c r="L481" s="398">
        <f>IF(ISBLANK(INDEX('Policy Characteristics'!F:F,MATCH($C481,'Policy Characteristics'!$C:$C,0))),"",INDEX('Policy Characteristics'!F:F,MATCH($C481,'Policy Characteristics'!$C:$C,0)))</f>
        <v>0</v>
      </c>
      <c r="M481" s="398">
        <f>IF(ISBLANK(INDEX('Policy Characteristics'!G:G,MATCH($C481,'Policy Characteristics'!$C:$C,0))),"",INDEX('Policy Characteristics'!G:G,MATCH($C481,'Policy Characteristics'!$C:$C,0)))</f>
        <v>1</v>
      </c>
      <c r="N481" s="398">
        <f>IF(ISBLANK(INDEX('Policy Characteristics'!H:H,MATCH($C481,'Policy Characteristics'!$C:$C,0))),"",INDEX('Policy Characteristics'!H:H,MATCH($C481,'Policy Characteristics'!$C:$C,0)))</f>
        <v>0.01</v>
      </c>
      <c r="O481" s="394" t="str">
        <f>IF(ISBLANK(INDEX('Policy Characteristics'!I:I,MATCH($C481,'Policy Characteristics'!$C:$C,0))),"",INDEX('Policy Characteristics'!I:I,MATCH($C481,'Policy Characteristics'!$C:$C,0)))</f>
        <v>% of fuel shifted</v>
      </c>
      <c r="P481" s="394" t="str">
        <f>IF(ISBLANK(INDEX('Policy Characteristics'!J:J,MATCH($C481,'Policy Characteristics'!$C:$C,0))),"",INDEX('Policy Characteristics'!J:J,MATCH($C481,'Policy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1" s="394" t="str">
        <f>IF(ISBLANK(INDEX('Policy Characteristics'!K:K,MATCH($C481,'Policy Characteristics'!$C:$C,0))),"",INDEX('Policy Characteristics'!K:K,MATCH($C481,'Policy Characteristics'!$C:$C,0)))</f>
        <v>industry-ag-main.html#fuel-switching</v>
      </c>
      <c r="R481" s="394" t="str">
        <f>IF(ISBLANK(INDEX('Policy Characteristics'!L:L,MATCH($C481,'Policy Characteristics'!$C:$C,0))),"",INDEX('Policy Characteristics'!L:L,MATCH($C481,'Policy Characteristics'!$C:$C,0)))</f>
        <v>industry-elec-and-hydrogen.html</v>
      </c>
    </row>
    <row r="482" customHeight="1" spans="1:18">
      <c r="A482" s="394" t="str">
        <f>IF(ISBLANK(INDEX('Policy Characteristics'!A:A,MATCH($C482,'Policy Characteristics'!$C:$C,0))),"",INDEX('Policy Characteristics'!A:A,MATCH($C482,'Policy Characteristics'!$C:$C,0)))</f>
        <v>Industry</v>
      </c>
      <c r="B482" s="395" t="str">
        <f>IF(ISBLANK(INDEX('Policy Characteristics'!B:B,MATCH($C482,'Policy Characteristics'!$C:$C,0))),"",INDEX('Policy Characteristics'!B:B,MATCH($C482,'Policy Characteristics'!$C:$C,0)))</f>
        <v>Electrification + Hydrogen (Med &amp; High Temp)</v>
      </c>
      <c r="C482" s="394" t="str">
        <f t="shared" si="30"/>
        <v>Fraction of Med and High Temp Industrial Heat Shifted to Other Fuels</v>
      </c>
      <c r="D482" s="399" t="s">
        <v>742</v>
      </c>
      <c r="E482" s="399" t="s">
        <v>804</v>
      </c>
      <c r="F482" t="s">
        <v>743</v>
      </c>
      <c r="G482" s="399" t="s">
        <v>805</v>
      </c>
      <c r="H482" s="377">
        <v>1234</v>
      </c>
      <c r="I482" s="396" t="s">
        <v>658</v>
      </c>
      <c r="J482" s="397" t="str">
        <f>IF(ISBLANK(INDEX('Policy Characteristics'!D:D,MATCH($C482,'Policy Characteristics'!$C:$C,0))),"",INDEX('Policy Characteristics'!D:D,MATCH($C482,'Policy Characteristics'!$C:$C,0)))</f>
        <v>Electrification + Hydrogen</v>
      </c>
      <c r="K482" s="394" t="str">
        <f>IF(ISBLANK(INDEX('Policy Characteristics'!E:E,MATCH($C482,'Policy Characteristics'!$C:$C,0))),"",INDEX('Policy Characteristics'!E:E,MATCH($C482,'Policy Characteristics'!$C:$C,0)))</f>
        <v>indst med and high temp fuel type shifting</v>
      </c>
      <c r="L482" s="398">
        <f>IF(ISBLANK(INDEX('Policy Characteristics'!F:F,MATCH($C482,'Policy Characteristics'!$C:$C,0))),"",INDEX('Policy Characteristics'!F:F,MATCH($C482,'Policy Characteristics'!$C:$C,0)))</f>
        <v>0</v>
      </c>
      <c r="M482" s="398">
        <f>IF(ISBLANK(INDEX('Policy Characteristics'!G:G,MATCH($C482,'Policy Characteristics'!$C:$C,0))),"",INDEX('Policy Characteristics'!G:G,MATCH($C482,'Policy Characteristics'!$C:$C,0)))</f>
        <v>1</v>
      </c>
      <c r="N482" s="398">
        <f>IF(ISBLANK(INDEX('Policy Characteristics'!H:H,MATCH($C482,'Policy Characteristics'!$C:$C,0))),"",INDEX('Policy Characteristics'!H:H,MATCH($C482,'Policy Characteristics'!$C:$C,0)))</f>
        <v>0.01</v>
      </c>
      <c r="O482" s="394" t="str">
        <f>IF(ISBLANK(INDEX('Policy Characteristics'!I:I,MATCH($C482,'Policy Characteristics'!$C:$C,0))),"",INDEX('Policy Characteristics'!I:I,MATCH($C482,'Policy Characteristics'!$C:$C,0)))</f>
        <v>% of fuel shifted</v>
      </c>
      <c r="P482" s="394" t="str">
        <f>IF(ISBLANK(INDEX('Policy Characteristics'!J:J,MATCH($C482,'Policy Characteristics'!$C:$C,0))),"",INDEX('Policy Characteristics'!J:J,MATCH($C482,'Policy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2" s="394" t="str">
        <f>IF(ISBLANK(INDEX('Policy Characteristics'!K:K,MATCH($C482,'Policy Characteristics'!$C:$C,0))),"",INDEX('Policy Characteristics'!K:K,MATCH($C482,'Policy Characteristics'!$C:$C,0)))</f>
        <v>industry-ag-main.html#fuel-switching</v>
      </c>
      <c r="R482" s="394" t="str">
        <f>IF(ISBLANK(INDEX('Policy Characteristics'!L:L,MATCH($C482,'Policy Characteristics'!$C:$C,0))),"",INDEX('Policy Characteristics'!L:L,MATCH($C482,'Policy Characteristics'!$C:$C,0)))</f>
        <v>industry-elec-and-hydrogen.html</v>
      </c>
    </row>
    <row r="483" customHeight="1" spans="1:18">
      <c r="A483" s="394" t="str">
        <f>IF(ISBLANK(INDEX('Policy Characteristics'!A:A,MATCH($C483,'Policy Characteristics'!$C:$C,0))),"",INDEX('Policy Characteristics'!A:A,MATCH($C483,'Policy Characteristics'!$C:$C,0)))</f>
        <v>Industry</v>
      </c>
      <c r="B483" s="395" t="str">
        <f>IF(ISBLANK(INDEX('Policy Characteristics'!B:B,MATCH($C483,'Policy Characteristics'!$C:$C,0))),"",INDEX('Policy Characteristics'!B:B,MATCH($C483,'Policy Characteristics'!$C:$C,0)))</f>
        <v>Electrification + Hydrogen (Med &amp; High Temp)</v>
      </c>
      <c r="C483" s="394" t="str">
        <f t="shared" si="30"/>
        <v>Fraction of Med and High Temp Industrial Heat Shifted to Other Fuels</v>
      </c>
      <c r="D483" s="399" t="s">
        <v>742</v>
      </c>
      <c r="E483" s="399" t="s">
        <v>806</v>
      </c>
      <c r="F483" t="s">
        <v>743</v>
      </c>
      <c r="G483" s="399" t="s">
        <v>807</v>
      </c>
      <c r="H483" s="377">
        <v>1235</v>
      </c>
      <c r="I483" s="396" t="s">
        <v>658</v>
      </c>
      <c r="J483" s="397" t="str">
        <f>IF(ISBLANK(INDEX('Policy Characteristics'!D:D,MATCH($C483,'Policy Characteristics'!$C:$C,0))),"",INDEX('Policy Characteristics'!D:D,MATCH($C483,'Policy Characteristics'!$C:$C,0)))</f>
        <v>Electrification + Hydrogen</v>
      </c>
      <c r="K483" s="394" t="str">
        <f>IF(ISBLANK(INDEX('Policy Characteristics'!E:E,MATCH($C483,'Policy Characteristics'!$C:$C,0))),"",INDEX('Policy Characteristics'!E:E,MATCH($C483,'Policy Characteristics'!$C:$C,0)))</f>
        <v>indst med and high temp fuel type shifting</v>
      </c>
      <c r="L483" s="398">
        <f>IF(ISBLANK(INDEX('Policy Characteristics'!F:F,MATCH($C483,'Policy Characteristics'!$C:$C,0))),"",INDEX('Policy Characteristics'!F:F,MATCH($C483,'Policy Characteristics'!$C:$C,0)))</f>
        <v>0</v>
      </c>
      <c r="M483" s="398">
        <f>IF(ISBLANK(INDEX('Policy Characteristics'!G:G,MATCH($C483,'Policy Characteristics'!$C:$C,0))),"",INDEX('Policy Characteristics'!G:G,MATCH($C483,'Policy Characteristics'!$C:$C,0)))</f>
        <v>1</v>
      </c>
      <c r="N483" s="398">
        <f>IF(ISBLANK(INDEX('Policy Characteristics'!H:H,MATCH($C483,'Policy Characteristics'!$C:$C,0))),"",INDEX('Policy Characteristics'!H:H,MATCH($C483,'Policy Characteristics'!$C:$C,0)))</f>
        <v>0.01</v>
      </c>
      <c r="O483" s="394" t="str">
        <f>IF(ISBLANK(INDEX('Policy Characteristics'!I:I,MATCH($C483,'Policy Characteristics'!$C:$C,0))),"",INDEX('Policy Characteristics'!I:I,MATCH($C483,'Policy Characteristics'!$C:$C,0)))</f>
        <v>% of fuel shifted</v>
      </c>
      <c r="P483" s="394" t="str">
        <f>IF(ISBLANK(INDEX('Policy Characteristics'!J:J,MATCH($C483,'Policy Characteristics'!$C:$C,0))),"",INDEX('Policy Characteristics'!J:J,MATCH($C483,'Policy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3" s="394" t="str">
        <f>IF(ISBLANK(INDEX('Policy Characteristics'!K:K,MATCH($C483,'Policy Characteristics'!$C:$C,0))),"",INDEX('Policy Characteristics'!K:K,MATCH($C483,'Policy Characteristics'!$C:$C,0)))</f>
        <v>industry-ag-main.html#fuel-switching</v>
      </c>
      <c r="R483" s="394" t="str">
        <f>IF(ISBLANK(INDEX('Policy Characteristics'!L:L,MATCH($C483,'Policy Characteristics'!$C:$C,0))),"",INDEX('Policy Characteristics'!L:L,MATCH($C483,'Policy Characteristics'!$C:$C,0)))</f>
        <v>industry-elec-and-hydrogen.html</v>
      </c>
    </row>
    <row r="484" customHeight="1" spans="1:18">
      <c r="A484" s="394" t="str">
        <f>IF(ISBLANK(INDEX('Policy Characteristics'!A:A,MATCH($C484,'Policy Characteristics'!$C:$C,0))),"",INDEX('Policy Characteristics'!A:A,MATCH($C484,'Policy Characteristics'!$C:$C,0)))</f>
        <v>Industry</v>
      </c>
      <c r="B484" s="395" t="str">
        <f>IF(ISBLANK(INDEX('Policy Characteristics'!B:B,MATCH($C484,'Policy Characteristics'!$C:$C,0))),"",INDEX('Policy Characteristics'!B:B,MATCH($C484,'Policy Characteristics'!$C:$C,0)))</f>
        <v>Electrification + Hydrogen (Med &amp; High Temp)</v>
      </c>
      <c r="C484" s="394" t="str">
        <f t="shared" si="30"/>
        <v>Fraction of Med and High Temp Industrial Heat Shifted to Other Fuels</v>
      </c>
      <c r="D484" s="399" t="s">
        <v>742</v>
      </c>
      <c r="E484" s="399" t="s">
        <v>808</v>
      </c>
      <c r="F484" t="s">
        <v>743</v>
      </c>
      <c r="G484" s="399" t="s">
        <v>809</v>
      </c>
      <c r="H484" s="377">
        <v>1236</v>
      </c>
      <c r="I484" s="396" t="s">
        <v>658</v>
      </c>
      <c r="J484" s="397" t="str">
        <f>IF(ISBLANK(INDEX('Policy Characteristics'!D:D,MATCH($C484,'Policy Characteristics'!$C:$C,0))),"",INDEX('Policy Characteristics'!D:D,MATCH($C484,'Policy Characteristics'!$C:$C,0)))</f>
        <v>Electrification + Hydrogen</v>
      </c>
      <c r="K484" s="394" t="str">
        <f>IF(ISBLANK(INDEX('Policy Characteristics'!E:E,MATCH($C484,'Policy Characteristics'!$C:$C,0))),"",INDEX('Policy Characteristics'!E:E,MATCH($C484,'Policy Characteristics'!$C:$C,0)))</f>
        <v>indst med and high temp fuel type shifting</v>
      </c>
      <c r="L484" s="398">
        <f>IF(ISBLANK(INDEX('Policy Characteristics'!F:F,MATCH($C484,'Policy Characteristics'!$C:$C,0))),"",INDEX('Policy Characteristics'!F:F,MATCH($C484,'Policy Characteristics'!$C:$C,0)))</f>
        <v>0</v>
      </c>
      <c r="M484" s="398">
        <f>IF(ISBLANK(INDEX('Policy Characteristics'!G:G,MATCH($C484,'Policy Characteristics'!$C:$C,0))),"",INDEX('Policy Characteristics'!G:G,MATCH($C484,'Policy Characteristics'!$C:$C,0)))</f>
        <v>1</v>
      </c>
      <c r="N484" s="398">
        <f>IF(ISBLANK(INDEX('Policy Characteristics'!H:H,MATCH($C484,'Policy Characteristics'!$C:$C,0))),"",INDEX('Policy Characteristics'!H:H,MATCH($C484,'Policy Characteristics'!$C:$C,0)))</f>
        <v>0.01</v>
      </c>
      <c r="O484" s="394" t="str">
        <f>IF(ISBLANK(INDEX('Policy Characteristics'!I:I,MATCH($C484,'Policy Characteristics'!$C:$C,0))),"",INDEX('Policy Characteristics'!I:I,MATCH($C484,'Policy Characteristics'!$C:$C,0)))</f>
        <v>% of fuel shifted</v>
      </c>
      <c r="P484" s="394" t="str">
        <f>IF(ISBLANK(INDEX('Policy Characteristics'!J:J,MATCH($C484,'Policy Characteristics'!$C:$C,0))),"",INDEX('Policy Characteristics'!J:J,MATCH($C484,'Policy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4" s="394" t="str">
        <f>IF(ISBLANK(INDEX('Policy Characteristics'!K:K,MATCH($C484,'Policy Characteristics'!$C:$C,0))),"",INDEX('Policy Characteristics'!K:K,MATCH($C484,'Policy Characteristics'!$C:$C,0)))</f>
        <v>industry-ag-main.html#fuel-switching</v>
      </c>
      <c r="R484" s="394" t="str">
        <f>IF(ISBLANK(INDEX('Policy Characteristics'!L:L,MATCH($C484,'Policy Characteristics'!$C:$C,0))),"",INDEX('Policy Characteristics'!L:L,MATCH($C484,'Policy Characteristics'!$C:$C,0)))</f>
        <v>industry-elec-and-hydrogen.html</v>
      </c>
    </row>
    <row r="485" customHeight="1" spans="1:18">
      <c r="A485" s="394" t="str">
        <f>IF(ISBLANK(INDEX('Policy Characteristics'!A:A,MATCH($C485,'Policy Characteristics'!$C:$C,0))),"",INDEX('Policy Characteristics'!A:A,MATCH($C485,'Policy Characteristics'!$C:$C,0)))</f>
        <v>Industry</v>
      </c>
      <c r="B485" s="395" t="str">
        <f>IF(ISBLANK(INDEX('Policy Characteristics'!B:B,MATCH($C485,'Policy Characteristics'!$C:$C,0))),"",INDEX('Policy Characteristics'!B:B,MATCH($C485,'Policy Characteristics'!$C:$C,0)))</f>
        <v>Electrification + Hydrogen (Med &amp; High Temp)</v>
      </c>
      <c r="C485" s="394" t="str">
        <f t="shared" si="30"/>
        <v>Fraction of Med and High Temp Industrial Heat Shifted to Other Fuels</v>
      </c>
      <c r="D485" s="399" t="s">
        <v>742</v>
      </c>
      <c r="E485" s="399" t="s">
        <v>810</v>
      </c>
      <c r="F485" t="s">
        <v>743</v>
      </c>
      <c r="G485" s="399" t="s">
        <v>811</v>
      </c>
      <c r="H485" s="377">
        <v>1237</v>
      </c>
      <c r="I485" s="396" t="s">
        <v>648</v>
      </c>
      <c r="J485" s="397" t="str">
        <f>IF(ISBLANK(INDEX('Policy Characteristics'!D:D,MATCH($C485,'Policy Characteristics'!$C:$C,0))),"",INDEX('Policy Characteristics'!D:D,MATCH($C485,'Policy Characteristics'!$C:$C,0)))</f>
        <v>Electrification + Hydrogen</v>
      </c>
      <c r="K485" s="394" t="str">
        <f>IF(ISBLANK(INDEX('Policy Characteristics'!E:E,MATCH($C485,'Policy Characteristics'!$C:$C,0))),"",INDEX('Policy Characteristics'!E:E,MATCH($C485,'Policy Characteristics'!$C:$C,0)))</f>
        <v>indst med and high temp fuel type shifting</v>
      </c>
      <c r="L485" s="398">
        <f>IF(ISBLANK(INDEX('Policy Characteristics'!F:F,MATCH($C485,'Policy Characteristics'!$C:$C,0))),"",INDEX('Policy Characteristics'!F:F,MATCH($C485,'Policy Characteristics'!$C:$C,0)))</f>
        <v>0</v>
      </c>
      <c r="M485" s="398">
        <f>IF(ISBLANK(INDEX('Policy Characteristics'!G:G,MATCH($C485,'Policy Characteristics'!$C:$C,0))),"",INDEX('Policy Characteristics'!G:G,MATCH($C485,'Policy Characteristics'!$C:$C,0)))</f>
        <v>1</v>
      </c>
      <c r="N485" s="398">
        <f>IF(ISBLANK(INDEX('Policy Characteristics'!H:H,MATCH($C485,'Policy Characteristics'!$C:$C,0))),"",INDEX('Policy Characteristics'!H:H,MATCH($C485,'Policy Characteristics'!$C:$C,0)))</f>
        <v>0.01</v>
      </c>
      <c r="O485" s="394" t="str">
        <f>IF(ISBLANK(INDEX('Policy Characteristics'!I:I,MATCH($C485,'Policy Characteristics'!$C:$C,0))),"",INDEX('Policy Characteristics'!I:I,MATCH($C485,'Policy Characteristics'!$C:$C,0)))</f>
        <v>% of fuel shifted</v>
      </c>
      <c r="P485" s="394" t="str">
        <f>IF(ISBLANK(INDEX('Policy Characteristics'!J:J,MATCH($C485,'Policy Characteristics'!$C:$C,0))),"",INDEX('Policy Characteristics'!J:J,MATCH($C485,'Policy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5" s="394" t="str">
        <f>IF(ISBLANK(INDEX('Policy Characteristics'!K:K,MATCH($C485,'Policy Characteristics'!$C:$C,0))),"",INDEX('Policy Characteristics'!K:K,MATCH($C485,'Policy Characteristics'!$C:$C,0)))</f>
        <v>industry-ag-main.html#fuel-switching</v>
      </c>
      <c r="R485" s="394" t="str">
        <f>IF(ISBLANK(INDEX('Policy Characteristics'!L:L,MATCH($C485,'Policy Characteristics'!$C:$C,0))),"",INDEX('Policy Characteristics'!L:L,MATCH($C485,'Policy Characteristics'!$C:$C,0)))</f>
        <v>industry-elec-and-hydrogen.html</v>
      </c>
    </row>
    <row r="486" customHeight="1" spans="1:18">
      <c r="A486" s="394" t="str">
        <f>IF(ISBLANK(INDEX('Policy Characteristics'!A:A,MATCH($C486,'Policy Characteristics'!$C:$C,0))),"",INDEX('Policy Characteristics'!A:A,MATCH($C486,'Policy Characteristics'!$C:$C,0)))</f>
        <v>Industry</v>
      </c>
      <c r="B486" s="395" t="str">
        <f>IF(ISBLANK(INDEX('Policy Characteristics'!B:B,MATCH($C486,'Policy Characteristics'!$C:$C,0))),"",INDEX('Policy Characteristics'!B:B,MATCH($C486,'Policy Characteristics'!$C:$C,0)))</f>
        <v>Electrification + Hydrogen (Med &amp; High Temp)</v>
      </c>
      <c r="C486" s="394" t="str">
        <f t="shared" si="30"/>
        <v>Fraction of Med and High Temp Industrial Heat Shifted to Other Fuels</v>
      </c>
      <c r="D486" s="399" t="s">
        <v>744</v>
      </c>
      <c r="E486" s="399" t="s">
        <v>792</v>
      </c>
      <c r="F486" t="s">
        <v>745</v>
      </c>
      <c r="G486" s="399" t="s">
        <v>793</v>
      </c>
      <c r="H486" s="377">
        <v>1238</v>
      </c>
      <c r="I486" s="396" t="s">
        <v>648</v>
      </c>
      <c r="J486" s="397" t="str">
        <f>IF(ISBLANK(INDEX('Policy Characteristics'!D:D,MATCH($C486,'Policy Characteristics'!$C:$C,0))),"",INDEX('Policy Characteristics'!D:D,MATCH($C486,'Policy Characteristics'!$C:$C,0)))</f>
        <v>Electrification + Hydrogen</v>
      </c>
      <c r="K486" s="394" t="str">
        <f>IF(ISBLANK(INDEX('Policy Characteristics'!E:E,MATCH($C486,'Policy Characteristics'!$C:$C,0))),"",INDEX('Policy Characteristics'!E:E,MATCH($C486,'Policy Characteristics'!$C:$C,0)))</f>
        <v>indst med and high temp fuel type shifting</v>
      </c>
      <c r="L486" s="398">
        <f>IF(ISBLANK(INDEX('Policy Characteristics'!F:F,MATCH($C486,'Policy Characteristics'!$C:$C,0))),"",INDEX('Policy Characteristics'!F:F,MATCH($C486,'Policy Characteristics'!$C:$C,0)))</f>
        <v>0</v>
      </c>
      <c r="M486" s="398">
        <f>IF(ISBLANK(INDEX('Policy Characteristics'!G:G,MATCH($C486,'Policy Characteristics'!$C:$C,0))),"",INDEX('Policy Characteristics'!G:G,MATCH($C486,'Policy Characteristics'!$C:$C,0)))</f>
        <v>1</v>
      </c>
      <c r="N486" s="398">
        <f>IF(ISBLANK(INDEX('Policy Characteristics'!H:H,MATCH($C486,'Policy Characteristics'!$C:$C,0))),"",INDEX('Policy Characteristics'!H:H,MATCH($C486,'Policy Characteristics'!$C:$C,0)))</f>
        <v>0.01</v>
      </c>
      <c r="O486" s="394" t="str">
        <f>IF(ISBLANK(INDEX('Policy Characteristics'!I:I,MATCH($C486,'Policy Characteristics'!$C:$C,0))),"",INDEX('Policy Characteristics'!I:I,MATCH($C486,'Policy Characteristics'!$C:$C,0)))</f>
        <v>% of fuel shifted</v>
      </c>
      <c r="P486" s="394" t="str">
        <f>IF(ISBLANK(INDEX('Policy Characteristics'!J:J,MATCH($C486,'Policy Characteristics'!$C:$C,0))),"",INDEX('Policy Characteristics'!J:J,MATCH($C486,'Policy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6" s="394" t="str">
        <f>IF(ISBLANK(INDEX('Policy Characteristics'!K:K,MATCH($C486,'Policy Characteristics'!$C:$C,0))),"",INDEX('Policy Characteristics'!K:K,MATCH($C486,'Policy Characteristics'!$C:$C,0)))</f>
        <v>industry-ag-main.html#fuel-switching</v>
      </c>
      <c r="R486" s="394" t="str">
        <f>IF(ISBLANK(INDEX('Policy Characteristics'!L:L,MATCH($C486,'Policy Characteristics'!$C:$C,0))),"",INDEX('Policy Characteristics'!L:L,MATCH($C486,'Policy Characteristics'!$C:$C,0)))</f>
        <v>industry-elec-and-hydrogen.html</v>
      </c>
    </row>
    <row r="487" customHeight="1" spans="1:18">
      <c r="A487" s="394" t="str">
        <f>IF(ISBLANK(INDEX('Policy Characteristics'!A:A,MATCH($C487,'Policy Characteristics'!$C:$C,0))),"",INDEX('Policy Characteristics'!A:A,MATCH($C487,'Policy Characteristics'!$C:$C,0)))</f>
        <v>Industry</v>
      </c>
      <c r="B487" s="395" t="str">
        <f>IF(ISBLANK(INDEX('Policy Characteristics'!B:B,MATCH($C487,'Policy Characteristics'!$C:$C,0))),"",INDEX('Policy Characteristics'!B:B,MATCH($C487,'Policy Characteristics'!$C:$C,0)))</f>
        <v>Electrification + Hydrogen (Med &amp; High Temp)</v>
      </c>
      <c r="C487" s="394" t="str">
        <f t="shared" si="30"/>
        <v>Fraction of Med and High Temp Industrial Heat Shifted to Other Fuels</v>
      </c>
      <c r="D487" s="399" t="s">
        <v>744</v>
      </c>
      <c r="E487" s="399" t="s">
        <v>794</v>
      </c>
      <c r="F487" t="s">
        <v>745</v>
      </c>
      <c r="G487" s="399" t="s">
        <v>795</v>
      </c>
      <c r="H487" s="377">
        <v>1239</v>
      </c>
      <c r="I487" s="396" t="s">
        <v>658</v>
      </c>
      <c r="J487" s="397" t="str">
        <f>IF(ISBLANK(INDEX('Policy Characteristics'!D:D,MATCH($C487,'Policy Characteristics'!$C:$C,0))),"",INDEX('Policy Characteristics'!D:D,MATCH($C487,'Policy Characteristics'!$C:$C,0)))</f>
        <v>Electrification + Hydrogen</v>
      </c>
      <c r="K487" s="394" t="str">
        <f>IF(ISBLANK(INDEX('Policy Characteristics'!E:E,MATCH($C487,'Policy Characteristics'!$C:$C,0))),"",INDEX('Policy Characteristics'!E:E,MATCH($C487,'Policy Characteristics'!$C:$C,0)))</f>
        <v>indst med and high temp fuel type shifting</v>
      </c>
      <c r="L487" s="398">
        <f>IF(ISBLANK(INDEX('Policy Characteristics'!F:F,MATCH($C487,'Policy Characteristics'!$C:$C,0))),"",INDEX('Policy Characteristics'!F:F,MATCH($C487,'Policy Characteristics'!$C:$C,0)))</f>
        <v>0</v>
      </c>
      <c r="M487" s="398">
        <f>IF(ISBLANK(INDEX('Policy Characteristics'!G:G,MATCH($C487,'Policy Characteristics'!$C:$C,0))),"",INDEX('Policy Characteristics'!G:G,MATCH($C487,'Policy Characteristics'!$C:$C,0)))</f>
        <v>1</v>
      </c>
      <c r="N487" s="398">
        <f>IF(ISBLANK(INDEX('Policy Characteristics'!H:H,MATCH($C487,'Policy Characteristics'!$C:$C,0))),"",INDEX('Policy Characteristics'!H:H,MATCH($C487,'Policy Characteristics'!$C:$C,0)))</f>
        <v>0.01</v>
      </c>
      <c r="O487" s="394" t="str">
        <f>IF(ISBLANK(INDEX('Policy Characteristics'!I:I,MATCH($C487,'Policy Characteristics'!$C:$C,0))),"",INDEX('Policy Characteristics'!I:I,MATCH($C487,'Policy Characteristics'!$C:$C,0)))</f>
        <v>% of fuel shifted</v>
      </c>
      <c r="P487" s="394" t="str">
        <f>IF(ISBLANK(INDEX('Policy Characteristics'!J:J,MATCH($C487,'Policy Characteristics'!$C:$C,0))),"",INDEX('Policy Characteristics'!J:J,MATCH($C487,'Policy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7" s="394" t="str">
        <f>IF(ISBLANK(INDEX('Policy Characteristics'!K:K,MATCH($C487,'Policy Characteristics'!$C:$C,0))),"",INDEX('Policy Characteristics'!K:K,MATCH($C487,'Policy Characteristics'!$C:$C,0)))</f>
        <v>industry-ag-main.html#fuel-switching</v>
      </c>
      <c r="R487" s="394" t="str">
        <f>IF(ISBLANK(INDEX('Policy Characteristics'!L:L,MATCH($C487,'Policy Characteristics'!$C:$C,0))),"",INDEX('Policy Characteristics'!L:L,MATCH($C487,'Policy Characteristics'!$C:$C,0)))</f>
        <v>industry-elec-and-hydrogen.html</v>
      </c>
    </row>
    <row r="488" customHeight="1" spans="1:18">
      <c r="A488" s="394" t="str">
        <f>IF(ISBLANK(INDEX('Policy Characteristics'!A:A,MATCH($C488,'Policy Characteristics'!$C:$C,0))),"",INDEX('Policy Characteristics'!A:A,MATCH($C488,'Policy Characteristics'!$C:$C,0)))</f>
        <v>Industry</v>
      </c>
      <c r="B488" s="395" t="str">
        <f>IF(ISBLANK(INDEX('Policy Characteristics'!B:B,MATCH($C488,'Policy Characteristics'!$C:$C,0))),"",INDEX('Policy Characteristics'!B:B,MATCH($C488,'Policy Characteristics'!$C:$C,0)))</f>
        <v>Electrification + Hydrogen (Med &amp; High Temp)</v>
      </c>
      <c r="C488" s="394" t="str">
        <f t="shared" si="30"/>
        <v>Fraction of Med and High Temp Industrial Heat Shifted to Other Fuels</v>
      </c>
      <c r="D488" s="399" t="s">
        <v>744</v>
      </c>
      <c r="E488" s="399" t="s">
        <v>796</v>
      </c>
      <c r="F488" t="s">
        <v>745</v>
      </c>
      <c r="G488" s="399" t="s">
        <v>797</v>
      </c>
      <c r="H488" s="377">
        <v>1240</v>
      </c>
      <c r="I488" s="396" t="s">
        <v>658</v>
      </c>
      <c r="J488" s="397" t="str">
        <f>IF(ISBLANK(INDEX('Policy Characteristics'!D:D,MATCH($C488,'Policy Characteristics'!$C:$C,0))),"",INDEX('Policy Characteristics'!D:D,MATCH($C488,'Policy Characteristics'!$C:$C,0)))</f>
        <v>Electrification + Hydrogen</v>
      </c>
      <c r="K488" s="394" t="str">
        <f>IF(ISBLANK(INDEX('Policy Characteristics'!E:E,MATCH($C488,'Policy Characteristics'!$C:$C,0))),"",INDEX('Policy Characteristics'!E:E,MATCH($C488,'Policy Characteristics'!$C:$C,0)))</f>
        <v>indst med and high temp fuel type shifting</v>
      </c>
      <c r="L488" s="398">
        <f>IF(ISBLANK(INDEX('Policy Characteristics'!F:F,MATCH($C488,'Policy Characteristics'!$C:$C,0))),"",INDEX('Policy Characteristics'!F:F,MATCH($C488,'Policy Characteristics'!$C:$C,0)))</f>
        <v>0</v>
      </c>
      <c r="M488" s="398">
        <f>IF(ISBLANK(INDEX('Policy Characteristics'!G:G,MATCH($C488,'Policy Characteristics'!$C:$C,0))),"",INDEX('Policy Characteristics'!G:G,MATCH($C488,'Policy Characteristics'!$C:$C,0)))</f>
        <v>1</v>
      </c>
      <c r="N488" s="398">
        <f>IF(ISBLANK(INDEX('Policy Characteristics'!H:H,MATCH($C488,'Policy Characteristics'!$C:$C,0))),"",INDEX('Policy Characteristics'!H:H,MATCH($C488,'Policy Characteristics'!$C:$C,0)))</f>
        <v>0.01</v>
      </c>
      <c r="O488" s="394" t="str">
        <f>IF(ISBLANK(INDEX('Policy Characteristics'!I:I,MATCH($C488,'Policy Characteristics'!$C:$C,0))),"",INDEX('Policy Characteristics'!I:I,MATCH($C488,'Policy Characteristics'!$C:$C,0)))</f>
        <v>% of fuel shifted</v>
      </c>
      <c r="P488" s="394" t="str">
        <f>IF(ISBLANK(INDEX('Policy Characteristics'!J:J,MATCH($C488,'Policy Characteristics'!$C:$C,0))),"",INDEX('Policy Characteristics'!J:J,MATCH($C488,'Policy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8" s="394" t="str">
        <f>IF(ISBLANK(INDEX('Policy Characteristics'!K:K,MATCH($C488,'Policy Characteristics'!$C:$C,0))),"",INDEX('Policy Characteristics'!K:K,MATCH($C488,'Policy Characteristics'!$C:$C,0)))</f>
        <v>industry-ag-main.html#fuel-switching</v>
      </c>
      <c r="R488" s="394" t="str">
        <f>IF(ISBLANK(INDEX('Policy Characteristics'!L:L,MATCH($C488,'Policy Characteristics'!$C:$C,0))),"",INDEX('Policy Characteristics'!L:L,MATCH($C488,'Policy Characteristics'!$C:$C,0)))</f>
        <v>industry-elec-and-hydrogen.html</v>
      </c>
    </row>
    <row r="489" customHeight="1" spans="1:18">
      <c r="A489" s="394" t="str">
        <f>IF(ISBLANK(INDEX('Policy Characteristics'!A:A,MATCH($C489,'Policy Characteristics'!$C:$C,0))),"",INDEX('Policy Characteristics'!A:A,MATCH($C489,'Policy Characteristics'!$C:$C,0)))</f>
        <v>Industry</v>
      </c>
      <c r="B489" s="395" t="str">
        <f>IF(ISBLANK(INDEX('Policy Characteristics'!B:B,MATCH($C489,'Policy Characteristics'!$C:$C,0))),"",INDEX('Policy Characteristics'!B:B,MATCH($C489,'Policy Characteristics'!$C:$C,0)))</f>
        <v>Electrification + Hydrogen (Med &amp; High Temp)</v>
      </c>
      <c r="C489" s="394" t="str">
        <f t="shared" ref="C489:C490" si="31">C$456</f>
        <v>Fraction of Med and High Temp Industrial Heat Shifted to Other Fuels</v>
      </c>
      <c r="D489" s="399" t="s">
        <v>744</v>
      </c>
      <c r="E489" s="399" t="s">
        <v>798</v>
      </c>
      <c r="F489" t="s">
        <v>745</v>
      </c>
      <c r="G489" s="399" t="s">
        <v>799</v>
      </c>
      <c r="H489" s="377">
        <v>1241</v>
      </c>
      <c r="I489" s="396" t="s">
        <v>658</v>
      </c>
      <c r="J489" s="397" t="str">
        <f>IF(ISBLANK(INDEX('Policy Characteristics'!D:D,MATCH($C489,'Policy Characteristics'!$C:$C,0))),"",INDEX('Policy Characteristics'!D:D,MATCH($C489,'Policy Characteristics'!$C:$C,0)))</f>
        <v>Electrification + Hydrogen</v>
      </c>
      <c r="K489" s="394" t="str">
        <f>IF(ISBLANK(INDEX('Policy Characteristics'!E:E,MATCH($C489,'Policy Characteristics'!$C:$C,0))),"",INDEX('Policy Characteristics'!E:E,MATCH($C489,'Policy Characteristics'!$C:$C,0)))</f>
        <v>indst med and high temp fuel type shifting</v>
      </c>
      <c r="L489" s="398">
        <f>IF(ISBLANK(INDEX('Policy Characteristics'!F:F,MATCH($C489,'Policy Characteristics'!$C:$C,0))),"",INDEX('Policy Characteristics'!F:F,MATCH($C489,'Policy Characteristics'!$C:$C,0)))</f>
        <v>0</v>
      </c>
      <c r="M489" s="398">
        <f>IF(ISBLANK(INDEX('Policy Characteristics'!G:G,MATCH($C489,'Policy Characteristics'!$C:$C,0))),"",INDEX('Policy Characteristics'!G:G,MATCH($C489,'Policy Characteristics'!$C:$C,0)))</f>
        <v>1</v>
      </c>
      <c r="N489" s="398">
        <f>IF(ISBLANK(INDEX('Policy Characteristics'!H:H,MATCH($C489,'Policy Characteristics'!$C:$C,0))),"",INDEX('Policy Characteristics'!H:H,MATCH($C489,'Policy Characteristics'!$C:$C,0)))</f>
        <v>0.01</v>
      </c>
      <c r="O489" s="394" t="str">
        <f>IF(ISBLANK(INDEX('Policy Characteristics'!I:I,MATCH($C489,'Policy Characteristics'!$C:$C,0))),"",INDEX('Policy Characteristics'!I:I,MATCH($C489,'Policy Characteristics'!$C:$C,0)))</f>
        <v>% of fuel shifted</v>
      </c>
      <c r="P489" s="394" t="str">
        <f>IF(ISBLANK(INDEX('Policy Characteristics'!J:J,MATCH($C489,'Policy Characteristics'!$C:$C,0))),"",INDEX('Policy Characteristics'!J:J,MATCH($C489,'Policy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9" s="394" t="str">
        <f>IF(ISBLANK(INDEX('Policy Characteristics'!K:K,MATCH($C489,'Policy Characteristics'!$C:$C,0))),"",INDEX('Policy Characteristics'!K:K,MATCH($C489,'Policy Characteristics'!$C:$C,0)))</f>
        <v>industry-ag-main.html#fuel-switching</v>
      </c>
      <c r="R489" s="394" t="str">
        <f>IF(ISBLANK(INDEX('Policy Characteristics'!L:L,MATCH($C489,'Policy Characteristics'!$C:$C,0))),"",INDEX('Policy Characteristics'!L:L,MATCH($C489,'Policy Characteristics'!$C:$C,0)))</f>
        <v>industry-elec-and-hydrogen.html</v>
      </c>
    </row>
    <row r="490" customHeight="1" spans="1:18">
      <c r="A490" s="394" t="str">
        <f>IF(ISBLANK(INDEX('Policy Characteristics'!A:A,MATCH($C490,'Policy Characteristics'!$C:$C,0))),"",INDEX('Policy Characteristics'!A:A,MATCH($C490,'Policy Characteristics'!$C:$C,0)))</f>
        <v>Industry</v>
      </c>
      <c r="B490" s="395" t="str">
        <f>IF(ISBLANK(INDEX('Policy Characteristics'!B:B,MATCH($C490,'Policy Characteristics'!$C:$C,0))),"",INDEX('Policy Characteristics'!B:B,MATCH($C490,'Policy Characteristics'!$C:$C,0)))</f>
        <v>Electrification + Hydrogen (Med &amp; High Temp)</v>
      </c>
      <c r="C490" s="394" t="str">
        <f t="shared" si="31"/>
        <v>Fraction of Med and High Temp Industrial Heat Shifted to Other Fuels</v>
      </c>
      <c r="D490" s="399" t="s">
        <v>744</v>
      </c>
      <c r="E490" s="399" t="s">
        <v>800</v>
      </c>
      <c r="F490" t="s">
        <v>745</v>
      </c>
      <c r="G490" s="399" t="s">
        <v>801</v>
      </c>
      <c r="H490" s="377">
        <v>1242</v>
      </c>
      <c r="I490" s="396" t="s">
        <v>658</v>
      </c>
      <c r="J490" s="397" t="str">
        <f>IF(ISBLANK(INDEX('Policy Characteristics'!D:D,MATCH($C490,'Policy Characteristics'!$C:$C,0))),"",INDEX('Policy Characteristics'!D:D,MATCH($C490,'Policy Characteristics'!$C:$C,0)))</f>
        <v>Electrification + Hydrogen</v>
      </c>
      <c r="K490" s="394" t="str">
        <f>IF(ISBLANK(INDEX('Policy Characteristics'!E:E,MATCH($C490,'Policy Characteristics'!$C:$C,0))),"",INDEX('Policy Characteristics'!E:E,MATCH($C490,'Policy Characteristics'!$C:$C,0)))</f>
        <v>indst med and high temp fuel type shifting</v>
      </c>
      <c r="L490" s="398">
        <f>IF(ISBLANK(INDEX('Policy Characteristics'!F:F,MATCH($C490,'Policy Characteristics'!$C:$C,0))),"",INDEX('Policy Characteristics'!F:F,MATCH($C490,'Policy Characteristics'!$C:$C,0)))</f>
        <v>0</v>
      </c>
      <c r="M490" s="398">
        <f>IF(ISBLANK(INDEX('Policy Characteristics'!G:G,MATCH($C490,'Policy Characteristics'!$C:$C,0))),"",INDEX('Policy Characteristics'!G:G,MATCH($C490,'Policy Characteristics'!$C:$C,0)))</f>
        <v>1</v>
      </c>
      <c r="N490" s="398">
        <f>IF(ISBLANK(INDEX('Policy Characteristics'!H:H,MATCH($C490,'Policy Characteristics'!$C:$C,0))),"",INDEX('Policy Characteristics'!H:H,MATCH($C490,'Policy Characteristics'!$C:$C,0)))</f>
        <v>0.01</v>
      </c>
      <c r="O490" s="394" t="str">
        <f>IF(ISBLANK(INDEX('Policy Characteristics'!I:I,MATCH($C490,'Policy Characteristics'!$C:$C,0))),"",INDEX('Policy Characteristics'!I:I,MATCH($C490,'Policy Characteristics'!$C:$C,0)))</f>
        <v>% of fuel shifted</v>
      </c>
      <c r="P490" s="394" t="str">
        <f>IF(ISBLANK(INDEX('Policy Characteristics'!J:J,MATCH($C490,'Policy Characteristics'!$C:$C,0))),"",INDEX('Policy Characteristics'!J:J,MATCH($C490,'Policy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0" s="394" t="str">
        <f>IF(ISBLANK(INDEX('Policy Characteristics'!K:K,MATCH($C490,'Policy Characteristics'!$C:$C,0))),"",INDEX('Policy Characteristics'!K:K,MATCH($C490,'Policy Characteristics'!$C:$C,0)))</f>
        <v>industry-ag-main.html#fuel-switching</v>
      </c>
      <c r="R490" s="394" t="str">
        <f>IF(ISBLANK(INDEX('Policy Characteristics'!L:L,MATCH($C490,'Policy Characteristics'!$C:$C,0))),"",INDEX('Policy Characteristics'!L:L,MATCH($C490,'Policy Characteristics'!$C:$C,0)))</f>
        <v>industry-elec-and-hydrogen.html</v>
      </c>
    </row>
    <row r="491" customHeight="1" spans="1:18">
      <c r="A491" s="394" t="str">
        <f>IF(ISBLANK(INDEX('Policy Characteristics'!A:A,MATCH($C491,'Policy Characteristics'!$C:$C,0))),"",INDEX('Policy Characteristics'!A:A,MATCH($C491,'Policy Characteristics'!$C:$C,0)))</f>
        <v>Industry</v>
      </c>
      <c r="B491" s="395" t="str">
        <f>IF(ISBLANK(INDEX('Policy Characteristics'!B:B,MATCH($C491,'Policy Characteristics'!$C:$C,0))),"",INDEX('Policy Characteristics'!B:B,MATCH($C491,'Policy Characteristics'!$C:$C,0)))</f>
        <v>Electrification + Hydrogen (Med &amp; High Temp)</v>
      </c>
      <c r="C491" s="394" t="str">
        <f t="shared" ref="C491:C536" si="32">C$456</f>
        <v>Fraction of Med and High Temp Industrial Heat Shifted to Other Fuels</v>
      </c>
      <c r="D491" s="399" t="s">
        <v>744</v>
      </c>
      <c r="E491" s="399" t="s">
        <v>802</v>
      </c>
      <c r="F491" t="s">
        <v>745</v>
      </c>
      <c r="G491" s="399" t="s">
        <v>803</v>
      </c>
      <c r="H491" s="377">
        <v>1243</v>
      </c>
      <c r="I491" s="396" t="s">
        <v>658</v>
      </c>
      <c r="J491" s="397" t="str">
        <f>IF(ISBLANK(INDEX('Policy Characteristics'!D:D,MATCH($C491,'Policy Characteristics'!$C:$C,0))),"",INDEX('Policy Characteristics'!D:D,MATCH($C491,'Policy Characteristics'!$C:$C,0)))</f>
        <v>Electrification + Hydrogen</v>
      </c>
      <c r="K491" s="394" t="str">
        <f>IF(ISBLANK(INDEX('Policy Characteristics'!E:E,MATCH($C491,'Policy Characteristics'!$C:$C,0))),"",INDEX('Policy Characteristics'!E:E,MATCH($C491,'Policy Characteristics'!$C:$C,0)))</f>
        <v>indst med and high temp fuel type shifting</v>
      </c>
      <c r="L491" s="398">
        <f>IF(ISBLANK(INDEX('Policy Characteristics'!F:F,MATCH($C491,'Policy Characteristics'!$C:$C,0))),"",INDEX('Policy Characteristics'!F:F,MATCH($C491,'Policy Characteristics'!$C:$C,0)))</f>
        <v>0</v>
      </c>
      <c r="M491" s="398">
        <f>IF(ISBLANK(INDEX('Policy Characteristics'!G:G,MATCH($C491,'Policy Characteristics'!$C:$C,0))),"",INDEX('Policy Characteristics'!G:G,MATCH($C491,'Policy Characteristics'!$C:$C,0)))</f>
        <v>1</v>
      </c>
      <c r="N491" s="398">
        <f>IF(ISBLANK(INDEX('Policy Characteristics'!H:H,MATCH($C491,'Policy Characteristics'!$C:$C,0))),"",INDEX('Policy Characteristics'!H:H,MATCH($C491,'Policy Characteristics'!$C:$C,0)))</f>
        <v>0.01</v>
      </c>
      <c r="O491" s="394" t="str">
        <f>IF(ISBLANK(INDEX('Policy Characteristics'!I:I,MATCH($C491,'Policy Characteristics'!$C:$C,0))),"",INDEX('Policy Characteristics'!I:I,MATCH($C491,'Policy Characteristics'!$C:$C,0)))</f>
        <v>% of fuel shifted</v>
      </c>
      <c r="P491" s="394" t="str">
        <f>IF(ISBLANK(INDEX('Policy Characteristics'!J:J,MATCH($C491,'Policy Characteristics'!$C:$C,0))),"",INDEX('Policy Characteristics'!J:J,MATCH($C491,'Policy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1" s="394" t="str">
        <f>IF(ISBLANK(INDEX('Policy Characteristics'!K:K,MATCH($C491,'Policy Characteristics'!$C:$C,0))),"",INDEX('Policy Characteristics'!K:K,MATCH($C491,'Policy Characteristics'!$C:$C,0)))</f>
        <v>industry-ag-main.html#fuel-switching</v>
      </c>
      <c r="R491" s="394" t="str">
        <f>IF(ISBLANK(INDEX('Policy Characteristics'!L:L,MATCH($C491,'Policy Characteristics'!$C:$C,0))),"",INDEX('Policy Characteristics'!L:L,MATCH($C491,'Policy Characteristics'!$C:$C,0)))</f>
        <v>industry-elec-and-hydrogen.html</v>
      </c>
    </row>
    <row r="492" customHeight="1" spans="1:18">
      <c r="A492" s="394" t="str">
        <f>IF(ISBLANK(INDEX('Policy Characteristics'!A:A,MATCH($C492,'Policy Characteristics'!$C:$C,0))),"",INDEX('Policy Characteristics'!A:A,MATCH($C492,'Policy Characteristics'!$C:$C,0)))</f>
        <v>Industry</v>
      </c>
      <c r="B492" s="395" t="str">
        <f>IF(ISBLANK(INDEX('Policy Characteristics'!B:B,MATCH($C492,'Policy Characteristics'!$C:$C,0))),"",INDEX('Policy Characteristics'!B:B,MATCH($C492,'Policy Characteristics'!$C:$C,0)))</f>
        <v>Electrification + Hydrogen (Med &amp; High Temp)</v>
      </c>
      <c r="C492" s="394" t="str">
        <f t="shared" si="32"/>
        <v>Fraction of Med and High Temp Industrial Heat Shifted to Other Fuels</v>
      </c>
      <c r="D492" s="399" t="s">
        <v>744</v>
      </c>
      <c r="E492" s="399" t="s">
        <v>804</v>
      </c>
      <c r="F492" t="s">
        <v>745</v>
      </c>
      <c r="G492" s="399" t="s">
        <v>805</v>
      </c>
      <c r="H492" s="377">
        <v>1244</v>
      </c>
      <c r="I492" s="396" t="s">
        <v>658</v>
      </c>
      <c r="J492" s="397" t="str">
        <f>IF(ISBLANK(INDEX('Policy Characteristics'!D:D,MATCH($C492,'Policy Characteristics'!$C:$C,0))),"",INDEX('Policy Characteristics'!D:D,MATCH($C492,'Policy Characteristics'!$C:$C,0)))</f>
        <v>Electrification + Hydrogen</v>
      </c>
      <c r="K492" s="394" t="str">
        <f>IF(ISBLANK(INDEX('Policy Characteristics'!E:E,MATCH($C492,'Policy Characteristics'!$C:$C,0))),"",INDEX('Policy Characteristics'!E:E,MATCH($C492,'Policy Characteristics'!$C:$C,0)))</f>
        <v>indst med and high temp fuel type shifting</v>
      </c>
      <c r="L492" s="398">
        <f>IF(ISBLANK(INDEX('Policy Characteristics'!F:F,MATCH($C492,'Policy Characteristics'!$C:$C,0))),"",INDEX('Policy Characteristics'!F:F,MATCH($C492,'Policy Characteristics'!$C:$C,0)))</f>
        <v>0</v>
      </c>
      <c r="M492" s="398">
        <f>IF(ISBLANK(INDEX('Policy Characteristics'!G:G,MATCH($C492,'Policy Characteristics'!$C:$C,0))),"",INDEX('Policy Characteristics'!G:G,MATCH($C492,'Policy Characteristics'!$C:$C,0)))</f>
        <v>1</v>
      </c>
      <c r="N492" s="398">
        <f>IF(ISBLANK(INDEX('Policy Characteristics'!H:H,MATCH($C492,'Policy Characteristics'!$C:$C,0))),"",INDEX('Policy Characteristics'!H:H,MATCH($C492,'Policy Characteristics'!$C:$C,0)))</f>
        <v>0.01</v>
      </c>
      <c r="O492" s="394" t="str">
        <f>IF(ISBLANK(INDEX('Policy Characteristics'!I:I,MATCH($C492,'Policy Characteristics'!$C:$C,0))),"",INDEX('Policy Characteristics'!I:I,MATCH($C492,'Policy Characteristics'!$C:$C,0)))</f>
        <v>% of fuel shifted</v>
      </c>
      <c r="P492" s="394" t="str">
        <f>IF(ISBLANK(INDEX('Policy Characteristics'!J:J,MATCH($C492,'Policy Characteristics'!$C:$C,0))),"",INDEX('Policy Characteristics'!J:J,MATCH($C492,'Policy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2" s="394" t="str">
        <f>IF(ISBLANK(INDEX('Policy Characteristics'!K:K,MATCH($C492,'Policy Characteristics'!$C:$C,0))),"",INDEX('Policy Characteristics'!K:K,MATCH($C492,'Policy Characteristics'!$C:$C,0)))</f>
        <v>industry-ag-main.html#fuel-switching</v>
      </c>
      <c r="R492" s="394" t="str">
        <f>IF(ISBLANK(INDEX('Policy Characteristics'!L:L,MATCH($C492,'Policy Characteristics'!$C:$C,0))),"",INDEX('Policy Characteristics'!L:L,MATCH($C492,'Policy Characteristics'!$C:$C,0)))</f>
        <v>industry-elec-and-hydrogen.html</v>
      </c>
    </row>
    <row r="493" customHeight="1" spans="1:18">
      <c r="A493" s="394" t="str">
        <f>IF(ISBLANK(INDEX('Policy Characteristics'!A:A,MATCH($C493,'Policy Characteristics'!$C:$C,0))),"",INDEX('Policy Characteristics'!A:A,MATCH($C493,'Policy Characteristics'!$C:$C,0)))</f>
        <v>Industry</v>
      </c>
      <c r="B493" s="395" t="str">
        <f>IF(ISBLANK(INDEX('Policy Characteristics'!B:B,MATCH($C493,'Policy Characteristics'!$C:$C,0))),"",INDEX('Policy Characteristics'!B:B,MATCH($C493,'Policy Characteristics'!$C:$C,0)))</f>
        <v>Electrification + Hydrogen (Med &amp; High Temp)</v>
      </c>
      <c r="C493" s="394" t="str">
        <f t="shared" si="32"/>
        <v>Fraction of Med and High Temp Industrial Heat Shifted to Other Fuels</v>
      </c>
      <c r="D493" s="399" t="s">
        <v>744</v>
      </c>
      <c r="E493" s="399" t="s">
        <v>806</v>
      </c>
      <c r="F493" t="s">
        <v>745</v>
      </c>
      <c r="G493" s="399" t="s">
        <v>807</v>
      </c>
      <c r="H493" s="377">
        <v>1245</v>
      </c>
      <c r="I493" s="396" t="s">
        <v>658</v>
      </c>
      <c r="J493" s="397" t="str">
        <f>IF(ISBLANK(INDEX('Policy Characteristics'!D:D,MATCH($C493,'Policy Characteristics'!$C:$C,0))),"",INDEX('Policy Characteristics'!D:D,MATCH($C493,'Policy Characteristics'!$C:$C,0)))</f>
        <v>Electrification + Hydrogen</v>
      </c>
      <c r="K493" s="394" t="str">
        <f>IF(ISBLANK(INDEX('Policy Characteristics'!E:E,MATCH($C493,'Policy Characteristics'!$C:$C,0))),"",INDEX('Policy Characteristics'!E:E,MATCH($C493,'Policy Characteristics'!$C:$C,0)))</f>
        <v>indst med and high temp fuel type shifting</v>
      </c>
      <c r="L493" s="398">
        <f>IF(ISBLANK(INDEX('Policy Characteristics'!F:F,MATCH($C493,'Policy Characteristics'!$C:$C,0))),"",INDEX('Policy Characteristics'!F:F,MATCH($C493,'Policy Characteristics'!$C:$C,0)))</f>
        <v>0</v>
      </c>
      <c r="M493" s="398">
        <f>IF(ISBLANK(INDEX('Policy Characteristics'!G:G,MATCH($C493,'Policy Characteristics'!$C:$C,0))),"",INDEX('Policy Characteristics'!G:G,MATCH($C493,'Policy Characteristics'!$C:$C,0)))</f>
        <v>1</v>
      </c>
      <c r="N493" s="398">
        <f>IF(ISBLANK(INDEX('Policy Characteristics'!H:H,MATCH($C493,'Policy Characteristics'!$C:$C,0))),"",INDEX('Policy Characteristics'!H:H,MATCH($C493,'Policy Characteristics'!$C:$C,0)))</f>
        <v>0.01</v>
      </c>
      <c r="O493" s="394" t="str">
        <f>IF(ISBLANK(INDEX('Policy Characteristics'!I:I,MATCH($C493,'Policy Characteristics'!$C:$C,0))),"",INDEX('Policy Characteristics'!I:I,MATCH($C493,'Policy Characteristics'!$C:$C,0)))</f>
        <v>% of fuel shifted</v>
      </c>
      <c r="P493" s="394" t="str">
        <f>IF(ISBLANK(INDEX('Policy Characteristics'!J:J,MATCH($C493,'Policy Characteristics'!$C:$C,0))),"",INDEX('Policy Characteristics'!J:J,MATCH($C493,'Policy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3" s="394" t="str">
        <f>IF(ISBLANK(INDEX('Policy Characteristics'!K:K,MATCH($C493,'Policy Characteristics'!$C:$C,0))),"",INDEX('Policy Characteristics'!K:K,MATCH($C493,'Policy Characteristics'!$C:$C,0)))</f>
        <v>industry-ag-main.html#fuel-switching</v>
      </c>
      <c r="R493" s="394" t="str">
        <f>IF(ISBLANK(INDEX('Policy Characteristics'!L:L,MATCH($C493,'Policy Characteristics'!$C:$C,0))),"",INDEX('Policy Characteristics'!L:L,MATCH($C493,'Policy Characteristics'!$C:$C,0)))</f>
        <v>industry-elec-and-hydrogen.html</v>
      </c>
    </row>
    <row r="494" customHeight="1" spans="1:18">
      <c r="A494" s="394" t="str">
        <f>IF(ISBLANK(INDEX('Policy Characteristics'!A:A,MATCH($C494,'Policy Characteristics'!$C:$C,0))),"",INDEX('Policy Characteristics'!A:A,MATCH($C494,'Policy Characteristics'!$C:$C,0)))</f>
        <v>Industry</v>
      </c>
      <c r="B494" s="395" t="str">
        <f>IF(ISBLANK(INDEX('Policy Characteristics'!B:B,MATCH($C494,'Policy Characteristics'!$C:$C,0))),"",INDEX('Policy Characteristics'!B:B,MATCH($C494,'Policy Characteristics'!$C:$C,0)))</f>
        <v>Electrification + Hydrogen (Med &amp; High Temp)</v>
      </c>
      <c r="C494" s="394" t="str">
        <f t="shared" si="32"/>
        <v>Fraction of Med and High Temp Industrial Heat Shifted to Other Fuels</v>
      </c>
      <c r="D494" s="399" t="s">
        <v>744</v>
      </c>
      <c r="E494" s="399" t="s">
        <v>808</v>
      </c>
      <c r="F494" t="s">
        <v>745</v>
      </c>
      <c r="G494" s="399" t="s">
        <v>809</v>
      </c>
      <c r="H494" s="377">
        <v>1246</v>
      </c>
      <c r="I494" s="396" t="s">
        <v>658</v>
      </c>
      <c r="J494" s="397" t="str">
        <f>IF(ISBLANK(INDEX('Policy Characteristics'!D:D,MATCH($C494,'Policy Characteristics'!$C:$C,0))),"",INDEX('Policy Characteristics'!D:D,MATCH($C494,'Policy Characteristics'!$C:$C,0)))</f>
        <v>Electrification + Hydrogen</v>
      </c>
      <c r="K494" s="394" t="str">
        <f>IF(ISBLANK(INDEX('Policy Characteristics'!E:E,MATCH($C494,'Policy Characteristics'!$C:$C,0))),"",INDEX('Policy Characteristics'!E:E,MATCH($C494,'Policy Characteristics'!$C:$C,0)))</f>
        <v>indst med and high temp fuel type shifting</v>
      </c>
      <c r="L494" s="398">
        <f>IF(ISBLANK(INDEX('Policy Characteristics'!F:F,MATCH($C494,'Policy Characteristics'!$C:$C,0))),"",INDEX('Policy Characteristics'!F:F,MATCH($C494,'Policy Characteristics'!$C:$C,0)))</f>
        <v>0</v>
      </c>
      <c r="M494" s="398">
        <f>IF(ISBLANK(INDEX('Policy Characteristics'!G:G,MATCH($C494,'Policy Characteristics'!$C:$C,0))),"",INDEX('Policy Characteristics'!G:G,MATCH($C494,'Policy Characteristics'!$C:$C,0)))</f>
        <v>1</v>
      </c>
      <c r="N494" s="398">
        <f>IF(ISBLANK(INDEX('Policy Characteristics'!H:H,MATCH($C494,'Policy Characteristics'!$C:$C,0))),"",INDEX('Policy Characteristics'!H:H,MATCH($C494,'Policy Characteristics'!$C:$C,0)))</f>
        <v>0.01</v>
      </c>
      <c r="O494" s="394" t="str">
        <f>IF(ISBLANK(INDEX('Policy Characteristics'!I:I,MATCH($C494,'Policy Characteristics'!$C:$C,0))),"",INDEX('Policy Characteristics'!I:I,MATCH($C494,'Policy Characteristics'!$C:$C,0)))</f>
        <v>% of fuel shifted</v>
      </c>
      <c r="P494" s="394" t="str">
        <f>IF(ISBLANK(INDEX('Policy Characteristics'!J:J,MATCH($C494,'Policy Characteristics'!$C:$C,0))),"",INDEX('Policy Characteristics'!J:J,MATCH($C494,'Policy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4" s="394" t="str">
        <f>IF(ISBLANK(INDEX('Policy Characteristics'!K:K,MATCH($C494,'Policy Characteristics'!$C:$C,0))),"",INDEX('Policy Characteristics'!K:K,MATCH($C494,'Policy Characteristics'!$C:$C,0)))</f>
        <v>industry-ag-main.html#fuel-switching</v>
      </c>
      <c r="R494" s="394" t="str">
        <f>IF(ISBLANK(INDEX('Policy Characteristics'!L:L,MATCH($C494,'Policy Characteristics'!$C:$C,0))),"",INDEX('Policy Characteristics'!L:L,MATCH($C494,'Policy Characteristics'!$C:$C,0)))</f>
        <v>industry-elec-and-hydrogen.html</v>
      </c>
    </row>
    <row r="495" customHeight="1" spans="1:18">
      <c r="A495" s="394" t="str">
        <f>IF(ISBLANK(INDEX('Policy Characteristics'!A:A,MATCH($C495,'Policy Characteristics'!$C:$C,0))),"",INDEX('Policy Characteristics'!A:A,MATCH($C495,'Policy Characteristics'!$C:$C,0)))</f>
        <v>Industry</v>
      </c>
      <c r="B495" s="395" t="str">
        <f>IF(ISBLANK(INDEX('Policy Characteristics'!B:B,MATCH($C495,'Policy Characteristics'!$C:$C,0))),"",INDEX('Policy Characteristics'!B:B,MATCH($C495,'Policy Characteristics'!$C:$C,0)))</f>
        <v>Electrification + Hydrogen (Med &amp; High Temp)</v>
      </c>
      <c r="C495" s="394" t="str">
        <f t="shared" si="32"/>
        <v>Fraction of Med and High Temp Industrial Heat Shifted to Other Fuels</v>
      </c>
      <c r="D495" s="399" t="s">
        <v>744</v>
      </c>
      <c r="E495" s="399" t="s">
        <v>810</v>
      </c>
      <c r="F495" t="s">
        <v>745</v>
      </c>
      <c r="G495" s="399" t="s">
        <v>811</v>
      </c>
      <c r="H495" s="377">
        <v>1247</v>
      </c>
      <c r="I495" s="396" t="s">
        <v>648</v>
      </c>
      <c r="J495" s="397" t="str">
        <f>IF(ISBLANK(INDEX('Policy Characteristics'!D:D,MATCH($C495,'Policy Characteristics'!$C:$C,0))),"",INDEX('Policy Characteristics'!D:D,MATCH($C495,'Policy Characteristics'!$C:$C,0)))</f>
        <v>Electrification + Hydrogen</v>
      </c>
      <c r="K495" s="394" t="str">
        <f>IF(ISBLANK(INDEX('Policy Characteristics'!E:E,MATCH($C495,'Policy Characteristics'!$C:$C,0))),"",INDEX('Policy Characteristics'!E:E,MATCH($C495,'Policy Characteristics'!$C:$C,0)))</f>
        <v>indst med and high temp fuel type shifting</v>
      </c>
      <c r="L495" s="398">
        <f>IF(ISBLANK(INDEX('Policy Characteristics'!F:F,MATCH($C495,'Policy Characteristics'!$C:$C,0))),"",INDEX('Policy Characteristics'!F:F,MATCH($C495,'Policy Characteristics'!$C:$C,0)))</f>
        <v>0</v>
      </c>
      <c r="M495" s="398">
        <f>IF(ISBLANK(INDEX('Policy Characteristics'!G:G,MATCH($C495,'Policy Characteristics'!$C:$C,0))),"",INDEX('Policy Characteristics'!G:G,MATCH($C495,'Policy Characteristics'!$C:$C,0)))</f>
        <v>1</v>
      </c>
      <c r="N495" s="398">
        <f>IF(ISBLANK(INDEX('Policy Characteristics'!H:H,MATCH($C495,'Policy Characteristics'!$C:$C,0))),"",INDEX('Policy Characteristics'!H:H,MATCH($C495,'Policy Characteristics'!$C:$C,0)))</f>
        <v>0.01</v>
      </c>
      <c r="O495" s="394" t="str">
        <f>IF(ISBLANK(INDEX('Policy Characteristics'!I:I,MATCH($C495,'Policy Characteristics'!$C:$C,0))),"",INDEX('Policy Characteristics'!I:I,MATCH($C495,'Policy Characteristics'!$C:$C,0)))</f>
        <v>% of fuel shifted</v>
      </c>
      <c r="P495" s="394" t="str">
        <f>IF(ISBLANK(INDEX('Policy Characteristics'!J:J,MATCH($C495,'Policy Characteristics'!$C:$C,0))),"",INDEX('Policy Characteristics'!J:J,MATCH($C495,'Policy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5" s="394" t="str">
        <f>IF(ISBLANK(INDEX('Policy Characteristics'!K:K,MATCH($C495,'Policy Characteristics'!$C:$C,0))),"",INDEX('Policy Characteristics'!K:K,MATCH($C495,'Policy Characteristics'!$C:$C,0)))</f>
        <v>industry-ag-main.html#fuel-switching</v>
      </c>
      <c r="R495" s="394" t="str">
        <f>IF(ISBLANK(INDEX('Policy Characteristics'!L:L,MATCH($C495,'Policy Characteristics'!$C:$C,0))),"",INDEX('Policy Characteristics'!L:L,MATCH($C495,'Policy Characteristics'!$C:$C,0)))</f>
        <v>industry-elec-and-hydrogen.html</v>
      </c>
    </row>
    <row r="496" customHeight="1" spans="1:18">
      <c r="A496" s="394" t="str">
        <f>IF(ISBLANK(INDEX('Policy Characteristics'!A:A,MATCH($C496,'Policy Characteristics'!$C:$C,0))),"",INDEX('Policy Characteristics'!A:A,MATCH($C496,'Policy Characteristics'!$C:$C,0)))</f>
        <v>Industry</v>
      </c>
      <c r="B496" s="395" t="str">
        <f>IF(ISBLANK(INDEX('Policy Characteristics'!B:B,MATCH($C496,'Policy Characteristics'!$C:$C,0))),"",INDEX('Policy Characteristics'!B:B,MATCH($C496,'Policy Characteristics'!$C:$C,0)))</f>
        <v>Electrification + Hydrogen (Med &amp; High Temp)</v>
      </c>
      <c r="C496" s="394" t="str">
        <f t="shared" si="32"/>
        <v>Fraction of Med and High Temp Industrial Heat Shifted to Other Fuels</v>
      </c>
      <c r="D496" s="399" t="s">
        <v>746</v>
      </c>
      <c r="E496" s="399" t="s">
        <v>792</v>
      </c>
      <c r="F496" t="s">
        <v>747</v>
      </c>
      <c r="G496" s="399" t="s">
        <v>793</v>
      </c>
      <c r="H496" s="377">
        <v>1248</v>
      </c>
      <c r="I496" s="396" t="s">
        <v>648</v>
      </c>
      <c r="J496" s="397" t="str">
        <f>IF(ISBLANK(INDEX('Policy Characteristics'!D:D,MATCH($C496,'Policy Characteristics'!$C:$C,0))),"",INDEX('Policy Characteristics'!D:D,MATCH($C496,'Policy Characteristics'!$C:$C,0)))</f>
        <v>Electrification + Hydrogen</v>
      </c>
      <c r="K496" s="394" t="str">
        <f>IF(ISBLANK(INDEX('Policy Characteristics'!E:E,MATCH($C496,'Policy Characteristics'!$C:$C,0))),"",INDEX('Policy Characteristics'!E:E,MATCH($C496,'Policy Characteristics'!$C:$C,0)))</f>
        <v>indst med and high temp fuel type shifting</v>
      </c>
      <c r="L496" s="398">
        <f>IF(ISBLANK(INDEX('Policy Characteristics'!F:F,MATCH($C496,'Policy Characteristics'!$C:$C,0))),"",INDEX('Policy Characteristics'!F:F,MATCH($C496,'Policy Characteristics'!$C:$C,0)))</f>
        <v>0</v>
      </c>
      <c r="M496" s="398">
        <f>IF(ISBLANK(INDEX('Policy Characteristics'!G:G,MATCH($C496,'Policy Characteristics'!$C:$C,0))),"",INDEX('Policy Characteristics'!G:G,MATCH($C496,'Policy Characteristics'!$C:$C,0)))</f>
        <v>1</v>
      </c>
      <c r="N496" s="398">
        <f>IF(ISBLANK(INDEX('Policy Characteristics'!H:H,MATCH($C496,'Policy Characteristics'!$C:$C,0))),"",INDEX('Policy Characteristics'!H:H,MATCH($C496,'Policy Characteristics'!$C:$C,0)))</f>
        <v>0.01</v>
      </c>
      <c r="O496" s="394" t="str">
        <f>IF(ISBLANK(INDEX('Policy Characteristics'!I:I,MATCH($C496,'Policy Characteristics'!$C:$C,0))),"",INDEX('Policy Characteristics'!I:I,MATCH($C496,'Policy Characteristics'!$C:$C,0)))</f>
        <v>% of fuel shifted</v>
      </c>
      <c r="P496" s="394" t="str">
        <f>IF(ISBLANK(INDEX('Policy Characteristics'!J:J,MATCH($C496,'Policy Characteristics'!$C:$C,0))),"",INDEX('Policy Characteristics'!J:J,MATCH($C496,'Policy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6" s="394" t="str">
        <f>IF(ISBLANK(INDEX('Policy Characteristics'!K:K,MATCH($C496,'Policy Characteristics'!$C:$C,0))),"",INDEX('Policy Characteristics'!K:K,MATCH($C496,'Policy Characteristics'!$C:$C,0)))</f>
        <v>industry-ag-main.html#fuel-switching</v>
      </c>
      <c r="R496" s="394" t="str">
        <f>IF(ISBLANK(INDEX('Policy Characteristics'!L:L,MATCH($C496,'Policy Characteristics'!$C:$C,0))),"",INDEX('Policy Characteristics'!L:L,MATCH($C496,'Policy Characteristics'!$C:$C,0)))</f>
        <v>industry-elec-and-hydrogen.html</v>
      </c>
    </row>
    <row r="497" customHeight="1" spans="1:18">
      <c r="A497" s="394" t="str">
        <f>IF(ISBLANK(INDEX('Policy Characteristics'!A:A,MATCH($C497,'Policy Characteristics'!$C:$C,0))),"",INDEX('Policy Characteristics'!A:A,MATCH($C497,'Policy Characteristics'!$C:$C,0)))</f>
        <v>Industry</v>
      </c>
      <c r="B497" s="395" t="str">
        <f>IF(ISBLANK(INDEX('Policy Characteristics'!B:B,MATCH($C497,'Policy Characteristics'!$C:$C,0))),"",INDEX('Policy Characteristics'!B:B,MATCH($C497,'Policy Characteristics'!$C:$C,0)))</f>
        <v>Electrification + Hydrogen (Med &amp; High Temp)</v>
      </c>
      <c r="C497" s="394" t="str">
        <f t="shared" si="32"/>
        <v>Fraction of Med and High Temp Industrial Heat Shifted to Other Fuels</v>
      </c>
      <c r="D497" s="399" t="s">
        <v>746</v>
      </c>
      <c r="E497" s="399" t="s">
        <v>794</v>
      </c>
      <c r="F497" t="s">
        <v>747</v>
      </c>
      <c r="G497" s="399" t="s">
        <v>795</v>
      </c>
      <c r="H497" s="377">
        <v>1249</v>
      </c>
      <c r="I497" s="396" t="s">
        <v>658</v>
      </c>
      <c r="J497" s="397" t="str">
        <f>IF(ISBLANK(INDEX('Policy Characteristics'!D:D,MATCH($C497,'Policy Characteristics'!$C:$C,0))),"",INDEX('Policy Characteristics'!D:D,MATCH($C497,'Policy Characteristics'!$C:$C,0)))</f>
        <v>Electrification + Hydrogen</v>
      </c>
      <c r="K497" s="394" t="str">
        <f>IF(ISBLANK(INDEX('Policy Characteristics'!E:E,MATCH($C497,'Policy Characteristics'!$C:$C,0))),"",INDEX('Policy Characteristics'!E:E,MATCH($C497,'Policy Characteristics'!$C:$C,0)))</f>
        <v>indst med and high temp fuel type shifting</v>
      </c>
      <c r="L497" s="398">
        <f>IF(ISBLANK(INDEX('Policy Characteristics'!F:F,MATCH($C497,'Policy Characteristics'!$C:$C,0))),"",INDEX('Policy Characteristics'!F:F,MATCH($C497,'Policy Characteristics'!$C:$C,0)))</f>
        <v>0</v>
      </c>
      <c r="M497" s="398">
        <f>IF(ISBLANK(INDEX('Policy Characteristics'!G:G,MATCH($C497,'Policy Characteristics'!$C:$C,0))),"",INDEX('Policy Characteristics'!G:G,MATCH($C497,'Policy Characteristics'!$C:$C,0)))</f>
        <v>1</v>
      </c>
      <c r="N497" s="398">
        <f>IF(ISBLANK(INDEX('Policy Characteristics'!H:H,MATCH($C497,'Policy Characteristics'!$C:$C,0))),"",INDEX('Policy Characteristics'!H:H,MATCH($C497,'Policy Characteristics'!$C:$C,0)))</f>
        <v>0.01</v>
      </c>
      <c r="O497" s="394" t="str">
        <f>IF(ISBLANK(INDEX('Policy Characteristics'!I:I,MATCH($C497,'Policy Characteristics'!$C:$C,0))),"",INDEX('Policy Characteristics'!I:I,MATCH($C497,'Policy Characteristics'!$C:$C,0)))</f>
        <v>% of fuel shifted</v>
      </c>
      <c r="P497" s="394" t="str">
        <f>IF(ISBLANK(INDEX('Policy Characteristics'!J:J,MATCH($C497,'Policy Characteristics'!$C:$C,0))),"",INDEX('Policy Characteristics'!J:J,MATCH($C497,'Policy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7" s="394" t="str">
        <f>IF(ISBLANK(INDEX('Policy Characteristics'!K:K,MATCH($C497,'Policy Characteristics'!$C:$C,0))),"",INDEX('Policy Characteristics'!K:K,MATCH($C497,'Policy Characteristics'!$C:$C,0)))</f>
        <v>industry-ag-main.html#fuel-switching</v>
      </c>
      <c r="R497" s="394" t="str">
        <f>IF(ISBLANK(INDEX('Policy Characteristics'!L:L,MATCH($C497,'Policy Characteristics'!$C:$C,0))),"",INDEX('Policy Characteristics'!L:L,MATCH($C497,'Policy Characteristics'!$C:$C,0)))</f>
        <v>industry-elec-and-hydrogen.html</v>
      </c>
    </row>
    <row r="498" customHeight="1" spans="1:18">
      <c r="A498" s="394" t="str">
        <f>IF(ISBLANK(INDEX('Policy Characteristics'!A:A,MATCH($C498,'Policy Characteristics'!$C:$C,0))),"",INDEX('Policy Characteristics'!A:A,MATCH($C498,'Policy Characteristics'!$C:$C,0)))</f>
        <v>Industry</v>
      </c>
      <c r="B498" s="395" t="str">
        <f>IF(ISBLANK(INDEX('Policy Characteristics'!B:B,MATCH($C498,'Policy Characteristics'!$C:$C,0))),"",INDEX('Policy Characteristics'!B:B,MATCH($C498,'Policy Characteristics'!$C:$C,0)))</f>
        <v>Electrification + Hydrogen (Med &amp; High Temp)</v>
      </c>
      <c r="C498" s="394" t="str">
        <f t="shared" si="32"/>
        <v>Fraction of Med and High Temp Industrial Heat Shifted to Other Fuels</v>
      </c>
      <c r="D498" s="399" t="s">
        <v>746</v>
      </c>
      <c r="E498" s="399" t="s">
        <v>796</v>
      </c>
      <c r="F498" t="s">
        <v>747</v>
      </c>
      <c r="G498" s="399" t="s">
        <v>797</v>
      </c>
      <c r="H498" s="377">
        <v>1250</v>
      </c>
      <c r="I498" s="396" t="s">
        <v>658</v>
      </c>
      <c r="J498" s="397" t="str">
        <f>IF(ISBLANK(INDEX('Policy Characteristics'!D:D,MATCH($C498,'Policy Characteristics'!$C:$C,0))),"",INDEX('Policy Characteristics'!D:D,MATCH($C498,'Policy Characteristics'!$C:$C,0)))</f>
        <v>Electrification + Hydrogen</v>
      </c>
      <c r="K498" s="394" t="str">
        <f>IF(ISBLANK(INDEX('Policy Characteristics'!E:E,MATCH($C498,'Policy Characteristics'!$C:$C,0))),"",INDEX('Policy Characteristics'!E:E,MATCH($C498,'Policy Characteristics'!$C:$C,0)))</f>
        <v>indst med and high temp fuel type shifting</v>
      </c>
      <c r="L498" s="398">
        <f>IF(ISBLANK(INDEX('Policy Characteristics'!F:F,MATCH($C498,'Policy Characteristics'!$C:$C,0))),"",INDEX('Policy Characteristics'!F:F,MATCH($C498,'Policy Characteristics'!$C:$C,0)))</f>
        <v>0</v>
      </c>
      <c r="M498" s="398">
        <f>IF(ISBLANK(INDEX('Policy Characteristics'!G:G,MATCH($C498,'Policy Characteristics'!$C:$C,0))),"",INDEX('Policy Characteristics'!G:G,MATCH($C498,'Policy Characteristics'!$C:$C,0)))</f>
        <v>1</v>
      </c>
      <c r="N498" s="398">
        <f>IF(ISBLANK(INDEX('Policy Characteristics'!H:H,MATCH($C498,'Policy Characteristics'!$C:$C,0))),"",INDEX('Policy Characteristics'!H:H,MATCH($C498,'Policy Characteristics'!$C:$C,0)))</f>
        <v>0.01</v>
      </c>
      <c r="O498" s="394" t="str">
        <f>IF(ISBLANK(INDEX('Policy Characteristics'!I:I,MATCH($C498,'Policy Characteristics'!$C:$C,0))),"",INDEX('Policy Characteristics'!I:I,MATCH($C498,'Policy Characteristics'!$C:$C,0)))</f>
        <v>% of fuel shifted</v>
      </c>
      <c r="P498" s="394" t="str">
        <f>IF(ISBLANK(INDEX('Policy Characteristics'!J:J,MATCH($C498,'Policy Characteristics'!$C:$C,0))),"",INDEX('Policy Characteristics'!J:J,MATCH($C498,'Policy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8" s="394" t="str">
        <f>IF(ISBLANK(INDEX('Policy Characteristics'!K:K,MATCH($C498,'Policy Characteristics'!$C:$C,0))),"",INDEX('Policy Characteristics'!K:K,MATCH($C498,'Policy Characteristics'!$C:$C,0)))</f>
        <v>industry-ag-main.html#fuel-switching</v>
      </c>
      <c r="R498" s="394" t="str">
        <f>IF(ISBLANK(INDEX('Policy Characteristics'!L:L,MATCH($C498,'Policy Characteristics'!$C:$C,0))),"",INDEX('Policy Characteristics'!L:L,MATCH($C498,'Policy Characteristics'!$C:$C,0)))</f>
        <v>industry-elec-and-hydrogen.html</v>
      </c>
    </row>
    <row r="499" customHeight="1" spans="1:18">
      <c r="A499" s="394" t="str">
        <f>IF(ISBLANK(INDEX('Policy Characteristics'!A:A,MATCH($C499,'Policy Characteristics'!$C:$C,0))),"",INDEX('Policy Characteristics'!A:A,MATCH($C499,'Policy Characteristics'!$C:$C,0)))</f>
        <v>Industry</v>
      </c>
      <c r="B499" s="395" t="str">
        <f>IF(ISBLANK(INDEX('Policy Characteristics'!B:B,MATCH($C499,'Policy Characteristics'!$C:$C,0))),"",INDEX('Policy Characteristics'!B:B,MATCH($C499,'Policy Characteristics'!$C:$C,0)))</f>
        <v>Electrification + Hydrogen (Med &amp; High Temp)</v>
      </c>
      <c r="C499" s="394" t="str">
        <f t="shared" si="32"/>
        <v>Fraction of Med and High Temp Industrial Heat Shifted to Other Fuels</v>
      </c>
      <c r="D499" s="399" t="s">
        <v>746</v>
      </c>
      <c r="E499" s="399" t="s">
        <v>798</v>
      </c>
      <c r="F499" t="s">
        <v>747</v>
      </c>
      <c r="G499" s="399" t="s">
        <v>799</v>
      </c>
      <c r="H499" s="377">
        <v>1251</v>
      </c>
      <c r="I499" s="396" t="s">
        <v>658</v>
      </c>
      <c r="J499" s="397" t="str">
        <f>IF(ISBLANK(INDEX('Policy Characteristics'!D:D,MATCH($C499,'Policy Characteristics'!$C:$C,0))),"",INDEX('Policy Characteristics'!D:D,MATCH($C499,'Policy Characteristics'!$C:$C,0)))</f>
        <v>Electrification + Hydrogen</v>
      </c>
      <c r="K499" s="394" t="str">
        <f>IF(ISBLANK(INDEX('Policy Characteristics'!E:E,MATCH($C499,'Policy Characteristics'!$C:$C,0))),"",INDEX('Policy Characteristics'!E:E,MATCH($C499,'Policy Characteristics'!$C:$C,0)))</f>
        <v>indst med and high temp fuel type shifting</v>
      </c>
      <c r="L499" s="398">
        <f>IF(ISBLANK(INDEX('Policy Characteristics'!F:F,MATCH($C499,'Policy Characteristics'!$C:$C,0))),"",INDEX('Policy Characteristics'!F:F,MATCH($C499,'Policy Characteristics'!$C:$C,0)))</f>
        <v>0</v>
      </c>
      <c r="M499" s="398">
        <f>IF(ISBLANK(INDEX('Policy Characteristics'!G:G,MATCH($C499,'Policy Characteristics'!$C:$C,0))),"",INDEX('Policy Characteristics'!G:G,MATCH($C499,'Policy Characteristics'!$C:$C,0)))</f>
        <v>1</v>
      </c>
      <c r="N499" s="398">
        <f>IF(ISBLANK(INDEX('Policy Characteristics'!H:H,MATCH($C499,'Policy Characteristics'!$C:$C,0))),"",INDEX('Policy Characteristics'!H:H,MATCH($C499,'Policy Characteristics'!$C:$C,0)))</f>
        <v>0.01</v>
      </c>
      <c r="O499" s="394" t="str">
        <f>IF(ISBLANK(INDEX('Policy Characteristics'!I:I,MATCH($C499,'Policy Characteristics'!$C:$C,0))),"",INDEX('Policy Characteristics'!I:I,MATCH($C499,'Policy Characteristics'!$C:$C,0)))</f>
        <v>% of fuel shifted</v>
      </c>
      <c r="P499" s="394" t="str">
        <f>IF(ISBLANK(INDEX('Policy Characteristics'!J:J,MATCH($C499,'Policy Characteristics'!$C:$C,0))),"",INDEX('Policy Characteristics'!J:J,MATCH($C499,'Policy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9" s="394" t="str">
        <f>IF(ISBLANK(INDEX('Policy Characteristics'!K:K,MATCH($C499,'Policy Characteristics'!$C:$C,0))),"",INDEX('Policy Characteristics'!K:K,MATCH($C499,'Policy Characteristics'!$C:$C,0)))</f>
        <v>industry-ag-main.html#fuel-switching</v>
      </c>
      <c r="R499" s="394" t="str">
        <f>IF(ISBLANK(INDEX('Policy Characteristics'!L:L,MATCH($C499,'Policy Characteristics'!$C:$C,0))),"",INDEX('Policy Characteristics'!L:L,MATCH($C499,'Policy Characteristics'!$C:$C,0)))</f>
        <v>industry-elec-and-hydrogen.html</v>
      </c>
    </row>
    <row r="500" customHeight="1" spans="1:18">
      <c r="A500" s="394" t="str">
        <f>IF(ISBLANK(INDEX('Policy Characteristics'!A:A,MATCH($C500,'Policy Characteristics'!$C:$C,0))),"",INDEX('Policy Characteristics'!A:A,MATCH($C500,'Policy Characteristics'!$C:$C,0)))</f>
        <v>Industry</v>
      </c>
      <c r="B500" s="395" t="str">
        <f>IF(ISBLANK(INDEX('Policy Characteristics'!B:B,MATCH($C500,'Policy Characteristics'!$C:$C,0))),"",INDEX('Policy Characteristics'!B:B,MATCH($C500,'Policy Characteristics'!$C:$C,0)))</f>
        <v>Electrification + Hydrogen (Med &amp; High Temp)</v>
      </c>
      <c r="C500" s="394" t="str">
        <f t="shared" si="32"/>
        <v>Fraction of Med and High Temp Industrial Heat Shifted to Other Fuels</v>
      </c>
      <c r="D500" s="399" t="s">
        <v>746</v>
      </c>
      <c r="E500" s="399" t="s">
        <v>800</v>
      </c>
      <c r="F500" t="s">
        <v>747</v>
      </c>
      <c r="G500" s="399" t="s">
        <v>801</v>
      </c>
      <c r="H500" s="377">
        <v>1252</v>
      </c>
      <c r="I500" s="396" t="s">
        <v>658</v>
      </c>
      <c r="J500" s="397" t="str">
        <f>IF(ISBLANK(INDEX('Policy Characteristics'!D:D,MATCH($C500,'Policy Characteristics'!$C:$C,0))),"",INDEX('Policy Characteristics'!D:D,MATCH($C500,'Policy Characteristics'!$C:$C,0)))</f>
        <v>Electrification + Hydrogen</v>
      </c>
      <c r="K500" s="394" t="str">
        <f>IF(ISBLANK(INDEX('Policy Characteristics'!E:E,MATCH($C500,'Policy Characteristics'!$C:$C,0))),"",INDEX('Policy Characteristics'!E:E,MATCH($C500,'Policy Characteristics'!$C:$C,0)))</f>
        <v>indst med and high temp fuel type shifting</v>
      </c>
      <c r="L500" s="398">
        <f>IF(ISBLANK(INDEX('Policy Characteristics'!F:F,MATCH($C500,'Policy Characteristics'!$C:$C,0))),"",INDEX('Policy Characteristics'!F:F,MATCH($C500,'Policy Characteristics'!$C:$C,0)))</f>
        <v>0</v>
      </c>
      <c r="M500" s="398">
        <f>IF(ISBLANK(INDEX('Policy Characteristics'!G:G,MATCH($C500,'Policy Characteristics'!$C:$C,0))),"",INDEX('Policy Characteristics'!G:G,MATCH($C500,'Policy Characteristics'!$C:$C,0)))</f>
        <v>1</v>
      </c>
      <c r="N500" s="398">
        <f>IF(ISBLANK(INDEX('Policy Characteristics'!H:H,MATCH($C500,'Policy Characteristics'!$C:$C,0))),"",INDEX('Policy Characteristics'!H:H,MATCH($C500,'Policy Characteristics'!$C:$C,0)))</f>
        <v>0.01</v>
      </c>
      <c r="O500" s="394" t="str">
        <f>IF(ISBLANK(INDEX('Policy Characteristics'!I:I,MATCH($C500,'Policy Characteristics'!$C:$C,0))),"",INDEX('Policy Characteristics'!I:I,MATCH($C500,'Policy Characteristics'!$C:$C,0)))</f>
        <v>% of fuel shifted</v>
      </c>
      <c r="P500" s="394" t="str">
        <f>IF(ISBLANK(INDEX('Policy Characteristics'!J:J,MATCH($C500,'Policy Characteristics'!$C:$C,0))),"",INDEX('Policy Characteristics'!J:J,MATCH($C500,'Policy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0" s="394" t="str">
        <f>IF(ISBLANK(INDEX('Policy Characteristics'!K:K,MATCH($C500,'Policy Characteristics'!$C:$C,0))),"",INDEX('Policy Characteristics'!K:K,MATCH($C500,'Policy Characteristics'!$C:$C,0)))</f>
        <v>industry-ag-main.html#fuel-switching</v>
      </c>
      <c r="R500" s="394" t="str">
        <f>IF(ISBLANK(INDEX('Policy Characteristics'!L:L,MATCH($C500,'Policy Characteristics'!$C:$C,0))),"",INDEX('Policy Characteristics'!L:L,MATCH($C500,'Policy Characteristics'!$C:$C,0)))</f>
        <v>industry-elec-and-hydrogen.html</v>
      </c>
    </row>
    <row r="501" customHeight="1" spans="1:18">
      <c r="A501" s="394" t="str">
        <f>IF(ISBLANK(INDEX('Policy Characteristics'!A:A,MATCH($C501,'Policy Characteristics'!$C:$C,0))),"",INDEX('Policy Characteristics'!A:A,MATCH($C501,'Policy Characteristics'!$C:$C,0)))</f>
        <v>Industry</v>
      </c>
      <c r="B501" s="395" t="str">
        <f>IF(ISBLANK(INDEX('Policy Characteristics'!B:B,MATCH($C501,'Policy Characteristics'!$C:$C,0))),"",INDEX('Policy Characteristics'!B:B,MATCH($C501,'Policy Characteristics'!$C:$C,0)))</f>
        <v>Electrification + Hydrogen (Med &amp; High Temp)</v>
      </c>
      <c r="C501" s="394" t="str">
        <f t="shared" si="32"/>
        <v>Fraction of Med and High Temp Industrial Heat Shifted to Other Fuels</v>
      </c>
      <c r="D501" s="399" t="s">
        <v>746</v>
      </c>
      <c r="E501" s="399" t="s">
        <v>802</v>
      </c>
      <c r="F501" t="s">
        <v>747</v>
      </c>
      <c r="G501" s="399" t="s">
        <v>803</v>
      </c>
      <c r="H501" s="377">
        <v>1253</v>
      </c>
      <c r="I501" s="396" t="s">
        <v>658</v>
      </c>
      <c r="J501" s="397" t="str">
        <f>IF(ISBLANK(INDEX('Policy Characteristics'!D:D,MATCH($C501,'Policy Characteristics'!$C:$C,0))),"",INDEX('Policy Characteristics'!D:D,MATCH($C501,'Policy Characteristics'!$C:$C,0)))</f>
        <v>Electrification + Hydrogen</v>
      </c>
      <c r="K501" s="394" t="str">
        <f>IF(ISBLANK(INDEX('Policy Characteristics'!E:E,MATCH($C501,'Policy Characteristics'!$C:$C,0))),"",INDEX('Policy Characteristics'!E:E,MATCH($C501,'Policy Characteristics'!$C:$C,0)))</f>
        <v>indst med and high temp fuel type shifting</v>
      </c>
      <c r="L501" s="398">
        <f>IF(ISBLANK(INDEX('Policy Characteristics'!F:F,MATCH($C501,'Policy Characteristics'!$C:$C,0))),"",INDEX('Policy Characteristics'!F:F,MATCH($C501,'Policy Characteristics'!$C:$C,0)))</f>
        <v>0</v>
      </c>
      <c r="M501" s="398">
        <f>IF(ISBLANK(INDEX('Policy Characteristics'!G:G,MATCH($C501,'Policy Characteristics'!$C:$C,0))),"",INDEX('Policy Characteristics'!G:G,MATCH($C501,'Policy Characteristics'!$C:$C,0)))</f>
        <v>1</v>
      </c>
      <c r="N501" s="398">
        <f>IF(ISBLANK(INDEX('Policy Characteristics'!H:H,MATCH($C501,'Policy Characteristics'!$C:$C,0))),"",INDEX('Policy Characteristics'!H:H,MATCH($C501,'Policy Characteristics'!$C:$C,0)))</f>
        <v>0.01</v>
      </c>
      <c r="O501" s="394" t="str">
        <f>IF(ISBLANK(INDEX('Policy Characteristics'!I:I,MATCH($C501,'Policy Characteristics'!$C:$C,0))),"",INDEX('Policy Characteristics'!I:I,MATCH($C501,'Policy Characteristics'!$C:$C,0)))</f>
        <v>% of fuel shifted</v>
      </c>
      <c r="P501" s="394" t="str">
        <f>IF(ISBLANK(INDEX('Policy Characteristics'!J:J,MATCH($C501,'Policy Characteristics'!$C:$C,0))),"",INDEX('Policy Characteristics'!J:J,MATCH($C501,'Policy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1" s="394" t="str">
        <f>IF(ISBLANK(INDEX('Policy Characteristics'!K:K,MATCH($C501,'Policy Characteristics'!$C:$C,0))),"",INDEX('Policy Characteristics'!K:K,MATCH($C501,'Policy Characteristics'!$C:$C,0)))</f>
        <v>industry-ag-main.html#fuel-switching</v>
      </c>
      <c r="R501" s="394" t="str">
        <f>IF(ISBLANK(INDEX('Policy Characteristics'!L:L,MATCH($C501,'Policy Characteristics'!$C:$C,0))),"",INDEX('Policy Characteristics'!L:L,MATCH($C501,'Policy Characteristics'!$C:$C,0)))</f>
        <v>industry-elec-and-hydrogen.html</v>
      </c>
    </row>
    <row r="502" customHeight="1" spans="1:18">
      <c r="A502" s="394" t="str">
        <f>IF(ISBLANK(INDEX('Policy Characteristics'!A:A,MATCH($C502,'Policy Characteristics'!$C:$C,0))),"",INDEX('Policy Characteristics'!A:A,MATCH($C502,'Policy Characteristics'!$C:$C,0)))</f>
        <v>Industry</v>
      </c>
      <c r="B502" s="395" t="str">
        <f>IF(ISBLANK(INDEX('Policy Characteristics'!B:B,MATCH($C502,'Policy Characteristics'!$C:$C,0))),"",INDEX('Policy Characteristics'!B:B,MATCH($C502,'Policy Characteristics'!$C:$C,0)))</f>
        <v>Electrification + Hydrogen (Med &amp; High Temp)</v>
      </c>
      <c r="C502" s="394" t="str">
        <f t="shared" si="32"/>
        <v>Fraction of Med and High Temp Industrial Heat Shifted to Other Fuels</v>
      </c>
      <c r="D502" s="399" t="s">
        <v>746</v>
      </c>
      <c r="E502" s="399" t="s">
        <v>804</v>
      </c>
      <c r="F502" t="s">
        <v>747</v>
      </c>
      <c r="G502" s="399" t="s">
        <v>805</v>
      </c>
      <c r="H502" s="377">
        <v>1254</v>
      </c>
      <c r="I502" s="396" t="s">
        <v>658</v>
      </c>
      <c r="J502" s="397" t="str">
        <f>IF(ISBLANK(INDEX('Policy Characteristics'!D:D,MATCH($C502,'Policy Characteristics'!$C:$C,0))),"",INDEX('Policy Characteristics'!D:D,MATCH($C502,'Policy Characteristics'!$C:$C,0)))</f>
        <v>Electrification + Hydrogen</v>
      </c>
      <c r="K502" s="394" t="str">
        <f>IF(ISBLANK(INDEX('Policy Characteristics'!E:E,MATCH($C502,'Policy Characteristics'!$C:$C,0))),"",INDEX('Policy Characteristics'!E:E,MATCH($C502,'Policy Characteristics'!$C:$C,0)))</f>
        <v>indst med and high temp fuel type shifting</v>
      </c>
      <c r="L502" s="398">
        <f>IF(ISBLANK(INDEX('Policy Characteristics'!F:F,MATCH($C502,'Policy Characteristics'!$C:$C,0))),"",INDEX('Policy Characteristics'!F:F,MATCH($C502,'Policy Characteristics'!$C:$C,0)))</f>
        <v>0</v>
      </c>
      <c r="M502" s="398">
        <f>IF(ISBLANK(INDEX('Policy Characteristics'!G:G,MATCH($C502,'Policy Characteristics'!$C:$C,0))),"",INDEX('Policy Characteristics'!G:G,MATCH($C502,'Policy Characteristics'!$C:$C,0)))</f>
        <v>1</v>
      </c>
      <c r="N502" s="398">
        <f>IF(ISBLANK(INDEX('Policy Characteristics'!H:H,MATCH($C502,'Policy Characteristics'!$C:$C,0))),"",INDEX('Policy Characteristics'!H:H,MATCH($C502,'Policy Characteristics'!$C:$C,0)))</f>
        <v>0.01</v>
      </c>
      <c r="O502" s="394" t="str">
        <f>IF(ISBLANK(INDEX('Policy Characteristics'!I:I,MATCH($C502,'Policy Characteristics'!$C:$C,0))),"",INDEX('Policy Characteristics'!I:I,MATCH($C502,'Policy Characteristics'!$C:$C,0)))</f>
        <v>% of fuel shifted</v>
      </c>
      <c r="P502" s="394" t="str">
        <f>IF(ISBLANK(INDEX('Policy Characteristics'!J:J,MATCH($C502,'Policy Characteristics'!$C:$C,0))),"",INDEX('Policy Characteristics'!J:J,MATCH($C502,'Policy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2" s="394" t="str">
        <f>IF(ISBLANK(INDEX('Policy Characteristics'!K:K,MATCH($C502,'Policy Characteristics'!$C:$C,0))),"",INDEX('Policy Characteristics'!K:K,MATCH($C502,'Policy Characteristics'!$C:$C,0)))</f>
        <v>industry-ag-main.html#fuel-switching</v>
      </c>
      <c r="R502" s="394" t="str">
        <f>IF(ISBLANK(INDEX('Policy Characteristics'!L:L,MATCH($C502,'Policy Characteristics'!$C:$C,0))),"",INDEX('Policy Characteristics'!L:L,MATCH($C502,'Policy Characteristics'!$C:$C,0)))</f>
        <v>industry-elec-and-hydrogen.html</v>
      </c>
    </row>
    <row r="503" customHeight="1" spans="1:18">
      <c r="A503" s="394" t="str">
        <f>IF(ISBLANK(INDEX('Policy Characteristics'!A:A,MATCH($C503,'Policy Characteristics'!$C:$C,0))),"",INDEX('Policy Characteristics'!A:A,MATCH($C503,'Policy Characteristics'!$C:$C,0)))</f>
        <v>Industry</v>
      </c>
      <c r="B503" s="395" t="str">
        <f>IF(ISBLANK(INDEX('Policy Characteristics'!B:B,MATCH($C503,'Policy Characteristics'!$C:$C,0))),"",INDEX('Policy Characteristics'!B:B,MATCH($C503,'Policy Characteristics'!$C:$C,0)))</f>
        <v>Electrification + Hydrogen (Med &amp; High Temp)</v>
      </c>
      <c r="C503" s="394" t="str">
        <f t="shared" si="32"/>
        <v>Fraction of Med and High Temp Industrial Heat Shifted to Other Fuels</v>
      </c>
      <c r="D503" s="399" t="s">
        <v>746</v>
      </c>
      <c r="E503" s="399" t="s">
        <v>806</v>
      </c>
      <c r="F503" t="s">
        <v>747</v>
      </c>
      <c r="G503" s="399" t="s">
        <v>807</v>
      </c>
      <c r="H503" s="377">
        <v>1255</v>
      </c>
      <c r="I503" s="396" t="s">
        <v>658</v>
      </c>
      <c r="J503" s="397" t="str">
        <f>IF(ISBLANK(INDEX('Policy Characteristics'!D:D,MATCH($C503,'Policy Characteristics'!$C:$C,0))),"",INDEX('Policy Characteristics'!D:D,MATCH($C503,'Policy Characteristics'!$C:$C,0)))</f>
        <v>Electrification + Hydrogen</v>
      </c>
      <c r="K503" s="394" t="str">
        <f>IF(ISBLANK(INDEX('Policy Characteristics'!E:E,MATCH($C503,'Policy Characteristics'!$C:$C,0))),"",INDEX('Policy Characteristics'!E:E,MATCH($C503,'Policy Characteristics'!$C:$C,0)))</f>
        <v>indst med and high temp fuel type shifting</v>
      </c>
      <c r="L503" s="398">
        <f>IF(ISBLANK(INDEX('Policy Characteristics'!F:F,MATCH($C503,'Policy Characteristics'!$C:$C,0))),"",INDEX('Policy Characteristics'!F:F,MATCH($C503,'Policy Characteristics'!$C:$C,0)))</f>
        <v>0</v>
      </c>
      <c r="M503" s="398">
        <f>IF(ISBLANK(INDEX('Policy Characteristics'!G:G,MATCH($C503,'Policy Characteristics'!$C:$C,0))),"",INDEX('Policy Characteristics'!G:G,MATCH($C503,'Policy Characteristics'!$C:$C,0)))</f>
        <v>1</v>
      </c>
      <c r="N503" s="398">
        <f>IF(ISBLANK(INDEX('Policy Characteristics'!H:H,MATCH($C503,'Policy Characteristics'!$C:$C,0))),"",INDEX('Policy Characteristics'!H:H,MATCH($C503,'Policy Characteristics'!$C:$C,0)))</f>
        <v>0.01</v>
      </c>
      <c r="O503" s="394" t="str">
        <f>IF(ISBLANK(INDEX('Policy Characteristics'!I:I,MATCH($C503,'Policy Characteristics'!$C:$C,0))),"",INDEX('Policy Characteristics'!I:I,MATCH($C503,'Policy Characteristics'!$C:$C,0)))</f>
        <v>% of fuel shifted</v>
      </c>
      <c r="P503" s="394" t="str">
        <f>IF(ISBLANK(INDEX('Policy Characteristics'!J:J,MATCH($C503,'Policy Characteristics'!$C:$C,0))),"",INDEX('Policy Characteristics'!J:J,MATCH($C503,'Policy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3" s="394" t="str">
        <f>IF(ISBLANK(INDEX('Policy Characteristics'!K:K,MATCH($C503,'Policy Characteristics'!$C:$C,0))),"",INDEX('Policy Characteristics'!K:K,MATCH($C503,'Policy Characteristics'!$C:$C,0)))</f>
        <v>industry-ag-main.html#fuel-switching</v>
      </c>
      <c r="R503" s="394" t="str">
        <f>IF(ISBLANK(INDEX('Policy Characteristics'!L:L,MATCH($C503,'Policy Characteristics'!$C:$C,0))),"",INDEX('Policy Characteristics'!L:L,MATCH($C503,'Policy Characteristics'!$C:$C,0)))</f>
        <v>industry-elec-and-hydrogen.html</v>
      </c>
    </row>
    <row r="504" customHeight="1" spans="1:18">
      <c r="A504" s="394" t="str">
        <f>IF(ISBLANK(INDEX('Policy Characteristics'!A:A,MATCH($C504,'Policy Characteristics'!$C:$C,0))),"",INDEX('Policy Characteristics'!A:A,MATCH($C504,'Policy Characteristics'!$C:$C,0)))</f>
        <v>Industry</v>
      </c>
      <c r="B504" s="395" t="str">
        <f>IF(ISBLANK(INDEX('Policy Characteristics'!B:B,MATCH($C504,'Policy Characteristics'!$C:$C,0))),"",INDEX('Policy Characteristics'!B:B,MATCH($C504,'Policy Characteristics'!$C:$C,0)))</f>
        <v>Electrification + Hydrogen (Med &amp; High Temp)</v>
      </c>
      <c r="C504" s="394" t="str">
        <f t="shared" si="32"/>
        <v>Fraction of Med and High Temp Industrial Heat Shifted to Other Fuels</v>
      </c>
      <c r="D504" s="399" t="s">
        <v>746</v>
      </c>
      <c r="E504" s="399" t="s">
        <v>808</v>
      </c>
      <c r="F504" t="s">
        <v>747</v>
      </c>
      <c r="G504" s="399" t="s">
        <v>809</v>
      </c>
      <c r="H504" s="377">
        <v>1256</v>
      </c>
      <c r="I504" s="396" t="s">
        <v>658</v>
      </c>
      <c r="J504" s="397" t="str">
        <f>IF(ISBLANK(INDEX('Policy Characteristics'!D:D,MATCH($C504,'Policy Characteristics'!$C:$C,0))),"",INDEX('Policy Characteristics'!D:D,MATCH($C504,'Policy Characteristics'!$C:$C,0)))</f>
        <v>Electrification + Hydrogen</v>
      </c>
      <c r="K504" s="394" t="str">
        <f>IF(ISBLANK(INDEX('Policy Characteristics'!E:E,MATCH($C504,'Policy Characteristics'!$C:$C,0))),"",INDEX('Policy Characteristics'!E:E,MATCH($C504,'Policy Characteristics'!$C:$C,0)))</f>
        <v>indst med and high temp fuel type shifting</v>
      </c>
      <c r="L504" s="398">
        <f>IF(ISBLANK(INDEX('Policy Characteristics'!F:F,MATCH($C504,'Policy Characteristics'!$C:$C,0))),"",INDEX('Policy Characteristics'!F:F,MATCH($C504,'Policy Characteristics'!$C:$C,0)))</f>
        <v>0</v>
      </c>
      <c r="M504" s="398">
        <f>IF(ISBLANK(INDEX('Policy Characteristics'!G:G,MATCH($C504,'Policy Characteristics'!$C:$C,0))),"",INDEX('Policy Characteristics'!G:G,MATCH($C504,'Policy Characteristics'!$C:$C,0)))</f>
        <v>1</v>
      </c>
      <c r="N504" s="398">
        <f>IF(ISBLANK(INDEX('Policy Characteristics'!H:H,MATCH($C504,'Policy Characteristics'!$C:$C,0))),"",INDEX('Policy Characteristics'!H:H,MATCH($C504,'Policy Characteristics'!$C:$C,0)))</f>
        <v>0.01</v>
      </c>
      <c r="O504" s="394" t="str">
        <f>IF(ISBLANK(INDEX('Policy Characteristics'!I:I,MATCH($C504,'Policy Characteristics'!$C:$C,0))),"",INDEX('Policy Characteristics'!I:I,MATCH($C504,'Policy Characteristics'!$C:$C,0)))</f>
        <v>% of fuel shifted</v>
      </c>
      <c r="P504" s="394" t="str">
        <f>IF(ISBLANK(INDEX('Policy Characteristics'!J:J,MATCH($C504,'Policy Characteristics'!$C:$C,0))),"",INDEX('Policy Characteristics'!J:J,MATCH($C504,'Policy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4" s="394" t="str">
        <f>IF(ISBLANK(INDEX('Policy Characteristics'!K:K,MATCH($C504,'Policy Characteristics'!$C:$C,0))),"",INDEX('Policy Characteristics'!K:K,MATCH($C504,'Policy Characteristics'!$C:$C,0)))</f>
        <v>industry-ag-main.html#fuel-switching</v>
      </c>
      <c r="R504" s="394" t="str">
        <f>IF(ISBLANK(INDEX('Policy Characteristics'!L:L,MATCH($C504,'Policy Characteristics'!$C:$C,0))),"",INDEX('Policy Characteristics'!L:L,MATCH($C504,'Policy Characteristics'!$C:$C,0)))</f>
        <v>industry-elec-and-hydrogen.html</v>
      </c>
    </row>
    <row r="505" customHeight="1" spans="1:18">
      <c r="A505" s="394" t="str">
        <f>IF(ISBLANK(INDEX('Policy Characteristics'!A:A,MATCH($C505,'Policy Characteristics'!$C:$C,0))),"",INDEX('Policy Characteristics'!A:A,MATCH($C505,'Policy Characteristics'!$C:$C,0)))</f>
        <v>Industry</v>
      </c>
      <c r="B505" s="395" t="str">
        <f>IF(ISBLANK(INDEX('Policy Characteristics'!B:B,MATCH($C505,'Policy Characteristics'!$C:$C,0))),"",INDEX('Policy Characteristics'!B:B,MATCH($C505,'Policy Characteristics'!$C:$C,0)))</f>
        <v>Electrification + Hydrogen (Med &amp; High Temp)</v>
      </c>
      <c r="C505" s="394" t="str">
        <f t="shared" si="32"/>
        <v>Fraction of Med and High Temp Industrial Heat Shifted to Other Fuels</v>
      </c>
      <c r="D505" s="399" t="s">
        <v>746</v>
      </c>
      <c r="E505" s="399" t="s">
        <v>810</v>
      </c>
      <c r="F505" t="s">
        <v>747</v>
      </c>
      <c r="G505" s="399" t="s">
        <v>811</v>
      </c>
      <c r="H505" s="377">
        <v>1257</v>
      </c>
      <c r="I505" s="396" t="s">
        <v>648</v>
      </c>
      <c r="J505" s="397" t="str">
        <f>IF(ISBLANK(INDEX('Policy Characteristics'!D:D,MATCH($C505,'Policy Characteristics'!$C:$C,0))),"",INDEX('Policy Characteristics'!D:D,MATCH($C505,'Policy Characteristics'!$C:$C,0)))</f>
        <v>Electrification + Hydrogen</v>
      </c>
      <c r="K505" s="394" t="str">
        <f>IF(ISBLANK(INDEX('Policy Characteristics'!E:E,MATCH($C505,'Policy Characteristics'!$C:$C,0))),"",INDEX('Policy Characteristics'!E:E,MATCH($C505,'Policy Characteristics'!$C:$C,0)))</f>
        <v>indst med and high temp fuel type shifting</v>
      </c>
      <c r="L505" s="398">
        <f>IF(ISBLANK(INDEX('Policy Characteristics'!F:F,MATCH($C505,'Policy Characteristics'!$C:$C,0))),"",INDEX('Policy Characteristics'!F:F,MATCH($C505,'Policy Characteristics'!$C:$C,0)))</f>
        <v>0</v>
      </c>
      <c r="M505" s="398">
        <f>IF(ISBLANK(INDEX('Policy Characteristics'!G:G,MATCH($C505,'Policy Characteristics'!$C:$C,0))),"",INDEX('Policy Characteristics'!G:G,MATCH($C505,'Policy Characteristics'!$C:$C,0)))</f>
        <v>1</v>
      </c>
      <c r="N505" s="398">
        <f>IF(ISBLANK(INDEX('Policy Characteristics'!H:H,MATCH($C505,'Policy Characteristics'!$C:$C,0))),"",INDEX('Policy Characteristics'!H:H,MATCH($C505,'Policy Characteristics'!$C:$C,0)))</f>
        <v>0.01</v>
      </c>
      <c r="O505" s="394" t="str">
        <f>IF(ISBLANK(INDEX('Policy Characteristics'!I:I,MATCH($C505,'Policy Characteristics'!$C:$C,0))),"",INDEX('Policy Characteristics'!I:I,MATCH($C505,'Policy Characteristics'!$C:$C,0)))</f>
        <v>% of fuel shifted</v>
      </c>
      <c r="P505" s="394" t="str">
        <f>IF(ISBLANK(INDEX('Policy Characteristics'!J:J,MATCH($C505,'Policy Characteristics'!$C:$C,0))),"",INDEX('Policy Characteristics'!J:J,MATCH($C505,'Policy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5" s="394" t="str">
        <f>IF(ISBLANK(INDEX('Policy Characteristics'!K:K,MATCH($C505,'Policy Characteristics'!$C:$C,0))),"",INDEX('Policy Characteristics'!K:K,MATCH($C505,'Policy Characteristics'!$C:$C,0)))</f>
        <v>industry-ag-main.html#fuel-switching</v>
      </c>
      <c r="R505" s="394" t="str">
        <f>IF(ISBLANK(INDEX('Policy Characteristics'!L:L,MATCH($C505,'Policy Characteristics'!$C:$C,0))),"",INDEX('Policy Characteristics'!L:L,MATCH($C505,'Policy Characteristics'!$C:$C,0)))</f>
        <v>industry-elec-and-hydrogen.html</v>
      </c>
    </row>
    <row r="506" customHeight="1" spans="1:18">
      <c r="A506" s="394" t="str">
        <f>IF(ISBLANK(INDEX('Policy Characteristics'!A:A,MATCH($C506,'Policy Characteristics'!$C:$C,0))),"",INDEX('Policy Characteristics'!A:A,MATCH($C506,'Policy Characteristics'!$C:$C,0)))</f>
        <v>Industry</v>
      </c>
      <c r="B506" s="395" t="str">
        <f>IF(ISBLANK(INDEX('Policy Characteristics'!B:B,MATCH($C506,'Policy Characteristics'!$C:$C,0))),"",INDEX('Policy Characteristics'!B:B,MATCH($C506,'Policy Characteristics'!$C:$C,0)))</f>
        <v>Electrification + Hydrogen (Med &amp; High Temp)</v>
      </c>
      <c r="C506" s="394" t="str">
        <f t="shared" si="32"/>
        <v>Fraction of Med and High Temp Industrial Heat Shifted to Other Fuels</v>
      </c>
      <c r="D506" s="399" t="s">
        <v>748</v>
      </c>
      <c r="E506" s="399" t="s">
        <v>792</v>
      </c>
      <c r="F506" t="s">
        <v>749</v>
      </c>
      <c r="G506" s="399" t="s">
        <v>793</v>
      </c>
      <c r="H506" s="377">
        <v>1258</v>
      </c>
      <c r="I506" s="396" t="s">
        <v>648</v>
      </c>
      <c r="J506" s="397" t="str">
        <f>IF(ISBLANK(INDEX('Policy Characteristics'!D:D,MATCH($C506,'Policy Characteristics'!$C:$C,0))),"",INDEX('Policy Characteristics'!D:D,MATCH($C506,'Policy Characteristics'!$C:$C,0)))</f>
        <v>Electrification + Hydrogen</v>
      </c>
      <c r="K506" s="394" t="str">
        <f>IF(ISBLANK(INDEX('Policy Characteristics'!E:E,MATCH($C506,'Policy Characteristics'!$C:$C,0))),"",INDEX('Policy Characteristics'!E:E,MATCH($C506,'Policy Characteristics'!$C:$C,0)))</f>
        <v>indst med and high temp fuel type shifting</v>
      </c>
      <c r="L506" s="398">
        <f>IF(ISBLANK(INDEX('Policy Characteristics'!F:F,MATCH($C506,'Policy Characteristics'!$C:$C,0))),"",INDEX('Policy Characteristics'!F:F,MATCH($C506,'Policy Characteristics'!$C:$C,0)))</f>
        <v>0</v>
      </c>
      <c r="M506" s="398">
        <f>IF(ISBLANK(INDEX('Policy Characteristics'!G:G,MATCH($C506,'Policy Characteristics'!$C:$C,0))),"",INDEX('Policy Characteristics'!G:G,MATCH($C506,'Policy Characteristics'!$C:$C,0)))</f>
        <v>1</v>
      </c>
      <c r="N506" s="398">
        <f>IF(ISBLANK(INDEX('Policy Characteristics'!H:H,MATCH($C506,'Policy Characteristics'!$C:$C,0))),"",INDEX('Policy Characteristics'!H:H,MATCH($C506,'Policy Characteristics'!$C:$C,0)))</f>
        <v>0.01</v>
      </c>
      <c r="O506" s="394" t="str">
        <f>IF(ISBLANK(INDEX('Policy Characteristics'!I:I,MATCH($C506,'Policy Characteristics'!$C:$C,0))),"",INDEX('Policy Characteristics'!I:I,MATCH($C506,'Policy Characteristics'!$C:$C,0)))</f>
        <v>% of fuel shifted</v>
      </c>
      <c r="P506" s="394" t="str">
        <f>IF(ISBLANK(INDEX('Policy Characteristics'!J:J,MATCH($C506,'Policy Characteristics'!$C:$C,0))),"",INDEX('Policy Characteristics'!J:J,MATCH($C506,'Policy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6" s="394" t="str">
        <f>IF(ISBLANK(INDEX('Policy Characteristics'!K:K,MATCH($C506,'Policy Characteristics'!$C:$C,0))),"",INDEX('Policy Characteristics'!K:K,MATCH($C506,'Policy Characteristics'!$C:$C,0)))</f>
        <v>industry-ag-main.html#fuel-switching</v>
      </c>
      <c r="R506" s="394" t="str">
        <f>IF(ISBLANK(INDEX('Policy Characteristics'!L:L,MATCH($C506,'Policy Characteristics'!$C:$C,0))),"",INDEX('Policy Characteristics'!L:L,MATCH($C506,'Policy Characteristics'!$C:$C,0)))</f>
        <v>industry-elec-and-hydrogen.html</v>
      </c>
    </row>
    <row r="507" customHeight="1" spans="1:18">
      <c r="A507" s="394" t="str">
        <f>IF(ISBLANK(INDEX('Policy Characteristics'!A:A,MATCH($C507,'Policy Characteristics'!$C:$C,0))),"",INDEX('Policy Characteristics'!A:A,MATCH($C507,'Policy Characteristics'!$C:$C,0)))</f>
        <v>Industry</v>
      </c>
      <c r="B507" s="395" t="str">
        <f>IF(ISBLANK(INDEX('Policy Characteristics'!B:B,MATCH($C507,'Policy Characteristics'!$C:$C,0))),"",INDEX('Policy Characteristics'!B:B,MATCH($C507,'Policy Characteristics'!$C:$C,0)))</f>
        <v>Electrification + Hydrogen (Med &amp; High Temp)</v>
      </c>
      <c r="C507" s="394" t="str">
        <f t="shared" si="32"/>
        <v>Fraction of Med and High Temp Industrial Heat Shifted to Other Fuels</v>
      </c>
      <c r="D507" s="399" t="s">
        <v>748</v>
      </c>
      <c r="E507" s="399" t="s">
        <v>794</v>
      </c>
      <c r="F507" t="s">
        <v>749</v>
      </c>
      <c r="G507" s="399" t="s">
        <v>795</v>
      </c>
      <c r="H507" s="377">
        <v>1259</v>
      </c>
      <c r="I507" s="396" t="s">
        <v>658</v>
      </c>
      <c r="J507" s="397" t="str">
        <f>IF(ISBLANK(INDEX('Policy Characteristics'!D:D,MATCH($C507,'Policy Characteristics'!$C:$C,0))),"",INDEX('Policy Characteristics'!D:D,MATCH($C507,'Policy Characteristics'!$C:$C,0)))</f>
        <v>Electrification + Hydrogen</v>
      </c>
      <c r="K507" s="394" t="str">
        <f>IF(ISBLANK(INDEX('Policy Characteristics'!E:E,MATCH($C507,'Policy Characteristics'!$C:$C,0))),"",INDEX('Policy Characteristics'!E:E,MATCH($C507,'Policy Characteristics'!$C:$C,0)))</f>
        <v>indst med and high temp fuel type shifting</v>
      </c>
      <c r="L507" s="398">
        <f>IF(ISBLANK(INDEX('Policy Characteristics'!F:F,MATCH($C507,'Policy Characteristics'!$C:$C,0))),"",INDEX('Policy Characteristics'!F:F,MATCH($C507,'Policy Characteristics'!$C:$C,0)))</f>
        <v>0</v>
      </c>
      <c r="M507" s="398">
        <f>IF(ISBLANK(INDEX('Policy Characteristics'!G:G,MATCH($C507,'Policy Characteristics'!$C:$C,0))),"",INDEX('Policy Characteristics'!G:G,MATCH($C507,'Policy Characteristics'!$C:$C,0)))</f>
        <v>1</v>
      </c>
      <c r="N507" s="398">
        <f>IF(ISBLANK(INDEX('Policy Characteristics'!H:H,MATCH($C507,'Policy Characteristics'!$C:$C,0))),"",INDEX('Policy Characteristics'!H:H,MATCH($C507,'Policy Characteristics'!$C:$C,0)))</f>
        <v>0.01</v>
      </c>
      <c r="O507" s="394" t="str">
        <f>IF(ISBLANK(INDEX('Policy Characteristics'!I:I,MATCH($C507,'Policy Characteristics'!$C:$C,0))),"",INDEX('Policy Characteristics'!I:I,MATCH($C507,'Policy Characteristics'!$C:$C,0)))</f>
        <v>% of fuel shifted</v>
      </c>
      <c r="P507" s="394" t="str">
        <f>IF(ISBLANK(INDEX('Policy Characteristics'!J:J,MATCH($C507,'Policy Characteristics'!$C:$C,0))),"",INDEX('Policy Characteristics'!J:J,MATCH($C507,'Policy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7" s="394" t="str">
        <f>IF(ISBLANK(INDEX('Policy Characteristics'!K:K,MATCH($C507,'Policy Characteristics'!$C:$C,0))),"",INDEX('Policy Characteristics'!K:K,MATCH($C507,'Policy Characteristics'!$C:$C,0)))</f>
        <v>industry-ag-main.html#fuel-switching</v>
      </c>
      <c r="R507" s="394" t="str">
        <f>IF(ISBLANK(INDEX('Policy Characteristics'!L:L,MATCH($C507,'Policy Characteristics'!$C:$C,0))),"",INDEX('Policy Characteristics'!L:L,MATCH($C507,'Policy Characteristics'!$C:$C,0)))</f>
        <v>industry-elec-and-hydrogen.html</v>
      </c>
    </row>
    <row r="508" customHeight="1" spans="1:18">
      <c r="A508" s="394" t="str">
        <f>IF(ISBLANK(INDEX('Policy Characteristics'!A:A,MATCH($C508,'Policy Characteristics'!$C:$C,0))),"",INDEX('Policy Characteristics'!A:A,MATCH($C508,'Policy Characteristics'!$C:$C,0)))</f>
        <v>Industry</v>
      </c>
      <c r="B508" s="395" t="str">
        <f>IF(ISBLANK(INDEX('Policy Characteristics'!B:B,MATCH($C508,'Policy Characteristics'!$C:$C,0))),"",INDEX('Policy Characteristics'!B:B,MATCH($C508,'Policy Characteristics'!$C:$C,0)))</f>
        <v>Electrification + Hydrogen (Med &amp; High Temp)</v>
      </c>
      <c r="C508" s="394" t="str">
        <f t="shared" si="32"/>
        <v>Fraction of Med and High Temp Industrial Heat Shifted to Other Fuels</v>
      </c>
      <c r="D508" s="399" t="s">
        <v>748</v>
      </c>
      <c r="E508" s="399" t="s">
        <v>796</v>
      </c>
      <c r="F508" t="s">
        <v>749</v>
      </c>
      <c r="G508" s="399" t="s">
        <v>797</v>
      </c>
      <c r="H508" s="377">
        <v>1260</v>
      </c>
      <c r="I508" s="396" t="s">
        <v>658</v>
      </c>
      <c r="J508" s="397" t="str">
        <f>IF(ISBLANK(INDEX('Policy Characteristics'!D:D,MATCH($C508,'Policy Characteristics'!$C:$C,0))),"",INDEX('Policy Characteristics'!D:D,MATCH($C508,'Policy Characteristics'!$C:$C,0)))</f>
        <v>Electrification + Hydrogen</v>
      </c>
      <c r="K508" s="394" t="str">
        <f>IF(ISBLANK(INDEX('Policy Characteristics'!E:E,MATCH($C508,'Policy Characteristics'!$C:$C,0))),"",INDEX('Policy Characteristics'!E:E,MATCH($C508,'Policy Characteristics'!$C:$C,0)))</f>
        <v>indst med and high temp fuel type shifting</v>
      </c>
      <c r="L508" s="398">
        <f>IF(ISBLANK(INDEX('Policy Characteristics'!F:F,MATCH($C508,'Policy Characteristics'!$C:$C,0))),"",INDEX('Policy Characteristics'!F:F,MATCH($C508,'Policy Characteristics'!$C:$C,0)))</f>
        <v>0</v>
      </c>
      <c r="M508" s="398">
        <f>IF(ISBLANK(INDEX('Policy Characteristics'!G:G,MATCH($C508,'Policy Characteristics'!$C:$C,0))),"",INDEX('Policy Characteristics'!G:G,MATCH($C508,'Policy Characteristics'!$C:$C,0)))</f>
        <v>1</v>
      </c>
      <c r="N508" s="398">
        <f>IF(ISBLANK(INDEX('Policy Characteristics'!H:H,MATCH($C508,'Policy Characteristics'!$C:$C,0))),"",INDEX('Policy Characteristics'!H:H,MATCH($C508,'Policy Characteristics'!$C:$C,0)))</f>
        <v>0.01</v>
      </c>
      <c r="O508" s="394" t="str">
        <f>IF(ISBLANK(INDEX('Policy Characteristics'!I:I,MATCH($C508,'Policy Characteristics'!$C:$C,0))),"",INDEX('Policy Characteristics'!I:I,MATCH($C508,'Policy Characteristics'!$C:$C,0)))</f>
        <v>% of fuel shifted</v>
      </c>
      <c r="P508" s="394" t="str">
        <f>IF(ISBLANK(INDEX('Policy Characteristics'!J:J,MATCH($C508,'Policy Characteristics'!$C:$C,0))),"",INDEX('Policy Characteristics'!J:J,MATCH($C508,'Policy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8" s="394" t="str">
        <f>IF(ISBLANK(INDEX('Policy Characteristics'!K:K,MATCH($C508,'Policy Characteristics'!$C:$C,0))),"",INDEX('Policy Characteristics'!K:K,MATCH($C508,'Policy Characteristics'!$C:$C,0)))</f>
        <v>industry-ag-main.html#fuel-switching</v>
      </c>
      <c r="R508" s="394" t="str">
        <f>IF(ISBLANK(INDEX('Policy Characteristics'!L:L,MATCH($C508,'Policy Characteristics'!$C:$C,0))),"",INDEX('Policy Characteristics'!L:L,MATCH($C508,'Policy Characteristics'!$C:$C,0)))</f>
        <v>industry-elec-and-hydrogen.html</v>
      </c>
    </row>
    <row r="509" customHeight="1" spans="1:18">
      <c r="A509" s="394" t="str">
        <f>IF(ISBLANK(INDEX('Policy Characteristics'!A:A,MATCH($C509,'Policy Characteristics'!$C:$C,0))),"",INDEX('Policy Characteristics'!A:A,MATCH($C509,'Policy Characteristics'!$C:$C,0)))</f>
        <v>Industry</v>
      </c>
      <c r="B509" s="395" t="str">
        <f>IF(ISBLANK(INDEX('Policy Characteristics'!B:B,MATCH($C509,'Policy Characteristics'!$C:$C,0))),"",INDEX('Policy Characteristics'!B:B,MATCH($C509,'Policy Characteristics'!$C:$C,0)))</f>
        <v>Electrification + Hydrogen (Med &amp; High Temp)</v>
      </c>
      <c r="C509" s="394" t="str">
        <f t="shared" si="32"/>
        <v>Fraction of Med and High Temp Industrial Heat Shifted to Other Fuels</v>
      </c>
      <c r="D509" s="399" t="s">
        <v>748</v>
      </c>
      <c r="E509" s="399" t="s">
        <v>798</v>
      </c>
      <c r="F509" t="s">
        <v>749</v>
      </c>
      <c r="G509" s="399" t="s">
        <v>799</v>
      </c>
      <c r="H509" s="377">
        <v>1261</v>
      </c>
      <c r="I509" s="396" t="s">
        <v>658</v>
      </c>
      <c r="J509" s="397" t="str">
        <f>IF(ISBLANK(INDEX('Policy Characteristics'!D:D,MATCH($C509,'Policy Characteristics'!$C:$C,0))),"",INDEX('Policy Characteristics'!D:D,MATCH($C509,'Policy Characteristics'!$C:$C,0)))</f>
        <v>Electrification + Hydrogen</v>
      </c>
      <c r="K509" s="394" t="str">
        <f>IF(ISBLANK(INDEX('Policy Characteristics'!E:E,MATCH($C509,'Policy Characteristics'!$C:$C,0))),"",INDEX('Policy Characteristics'!E:E,MATCH($C509,'Policy Characteristics'!$C:$C,0)))</f>
        <v>indst med and high temp fuel type shifting</v>
      </c>
      <c r="L509" s="398">
        <f>IF(ISBLANK(INDEX('Policy Characteristics'!F:F,MATCH($C509,'Policy Characteristics'!$C:$C,0))),"",INDEX('Policy Characteristics'!F:F,MATCH($C509,'Policy Characteristics'!$C:$C,0)))</f>
        <v>0</v>
      </c>
      <c r="M509" s="398">
        <f>IF(ISBLANK(INDEX('Policy Characteristics'!G:G,MATCH($C509,'Policy Characteristics'!$C:$C,0))),"",INDEX('Policy Characteristics'!G:G,MATCH($C509,'Policy Characteristics'!$C:$C,0)))</f>
        <v>1</v>
      </c>
      <c r="N509" s="398">
        <f>IF(ISBLANK(INDEX('Policy Characteristics'!H:H,MATCH($C509,'Policy Characteristics'!$C:$C,0))),"",INDEX('Policy Characteristics'!H:H,MATCH($C509,'Policy Characteristics'!$C:$C,0)))</f>
        <v>0.01</v>
      </c>
      <c r="O509" s="394" t="str">
        <f>IF(ISBLANK(INDEX('Policy Characteristics'!I:I,MATCH($C509,'Policy Characteristics'!$C:$C,0))),"",INDEX('Policy Characteristics'!I:I,MATCH($C509,'Policy Characteristics'!$C:$C,0)))</f>
        <v>% of fuel shifted</v>
      </c>
      <c r="P509" s="394" t="str">
        <f>IF(ISBLANK(INDEX('Policy Characteristics'!J:J,MATCH($C509,'Policy Characteristics'!$C:$C,0))),"",INDEX('Policy Characteristics'!J:J,MATCH($C509,'Policy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9" s="394" t="str">
        <f>IF(ISBLANK(INDEX('Policy Characteristics'!K:K,MATCH($C509,'Policy Characteristics'!$C:$C,0))),"",INDEX('Policy Characteristics'!K:K,MATCH($C509,'Policy Characteristics'!$C:$C,0)))</f>
        <v>industry-ag-main.html#fuel-switching</v>
      </c>
      <c r="R509" s="394" t="str">
        <f>IF(ISBLANK(INDEX('Policy Characteristics'!L:L,MATCH($C509,'Policy Characteristics'!$C:$C,0))),"",INDEX('Policy Characteristics'!L:L,MATCH($C509,'Policy Characteristics'!$C:$C,0)))</f>
        <v>industry-elec-and-hydrogen.html</v>
      </c>
    </row>
    <row r="510" customHeight="1" spans="1:18">
      <c r="A510" s="394" t="str">
        <f>IF(ISBLANK(INDEX('Policy Characteristics'!A:A,MATCH($C510,'Policy Characteristics'!$C:$C,0))),"",INDEX('Policy Characteristics'!A:A,MATCH($C510,'Policy Characteristics'!$C:$C,0)))</f>
        <v>Industry</v>
      </c>
      <c r="B510" s="395" t="str">
        <f>IF(ISBLANK(INDEX('Policy Characteristics'!B:B,MATCH($C510,'Policy Characteristics'!$C:$C,0))),"",INDEX('Policy Characteristics'!B:B,MATCH($C510,'Policy Characteristics'!$C:$C,0)))</f>
        <v>Electrification + Hydrogen (Med &amp; High Temp)</v>
      </c>
      <c r="C510" s="394" t="str">
        <f t="shared" si="32"/>
        <v>Fraction of Med and High Temp Industrial Heat Shifted to Other Fuels</v>
      </c>
      <c r="D510" s="399" t="s">
        <v>748</v>
      </c>
      <c r="E510" s="399" t="s">
        <v>800</v>
      </c>
      <c r="F510" t="s">
        <v>749</v>
      </c>
      <c r="G510" s="399" t="s">
        <v>801</v>
      </c>
      <c r="H510" s="377">
        <v>1262</v>
      </c>
      <c r="I510" s="396" t="s">
        <v>658</v>
      </c>
      <c r="J510" s="397" t="str">
        <f>IF(ISBLANK(INDEX('Policy Characteristics'!D:D,MATCH($C510,'Policy Characteristics'!$C:$C,0))),"",INDEX('Policy Characteristics'!D:D,MATCH($C510,'Policy Characteristics'!$C:$C,0)))</f>
        <v>Electrification + Hydrogen</v>
      </c>
      <c r="K510" s="394" t="str">
        <f>IF(ISBLANK(INDEX('Policy Characteristics'!E:E,MATCH($C510,'Policy Characteristics'!$C:$C,0))),"",INDEX('Policy Characteristics'!E:E,MATCH($C510,'Policy Characteristics'!$C:$C,0)))</f>
        <v>indst med and high temp fuel type shifting</v>
      </c>
      <c r="L510" s="398">
        <f>IF(ISBLANK(INDEX('Policy Characteristics'!F:F,MATCH($C510,'Policy Characteristics'!$C:$C,0))),"",INDEX('Policy Characteristics'!F:F,MATCH($C510,'Policy Characteristics'!$C:$C,0)))</f>
        <v>0</v>
      </c>
      <c r="M510" s="398">
        <f>IF(ISBLANK(INDEX('Policy Characteristics'!G:G,MATCH($C510,'Policy Characteristics'!$C:$C,0))),"",INDEX('Policy Characteristics'!G:G,MATCH($C510,'Policy Characteristics'!$C:$C,0)))</f>
        <v>1</v>
      </c>
      <c r="N510" s="398">
        <f>IF(ISBLANK(INDEX('Policy Characteristics'!H:H,MATCH($C510,'Policy Characteristics'!$C:$C,0))),"",INDEX('Policy Characteristics'!H:H,MATCH($C510,'Policy Characteristics'!$C:$C,0)))</f>
        <v>0.01</v>
      </c>
      <c r="O510" s="394" t="str">
        <f>IF(ISBLANK(INDEX('Policy Characteristics'!I:I,MATCH($C510,'Policy Characteristics'!$C:$C,0))),"",INDEX('Policy Characteristics'!I:I,MATCH($C510,'Policy Characteristics'!$C:$C,0)))</f>
        <v>% of fuel shifted</v>
      </c>
      <c r="P510" s="394" t="str">
        <f>IF(ISBLANK(INDEX('Policy Characteristics'!J:J,MATCH($C510,'Policy Characteristics'!$C:$C,0))),"",INDEX('Policy Characteristics'!J:J,MATCH($C510,'Policy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0" s="394" t="str">
        <f>IF(ISBLANK(INDEX('Policy Characteristics'!K:K,MATCH($C510,'Policy Characteristics'!$C:$C,0))),"",INDEX('Policy Characteristics'!K:K,MATCH($C510,'Policy Characteristics'!$C:$C,0)))</f>
        <v>industry-ag-main.html#fuel-switching</v>
      </c>
      <c r="R510" s="394" t="str">
        <f>IF(ISBLANK(INDEX('Policy Characteristics'!L:L,MATCH($C510,'Policy Characteristics'!$C:$C,0))),"",INDEX('Policy Characteristics'!L:L,MATCH($C510,'Policy Characteristics'!$C:$C,0)))</f>
        <v>industry-elec-and-hydrogen.html</v>
      </c>
    </row>
    <row r="511" customHeight="1" spans="1:18">
      <c r="A511" s="394" t="str">
        <f>IF(ISBLANK(INDEX('Policy Characteristics'!A:A,MATCH($C511,'Policy Characteristics'!$C:$C,0))),"",INDEX('Policy Characteristics'!A:A,MATCH($C511,'Policy Characteristics'!$C:$C,0)))</f>
        <v>Industry</v>
      </c>
      <c r="B511" s="395" t="str">
        <f>IF(ISBLANK(INDEX('Policy Characteristics'!B:B,MATCH($C511,'Policy Characteristics'!$C:$C,0))),"",INDEX('Policy Characteristics'!B:B,MATCH($C511,'Policy Characteristics'!$C:$C,0)))</f>
        <v>Electrification + Hydrogen (Med &amp; High Temp)</v>
      </c>
      <c r="C511" s="394" t="str">
        <f t="shared" si="32"/>
        <v>Fraction of Med and High Temp Industrial Heat Shifted to Other Fuels</v>
      </c>
      <c r="D511" s="399" t="s">
        <v>748</v>
      </c>
      <c r="E511" s="399" t="s">
        <v>802</v>
      </c>
      <c r="F511" t="s">
        <v>749</v>
      </c>
      <c r="G511" s="399" t="s">
        <v>803</v>
      </c>
      <c r="H511" s="377">
        <v>1263</v>
      </c>
      <c r="I511" s="396" t="s">
        <v>658</v>
      </c>
      <c r="J511" s="397" t="str">
        <f>IF(ISBLANK(INDEX('Policy Characteristics'!D:D,MATCH($C511,'Policy Characteristics'!$C:$C,0))),"",INDEX('Policy Characteristics'!D:D,MATCH($C511,'Policy Characteristics'!$C:$C,0)))</f>
        <v>Electrification + Hydrogen</v>
      </c>
      <c r="K511" s="394" t="str">
        <f>IF(ISBLANK(INDEX('Policy Characteristics'!E:E,MATCH($C511,'Policy Characteristics'!$C:$C,0))),"",INDEX('Policy Characteristics'!E:E,MATCH($C511,'Policy Characteristics'!$C:$C,0)))</f>
        <v>indst med and high temp fuel type shifting</v>
      </c>
      <c r="L511" s="398">
        <f>IF(ISBLANK(INDEX('Policy Characteristics'!F:F,MATCH($C511,'Policy Characteristics'!$C:$C,0))),"",INDEX('Policy Characteristics'!F:F,MATCH($C511,'Policy Characteristics'!$C:$C,0)))</f>
        <v>0</v>
      </c>
      <c r="M511" s="398">
        <f>IF(ISBLANK(INDEX('Policy Characteristics'!G:G,MATCH($C511,'Policy Characteristics'!$C:$C,0))),"",INDEX('Policy Characteristics'!G:G,MATCH($C511,'Policy Characteristics'!$C:$C,0)))</f>
        <v>1</v>
      </c>
      <c r="N511" s="398">
        <f>IF(ISBLANK(INDEX('Policy Characteristics'!H:H,MATCH($C511,'Policy Characteristics'!$C:$C,0))),"",INDEX('Policy Characteristics'!H:H,MATCH($C511,'Policy Characteristics'!$C:$C,0)))</f>
        <v>0.01</v>
      </c>
      <c r="O511" s="394" t="str">
        <f>IF(ISBLANK(INDEX('Policy Characteristics'!I:I,MATCH($C511,'Policy Characteristics'!$C:$C,0))),"",INDEX('Policy Characteristics'!I:I,MATCH($C511,'Policy Characteristics'!$C:$C,0)))</f>
        <v>% of fuel shifted</v>
      </c>
      <c r="P511" s="394" t="str">
        <f>IF(ISBLANK(INDEX('Policy Characteristics'!J:J,MATCH($C511,'Policy Characteristics'!$C:$C,0))),"",INDEX('Policy Characteristics'!J:J,MATCH($C511,'Policy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1" s="394" t="str">
        <f>IF(ISBLANK(INDEX('Policy Characteristics'!K:K,MATCH($C511,'Policy Characteristics'!$C:$C,0))),"",INDEX('Policy Characteristics'!K:K,MATCH($C511,'Policy Characteristics'!$C:$C,0)))</f>
        <v>industry-ag-main.html#fuel-switching</v>
      </c>
      <c r="R511" s="394" t="str">
        <f>IF(ISBLANK(INDEX('Policy Characteristics'!L:L,MATCH($C511,'Policy Characteristics'!$C:$C,0))),"",INDEX('Policy Characteristics'!L:L,MATCH($C511,'Policy Characteristics'!$C:$C,0)))</f>
        <v>industry-elec-and-hydrogen.html</v>
      </c>
    </row>
    <row r="512" customHeight="1" spans="1:18">
      <c r="A512" s="394" t="str">
        <f>IF(ISBLANK(INDEX('Policy Characteristics'!A:A,MATCH($C512,'Policy Characteristics'!$C:$C,0))),"",INDEX('Policy Characteristics'!A:A,MATCH($C512,'Policy Characteristics'!$C:$C,0)))</f>
        <v>Industry</v>
      </c>
      <c r="B512" s="395" t="str">
        <f>IF(ISBLANK(INDEX('Policy Characteristics'!B:B,MATCH($C512,'Policy Characteristics'!$C:$C,0))),"",INDEX('Policy Characteristics'!B:B,MATCH($C512,'Policy Characteristics'!$C:$C,0)))</f>
        <v>Electrification + Hydrogen (Med &amp; High Temp)</v>
      </c>
      <c r="C512" s="394" t="str">
        <f t="shared" si="32"/>
        <v>Fraction of Med and High Temp Industrial Heat Shifted to Other Fuels</v>
      </c>
      <c r="D512" s="399" t="s">
        <v>748</v>
      </c>
      <c r="E512" s="399" t="s">
        <v>804</v>
      </c>
      <c r="F512" t="s">
        <v>749</v>
      </c>
      <c r="G512" s="399" t="s">
        <v>805</v>
      </c>
      <c r="H512" s="377">
        <v>1264</v>
      </c>
      <c r="I512" s="396" t="s">
        <v>658</v>
      </c>
      <c r="J512" s="397" t="str">
        <f>IF(ISBLANK(INDEX('Policy Characteristics'!D:D,MATCH($C512,'Policy Characteristics'!$C:$C,0))),"",INDEX('Policy Characteristics'!D:D,MATCH($C512,'Policy Characteristics'!$C:$C,0)))</f>
        <v>Electrification + Hydrogen</v>
      </c>
      <c r="K512" s="394" t="str">
        <f>IF(ISBLANK(INDEX('Policy Characteristics'!E:E,MATCH($C512,'Policy Characteristics'!$C:$C,0))),"",INDEX('Policy Characteristics'!E:E,MATCH($C512,'Policy Characteristics'!$C:$C,0)))</f>
        <v>indst med and high temp fuel type shifting</v>
      </c>
      <c r="L512" s="398">
        <f>IF(ISBLANK(INDEX('Policy Characteristics'!F:F,MATCH($C512,'Policy Characteristics'!$C:$C,0))),"",INDEX('Policy Characteristics'!F:F,MATCH($C512,'Policy Characteristics'!$C:$C,0)))</f>
        <v>0</v>
      </c>
      <c r="M512" s="398">
        <f>IF(ISBLANK(INDEX('Policy Characteristics'!G:G,MATCH($C512,'Policy Characteristics'!$C:$C,0))),"",INDEX('Policy Characteristics'!G:G,MATCH($C512,'Policy Characteristics'!$C:$C,0)))</f>
        <v>1</v>
      </c>
      <c r="N512" s="398">
        <f>IF(ISBLANK(INDEX('Policy Characteristics'!H:H,MATCH($C512,'Policy Characteristics'!$C:$C,0))),"",INDEX('Policy Characteristics'!H:H,MATCH($C512,'Policy Characteristics'!$C:$C,0)))</f>
        <v>0.01</v>
      </c>
      <c r="O512" s="394" t="str">
        <f>IF(ISBLANK(INDEX('Policy Characteristics'!I:I,MATCH($C512,'Policy Characteristics'!$C:$C,0))),"",INDEX('Policy Characteristics'!I:I,MATCH($C512,'Policy Characteristics'!$C:$C,0)))</f>
        <v>% of fuel shifted</v>
      </c>
      <c r="P512" s="394" t="str">
        <f>IF(ISBLANK(INDEX('Policy Characteristics'!J:J,MATCH($C512,'Policy Characteristics'!$C:$C,0))),"",INDEX('Policy Characteristics'!J:J,MATCH($C512,'Policy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2" s="394" t="str">
        <f>IF(ISBLANK(INDEX('Policy Characteristics'!K:K,MATCH($C512,'Policy Characteristics'!$C:$C,0))),"",INDEX('Policy Characteristics'!K:K,MATCH($C512,'Policy Characteristics'!$C:$C,0)))</f>
        <v>industry-ag-main.html#fuel-switching</v>
      </c>
      <c r="R512" s="394" t="str">
        <f>IF(ISBLANK(INDEX('Policy Characteristics'!L:L,MATCH($C512,'Policy Characteristics'!$C:$C,0))),"",INDEX('Policy Characteristics'!L:L,MATCH($C512,'Policy Characteristics'!$C:$C,0)))</f>
        <v>industry-elec-and-hydrogen.html</v>
      </c>
    </row>
    <row r="513" customHeight="1" spans="1:18">
      <c r="A513" s="394" t="str">
        <f>IF(ISBLANK(INDEX('Policy Characteristics'!A:A,MATCH($C513,'Policy Characteristics'!$C:$C,0))),"",INDEX('Policy Characteristics'!A:A,MATCH($C513,'Policy Characteristics'!$C:$C,0)))</f>
        <v>Industry</v>
      </c>
      <c r="B513" s="395" t="str">
        <f>IF(ISBLANK(INDEX('Policy Characteristics'!B:B,MATCH($C513,'Policy Characteristics'!$C:$C,0))),"",INDEX('Policy Characteristics'!B:B,MATCH($C513,'Policy Characteristics'!$C:$C,0)))</f>
        <v>Electrification + Hydrogen (Med &amp; High Temp)</v>
      </c>
      <c r="C513" s="394" t="str">
        <f t="shared" si="32"/>
        <v>Fraction of Med and High Temp Industrial Heat Shifted to Other Fuels</v>
      </c>
      <c r="D513" s="399" t="s">
        <v>748</v>
      </c>
      <c r="E513" s="399" t="s">
        <v>806</v>
      </c>
      <c r="F513" t="s">
        <v>749</v>
      </c>
      <c r="G513" s="399" t="s">
        <v>807</v>
      </c>
      <c r="H513" s="377">
        <v>1265</v>
      </c>
      <c r="I513" s="396" t="s">
        <v>658</v>
      </c>
      <c r="J513" s="397" t="str">
        <f>IF(ISBLANK(INDEX('Policy Characteristics'!D:D,MATCH($C513,'Policy Characteristics'!$C:$C,0))),"",INDEX('Policy Characteristics'!D:D,MATCH($C513,'Policy Characteristics'!$C:$C,0)))</f>
        <v>Electrification + Hydrogen</v>
      </c>
      <c r="K513" s="394" t="str">
        <f>IF(ISBLANK(INDEX('Policy Characteristics'!E:E,MATCH($C513,'Policy Characteristics'!$C:$C,0))),"",INDEX('Policy Characteristics'!E:E,MATCH($C513,'Policy Characteristics'!$C:$C,0)))</f>
        <v>indst med and high temp fuel type shifting</v>
      </c>
      <c r="L513" s="398">
        <f>IF(ISBLANK(INDEX('Policy Characteristics'!F:F,MATCH($C513,'Policy Characteristics'!$C:$C,0))),"",INDEX('Policy Characteristics'!F:F,MATCH($C513,'Policy Characteristics'!$C:$C,0)))</f>
        <v>0</v>
      </c>
      <c r="M513" s="398">
        <f>IF(ISBLANK(INDEX('Policy Characteristics'!G:G,MATCH($C513,'Policy Characteristics'!$C:$C,0))),"",INDEX('Policy Characteristics'!G:G,MATCH($C513,'Policy Characteristics'!$C:$C,0)))</f>
        <v>1</v>
      </c>
      <c r="N513" s="398">
        <f>IF(ISBLANK(INDEX('Policy Characteristics'!H:H,MATCH($C513,'Policy Characteristics'!$C:$C,0))),"",INDEX('Policy Characteristics'!H:H,MATCH($C513,'Policy Characteristics'!$C:$C,0)))</f>
        <v>0.01</v>
      </c>
      <c r="O513" s="394" t="str">
        <f>IF(ISBLANK(INDEX('Policy Characteristics'!I:I,MATCH($C513,'Policy Characteristics'!$C:$C,0))),"",INDEX('Policy Characteristics'!I:I,MATCH($C513,'Policy Characteristics'!$C:$C,0)))</f>
        <v>% of fuel shifted</v>
      </c>
      <c r="P513" s="394" t="str">
        <f>IF(ISBLANK(INDEX('Policy Characteristics'!J:J,MATCH($C513,'Policy Characteristics'!$C:$C,0))),"",INDEX('Policy Characteristics'!J:J,MATCH($C513,'Policy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3" s="394" t="str">
        <f>IF(ISBLANK(INDEX('Policy Characteristics'!K:K,MATCH($C513,'Policy Characteristics'!$C:$C,0))),"",INDEX('Policy Characteristics'!K:K,MATCH($C513,'Policy Characteristics'!$C:$C,0)))</f>
        <v>industry-ag-main.html#fuel-switching</v>
      </c>
      <c r="R513" s="394" t="str">
        <f>IF(ISBLANK(INDEX('Policy Characteristics'!L:L,MATCH($C513,'Policy Characteristics'!$C:$C,0))),"",INDEX('Policy Characteristics'!L:L,MATCH($C513,'Policy Characteristics'!$C:$C,0)))</f>
        <v>industry-elec-and-hydrogen.html</v>
      </c>
    </row>
    <row r="514" customHeight="1" spans="1:18">
      <c r="A514" s="394" t="str">
        <f>IF(ISBLANK(INDEX('Policy Characteristics'!A:A,MATCH($C514,'Policy Characteristics'!$C:$C,0))),"",INDEX('Policy Characteristics'!A:A,MATCH($C514,'Policy Characteristics'!$C:$C,0)))</f>
        <v>Industry</v>
      </c>
      <c r="B514" s="395" t="str">
        <f>IF(ISBLANK(INDEX('Policy Characteristics'!B:B,MATCH($C514,'Policy Characteristics'!$C:$C,0))),"",INDEX('Policy Characteristics'!B:B,MATCH($C514,'Policy Characteristics'!$C:$C,0)))</f>
        <v>Electrification + Hydrogen (Med &amp; High Temp)</v>
      </c>
      <c r="C514" s="394" t="str">
        <f t="shared" si="32"/>
        <v>Fraction of Med and High Temp Industrial Heat Shifted to Other Fuels</v>
      </c>
      <c r="D514" s="399" t="s">
        <v>748</v>
      </c>
      <c r="E514" s="399" t="s">
        <v>808</v>
      </c>
      <c r="F514" t="s">
        <v>749</v>
      </c>
      <c r="G514" s="399" t="s">
        <v>809</v>
      </c>
      <c r="H514" s="377">
        <v>1266</v>
      </c>
      <c r="I514" s="396" t="s">
        <v>658</v>
      </c>
      <c r="J514" s="397" t="str">
        <f>IF(ISBLANK(INDEX('Policy Characteristics'!D:D,MATCH($C514,'Policy Characteristics'!$C:$C,0))),"",INDEX('Policy Characteristics'!D:D,MATCH($C514,'Policy Characteristics'!$C:$C,0)))</f>
        <v>Electrification + Hydrogen</v>
      </c>
      <c r="K514" s="394" t="str">
        <f>IF(ISBLANK(INDEX('Policy Characteristics'!E:E,MATCH($C514,'Policy Characteristics'!$C:$C,0))),"",INDEX('Policy Characteristics'!E:E,MATCH($C514,'Policy Characteristics'!$C:$C,0)))</f>
        <v>indst med and high temp fuel type shifting</v>
      </c>
      <c r="L514" s="398">
        <f>IF(ISBLANK(INDEX('Policy Characteristics'!F:F,MATCH($C514,'Policy Characteristics'!$C:$C,0))),"",INDEX('Policy Characteristics'!F:F,MATCH($C514,'Policy Characteristics'!$C:$C,0)))</f>
        <v>0</v>
      </c>
      <c r="M514" s="398">
        <f>IF(ISBLANK(INDEX('Policy Characteristics'!G:G,MATCH($C514,'Policy Characteristics'!$C:$C,0))),"",INDEX('Policy Characteristics'!G:G,MATCH($C514,'Policy Characteristics'!$C:$C,0)))</f>
        <v>1</v>
      </c>
      <c r="N514" s="398">
        <f>IF(ISBLANK(INDEX('Policy Characteristics'!H:H,MATCH($C514,'Policy Characteristics'!$C:$C,0))),"",INDEX('Policy Characteristics'!H:H,MATCH($C514,'Policy Characteristics'!$C:$C,0)))</f>
        <v>0.01</v>
      </c>
      <c r="O514" s="394" t="str">
        <f>IF(ISBLANK(INDEX('Policy Characteristics'!I:I,MATCH($C514,'Policy Characteristics'!$C:$C,0))),"",INDEX('Policy Characteristics'!I:I,MATCH($C514,'Policy Characteristics'!$C:$C,0)))</f>
        <v>% of fuel shifted</v>
      </c>
      <c r="P514" s="394" t="str">
        <f>IF(ISBLANK(INDEX('Policy Characteristics'!J:J,MATCH($C514,'Policy Characteristics'!$C:$C,0))),"",INDEX('Policy Characteristics'!J:J,MATCH($C514,'Policy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4" s="394" t="str">
        <f>IF(ISBLANK(INDEX('Policy Characteristics'!K:K,MATCH($C514,'Policy Characteristics'!$C:$C,0))),"",INDEX('Policy Characteristics'!K:K,MATCH($C514,'Policy Characteristics'!$C:$C,0)))</f>
        <v>industry-ag-main.html#fuel-switching</v>
      </c>
      <c r="R514" s="394" t="str">
        <f>IF(ISBLANK(INDEX('Policy Characteristics'!L:L,MATCH($C514,'Policy Characteristics'!$C:$C,0))),"",INDEX('Policy Characteristics'!L:L,MATCH($C514,'Policy Characteristics'!$C:$C,0)))</f>
        <v>industry-elec-and-hydrogen.html</v>
      </c>
    </row>
    <row r="515" customHeight="1" spans="1:18">
      <c r="A515" s="394" t="str">
        <f>IF(ISBLANK(INDEX('Policy Characteristics'!A:A,MATCH($C515,'Policy Characteristics'!$C:$C,0))),"",INDEX('Policy Characteristics'!A:A,MATCH($C515,'Policy Characteristics'!$C:$C,0)))</f>
        <v>Industry</v>
      </c>
      <c r="B515" s="395" t="str">
        <f>IF(ISBLANK(INDEX('Policy Characteristics'!B:B,MATCH($C515,'Policy Characteristics'!$C:$C,0))),"",INDEX('Policy Characteristics'!B:B,MATCH($C515,'Policy Characteristics'!$C:$C,0)))</f>
        <v>Electrification + Hydrogen (Med &amp; High Temp)</v>
      </c>
      <c r="C515" s="394" t="str">
        <f t="shared" si="32"/>
        <v>Fraction of Med and High Temp Industrial Heat Shifted to Other Fuels</v>
      </c>
      <c r="D515" s="399" t="s">
        <v>748</v>
      </c>
      <c r="E515" s="399" t="s">
        <v>810</v>
      </c>
      <c r="F515" t="s">
        <v>749</v>
      </c>
      <c r="G515" s="399" t="s">
        <v>811</v>
      </c>
      <c r="H515" s="377">
        <v>1267</v>
      </c>
      <c r="I515" s="396" t="s">
        <v>648</v>
      </c>
      <c r="J515" s="397" t="str">
        <f>IF(ISBLANK(INDEX('Policy Characteristics'!D:D,MATCH($C515,'Policy Characteristics'!$C:$C,0))),"",INDEX('Policy Characteristics'!D:D,MATCH($C515,'Policy Characteristics'!$C:$C,0)))</f>
        <v>Electrification + Hydrogen</v>
      </c>
      <c r="K515" s="394" t="str">
        <f>IF(ISBLANK(INDEX('Policy Characteristics'!E:E,MATCH($C515,'Policy Characteristics'!$C:$C,0))),"",INDEX('Policy Characteristics'!E:E,MATCH($C515,'Policy Characteristics'!$C:$C,0)))</f>
        <v>indst med and high temp fuel type shifting</v>
      </c>
      <c r="L515" s="398">
        <f>IF(ISBLANK(INDEX('Policy Characteristics'!F:F,MATCH($C515,'Policy Characteristics'!$C:$C,0))),"",INDEX('Policy Characteristics'!F:F,MATCH($C515,'Policy Characteristics'!$C:$C,0)))</f>
        <v>0</v>
      </c>
      <c r="M515" s="398">
        <f>IF(ISBLANK(INDEX('Policy Characteristics'!G:G,MATCH($C515,'Policy Characteristics'!$C:$C,0))),"",INDEX('Policy Characteristics'!G:G,MATCH($C515,'Policy Characteristics'!$C:$C,0)))</f>
        <v>1</v>
      </c>
      <c r="N515" s="398">
        <f>IF(ISBLANK(INDEX('Policy Characteristics'!H:H,MATCH($C515,'Policy Characteristics'!$C:$C,0))),"",INDEX('Policy Characteristics'!H:H,MATCH($C515,'Policy Characteristics'!$C:$C,0)))</f>
        <v>0.01</v>
      </c>
      <c r="O515" s="394" t="str">
        <f>IF(ISBLANK(INDEX('Policy Characteristics'!I:I,MATCH($C515,'Policy Characteristics'!$C:$C,0))),"",INDEX('Policy Characteristics'!I:I,MATCH($C515,'Policy Characteristics'!$C:$C,0)))</f>
        <v>% of fuel shifted</v>
      </c>
      <c r="P515" s="394" t="str">
        <f>IF(ISBLANK(INDEX('Policy Characteristics'!J:J,MATCH($C515,'Policy Characteristics'!$C:$C,0))),"",INDEX('Policy Characteristics'!J:J,MATCH($C515,'Policy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5" s="394" t="str">
        <f>IF(ISBLANK(INDEX('Policy Characteristics'!K:K,MATCH($C515,'Policy Characteristics'!$C:$C,0))),"",INDEX('Policy Characteristics'!K:K,MATCH($C515,'Policy Characteristics'!$C:$C,0)))</f>
        <v>industry-ag-main.html#fuel-switching</v>
      </c>
      <c r="R515" s="394" t="str">
        <f>IF(ISBLANK(INDEX('Policy Characteristics'!L:L,MATCH($C515,'Policy Characteristics'!$C:$C,0))),"",INDEX('Policy Characteristics'!L:L,MATCH($C515,'Policy Characteristics'!$C:$C,0)))</f>
        <v>industry-elec-and-hydrogen.html</v>
      </c>
    </row>
    <row r="516" customHeight="1" spans="1:18">
      <c r="A516" s="394" t="str">
        <f>IF(ISBLANK(INDEX('Policy Characteristics'!A:A,MATCH($C516,'Policy Characteristics'!$C:$C,0))),"",INDEX('Policy Characteristics'!A:A,MATCH($C516,'Policy Characteristics'!$C:$C,0)))</f>
        <v>Industry</v>
      </c>
      <c r="B516" s="395" t="str">
        <f>IF(ISBLANK(INDEX('Policy Characteristics'!B:B,MATCH($C516,'Policy Characteristics'!$C:$C,0))),"",INDEX('Policy Characteristics'!B:B,MATCH($C516,'Policy Characteristics'!$C:$C,0)))</f>
        <v>Electrification + Hydrogen (Med &amp; High Temp)</v>
      </c>
      <c r="C516" s="394" t="str">
        <f t="shared" si="32"/>
        <v>Fraction of Med and High Temp Industrial Heat Shifted to Other Fuels</v>
      </c>
      <c r="D516" s="399" t="s">
        <v>750</v>
      </c>
      <c r="E516" s="399" t="s">
        <v>792</v>
      </c>
      <c r="F516" s="366" t="s">
        <v>751</v>
      </c>
      <c r="G516" s="399" t="s">
        <v>793</v>
      </c>
      <c r="H516" s="377">
        <v>1268</v>
      </c>
      <c r="I516" s="396" t="s">
        <v>648</v>
      </c>
      <c r="J516" s="397" t="str">
        <f>IF(ISBLANK(INDEX('Policy Characteristics'!D:D,MATCH($C516,'Policy Characteristics'!$C:$C,0))),"",INDEX('Policy Characteristics'!D:D,MATCH($C516,'Policy Characteristics'!$C:$C,0)))</f>
        <v>Electrification + Hydrogen</v>
      </c>
      <c r="K516" s="394" t="str">
        <f>IF(ISBLANK(INDEX('Policy Characteristics'!E:E,MATCH($C516,'Policy Characteristics'!$C:$C,0))),"",INDEX('Policy Characteristics'!E:E,MATCH($C516,'Policy Characteristics'!$C:$C,0)))</f>
        <v>indst med and high temp fuel type shifting</v>
      </c>
      <c r="L516" s="398">
        <f>IF(ISBLANK(INDEX('Policy Characteristics'!F:F,MATCH($C516,'Policy Characteristics'!$C:$C,0))),"",INDEX('Policy Characteristics'!F:F,MATCH($C516,'Policy Characteristics'!$C:$C,0)))</f>
        <v>0</v>
      </c>
      <c r="M516" s="398">
        <f>IF(ISBLANK(INDEX('Policy Characteristics'!G:G,MATCH($C516,'Policy Characteristics'!$C:$C,0))),"",INDEX('Policy Characteristics'!G:G,MATCH($C516,'Policy Characteristics'!$C:$C,0)))</f>
        <v>1</v>
      </c>
      <c r="N516" s="398">
        <f>IF(ISBLANK(INDEX('Policy Characteristics'!H:H,MATCH($C516,'Policy Characteristics'!$C:$C,0))),"",INDEX('Policy Characteristics'!H:H,MATCH($C516,'Policy Characteristics'!$C:$C,0)))</f>
        <v>0.01</v>
      </c>
      <c r="O516" s="394" t="str">
        <f>IF(ISBLANK(INDEX('Policy Characteristics'!I:I,MATCH($C516,'Policy Characteristics'!$C:$C,0))),"",INDEX('Policy Characteristics'!I:I,MATCH($C516,'Policy Characteristics'!$C:$C,0)))</f>
        <v>% of fuel shifted</v>
      </c>
      <c r="P516" s="394" t="str">
        <f>IF(ISBLANK(INDEX('Policy Characteristics'!J:J,MATCH($C516,'Policy Characteristics'!$C:$C,0))),"",INDEX('Policy Characteristics'!J:J,MATCH($C516,'Policy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6" s="394" t="str">
        <f>IF(ISBLANK(INDEX('Policy Characteristics'!K:K,MATCH($C516,'Policy Characteristics'!$C:$C,0))),"",INDEX('Policy Characteristics'!K:K,MATCH($C516,'Policy Characteristics'!$C:$C,0)))</f>
        <v>industry-ag-main.html#fuel-switching</v>
      </c>
      <c r="R516" s="394" t="str">
        <f>IF(ISBLANK(INDEX('Policy Characteristics'!L:L,MATCH($C516,'Policy Characteristics'!$C:$C,0))),"",INDEX('Policy Characteristics'!L:L,MATCH($C516,'Policy Characteristics'!$C:$C,0)))</f>
        <v>industry-elec-and-hydrogen.html</v>
      </c>
    </row>
    <row r="517" customHeight="1" spans="1:18">
      <c r="A517" s="394" t="str">
        <f>IF(ISBLANK(INDEX('Policy Characteristics'!A:A,MATCH($C517,'Policy Characteristics'!$C:$C,0))),"",INDEX('Policy Characteristics'!A:A,MATCH($C517,'Policy Characteristics'!$C:$C,0)))</f>
        <v>Industry</v>
      </c>
      <c r="B517" s="395" t="str">
        <f>IF(ISBLANK(INDEX('Policy Characteristics'!B:B,MATCH($C517,'Policy Characteristics'!$C:$C,0))),"",INDEX('Policy Characteristics'!B:B,MATCH($C517,'Policy Characteristics'!$C:$C,0)))</f>
        <v>Electrification + Hydrogen (Med &amp; High Temp)</v>
      </c>
      <c r="C517" s="394" t="str">
        <f t="shared" si="32"/>
        <v>Fraction of Med and High Temp Industrial Heat Shifted to Other Fuels</v>
      </c>
      <c r="D517" s="399" t="s">
        <v>750</v>
      </c>
      <c r="E517" s="399" t="s">
        <v>794</v>
      </c>
      <c r="F517" s="366" t="s">
        <v>751</v>
      </c>
      <c r="G517" s="399" t="s">
        <v>795</v>
      </c>
      <c r="H517" s="377">
        <v>1269</v>
      </c>
      <c r="I517" s="396" t="s">
        <v>658</v>
      </c>
      <c r="J517" s="397" t="str">
        <f>IF(ISBLANK(INDEX('Policy Characteristics'!D:D,MATCH($C517,'Policy Characteristics'!$C:$C,0))),"",INDEX('Policy Characteristics'!D:D,MATCH($C517,'Policy Characteristics'!$C:$C,0)))</f>
        <v>Electrification + Hydrogen</v>
      </c>
      <c r="K517" s="394" t="str">
        <f>IF(ISBLANK(INDEX('Policy Characteristics'!E:E,MATCH($C517,'Policy Characteristics'!$C:$C,0))),"",INDEX('Policy Characteristics'!E:E,MATCH($C517,'Policy Characteristics'!$C:$C,0)))</f>
        <v>indst med and high temp fuel type shifting</v>
      </c>
      <c r="L517" s="398">
        <f>IF(ISBLANK(INDEX('Policy Characteristics'!F:F,MATCH($C517,'Policy Characteristics'!$C:$C,0))),"",INDEX('Policy Characteristics'!F:F,MATCH($C517,'Policy Characteristics'!$C:$C,0)))</f>
        <v>0</v>
      </c>
      <c r="M517" s="398">
        <f>IF(ISBLANK(INDEX('Policy Characteristics'!G:G,MATCH($C517,'Policy Characteristics'!$C:$C,0))),"",INDEX('Policy Characteristics'!G:G,MATCH($C517,'Policy Characteristics'!$C:$C,0)))</f>
        <v>1</v>
      </c>
      <c r="N517" s="398">
        <f>IF(ISBLANK(INDEX('Policy Characteristics'!H:H,MATCH($C517,'Policy Characteristics'!$C:$C,0))),"",INDEX('Policy Characteristics'!H:H,MATCH($C517,'Policy Characteristics'!$C:$C,0)))</f>
        <v>0.01</v>
      </c>
      <c r="O517" s="394" t="str">
        <f>IF(ISBLANK(INDEX('Policy Characteristics'!I:I,MATCH($C517,'Policy Characteristics'!$C:$C,0))),"",INDEX('Policy Characteristics'!I:I,MATCH($C517,'Policy Characteristics'!$C:$C,0)))</f>
        <v>% of fuel shifted</v>
      </c>
      <c r="P517" s="394" t="str">
        <f>IF(ISBLANK(INDEX('Policy Characteristics'!J:J,MATCH($C517,'Policy Characteristics'!$C:$C,0))),"",INDEX('Policy Characteristics'!J:J,MATCH($C517,'Policy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7" s="394" t="str">
        <f>IF(ISBLANK(INDEX('Policy Characteristics'!K:K,MATCH($C517,'Policy Characteristics'!$C:$C,0))),"",INDEX('Policy Characteristics'!K:K,MATCH($C517,'Policy Characteristics'!$C:$C,0)))</f>
        <v>industry-ag-main.html#fuel-switching</v>
      </c>
      <c r="R517" s="394" t="str">
        <f>IF(ISBLANK(INDEX('Policy Characteristics'!L:L,MATCH($C517,'Policy Characteristics'!$C:$C,0))),"",INDEX('Policy Characteristics'!L:L,MATCH($C517,'Policy Characteristics'!$C:$C,0)))</f>
        <v>industry-elec-and-hydrogen.html</v>
      </c>
    </row>
    <row r="518" customHeight="1" spans="1:18">
      <c r="A518" s="394" t="str">
        <f>IF(ISBLANK(INDEX('Policy Characteristics'!A:A,MATCH($C518,'Policy Characteristics'!$C:$C,0))),"",INDEX('Policy Characteristics'!A:A,MATCH($C518,'Policy Characteristics'!$C:$C,0)))</f>
        <v>Industry</v>
      </c>
      <c r="B518" s="395" t="str">
        <f>IF(ISBLANK(INDEX('Policy Characteristics'!B:B,MATCH($C518,'Policy Characteristics'!$C:$C,0))),"",INDEX('Policy Characteristics'!B:B,MATCH($C518,'Policy Characteristics'!$C:$C,0)))</f>
        <v>Electrification + Hydrogen (Med &amp; High Temp)</v>
      </c>
      <c r="C518" s="394" t="str">
        <f t="shared" si="32"/>
        <v>Fraction of Med and High Temp Industrial Heat Shifted to Other Fuels</v>
      </c>
      <c r="D518" s="399" t="s">
        <v>750</v>
      </c>
      <c r="E518" s="399" t="s">
        <v>796</v>
      </c>
      <c r="F518" s="366" t="s">
        <v>751</v>
      </c>
      <c r="G518" s="399" t="s">
        <v>797</v>
      </c>
      <c r="H518" s="377">
        <v>1270</v>
      </c>
      <c r="I518" s="396" t="s">
        <v>658</v>
      </c>
      <c r="J518" s="397" t="str">
        <f>IF(ISBLANK(INDEX('Policy Characteristics'!D:D,MATCH($C518,'Policy Characteristics'!$C:$C,0))),"",INDEX('Policy Characteristics'!D:D,MATCH($C518,'Policy Characteristics'!$C:$C,0)))</f>
        <v>Electrification + Hydrogen</v>
      </c>
      <c r="K518" s="394" t="str">
        <f>IF(ISBLANK(INDEX('Policy Characteristics'!E:E,MATCH($C518,'Policy Characteristics'!$C:$C,0))),"",INDEX('Policy Characteristics'!E:E,MATCH($C518,'Policy Characteristics'!$C:$C,0)))</f>
        <v>indst med and high temp fuel type shifting</v>
      </c>
      <c r="L518" s="398">
        <f>IF(ISBLANK(INDEX('Policy Characteristics'!F:F,MATCH($C518,'Policy Characteristics'!$C:$C,0))),"",INDEX('Policy Characteristics'!F:F,MATCH($C518,'Policy Characteristics'!$C:$C,0)))</f>
        <v>0</v>
      </c>
      <c r="M518" s="398">
        <f>IF(ISBLANK(INDEX('Policy Characteristics'!G:G,MATCH($C518,'Policy Characteristics'!$C:$C,0))),"",INDEX('Policy Characteristics'!G:G,MATCH($C518,'Policy Characteristics'!$C:$C,0)))</f>
        <v>1</v>
      </c>
      <c r="N518" s="398">
        <f>IF(ISBLANK(INDEX('Policy Characteristics'!H:H,MATCH($C518,'Policy Characteristics'!$C:$C,0))),"",INDEX('Policy Characteristics'!H:H,MATCH($C518,'Policy Characteristics'!$C:$C,0)))</f>
        <v>0.01</v>
      </c>
      <c r="O518" s="394" t="str">
        <f>IF(ISBLANK(INDEX('Policy Characteristics'!I:I,MATCH($C518,'Policy Characteristics'!$C:$C,0))),"",INDEX('Policy Characteristics'!I:I,MATCH($C518,'Policy Characteristics'!$C:$C,0)))</f>
        <v>% of fuel shifted</v>
      </c>
      <c r="P518" s="394" t="str">
        <f>IF(ISBLANK(INDEX('Policy Characteristics'!J:J,MATCH($C518,'Policy Characteristics'!$C:$C,0))),"",INDEX('Policy Characteristics'!J:J,MATCH($C518,'Policy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8" s="394" t="str">
        <f>IF(ISBLANK(INDEX('Policy Characteristics'!K:K,MATCH($C518,'Policy Characteristics'!$C:$C,0))),"",INDEX('Policy Characteristics'!K:K,MATCH($C518,'Policy Characteristics'!$C:$C,0)))</f>
        <v>industry-ag-main.html#fuel-switching</v>
      </c>
      <c r="R518" s="394" t="str">
        <f>IF(ISBLANK(INDEX('Policy Characteristics'!L:L,MATCH($C518,'Policy Characteristics'!$C:$C,0))),"",INDEX('Policy Characteristics'!L:L,MATCH($C518,'Policy Characteristics'!$C:$C,0)))</f>
        <v>industry-elec-and-hydrogen.html</v>
      </c>
    </row>
    <row r="519" customHeight="1" spans="1:18">
      <c r="A519" s="394" t="str">
        <f>IF(ISBLANK(INDEX('Policy Characteristics'!A:A,MATCH($C519,'Policy Characteristics'!$C:$C,0))),"",INDEX('Policy Characteristics'!A:A,MATCH($C519,'Policy Characteristics'!$C:$C,0)))</f>
        <v>Industry</v>
      </c>
      <c r="B519" s="395" t="str">
        <f>IF(ISBLANK(INDEX('Policy Characteristics'!B:B,MATCH($C519,'Policy Characteristics'!$C:$C,0))),"",INDEX('Policy Characteristics'!B:B,MATCH($C519,'Policy Characteristics'!$C:$C,0)))</f>
        <v>Electrification + Hydrogen (Med &amp; High Temp)</v>
      </c>
      <c r="C519" s="394" t="str">
        <f t="shared" si="32"/>
        <v>Fraction of Med and High Temp Industrial Heat Shifted to Other Fuels</v>
      </c>
      <c r="D519" s="399" t="s">
        <v>750</v>
      </c>
      <c r="E519" s="399" t="s">
        <v>798</v>
      </c>
      <c r="F519" s="366" t="s">
        <v>751</v>
      </c>
      <c r="G519" s="399" t="s">
        <v>799</v>
      </c>
      <c r="H519" s="377">
        <v>1271</v>
      </c>
      <c r="I519" s="396" t="s">
        <v>658</v>
      </c>
      <c r="J519" s="397" t="str">
        <f>IF(ISBLANK(INDEX('Policy Characteristics'!D:D,MATCH($C519,'Policy Characteristics'!$C:$C,0))),"",INDEX('Policy Characteristics'!D:D,MATCH($C519,'Policy Characteristics'!$C:$C,0)))</f>
        <v>Electrification + Hydrogen</v>
      </c>
      <c r="K519" s="394" t="str">
        <f>IF(ISBLANK(INDEX('Policy Characteristics'!E:E,MATCH($C519,'Policy Characteristics'!$C:$C,0))),"",INDEX('Policy Characteristics'!E:E,MATCH($C519,'Policy Characteristics'!$C:$C,0)))</f>
        <v>indst med and high temp fuel type shifting</v>
      </c>
      <c r="L519" s="398">
        <f>IF(ISBLANK(INDEX('Policy Characteristics'!F:F,MATCH($C519,'Policy Characteristics'!$C:$C,0))),"",INDEX('Policy Characteristics'!F:F,MATCH($C519,'Policy Characteristics'!$C:$C,0)))</f>
        <v>0</v>
      </c>
      <c r="M519" s="398">
        <f>IF(ISBLANK(INDEX('Policy Characteristics'!G:G,MATCH($C519,'Policy Characteristics'!$C:$C,0))),"",INDEX('Policy Characteristics'!G:G,MATCH($C519,'Policy Characteristics'!$C:$C,0)))</f>
        <v>1</v>
      </c>
      <c r="N519" s="398">
        <f>IF(ISBLANK(INDEX('Policy Characteristics'!H:H,MATCH($C519,'Policy Characteristics'!$C:$C,0))),"",INDEX('Policy Characteristics'!H:H,MATCH($C519,'Policy Characteristics'!$C:$C,0)))</f>
        <v>0.01</v>
      </c>
      <c r="O519" s="394" t="str">
        <f>IF(ISBLANK(INDEX('Policy Characteristics'!I:I,MATCH($C519,'Policy Characteristics'!$C:$C,0))),"",INDEX('Policy Characteristics'!I:I,MATCH($C519,'Policy Characteristics'!$C:$C,0)))</f>
        <v>% of fuel shifted</v>
      </c>
      <c r="P519" s="394" t="str">
        <f>IF(ISBLANK(INDEX('Policy Characteristics'!J:J,MATCH($C519,'Policy Characteristics'!$C:$C,0))),"",INDEX('Policy Characteristics'!J:J,MATCH($C519,'Policy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9" s="394" t="str">
        <f>IF(ISBLANK(INDEX('Policy Characteristics'!K:K,MATCH($C519,'Policy Characteristics'!$C:$C,0))),"",INDEX('Policy Characteristics'!K:K,MATCH($C519,'Policy Characteristics'!$C:$C,0)))</f>
        <v>industry-ag-main.html#fuel-switching</v>
      </c>
      <c r="R519" s="394" t="str">
        <f>IF(ISBLANK(INDEX('Policy Characteristics'!L:L,MATCH($C519,'Policy Characteristics'!$C:$C,0))),"",INDEX('Policy Characteristics'!L:L,MATCH($C519,'Policy Characteristics'!$C:$C,0)))</f>
        <v>industry-elec-and-hydrogen.html</v>
      </c>
    </row>
    <row r="520" customHeight="1" spans="1:18">
      <c r="A520" s="394" t="str">
        <f>IF(ISBLANK(INDEX('Policy Characteristics'!A:A,MATCH($C520,'Policy Characteristics'!$C:$C,0))),"",INDEX('Policy Characteristics'!A:A,MATCH($C520,'Policy Characteristics'!$C:$C,0)))</f>
        <v>Industry</v>
      </c>
      <c r="B520" s="395" t="str">
        <f>IF(ISBLANK(INDEX('Policy Characteristics'!B:B,MATCH($C520,'Policy Characteristics'!$C:$C,0))),"",INDEX('Policy Characteristics'!B:B,MATCH($C520,'Policy Characteristics'!$C:$C,0)))</f>
        <v>Electrification + Hydrogen (Med &amp; High Temp)</v>
      </c>
      <c r="C520" s="394" t="str">
        <f t="shared" si="32"/>
        <v>Fraction of Med and High Temp Industrial Heat Shifted to Other Fuels</v>
      </c>
      <c r="D520" s="399" t="s">
        <v>750</v>
      </c>
      <c r="E520" s="399" t="s">
        <v>800</v>
      </c>
      <c r="F520" s="366" t="s">
        <v>751</v>
      </c>
      <c r="G520" s="399" t="s">
        <v>801</v>
      </c>
      <c r="H520" s="377">
        <v>1272</v>
      </c>
      <c r="I520" s="396" t="s">
        <v>658</v>
      </c>
      <c r="J520" s="397" t="str">
        <f>IF(ISBLANK(INDEX('Policy Characteristics'!D:D,MATCH($C520,'Policy Characteristics'!$C:$C,0))),"",INDEX('Policy Characteristics'!D:D,MATCH($C520,'Policy Characteristics'!$C:$C,0)))</f>
        <v>Electrification + Hydrogen</v>
      </c>
      <c r="K520" s="394" t="str">
        <f>IF(ISBLANK(INDEX('Policy Characteristics'!E:E,MATCH($C520,'Policy Characteristics'!$C:$C,0))),"",INDEX('Policy Characteristics'!E:E,MATCH($C520,'Policy Characteristics'!$C:$C,0)))</f>
        <v>indst med and high temp fuel type shifting</v>
      </c>
      <c r="L520" s="398">
        <f>IF(ISBLANK(INDEX('Policy Characteristics'!F:F,MATCH($C520,'Policy Characteristics'!$C:$C,0))),"",INDEX('Policy Characteristics'!F:F,MATCH($C520,'Policy Characteristics'!$C:$C,0)))</f>
        <v>0</v>
      </c>
      <c r="M520" s="398">
        <f>IF(ISBLANK(INDEX('Policy Characteristics'!G:G,MATCH($C520,'Policy Characteristics'!$C:$C,0))),"",INDEX('Policy Characteristics'!G:G,MATCH($C520,'Policy Characteristics'!$C:$C,0)))</f>
        <v>1</v>
      </c>
      <c r="N520" s="398">
        <f>IF(ISBLANK(INDEX('Policy Characteristics'!H:H,MATCH($C520,'Policy Characteristics'!$C:$C,0))),"",INDEX('Policy Characteristics'!H:H,MATCH($C520,'Policy Characteristics'!$C:$C,0)))</f>
        <v>0.01</v>
      </c>
      <c r="O520" s="394" t="str">
        <f>IF(ISBLANK(INDEX('Policy Characteristics'!I:I,MATCH($C520,'Policy Characteristics'!$C:$C,0))),"",INDEX('Policy Characteristics'!I:I,MATCH($C520,'Policy Characteristics'!$C:$C,0)))</f>
        <v>% of fuel shifted</v>
      </c>
      <c r="P520" s="394" t="str">
        <f>IF(ISBLANK(INDEX('Policy Characteristics'!J:J,MATCH($C520,'Policy Characteristics'!$C:$C,0))),"",INDEX('Policy Characteristics'!J:J,MATCH($C520,'Policy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0" s="394" t="str">
        <f>IF(ISBLANK(INDEX('Policy Characteristics'!K:K,MATCH($C520,'Policy Characteristics'!$C:$C,0))),"",INDEX('Policy Characteristics'!K:K,MATCH($C520,'Policy Characteristics'!$C:$C,0)))</f>
        <v>industry-ag-main.html#fuel-switching</v>
      </c>
      <c r="R520" s="394" t="str">
        <f>IF(ISBLANK(INDEX('Policy Characteristics'!L:L,MATCH($C520,'Policy Characteristics'!$C:$C,0))),"",INDEX('Policy Characteristics'!L:L,MATCH($C520,'Policy Characteristics'!$C:$C,0)))</f>
        <v>industry-elec-and-hydrogen.html</v>
      </c>
    </row>
    <row r="521" customHeight="1" spans="1:18">
      <c r="A521" s="394" t="str">
        <f>IF(ISBLANK(INDEX('Policy Characteristics'!A:A,MATCH($C521,'Policy Characteristics'!$C:$C,0))),"",INDEX('Policy Characteristics'!A:A,MATCH($C521,'Policy Characteristics'!$C:$C,0)))</f>
        <v>Industry</v>
      </c>
      <c r="B521" s="395" t="str">
        <f>IF(ISBLANK(INDEX('Policy Characteristics'!B:B,MATCH($C521,'Policy Characteristics'!$C:$C,0))),"",INDEX('Policy Characteristics'!B:B,MATCH($C521,'Policy Characteristics'!$C:$C,0)))</f>
        <v>Electrification + Hydrogen (Med &amp; High Temp)</v>
      </c>
      <c r="C521" s="394" t="str">
        <f t="shared" si="32"/>
        <v>Fraction of Med and High Temp Industrial Heat Shifted to Other Fuels</v>
      </c>
      <c r="D521" s="399" t="s">
        <v>750</v>
      </c>
      <c r="E521" s="399" t="s">
        <v>802</v>
      </c>
      <c r="F521" s="366" t="s">
        <v>751</v>
      </c>
      <c r="G521" s="399" t="s">
        <v>803</v>
      </c>
      <c r="H521" s="377">
        <v>1273</v>
      </c>
      <c r="I521" s="396" t="s">
        <v>658</v>
      </c>
      <c r="J521" s="397" t="str">
        <f>IF(ISBLANK(INDEX('Policy Characteristics'!D:D,MATCH($C521,'Policy Characteristics'!$C:$C,0))),"",INDEX('Policy Characteristics'!D:D,MATCH($C521,'Policy Characteristics'!$C:$C,0)))</f>
        <v>Electrification + Hydrogen</v>
      </c>
      <c r="K521" s="394" t="str">
        <f>IF(ISBLANK(INDEX('Policy Characteristics'!E:E,MATCH($C521,'Policy Characteristics'!$C:$C,0))),"",INDEX('Policy Characteristics'!E:E,MATCH($C521,'Policy Characteristics'!$C:$C,0)))</f>
        <v>indst med and high temp fuel type shifting</v>
      </c>
      <c r="L521" s="398">
        <f>IF(ISBLANK(INDEX('Policy Characteristics'!F:F,MATCH($C521,'Policy Characteristics'!$C:$C,0))),"",INDEX('Policy Characteristics'!F:F,MATCH($C521,'Policy Characteristics'!$C:$C,0)))</f>
        <v>0</v>
      </c>
      <c r="M521" s="398">
        <f>IF(ISBLANK(INDEX('Policy Characteristics'!G:G,MATCH($C521,'Policy Characteristics'!$C:$C,0))),"",INDEX('Policy Characteristics'!G:G,MATCH($C521,'Policy Characteristics'!$C:$C,0)))</f>
        <v>1</v>
      </c>
      <c r="N521" s="398">
        <f>IF(ISBLANK(INDEX('Policy Characteristics'!H:H,MATCH($C521,'Policy Characteristics'!$C:$C,0))),"",INDEX('Policy Characteristics'!H:H,MATCH($C521,'Policy Characteristics'!$C:$C,0)))</f>
        <v>0.01</v>
      </c>
      <c r="O521" s="394" t="str">
        <f>IF(ISBLANK(INDEX('Policy Characteristics'!I:I,MATCH($C521,'Policy Characteristics'!$C:$C,0))),"",INDEX('Policy Characteristics'!I:I,MATCH($C521,'Policy Characteristics'!$C:$C,0)))</f>
        <v>% of fuel shifted</v>
      </c>
      <c r="P521" s="394" t="str">
        <f>IF(ISBLANK(INDEX('Policy Characteristics'!J:J,MATCH($C521,'Policy Characteristics'!$C:$C,0))),"",INDEX('Policy Characteristics'!J:J,MATCH($C521,'Policy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1" s="394" t="str">
        <f>IF(ISBLANK(INDEX('Policy Characteristics'!K:K,MATCH($C521,'Policy Characteristics'!$C:$C,0))),"",INDEX('Policy Characteristics'!K:K,MATCH($C521,'Policy Characteristics'!$C:$C,0)))</f>
        <v>industry-ag-main.html#fuel-switching</v>
      </c>
      <c r="R521" s="394" t="str">
        <f>IF(ISBLANK(INDEX('Policy Characteristics'!L:L,MATCH($C521,'Policy Characteristics'!$C:$C,0))),"",INDEX('Policy Characteristics'!L:L,MATCH($C521,'Policy Characteristics'!$C:$C,0)))</f>
        <v>industry-elec-and-hydrogen.html</v>
      </c>
    </row>
    <row r="522" customHeight="1" spans="1:18">
      <c r="A522" s="394" t="str">
        <f>IF(ISBLANK(INDEX('Policy Characteristics'!A:A,MATCH($C522,'Policy Characteristics'!$C:$C,0))),"",INDEX('Policy Characteristics'!A:A,MATCH($C522,'Policy Characteristics'!$C:$C,0)))</f>
        <v>Industry</v>
      </c>
      <c r="B522" s="395" t="str">
        <f>IF(ISBLANK(INDEX('Policy Characteristics'!B:B,MATCH($C522,'Policy Characteristics'!$C:$C,0))),"",INDEX('Policy Characteristics'!B:B,MATCH($C522,'Policy Characteristics'!$C:$C,0)))</f>
        <v>Electrification + Hydrogen (Med &amp; High Temp)</v>
      </c>
      <c r="C522" s="394" t="str">
        <f t="shared" si="32"/>
        <v>Fraction of Med and High Temp Industrial Heat Shifted to Other Fuels</v>
      </c>
      <c r="D522" s="399" t="s">
        <v>750</v>
      </c>
      <c r="E522" s="399" t="s">
        <v>804</v>
      </c>
      <c r="F522" s="366" t="s">
        <v>751</v>
      </c>
      <c r="G522" s="399" t="s">
        <v>805</v>
      </c>
      <c r="H522" s="377">
        <v>1274</v>
      </c>
      <c r="I522" s="396" t="s">
        <v>658</v>
      </c>
      <c r="J522" s="397" t="str">
        <f>IF(ISBLANK(INDEX('Policy Characteristics'!D:D,MATCH($C522,'Policy Characteristics'!$C:$C,0))),"",INDEX('Policy Characteristics'!D:D,MATCH($C522,'Policy Characteristics'!$C:$C,0)))</f>
        <v>Electrification + Hydrogen</v>
      </c>
      <c r="K522" s="394" t="str">
        <f>IF(ISBLANK(INDEX('Policy Characteristics'!E:E,MATCH($C522,'Policy Characteristics'!$C:$C,0))),"",INDEX('Policy Characteristics'!E:E,MATCH($C522,'Policy Characteristics'!$C:$C,0)))</f>
        <v>indst med and high temp fuel type shifting</v>
      </c>
      <c r="L522" s="398">
        <f>IF(ISBLANK(INDEX('Policy Characteristics'!F:F,MATCH($C522,'Policy Characteristics'!$C:$C,0))),"",INDEX('Policy Characteristics'!F:F,MATCH($C522,'Policy Characteristics'!$C:$C,0)))</f>
        <v>0</v>
      </c>
      <c r="M522" s="398">
        <f>IF(ISBLANK(INDEX('Policy Characteristics'!G:G,MATCH($C522,'Policy Characteristics'!$C:$C,0))),"",INDEX('Policy Characteristics'!G:G,MATCH($C522,'Policy Characteristics'!$C:$C,0)))</f>
        <v>1</v>
      </c>
      <c r="N522" s="398">
        <f>IF(ISBLANK(INDEX('Policy Characteristics'!H:H,MATCH($C522,'Policy Characteristics'!$C:$C,0))),"",INDEX('Policy Characteristics'!H:H,MATCH($C522,'Policy Characteristics'!$C:$C,0)))</f>
        <v>0.01</v>
      </c>
      <c r="O522" s="394" t="str">
        <f>IF(ISBLANK(INDEX('Policy Characteristics'!I:I,MATCH($C522,'Policy Characteristics'!$C:$C,0))),"",INDEX('Policy Characteristics'!I:I,MATCH($C522,'Policy Characteristics'!$C:$C,0)))</f>
        <v>% of fuel shifted</v>
      </c>
      <c r="P522" s="394" t="str">
        <f>IF(ISBLANK(INDEX('Policy Characteristics'!J:J,MATCH($C522,'Policy Characteristics'!$C:$C,0))),"",INDEX('Policy Characteristics'!J:J,MATCH($C522,'Policy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2" s="394" t="str">
        <f>IF(ISBLANK(INDEX('Policy Characteristics'!K:K,MATCH($C522,'Policy Characteristics'!$C:$C,0))),"",INDEX('Policy Characteristics'!K:K,MATCH($C522,'Policy Characteristics'!$C:$C,0)))</f>
        <v>industry-ag-main.html#fuel-switching</v>
      </c>
      <c r="R522" s="394" t="str">
        <f>IF(ISBLANK(INDEX('Policy Characteristics'!L:L,MATCH($C522,'Policy Characteristics'!$C:$C,0))),"",INDEX('Policy Characteristics'!L:L,MATCH($C522,'Policy Characteristics'!$C:$C,0)))</f>
        <v>industry-elec-and-hydrogen.html</v>
      </c>
    </row>
    <row r="523" customHeight="1" spans="1:18">
      <c r="A523" s="394" t="str">
        <f>IF(ISBLANK(INDEX('Policy Characteristics'!A:A,MATCH($C523,'Policy Characteristics'!$C:$C,0))),"",INDEX('Policy Characteristics'!A:A,MATCH($C523,'Policy Characteristics'!$C:$C,0)))</f>
        <v>Industry</v>
      </c>
      <c r="B523" s="395" t="str">
        <f>IF(ISBLANK(INDEX('Policy Characteristics'!B:B,MATCH($C523,'Policy Characteristics'!$C:$C,0))),"",INDEX('Policy Characteristics'!B:B,MATCH($C523,'Policy Characteristics'!$C:$C,0)))</f>
        <v>Electrification + Hydrogen (Med &amp; High Temp)</v>
      </c>
      <c r="C523" s="394" t="str">
        <f t="shared" si="32"/>
        <v>Fraction of Med and High Temp Industrial Heat Shifted to Other Fuels</v>
      </c>
      <c r="D523" s="399" t="s">
        <v>750</v>
      </c>
      <c r="E523" s="399" t="s">
        <v>806</v>
      </c>
      <c r="F523" s="366" t="s">
        <v>751</v>
      </c>
      <c r="G523" s="399" t="s">
        <v>807</v>
      </c>
      <c r="H523" s="377">
        <v>1275</v>
      </c>
      <c r="I523" s="396" t="s">
        <v>658</v>
      </c>
      <c r="J523" s="397" t="str">
        <f>IF(ISBLANK(INDEX('Policy Characteristics'!D:D,MATCH($C523,'Policy Characteristics'!$C:$C,0))),"",INDEX('Policy Characteristics'!D:D,MATCH($C523,'Policy Characteristics'!$C:$C,0)))</f>
        <v>Electrification + Hydrogen</v>
      </c>
      <c r="K523" s="394" t="str">
        <f>IF(ISBLANK(INDEX('Policy Characteristics'!E:E,MATCH($C523,'Policy Characteristics'!$C:$C,0))),"",INDEX('Policy Characteristics'!E:E,MATCH($C523,'Policy Characteristics'!$C:$C,0)))</f>
        <v>indst med and high temp fuel type shifting</v>
      </c>
      <c r="L523" s="398">
        <f>IF(ISBLANK(INDEX('Policy Characteristics'!F:F,MATCH($C523,'Policy Characteristics'!$C:$C,0))),"",INDEX('Policy Characteristics'!F:F,MATCH($C523,'Policy Characteristics'!$C:$C,0)))</f>
        <v>0</v>
      </c>
      <c r="M523" s="398">
        <f>IF(ISBLANK(INDEX('Policy Characteristics'!G:G,MATCH($C523,'Policy Characteristics'!$C:$C,0))),"",INDEX('Policy Characteristics'!G:G,MATCH($C523,'Policy Characteristics'!$C:$C,0)))</f>
        <v>1</v>
      </c>
      <c r="N523" s="398">
        <f>IF(ISBLANK(INDEX('Policy Characteristics'!H:H,MATCH($C523,'Policy Characteristics'!$C:$C,0))),"",INDEX('Policy Characteristics'!H:H,MATCH($C523,'Policy Characteristics'!$C:$C,0)))</f>
        <v>0.01</v>
      </c>
      <c r="O523" s="394" t="str">
        <f>IF(ISBLANK(INDEX('Policy Characteristics'!I:I,MATCH($C523,'Policy Characteristics'!$C:$C,0))),"",INDEX('Policy Characteristics'!I:I,MATCH($C523,'Policy Characteristics'!$C:$C,0)))</f>
        <v>% of fuel shifted</v>
      </c>
      <c r="P523" s="394" t="str">
        <f>IF(ISBLANK(INDEX('Policy Characteristics'!J:J,MATCH($C523,'Policy Characteristics'!$C:$C,0))),"",INDEX('Policy Characteristics'!J:J,MATCH($C523,'Policy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3" s="394" t="str">
        <f>IF(ISBLANK(INDEX('Policy Characteristics'!K:K,MATCH($C523,'Policy Characteristics'!$C:$C,0))),"",INDEX('Policy Characteristics'!K:K,MATCH($C523,'Policy Characteristics'!$C:$C,0)))</f>
        <v>industry-ag-main.html#fuel-switching</v>
      </c>
      <c r="R523" s="394" t="str">
        <f>IF(ISBLANK(INDEX('Policy Characteristics'!L:L,MATCH($C523,'Policy Characteristics'!$C:$C,0))),"",INDEX('Policy Characteristics'!L:L,MATCH($C523,'Policy Characteristics'!$C:$C,0)))</f>
        <v>industry-elec-and-hydrogen.html</v>
      </c>
    </row>
    <row r="524" customHeight="1" spans="1:18">
      <c r="A524" s="394" t="str">
        <f>IF(ISBLANK(INDEX('Policy Characteristics'!A:A,MATCH($C524,'Policy Characteristics'!$C:$C,0))),"",INDEX('Policy Characteristics'!A:A,MATCH($C524,'Policy Characteristics'!$C:$C,0)))</f>
        <v>Industry</v>
      </c>
      <c r="B524" s="395" t="str">
        <f>IF(ISBLANK(INDEX('Policy Characteristics'!B:B,MATCH($C524,'Policy Characteristics'!$C:$C,0))),"",INDEX('Policy Characteristics'!B:B,MATCH($C524,'Policy Characteristics'!$C:$C,0)))</f>
        <v>Electrification + Hydrogen (Med &amp; High Temp)</v>
      </c>
      <c r="C524" s="394" t="str">
        <f t="shared" si="32"/>
        <v>Fraction of Med and High Temp Industrial Heat Shifted to Other Fuels</v>
      </c>
      <c r="D524" s="399" t="s">
        <v>750</v>
      </c>
      <c r="E524" s="399" t="s">
        <v>808</v>
      </c>
      <c r="F524" s="366" t="s">
        <v>751</v>
      </c>
      <c r="G524" s="399" t="s">
        <v>809</v>
      </c>
      <c r="H524" s="377">
        <v>1276</v>
      </c>
      <c r="I524" s="396" t="s">
        <v>658</v>
      </c>
      <c r="J524" s="397" t="str">
        <f>IF(ISBLANK(INDEX('Policy Characteristics'!D:D,MATCH($C524,'Policy Characteristics'!$C:$C,0))),"",INDEX('Policy Characteristics'!D:D,MATCH($C524,'Policy Characteristics'!$C:$C,0)))</f>
        <v>Electrification + Hydrogen</v>
      </c>
      <c r="K524" s="394" t="str">
        <f>IF(ISBLANK(INDEX('Policy Characteristics'!E:E,MATCH($C524,'Policy Characteristics'!$C:$C,0))),"",INDEX('Policy Characteristics'!E:E,MATCH($C524,'Policy Characteristics'!$C:$C,0)))</f>
        <v>indst med and high temp fuel type shifting</v>
      </c>
      <c r="L524" s="398">
        <f>IF(ISBLANK(INDEX('Policy Characteristics'!F:F,MATCH($C524,'Policy Characteristics'!$C:$C,0))),"",INDEX('Policy Characteristics'!F:F,MATCH($C524,'Policy Characteristics'!$C:$C,0)))</f>
        <v>0</v>
      </c>
      <c r="M524" s="398">
        <f>IF(ISBLANK(INDEX('Policy Characteristics'!G:G,MATCH($C524,'Policy Characteristics'!$C:$C,0))),"",INDEX('Policy Characteristics'!G:G,MATCH($C524,'Policy Characteristics'!$C:$C,0)))</f>
        <v>1</v>
      </c>
      <c r="N524" s="398">
        <f>IF(ISBLANK(INDEX('Policy Characteristics'!H:H,MATCH($C524,'Policy Characteristics'!$C:$C,0))),"",INDEX('Policy Characteristics'!H:H,MATCH($C524,'Policy Characteristics'!$C:$C,0)))</f>
        <v>0.01</v>
      </c>
      <c r="O524" s="394" t="str">
        <f>IF(ISBLANK(INDEX('Policy Characteristics'!I:I,MATCH($C524,'Policy Characteristics'!$C:$C,0))),"",INDEX('Policy Characteristics'!I:I,MATCH($C524,'Policy Characteristics'!$C:$C,0)))</f>
        <v>% of fuel shifted</v>
      </c>
      <c r="P524" s="394" t="str">
        <f>IF(ISBLANK(INDEX('Policy Characteristics'!J:J,MATCH($C524,'Policy Characteristics'!$C:$C,0))),"",INDEX('Policy Characteristics'!J:J,MATCH($C524,'Policy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4" s="394" t="str">
        <f>IF(ISBLANK(INDEX('Policy Characteristics'!K:K,MATCH($C524,'Policy Characteristics'!$C:$C,0))),"",INDEX('Policy Characteristics'!K:K,MATCH($C524,'Policy Characteristics'!$C:$C,0)))</f>
        <v>industry-ag-main.html#fuel-switching</v>
      </c>
      <c r="R524" s="394" t="str">
        <f>IF(ISBLANK(INDEX('Policy Characteristics'!L:L,MATCH($C524,'Policy Characteristics'!$C:$C,0))),"",INDEX('Policy Characteristics'!L:L,MATCH($C524,'Policy Characteristics'!$C:$C,0)))</f>
        <v>industry-elec-and-hydrogen.html</v>
      </c>
    </row>
    <row r="525" customHeight="1" spans="1:18">
      <c r="A525" s="394" t="str">
        <f>IF(ISBLANK(INDEX('Policy Characteristics'!A:A,MATCH($C525,'Policy Characteristics'!$C:$C,0))),"",INDEX('Policy Characteristics'!A:A,MATCH($C525,'Policy Characteristics'!$C:$C,0)))</f>
        <v>Industry</v>
      </c>
      <c r="B525" s="395" t="str">
        <f>IF(ISBLANK(INDEX('Policy Characteristics'!B:B,MATCH($C525,'Policy Characteristics'!$C:$C,0))),"",INDEX('Policy Characteristics'!B:B,MATCH($C525,'Policy Characteristics'!$C:$C,0)))</f>
        <v>Electrification + Hydrogen (Med &amp; High Temp)</v>
      </c>
      <c r="C525" s="394" t="str">
        <f t="shared" si="32"/>
        <v>Fraction of Med and High Temp Industrial Heat Shifted to Other Fuels</v>
      </c>
      <c r="D525" s="399" t="s">
        <v>750</v>
      </c>
      <c r="E525" s="399" t="s">
        <v>810</v>
      </c>
      <c r="F525" s="366" t="s">
        <v>751</v>
      </c>
      <c r="G525" s="399" t="s">
        <v>811</v>
      </c>
      <c r="H525" s="377">
        <v>1277</v>
      </c>
      <c r="I525" s="396" t="s">
        <v>648</v>
      </c>
      <c r="J525" s="397" t="str">
        <f>IF(ISBLANK(INDEX('Policy Characteristics'!D:D,MATCH($C525,'Policy Characteristics'!$C:$C,0))),"",INDEX('Policy Characteristics'!D:D,MATCH($C525,'Policy Characteristics'!$C:$C,0)))</f>
        <v>Electrification + Hydrogen</v>
      </c>
      <c r="K525" s="394" t="str">
        <f>IF(ISBLANK(INDEX('Policy Characteristics'!E:E,MATCH($C525,'Policy Characteristics'!$C:$C,0))),"",INDEX('Policy Characteristics'!E:E,MATCH($C525,'Policy Characteristics'!$C:$C,0)))</f>
        <v>indst med and high temp fuel type shifting</v>
      </c>
      <c r="L525" s="398">
        <f>IF(ISBLANK(INDEX('Policy Characteristics'!F:F,MATCH($C525,'Policy Characteristics'!$C:$C,0))),"",INDEX('Policy Characteristics'!F:F,MATCH($C525,'Policy Characteristics'!$C:$C,0)))</f>
        <v>0</v>
      </c>
      <c r="M525" s="398">
        <f>IF(ISBLANK(INDEX('Policy Characteristics'!G:G,MATCH($C525,'Policy Characteristics'!$C:$C,0))),"",INDEX('Policy Characteristics'!G:G,MATCH($C525,'Policy Characteristics'!$C:$C,0)))</f>
        <v>1</v>
      </c>
      <c r="N525" s="398">
        <f>IF(ISBLANK(INDEX('Policy Characteristics'!H:H,MATCH($C525,'Policy Characteristics'!$C:$C,0))),"",INDEX('Policy Characteristics'!H:H,MATCH($C525,'Policy Characteristics'!$C:$C,0)))</f>
        <v>0.01</v>
      </c>
      <c r="O525" s="394" t="str">
        <f>IF(ISBLANK(INDEX('Policy Characteristics'!I:I,MATCH($C525,'Policy Characteristics'!$C:$C,0))),"",INDEX('Policy Characteristics'!I:I,MATCH($C525,'Policy Characteristics'!$C:$C,0)))</f>
        <v>% of fuel shifted</v>
      </c>
      <c r="P525" s="394" t="str">
        <f>IF(ISBLANK(INDEX('Policy Characteristics'!J:J,MATCH($C525,'Policy Characteristics'!$C:$C,0))),"",INDEX('Policy Characteristics'!J:J,MATCH($C525,'Policy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5" s="394" t="str">
        <f>IF(ISBLANK(INDEX('Policy Characteristics'!K:K,MATCH($C525,'Policy Characteristics'!$C:$C,0))),"",INDEX('Policy Characteristics'!K:K,MATCH($C525,'Policy Characteristics'!$C:$C,0)))</f>
        <v>industry-ag-main.html#fuel-switching</v>
      </c>
      <c r="R525" s="394" t="str">
        <f>IF(ISBLANK(INDEX('Policy Characteristics'!L:L,MATCH($C525,'Policy Characteristics'!$C:$C,0))),"",INDEX('Policy Characteristics'!L:L,MATCH($C525,'Policy Characteristics'!$C:$C,0)))</f>
        <v>industry-elec-and-hydrogen.html</v>
      </c>
    </row>
    <row r="526" customHeight="1" spans="1:18">
      <c r="A526" s="394" t="str">
        <f>IF(ISBLANK(INDEX('Policy Characteristics'!A:A,MATCH($C526,'Policy Characteristics'!$C:$C,0))),"",INDEX('Policy Characteristics'!A:A,MATCH($C526,'Policy Characteristics'!$C:$C,0)))</f>
        <v>Industry</v>
      </c>
      <c r="B526" s="395" t="str">
        <f>IF(ISBLANK(INDEX('Policy Characteristics'!B:B,MATCH($C526,'Policy Characteristics'!$C:$C,0))),"",INDEX('Policy Characteristics'!B:B,MATCH($C526,'Policy Characteristics'!$C:$C,0)))</f>
        <v>Electrification + Hydrogen (Med &amp; High Temp)</v>
      </c>
      <c r="C526" s="394" t="str">
        <f t="shared" si="32"/>
        <v>Fraction of Med and High Temp Industrial Heat Shifted to Other Fuels</v>
      </c>
      <c r="D526" s="399" t="s">
        <v>752</v>
      </c>
      <c r="E526" s="399" t="s">
        <v>792</v>
      </c>
      <c r="F526" t="s">
        <v>753</v>
      </c>
      <c r="G526" s="399" t="s">
        <v>793</v>
      </c>
      <c r="H526" s="377">
        <v>1278</v>
      </c>
      <c r="I526" s="396" t="s">
        <v>648</v>
      </c>
      <c r="J526" s="397" t="str">
        <f>IF(ISBLANK(INDEX('Policy Characteristics'!D:D,MATCH($C526,'Policy Characteristics'!$C:$C,0))),"",INDEX('Policy Characteristics'!D:D,MATCH($C526,'Policy Characteristics'!$C:$C,0)))</f>
        <v>Electrification + Hydrogen</v>
      </c>
      <c r="K526" s="394" t="str">
        <f>IF(ISBLANK(INDEX('Policy Characteristics'!E:E,MATCH($C526,'Policy Characteristics'!$C:$C,0))),"",INDEX('Policy Characteristics'!E:E,MATCH($C526,'Policy Characteristics'!$C:$C,0)))</f>
        <v>indst med and high temp fuel type shifting</v>
      </c>
      <c r="L526" s="398">
        <f>IF(ISBLANK(INDEX('Policy Characteristics'!F:F,MATCH($C526,'Policy Characteristics'!$C:$C,0))),"",INDEX('Policy Characteristics'!F:F,MATCH($C526,'Policy Characteristics'!$C:$C,0)))</f>
        <v>0</v>
      </c>
      <c r="M526" s="398">
        <f>IF(ISBLANK(INDEX('Policy Characteristics'!G:G,MATCH($C526,'Policy Characteristics'!$C:$C,0))),"",INDEX('Policy Characteristics'!G:G,MATCH($C526,'Policy Characteristics'!$C:$C,0)))</f>
        <v>1</v>
      </c>
      <c r="N526" s="398">
        <f>IF(ISBLANK(INDEX('Policy Characteristics'!H:H,MATCH($C526,'Policy Characteristics'!$C:$C,0))),"",INDEX('Policy Characteristics'!H:H,MATCH($C526,'Policy Characteristics'!$C:$C,0)))</f>
        <v>0.01</v>
      </c>
      <c r="O526" s="394" t="str">
        <f>IF(ISBLANK(INDEX('Policy Characteristics'!I:I,MATCH($C526,'Policy Characteristics'!$C:$C,0))),"",INDEX('Policy Characteristics'!I:I,MATCH($C526,'Policy Characteristics'!$C:$C,0)))</f>
        <v>% of fuel shifted</v>
      </c>
      <c r="P526" s="394" t="str">
        <f>IF(ISBLANK(INDEX('Policy Characteristics'!J:J,MATCH($C526,'Policy Characteristics'!$C:$C,0))),"",INDEX('Policy Characteristics'!J:J,MATCH($C526,'Policy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6" s="394" t="str">
        <f>IF(ISBLANK(INDEX('Policy Characteristics'!K:K,MATCH($C526,'Policy Characteristics'!$C:$C,0))),"",INDEX('Policy Characteristics'!K:K,MATCH($C526,'Policy Characteristics'!$C:$C,0)))</f>
        <v>industry-ag-main.html#fuel-switching</v>
      </c>
      <c r="R526" s="394" t="str">
        <f>IF(ISBLANK(INDEX('Policy Characteristics'!L:L,MATCH($C526,'Policy Characteristics'!$C:$C,0))),"",INDEX('Policy Characteristics'!L:L,MATCH($C526,'Policy Characteristics'!$C:$C,0)))</f>
        <v>industry-elec-and-hydrogen.html</v>
      </c>
    </row>
    <row r="527" customHeight="1" spans="1:18">
      <c r="A527" s="394" t="str">
        <f>IF(ISBLANK(INDEX('Policy Characteristics'!A:A,MATCH($C527,'Policy Characteristics'!$C:$C,0))),"",INDEX('Policy Characteristics'!A:A,MATCH($C527,'Policy Characteristics'!$C:$C,0)))</f>
        <v>Industry</v>
      </c>
      <c r="B527" s="395" t="str">
        <f>IF(ISBLANK(INDEX('Policy Characteristics'!B:B,MATCH($C527,'Policy Characteristics'!$C:$C,0))),"",INDEX('Policy Characteristics'!B:B,MATCH($C527,'Policy Characteristics'!$C:$C,0)))</f>
        <v>Electrification + Hydrogen (Med &amp; High Temp)</v>
      </c>
      <c r="C527" s="394" t="str">
        <f t="shared" si="32"/>
        <v>Fraction of Med and High Temp Industrial Heat Shifted to Other Fuels</v>
      </c>
      <c r="D527" s="399" t="s">
        <v>752</v>
      </c>
      <c r="E527" s="399" t="s">
        <v>794</v>
      </c>
      <c r="F527" t="s">
        <v>753</v>
      </c>
      <c r="G527" s="399" t="s">
        <v>795</v>
      </c>
      <c r="H527" s="377">
        <v>1279</v>
      </c>
      <c r="I527" s="396" t="s">
        <v>658</v>
      </c>
      <c r="J527" s="397" t="str">
        <f>IF(ISBLANK(INDEX('Policy Characteristics'!D:D,MATCH($C527,'Policy Characteristics'!$C:$C,0))),"",INDEX('Policy Characteristics'!D:D,MATCH($C527,'Policy Characteristics'!$C:$C,0)))</f>
        <v>Electrification + Hydrogen</v>
      </c>
      <c r="K527" s="394" t="str">
        <f>IF(ISBLANK(INDEX('Policy Characteristics'!E:E,MATCH($C527,'Policy Characteristics'!$C:$C,0))),"",INDEX('Policy Characteristics'!E:E,MATCH($C527,'Policy Characteristics'!$C:$C,0)))</f>
        <v>indst med and high temp fuel type shifting</v>
      </c>
      <c r="L527" s="398">
        <f>IF(ISBLANK(INDEX('Policy Characteristics'!F:F,MATCH($C527,'Policy Characteristics'!$C:$C,0))),"",INDEX('Policy Characteristics'!F:F,MATCH($C527,'Policy Characteristics'!$C:$C,0)))</f>
        <v>0</v>
      </c>
      <c r="M527" s="398">
        <f>IF(ISBLANK(INDEX('Policy Characteristics'!G:G,MATCH($C527,'Policy Characteristics'!$C:$C,0))),"",INDEX('Policy Characteristics'!G:G,MATCH($C527,'Policy Characteristics'!$C:$C,0)))</f>
        <v>1</v>
      </c>
      <c r="N527" s="398">
        <f>IF(ISBLANK(INDEX('Policy Characteristics'!H:H,MATCH($C527,'Policy Characteristics'!$C:$C,0))),"",INDEX('Policy Characteristics'!H:H,MATCH($C527,'Policy Characteristics'!$C:$C,0)))</f>
        <v>0.01</v>
      </c>
      <c r="O527" s="394" t="str">
        <f>IF(ISBLANK(INDEX('Policy Characteristics'!I:I,MATCH($C527,'Policy Characteristics'!$C:$C,0))),"",INDEX('Policy Characteristics'!I:I,MATCH($C527,'Policy Characteristics'!$C:$C,0)))</f>
        <v>% of fuel shifted</v>
      </c>
      <c r="P527" s="394" t="str">
        <f>IF(ISBLANK(INDEX('Policy Characteristics'!J:J,MATCH($C527,'Policy Characteristics'!$C:$C,0))),"",INDEX('Policy Characteristics'!J:J,MATCH($C527,'Policy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7" s="394" t="str">
        <f>IF(ISBLANK(INDEX('Policy Characteristics'!K:K,MATCH($C527,'Policy Characteristics'!$C:$C,0))),"",INDEX('Policy Characteristics'!K:K,MATCH($C527,'Policy Characteristics'!$C:$C,0)))</f>
        <v>industry-ag-main.html#fuel-switching</v>
      </c>
      <c r="R527" s="394" t="str">
        <f>IF(ISBLANK(INDEX('Policy Characteristics'!L:L,MATCH($C527,'Policy Characteristics'!$C:$C,0))),"",INDEX('Policy Characteristics'!L:L,MATCH($C527,'Policy Characteristics'!$C:$C,0)))</f>
        <v>industry-elec-and-hydrogen.html</v>
      </c>
    </row>
    <row r="528" customHeight="1" spans="1:18">
      <c r="A528" s="394" t="str">
        <f>IF(ISBLANK(INDEX('Policy Characteristics'!A:A,MATCH($C528,'Policy Characteristics'!$C:$C,0))),"",INDEX('Policy Characteristics'!A:A,MATCH($C528,'Policy Characteristics'!$C:$C,0)))</f>
        <v>Industry</v>
      </c>
      <c r="B528" s="395" t="str">
        <f>IF(ISBLANK(INDEX('Policy Characteristics'!B:B,MATCH($C528,'Policy Characteristics'!$C:$C,0))),"",INDEX('Policy Characteristics'!B:B,MATCH($C528,'Policy Characteristics'!$C:$C,0)))</f>
        <v>Electrification + Hydrogen (Med &amp; High Temp)</v>
      </c>
      <c r="C528" s="394" t="str">
        <f t="shared" si="32"/>
        <v>Fraction of Med and High Temp Industrial Heat Shifted to Other Fuels</v>
      </c>
      <c r="D528" s="399" t="s">
        <v>752</v>
      </c>
      <c r="E528" s="399" t="s">
        <v>796</v>
      </c>
      <c r="F528" t="s">
        <v>753</v>
      </c>
      <c r="G528" s="399" t="s">
        <v>797</v>
      </c>
      <c r="H528" s="377">
        <v>1280</v>
      </c>
      <c r="I528" s="396" t="s">
        <v>658</v>
      </c>
      <c r="J528" s="397" t="str">
        <f>IF(ISBLANK(INDEX('Policy Characteristics'!D:D,MATCH($C528,'Policy Characteristics'!$C:$C,0))),"",INDEX('Policy Characteristics'!D:D,MATCH($C528,'Policy Characteristics'!$C:$C,0)))</f>
        <v>Electrification + Hydrogen</v>
      </c>
      <c r="K528" s="394" t="str">
        <f>IF(ISBLANK(INDEX('Policy Characteristics'!E:E,MATCH($C528,'Policy Characteristics'!$C:$C,0))),"",INDEX('Policy Characteristics'!E:E,MATCH($C528,'Policy Characteristics'!$C:$C,0)))</f>
        <v>indst med and high temp fuel type shifting</v>
      </c>
      <c r="L528" s="398">
        <f>IF(ISBLANK(INDEX('Policy Characteristics'!F:F,MATCH($C528,'Policy Characteristics'!$C:$C,0))),"",INDEX('Policy Characteristics'!F:F,MATCH($C528,'Policy Characteristics'!$C:$C,0)))</f>
        <v>0</v>
      </c>
      <c r="M528" s="398">
        <f>IF(ISBLANK(INDEX('Policy Characteristics'!G:G,MATCH($C528,'Policy Characteristics'!$C:$C,0))),"",INDEX('Policy Characteristics'!G:G,MATCH($C528,'Policy Characteristics'!$C:$C,0)))</f>
        <v>1</v>
      </c>
      <c r="N528" s="398">
        <f>IF(ISBLANK(INDEX('Policy Characteristics'!H:H,MATCH($C528,'Policy Characteristics'!$C:$C,0))),"",INDEX('Policy Characteristics'!H:H,MATCH($C528,'Policy Characteristics'!$C:$C,0)))</f>
        <v>0.01</v>
      </c>
      <c r="O528" s="394" t="str">
        <f>IF(ISBLANK(INDEX('Policy Characteristics'!I:I,MATCH($C528,'Policy Characteristics'!$C:$C,0))),"",INDEX('Policy Characteristics'!I:I,MATCH($C528,'Policy Characteristics'!$C:$C,0)))</f>
        <v>% of fuel shifted</v>
      </c>
      <c r="P528" s="394" t="str">
        <f>IF(ISBLANK(INDEX('Policy Characteristics'!J:J,MATCH($C528,'Policy Characteristics'!$C:$C,0))),"",INDEX('Policy Characteristics'!J:J,MATCH($C528,'Policy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8" s="394" t="str">
        <f>IF(ISBLANK(INDEX('Policy Characteristics'!K:K,MATCH($C528,'Policy Characteristics'!$C:$C,0))),"",INDEX('Policy Characteristics'!K:K,MATCH($C528,'Policy Characteristics'!$C:$C,0)))</f>
        <v>industry-ag-main.html#fuel-switching</v>
      </c>
      <c r="R528" s="394" t="str">
        <f>IF(ISBLANK(INDEX('Policy Characteristics'!L:L,MATCH($C528,'Policy Characteristics'!$C:$C,0))),"",INDEX('Policy Characteristics'!L:L,MATCH($C528,'Policy Characteristics'!$C:$C,0)))</f>
        <v>industry-elec-and-hydrogen.html</v>
      </c>
    </row>
    <row r="529" customHeight="1" spans="1:18">
      <c r="A529" s="394" t="str">
        <f>IF(ISBLANK(INDEX('Policy Characteristics'!A:A,MATCH($C529,'Policy Characteristics'!$C:$C,0))),"",INDEX('Policy Characteristics'!A:A,MATCH($C529,'Policy Characteristics'!$C:$C,0)))</f>
        <v>Industry</v>
      </c>
      <c r="B529" s="395" t="str">
        <f>IF(ISBLANK(INDEX('Policy Characteristics'!B:B,MATCH($C529,'Policy Characteristics'!$C:$C,0))),"",INDEX('Policy Characteristics'!B:B,MATCH($C529,'Policy Characteristics'!$C:$C,0)))</f>
        <v>Electrification + Hydrogen (Med &amp; High Temp)</v>
      </c>
      <c r="C529" s="394" t="str">
        <f t="shared" si="32"/>
        <v>Fraction of Med and High Temp Industrial Heat Shifted to Other Fuels</v>
      </c>
      <c r="D529" s="399" t="s">
        <v>752</v>
      </c>
      <c r="E529" s="399" t="s">
        <v>798</v>
      </c>
      <c r="F529" t="s">
        <v>753</v>
      </c>
      <c r="G529" s="399" t="s">
        <v>799</v>
      </c>
      <c r="H529" s="377">
        <v>1281</v>
      </c>
      <c r="I529" s="396" t="s">
        <v>658</v>
      </c>
      <c r="J529" s="397" t="str">
        <f>IF(ISBLANK(INDEX('Policy Characteristics'!D:D,MATCH($C529,'Policy Characteristics'!$C:$C,0))),"",INDEX('Policy Characteristics'!D:D,MATCH($C529,'Policy Characteristics'!$C:$C,0)))</f>
        <v>Electrification + Hydrogen</v>
      </c>
      <c r="K529" s="394" t="str">
        <f>IF(ISBLANK(INDEX('Policy Characteristics'!E:E,MATCH($C529,'Policy Characteristics'!$C:$C,0))),"",INDEX('Policy Characteristics'!E:E,MATCH($C529,'Policy Characteristics'!$C:$C,0)))</f>
        <v>indst med and high temp fuel type shifting</v>
      </c>
      <c r="L529" s="398">
        <f>IF(ISBLANK(INDEX('Policy Characteristics'!F:F,MATCH($C529,'Policy Characteristics'!$C:$C,0))),"",INDEX('Policy Characteristics'!F:F,MATCH($C529,'Policy Characteristics'!$C:$C,0)))</f>
        <v>0</v>
      </c>
      <c r="M529" s="398">
        <f>IF(ISBLANK(INDEX('Policy Characteristics'!G:G,MATCH($C529,'Policy Characteristics'!$C:$C,0))),"",INDEX('Policy Characteristics'!G:G,MATCH($C529,'Policy Characteristics'!$C:$C,0)))</f>
        <v>1</v>
      </c>
      <c r="N529" s="398">
        <f>IF(ISBLANK(INDEX('Policy Characteristics'!H:H,MATCH($C529,'Policy Characteristics'!$C:$C,0))),"",INDEX('Policy Characteristics'!H:H,MATCH($C529,'Policy Characteristics'!$C:$C,0)))</f>
        <v>0.01</v>
      </c>
      <c r="O529" s="394" t="str">
        <f>IF(ISBLANK(INDEX('Policy Characteristics'!I:I,MATCH($C529,'Policy Characteristics'!$C:$C,0))),"",INDEX('Policy Characteristics'!I:I,MATCH($C529,'Policy Characteristics'!$C:$C,0)))</f>
        <v>% of fuel shifted</v>
      </c>
      <c r="P529" s="394" t="str">
        <f>IF(ISBLANK(INDEX('Policy Characteristics'!J:J,MATCH($C529,'Policy Characteristics'!$C:$C,0))),"",INDEX('Policy Characteristics'!J:J,MATCH($C529,'Policy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9" s="394" t="str">
        <f>IF(ISBLANK(INDEX('Policy Characteristics'!K:K,MATCH($C529,'Policy Characteristics'!$C:$C,0))),"",INDEX('Policy Characteristics'!K:K,MATCH($C529,'Policy Characteristics'!$C:$C,0)))</f>
        <v>industry-ag-main.html#fuel-switching</v>
      </c>
      <c r="R529" s="394" t="str">
        <f>IF(ISBLANK(INDEX('Policy Characteristics'!L:L,MATCH($C529,'Policy Characteristics'!$C:$C,0))),"",INDEX('Policy Characteristics'!L:L,MATCH($C529,'Policy Characteristics'!$C:$C,0)))</f>
        <v>industry-elec-and-hydrogen.html</v>
      </c>
    </row>
    <row r="530" customHeight="1" spans="1:18">
      <c r="A530" s="394" t="str">
        <f>IF(ISBLANK(INDEX('Policy Characteristics'!A:A,MATCH($C530,'Policy Characteristics'!$C:$C,0))),"",INDEX('Policy Characteristics'!A:A,MATCH($C530,'Policy Characteristics'!$C:$C,0)))</f>
        <v>Industry</v>
      </c>
      <c r="B530" s="395" t="str">
        <f>IF(ISBLANK(INDEX('Policy Characteristics'!B:B,MATCH($C530,'Policy Characteristics'!$C:$C,0))),"",INDEX('Policy Characteristics'!B:B,MATCH($C530,'Policy Characteristics'!$C:$C,0)))</f>
        <v>Electrification + Hydrogen (Med &amp; High Temp)</v>
      </c>
      <c r="C530" s="394" t="str">
        <f t="shared" si="32"/>
        <v>Fraction of Med and High Temp Industrial Heat Shifted to Other Fuels</v>
      </c>
      <c r="D530" s="399" t="s">
        <v>752</v>
      </c>
      <c r="E530" s="399" t="s">
        <v>800</v>
      </c>
      <c r="F530" t="s">
        <v>753</v>
      </c>
      <c r="G530" s="399" t="s">
        <v>801</v>
      </c>
      <c r="H530" s="377">
        <v>1282</v>
      </c>
      <c r="I530" s="396" t="s">
        <v>658</v>
      </c>
      <c r="J530" s="397" t="str">
        <f>IF(ISBLANK(INDEX('Policy Characteristics'!D:D,MATCH($C530,'Policy Characteristics'!$C:$C,0))),"",INDEX('Policy Characteristics'!D:D,MATCH($C530,'Policy Characteristics'!$C:$C,0)))</f>
        <v>Electrification + Hydrogen</v>
      </c>
      <c r="K530" s="394" t="str">
        <f>IF(ISBLANK(INDEX('Policy Characteristics'!E:E,MATCH($C530,'Policy Characteristics'!$C:$C,0))),"",INDEX('Policy Characteristics'!E:E,MATCH($C530,'Policy Characteristics'!$C:$C,0)))</f>
        <v>indst med and high temp fuel type shifting</v>
      </c>
      <c r="L530" s="398">
        <f>IF(ISBLANK(INDEX('Policy Characteristics'!F:F,MATCH($C530,'Policy Characteristics'!$C:$C,0))),"",INDEX('Policy Characteristics'!F:F,MATCH($C530,'Policy Characteristics'!$C:$C,0)))</f>
        <v>0</v>
      </c>
      <c r="M530" s="398">
        <f>IF(ISBLANK(INDEX('Policy Characteristics'!G:G,MATCH($C530,'Policy Characteristics'!$C:$C,0))),"",INDEX('Policy Characteristics'!G:G,MATCH($C530,'Policy Characteristics'!$C:$C,0)))</f>
        <v>1</v>
      </c>
      <c r="N530" s="398">
        <f>IF(ISBLANK(INDEX('Policy Characteristics'!H:H,MATCH($C530,'Policy Characteristics'!$C:$C,0))),"",INDEX('Policy Characteristics'!H:H,MATCH($C530,'Policy Characteristics'!$C:$C,0)))</f>
        <v>0.01</v>
      </c>
      <c r="O530" s="394" t="str">
        <f>IF(ISBLANK(INDEX('Policy Characteristics'!I:I,MATCH($C530,'Policy Characteristics'!$C:$C,0))),"",INDEX('Policy Characteristics'!I:I,MATCH($C530,'Policy Characteristics'!$C:$C,0)))</f>
        <v>% of fuel shifted</v>
      </c>
      <c r="P530" s="394" t="str">
        <f>IF(ISBLANK(INDEX('Policy Characteristics'!J:J,MATCH($C530,'Policy Characteristics'!$C:$C,0))),"",INDEX('Policy Characteristics'!J:J,MATCH($C530,'Policy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0" s="394" t="str">
        <f>IF(ISBLANK(INDEX('Policy Characteristics'!K:K,MATCH($C530,'Policy Characteristics'!$C:$C,0))),"",INDEX('Policy Characteristics'!K:K,MATCH($C530,'Policy Characteristics'!$C:$C,0)))</f>
        <v>industry-ag-main.html#fuel-switching</v>
      </c>
      <c r="R530" s="394" t="str">
        <f>IF(ISBLANK(INDEX('Policy Characteristics'!L:L,MATCH($C530,'Policy Characteristics'!$C:$C,0))),"",INDEX('Policy Characteristics'!L:L,MATCH($C530,'Policy Characteristics'!$C:$C,0)))</f>
        <v>industry-elec-and-hydrogen.html</v>
      </c>
    </row>
    <row r="531" customHeight="1" spans="1:18">
      <c r="A531" s="394" t="str">
        <f>IF(ISBLANK(INDEX('Policy Characteristics'!A:A,MATCH($C531,'Policy Characteristics'!$C:$C,0))),"",INDEX('Policy Characteristics'!A:A,MATCH($C531,'Policy Characteristics'!$C:$C,0)))</f>
        <v>Industry</v>
      </c>
      <c r="B531" s="395" t="str">
        <f>IF(ISBLANK(INDEX('Policy Characteristics'!B:B,MATCH($C531,'Policy Characteristics'!$C:$C,0))),"",INDEX('Policy Characteristics'!B:B,MATCH($C531,'Policy Characteristics'!$C:$C,0)))</f>
        <v>Electrification + Hydrogen (Med &amp; High Temp)</v>
      </c>
      <c r="C531" s="394" t="str">
        <f t="shared" si="32"/>
        <v>Fraction of Med and High Temp Industrial Heat Shifted to Other Fuels</v>
      </c>
      <c r="D531" s="399" t="s">
        <v>752</v>
      </c>
      <c r="E531" s="399" t="s">
        <v>802</v>
      </c>
      <c r="F531" t="s">
        <v>753</v>
      </c>
      <c r="G531" s="399" t="s">
        <v>803</v>
      </c>
      <c r="H531" s="377">
        <v>1283</v>
      </c>
      <c r="I531" s="396" t="s">
        <v>658</v>
      </c>
      <c r="J531" s="397" t="str">
        <f>IF(ISBLANK(INDEX('Policy Characteristics'!D:D,MATCH($C531,'Policy Characteristics'!$C:$C,0))),"",INDEX('Policy Characteristics'!D:D,MATCH($C531,'Policy Characteristics'!$C:$C,0)))</f>
        <v>Electrification + Hydrogen</v>
      </c>
      <c r="K531" s="394" t="str">
        <f>IF(ISBLANK(INDEX('Policy Characteristics'!E:E,MATCH($C531,'Policy Characteristics'!$C:$C,0))),"",INDEX('Policy Characteristics'!E:E,MATCH($C531,'Policy Characteristics'!$C:$C,0)))</f>
        <v>indst med and high temp fuel type shifting</v>
      </c>
      <c r="L531" s="398">
        <f>IF(ISBLANK(INDEX('Policy Characteristics'!F:F,MATCH($C531,'Policy Characteristics'!$C:$C,0))),"",INDEX('Policy Characteristics'!F:F,MATCH($C531,'Policy Characteristics'!$C:$C,0)))</f>
        <v>0</v>
      </c>
      <c r="M531" s="398">
        <f>IF(ISBLANK(INDEX('Policy Characteristics'!G:G,MATCH($C531,'Policy Characteristics'!$C:$C,0))),"",INDEX('Policy Characteristics'!G:G,MATCH($C531,'Policy Characteristics'!$C:$C,0)))</f>
        <v>1</v>
      </c>
      <c r="N531" s="398">
        <f>IF(ISBLANK(INDEX('Policy Characteristics'!H:H,MATCH($C531,'Policy Characteristics'!$C:$C,0))),"",INDEX('Policy Characteristics'!H:H,MATCH($C531,'Policy Characteristics'!$C:$C,0)))</f>
        <v>0.01</v>
      </c>
      <c r="O531" s="394" t="str">
        <f>IF(ISBLANK(INDEX('Policy Characteristics'!I:I,MATCH($C531,'Policy Characteristics'!$C:$C,0))),"",INDEX('Policy Characteristics'!I:I,MATCH($C531,'Policy Characteristics'!$C:$C,0)))</f>
        <v>% of fuel shifted</v>
      </c>
      <c r="P531" s="394" t="str">
        <f>IF(ISBLANK(INDEX('Policy Characteristics'!J:J,MATCH($C531,'Policy Characteristics'!$C:$C,0))),"",INDEX('Policy Characteristics'!J:J,MATCH($C531,'Policy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1" s="394" t="str">
        <f>IF(ISBLANK(INDEX('Policy Characteristics'!K:K,MATCH($C531,'Policy Characteristics'!$C:$C,0))),"",INDEX('Policy Characteristics'!K:K,MATCH($C531,'Policy Characteristics'!$C:$C,0)))</f>
        <v>industry-ag-main.html#fuel-switching</v>
      </c>
      <c r="R531" s="394" t="str">
        <f>IF(ISBLANK(INDEX('Policy Characteristics'!L:L,MATCH($C531,'Policy Characteristics'!$C:$C,0))),"",INDEX('Policy Characteristics'!L:L,MATCH($C531,'Policy Characteristics'!$C:$C,0)))</f>
        <v>industry-elec-and-hydrogen.html</v>
      </c>
    </row>
    <row r="532" customHeight="1" spans="1:18">
      <c r="A532" s="394" t="str">
        <f>IF(ISBLANK(INDEX('Policy Characteristics'!A:A,MATCH($C532,'Policy Characteristics'!$C:$C,0))),"",INDEX('Policy Characteristics'!A:A,MATCH($C532,'Policy Characteristics'!$C:$C,0)))</f>
        <v>Industry</v>
      </c>
      <c r="B532" s="395" t="str">
        <f>IF(ISBLANK(INDEX('Policy Characteristics'!B:B,MATCH($C532,'Policy Characteristics'!$C:$C,0))),"",INDEX('Policy Characteristics'!B:B,MATCH($C532,'Policy Characteristics'!$C:$C,0)))</f>
        <v>Electrification + Hydrogen (Med &amp; High Temp)</v>
      </c>
      <c r="C532" s="394" t="str">
        <f t="shared" si="32"/>
        <v>Fraction of Med and High Temp Industrial Heat Shifted to Other Fuels</v>
      </c>
      <c r="D532" s="399" t="s">
        <v>752</v>
      </c>
      <c r="E532" s="399" t="s">
        <v>804</v>
      </c>
      <c r="F532" t="s">
        <v>753</v>
      </c>
      <c r="G532" s="399" t="s">
        <v>805</v>
      </c>
      <c r="H532" s="377">
        <v>1284</v>
      </c>
      <c r="I532" s="396" t="s">
        <v>658</v>
      </c>
      <c r="J532" s="397" t="str">
        <f>IF(ISBLANK(INDEX('Policy Characteristics'!D:D,MATCH($C532,'Policy Characteristics'!$C:$C,0))),"",INDEX('Policy Characteristics'!D:D,MATCH($C532,'Policy Characteristics'!$C:$C,0)))</f>
        <v>Electrification + Hydrogen</v>
      </c>
      <c r="K532" s="394" t="str">
        <f>IF(ISBLANK(INDEX('Policy Characteristics'!E:E,MATCH($C532,'Policy Characteristics'!$C:$C,0))),"",INDEX('Policy Characteristics'!E:E,MATCH($C532,'Policy Characteristics'!$C:$C,0)))</f>
        <v>indst med and high temp fuel type shifting</v>
      </c>
      <c r="L532" s="398">
        <f>IF(ISBLANK(INDEX('Policy Characteristics'!F:F,MATCH($C532,'Policy Characteristics'!$C:$C,0))),"",INDEX('Policy Characteristics'!F:F,MATCH($C532,'Policy Characteristics'!$C:$C,0)))</f>
        <v>0</v>
      </c>
      <c r="M532" s="398">
        <f>IF(ISBLANK(INDEX('Policy Characteristics'!G:G,MATCH($C532,'Policy Characteristics'!$C:$C,0))),"",INDEX('Policy Characteristics'!G:G,MATCH($C532,'Policy Characteristics'!$C:$C,0)))</f>
        <v>1</v>
      </c>
      <c r="N532" s="398">
        <f>IF(ISBLANK(INDEX('Policy Characteristics'!H:H,MATCH($C532,'Policy Characteristics'!$C:$C,0))),"",INDEX('Policy Characteristics'!H:H,MATCH($C532,'Policy Characteristics'!$C:$C,0)))</f>
        <v>0.01</v>
      </c>
      <c r="O532" s="394" t="str">
        <f>IF(ISBLANK(INDEX('Policy Characteristics'!I:I,MATCH($C532,'Policy Characteristics'!$C:$C,0))),"",INDEX('Policy Characteristics'!I:I,MATCH($C532,'Policy Characteristics'!$C:$C,0)))</f>
        <v>% of fuel shifted</v>
      </c>
      <c r="P532" s="394" t="str">
        <f>IF(ISBLANK(INDEX('Policy Characteristics'!J:J,MATCH($C532,'Policy Characteristics'!$C:$C,0))),"",INDEX('Policy Characteristics'!J:J,MATCH($C532,'Policy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2" s="394" t="str">
        <f>IF(ISBLANK(INDEX('Policy Characteristics'!K:K,MATCH($C532,'Policy Characteristics'!$C:$C,0))),"",INDEX('Policy Characteristics'!K:K,MATCH($C532,'Policy Characteristics'!$C:$C,0)))</f>
        <v>industry-ag-main.html#fuel-switching</v>
      </c>
      <c r="R532" s="394" t="str">
        <f>IF(ISBLANK(INDEX('Policy Characteristics'!L:L,MATCH($C532,'Policy Characteristics'!$C:$C,0))),"",INDEX('Policy Characteristics'!L:L,MATCH($C532,'Policy Characteristics'!$C:$C,0)))</f>
        <v>industry-elec-and-hydrogen.html</v>
      </c>
    </row>
    <row r="533" customHeight="1" spans="1:18">
      <c r="A533" s="394" t="str">
        <f>IF(ISBLANK(INDEX('Policy Characteristics'!A:A,MATCH($C533,'Policy Characteristics'!$C:$C,0))),"",INDEX('Policy Characteristics'!A:A,MATCH($C533,'Policy Characteristics'!$C:$C,0)))</f>
        <v>Industry</v>
      </c>
      <c r="B533" s="395" t="str">
        <f>IF(ISBLANK(INDEX('Policy Characteristics'!B:B,MATCH($C533,'Policy Characteristics'!$C:$C,0))),"",INDEX('Policy Characteristics'!B:B,MATCH($C533,'Policy Characteristics'!$C:$C,0)))</f>
        <v>Electrification + Hydrogen (Med &amp; High Temp)</v>
      </c>
      <c r="C533" s="394" t="str">
        <f t="shared" si="32"/>
        <v>Fraction of Med and High Temp Industrial Heat Shifted to Other Fuels</v>
      </c>
      <c r="D533" s="399" t="s">
        <v>752</v>
      </c>
      <c r="E533" s="399" t="s">
        <v>806</v>
      </c>
      <c r="F533" t="s">
        <v>753</v>
      </c>
      <c r="G533" s="399" t="s">
        <v>807</v>
      </c>
      <c r="H533" s="377">
        <v>1285</v>
      </c>
      <c r="I533" s="396" t="s">
        <v>658</v>
      </c>
      <c r="J533" s="397" t="str">
        <f>IF(ISBLANK(INDEX('Policy Characteristics'!D:D,MATCH($C533,'Policy Characteristics'!$C:$C,0))),"",INDEX('Policy Characteristics'!D:D,MATCH($C533,'Policy Characteristics'!$C:$C,0)))</f>
        <v>Electrification + Hydrogen</v>
      </c>
      <c r="K533" s="394" t="str">
        <f>IF(ISBLANK(INDEX('Policy Characteristics'!E:E,MATCH($C533,'Policy Characteristics'!$C:$C,0))),"",INDEX('Policy Characteristics'!E:E,MATCH($C533,'Policy Characteristics'!$C:$C,0)))</f>
        <v>indst med and high temp fuel type shifting</v>
      </c>
      <c r="L533" s="398">
        <f>IF(ISBLANK(INDEX('Policy Characteristics'!F:F,MATCH($C533,'Policy Characteristics'!$C:$C,0))),"",INDEX('Policy Characteristics'!F:F,MATCH($C533,'Policy Characteristics'!$C:$C,0)))</f>
        <v>0</v>
      </c>
      <c r="M533" s="398">
        <f>IF(ISBLANK(INDEX('Policy Characteristics'!G:G,MATCH($C533,'Policy Characteristics'!$C:$C,0))),"",INDEX('Policy Characteristics'!G:G,MATCH($C533,'Policy Characteristics'!$C:$C,0)))</f>
        <v>1</v>
      </c>
      <c r="N533" s="398">
        <f>IF(ISBLANK(INDEX('Policy Characteristics'!H:H,MATCH($C533,'Policy Characteristics'!$C:$C,0))),"",INDEX('Policy Characteristics'!H:H,MATCH($C533,'Policy Characteristics'!$C:$C,0)))</f>
        <v>0.01</v>
      </c>
      <c r="O533" s="394" t="str">
        <f>IF(ISBLANK(INDEX('Policy Characteristics'!I:I,MATCH($C533,'Policy Characteristics'!$C:$C,0))),"",INDEX('Policy Characteristics'!I:I,MATCH($C533,'Policy Characteristics'!$C:$C,0)))</f>
        <v>% of fuel shifted</v>
      </c>
      <c r="P533" s="394" t="str">
        <f>IF(ISBLANK(INDEX('Policy Characteristics'!J:J,MATCH($C533,'Policy Characteristics'!$C:$C,0))),"",INDEX('Policy Characteristics'!J:J,MATCH($C533,'Policy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3" s="394" t="str">
        <f>IF(ISBLANK(INDEX('Policy Characteristics'!K:K,MATCH($C533,'Policy Characteristics'!$C:$C,0))),"",INDEX('Policy Characteristics'!K:K,MATCH($C533,'Policy Characteristics'!$C:$C,0)))</f>
        <v>industry-ag-main.html#fuel-switching</v>
      </c>
      <c r="R533" s="394" t="str">
        <f>IF(ISBLANK(INDEX('Policy Characteristics'!L:L,MATCH($C533,'Policy Characteristics'!$C:$C,0))),"",INDEX('Policy Characteristics'!L:L,MATCH($C533,'Policy Characteristics'!$C:$C,0)))</f>
        <v>industry-elec-and-hydrogen.html</v>
      </c>
    </row>
    <row r="534" customHeight="1" spans="1:18">
      <c r="A534" s="394" t="str">
        <f>IF(ISBLANK(INDEX('Policy Characteristics'!A:A,MATCH($C534,'Policy Characteristics'!$C:$C,0))),"",INDEX('Policy Characteristics'!A:A,MATCH($C534,'Policy Characteristics'!$C:$C,0)))</f>
        <v>Industry</v>
      </c>
      <c r="B534" s="395" t="str">
        <f>IF(ISBLANK(INDEX('Policy Characteristics'!B:B,MATCH($C534,'Policy Characteristics'!$C:$C,0))),"",INDEX('Policy Characteristics'!B:B,MATCH($C534,'Policy Characteristics'!$C:$C,0)))</f>
        <v>Electrification + Hydrogen (Med &amp; High Temp)</v>
      </c>
      <c r="C534" s="394" t="str">
        <f t="shared" si="32"/>
        <v>Fraction of Med and High Temp Industrial Heat Shifted to Other Fuels</v>
      </c>
      <c r="D534" s="399" t="s">
        <v>752</v>
      </c>
      <c r="E534" s="399" t="s">
        <v>808</v>
      </c>
      <c r="F534" t="s">
        <v>753</v>
      </c>
      <c r="G534" s="399" t="s">
        <v>809</v>
      </c>
      <c r="H534" s="377">
        <v>1286</v>
      </c>
      <c r="I534" s="396" t="s">
        <v>658</v>
      </c>
      <c r="J534" s="397" t="str">
        <f>IF(ISBLANK(INDEX('Policy Characteristics'!D:D,MATCH($C534,'Policy Characteristics'!$C:$C,0))),"",INDEX('Policy Characteristics'!D:D,MATCH($C534,'Policy Characteristics'!$C:$C,0)))</f>
        <v>Electrification + Hydrogen</v>
      </c>
      <c r="K534" s="394" t="str">
        <f>IF(ISBLANK(INDEX('Policy Characteristics'!E:E,MATCH($C534,'Policy Characteristics'!$C:$C,0))),"",INDEX('Policy Characteristics'!E:E,MATCH($C534,'Policy Characteristics'!$C:$C,0)))</f>
        <v>indst med and high temp fuel type shifting</v>
      </c>
      <c r="L534" s="398">
        <f>IF(ISBLANK(INDEX('Policy Characteristics'!F:F,MATCH($C534,'Policy Characteristics'!$C:$C,0))),"",INDEX('Policy Characteristics'!F:F,MATCH($C534,'Policy Characteristics'!$C:$C,0)))</f>
        <v>0</v>
      </c>
      <c r="M534" s="398">
        <f>IF(ISBLANK(INDEX('Policy Characteristics'!G:G,MATCH($C534,'Policy Characteristics'!$C:$C,0))),"",INDEX('Policy Characteristics'!G:G,MATCH($C534,'Policy Characteristics'!$C:$C,0)))</f>
        <v>1</v>
      </c>
      <c r="N534" s="398">
        <f>IF(ISBLANK(INDEX('Policy Characteristics'!H:H,MATCH($C534,'Policy Characteristics'!$C:$C,0))),"",INDEX('Policy Characteristics'!H:H,MATCH($C534,'Policy Characteristics'!$C:$C,0)))</f>
        <v>0.01</v>
      </c>
      <c r="O534" s="394" t="str">
        <f>IF(ISBLANK(INDEX('Policy Characteristics'!I:I,MATCH($C534,'Policy Characteristics'!$C:$C,0))),"",INDEX('Policy Characteristics'!I:I,MATCH($C534,'Policy Characteristics'!$C:$C,0)))</f>
        <v>% of fuel shifted</v>
      </c>
      <c r="P534" s="394" t="str">
        <f>IF(ISBLANK(INDEX('Policy Characteristics'!J:J,MATCH($C534,'Policy Characteristics'!$C:$C,0))),"",INDEX('Policy Characteristics'!J:J,MATCH($C534,'Policy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4" s="394" t="str">
        <f>IF(ISBLANK(INDEX('Policy Characteristics'!K:K,MATCH($C534,'Policy Characteristics'!$C:$C,0))),"",INDEX('Policy Characteristics'!K:K,MATCH($C534,'Policy Characteristics'!$C:$C,0)))</f>
        <v>industry-ag-main.html#fuel-switching</v>
      </c>
      <c r="R534" s="394" t="str">
        <f>IF(ISBLANK(INDEX('Policy Characteristics'!L:L,MATCH($C534,'Policy Characteristics'!$C:$C,0))),"",INDEX('Policy Characteristics'!L:L,MATCH($C534,'Policy Characteristics'!$C:$C,0)))</f>
        <v>industry-elec-and-hydrogen.html</v>
      </c>
    </row>
    <row r="535" customHeight="1" spans="1:18">
      <c r="A535" s="394" t="str">
        <f>IF(ISBLANK(INDEX('Policy Characteristics'!A:A,MATCH($C535,'Policy Characteristics'!$C:$C,0))),"",INDEX('Policy Characteristics'!A:A,MATCH($C535,'Policy Characteristics'!$C:$C,0)))</f>
        <v>Industry</v>
      </c>
      <c r="B535" s="395" t="str">
        <f>IF(ISBLANK(INDEX('Policy Characteristics'!B:B,MATCH($C535,'Policy Characteristics'!$C:$C,0))),"",INDEX('Policy Characteristics'!B:B,MATCH($C535,'Policy Characteristics'!$C:$C,0)))</f>
        <v>Electrification + Hydrogen (Med &amp; High Temp)</v>
      </c>
      <c r="C535" s="394" t="str">
        <f t="shared" si="32"/>
        <v>Fraction of Med and High Temp Industrial Heat Shifted to Other Fuels</v>
      </c>
      <c r="D535" s="399" t="s">
        <v>752</v>
      </c>
      <c r="E535" s="399" t="s">
        <v>810</v>
      </c>
      <c r="F535" t="s">
        <v>753</v>
      </c>
      <c r="G535" s="399" t="s">
        <v>811</v>
      </c>
      <c r="H535" s="377">
        <v>1287</v>
      </c>
      <c r="I535" s="396" t="s">
        <v>648</v>
      </c>
      <c r="J535" s="397" t="str">
        <f>IF(ISBLANK(INDEX('Policy Characteristics'!D:D,MATCH($C535,'Policy Characteristics'!$C:$C,0))),"",INDEX('Policy Characteristics'!D:D,MATCH($C535,'Policy Characteristics'!$C:$C,0)))</f>
        <v>Electrification + Hydrogen</v>
      </c>
      <c r="K535" s="394" t="str">
        <f>IF(ISBLANK(INDEX('Policy Characteristics'!E:E,MATCH($C535,'Policy Characteristics'!$C:$C,0))),"",INDEX('Policy Characteristics'!E:E,MATCH($C535,'Policy Characteristics'!$C:$C,0)))</f>
        <v>indst med and high temp fuel type shifting</v>
      </c>
      <c r="L535" s="398">
        <f>IF(ISBLANK(INDEX('Policy Characteristics'!F:F,MATCH($C535,'Policy Characteristics'!$C:$C,0))),"",INDEX('Policy Characteristics'!F:F,MATCH($C535,'Policy Characteristics'!$C:$C,0)))</f>
        <v>0</v>
      </c>
      <c r="M535" s="398">
        <f>IF(ISBLANK(INDEX('Policy Characteristics'!G:G,MATCH($C535,'Policy Characteristics'!$C:$C,0))),"",INDEX('Policy Characteristics'!G:G,MATCH($C535,'Policy Characteristics'!$C:$C,0)))</f>
        <v>1</v>
      </c>
      <c r="N535" s="398">
        <f>IF(ISBLANK(INDEX('Policy Characteristics'!H:H,MATCH($C535,'Policy Characteristics'!$C:$C,0))),"",INDEX('Policy Characteristics'!H:H,MATCH($C535,'Policy Characteristics'!$C:$C,0)))</f>
        <v>0.01</v>
      </c>
      <c r="O535" s="394" t="str">
        <f>IF(ISBLANK(INDEX('Policy Characteristics'!I:I,MATCH($C535,'Policy Characteristics'!$C:$C,0))),"",INDEX('Policy Characteristics'!I:I,MATCH($C535,'Policy Characteristics'!$C:$C,0)))</f>
        <v>% of fuel shifted</v>
      </c>
      <c r="P535" s="394" t="str">
        <f>IF(ISBLANK(INDEX('Policy Characteristics'!J:J,MATCH($C535,'Policy Characteristics'!$C:$C,0))),"",INDEX('Policy Characteristics'!J:J,MATCH($C535,'Policy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5" s="394" t="str">
        <f>IF(ISBLANK(INDEX('Policy Characteristics'!K:K,MATCH($C535,'Policy Characteristics'!$C:$C,0))),"",INDEX('Policy Characteristics'!K:K,MATCH($C535,'Policy Characteristics'!$C:$C,0)))</f>
        <v>industry-ag-main.html#fuel-switching</v>
      </c>
      <c r="R535" s="394" t="str">
        <f>IF(ISBLANK(INDEX('Policy Characteristics'!L:L,MATCH($C535,'Policy Characteristics'!$C:$C,0))),"",INDEX('Policy Characteristics'!L:L,MATCH($C535,'Policy Characteristics'!$C:$C,0)))</f>
        <v>industry-elec-and-hydrogen.html</v>
      </c>
    </row>
    <row r="536" customHeight="1" spans="1:18">
      <c r="A536" s="394" t="str">
        <f>IF(ISBLANK(INDEX('Policy Characteristics'!A:A,MATCH($C536,'Policy Characteristics'!$C:$C,0))),"",INDEX('Policy Characteristics'!A:A,MATCH($C536,'Policy Characteristics'!$C:$C,0)))</f>
        <v>Industry</v>
      </c>
      <c r="B536" s="395" t="str">
        <f>IF(ISBLANK(INDEX('Policy Characteristics'!B:B,MATCH($C536,'Policy Characteristics'!$C:$C,0))),"",INDEX('Policy Characteristics'!B:B,MATCH($C536,'Policy Characteristics'!$C:$C,0)))</f>
        <v>Electrification + Hydrogen (Med &amp; High Temp)</v>
      </c>
      <c r="C536" s="394" t="str">
        <f t="shared" si="32"/>
        <v>Fraction of Med and High Temp Industrial Heat Shifted to Other Fuels</v>
      </c>
      <c r="D536" s="399" t="s">
        <v>754</v>
      </c>
      <c r="E536" s="399" t="s">
        <v>792</v>
      </c>
      <c r="F536" t="s">
        <v>755</v>
      </c>
      <c r="G536" s="399" t="s">
        <v>793</v>
      </c>
      <c r="H536" s="377">
        <v>1288</v>
      </c>
      <c r="I536" s="396" t="s">
        <v>648</v>
      </c>
      <c r="J536" s="397" t="str">
        <f>IF(ISBLANK(INDEX('Policy Characteristics'!D:D,MATCH($C536,'Policy Characteristics'!$C:$C,0))),"",INDEX('Policy Characteristics'!D:D,MATCH($C536,'Policy Characteristics'!$C:$C,0)))</f>
        <v>Electrification + Hydrogen</v>
      </c>
      <c r="K536" s="394" t="str">
        <f>IF(ISBLANK(INDEX('Policy Characteristics'!E:E,MATCH($C536,'Policy Characteristics'!$C:$C,0))),"",INDEX('Policy Characteristics'!E:E,MATCH($C536,'Policy Characteristics'!$C:$C,0)))</f>
        <v>indst med and high temp fuel type shifting</v>
      </c>
      <c r="L536" s="398">
        <f>IF(ISBLANK(INDEX('Policy Characteristics'!F:F,MATCH($C536,'Policy Characteristics'!$C:$C,0))),"",INDEX('Policy Characteristics'!F:F,MATCH($C536,'Policy Characteristics'!$C:$C,0)))</f>
        <v>0</v>
      </c>
      <c r="M536" s="398">
        <f>IF(ISBLANK(INDEX('Policy Characteristics'!G:G,MATCH($C536,'Policy Characteristics'!$C:$C,0))),"",INDEX('Policy Characteristics'!G:G,MATCH($C536,'Policy Characteristics'!$C:$C,0)))</f>
        <v>1</v>
      </c>
      <c r="N536" s="398">
        <f>IF(ISBLANK(INDEX('Policy Characteristics'!H:H,MATCH($C536,'Policy Characteristics'!$C:$C,0))),"",INDEX('Policy Characteristics'!H:H,MATCH($C536,'Policy Characteristics'!$C:$C,0)))</f>
        <v>0.01</v>
      </c>
      <c r="O536" s="394" t="str">
        <f>IF(ISBLANK(INDEX('Policy Characteristics'!I:I,MATCH($C536,'Policy Characteristics'!$C:$C,0))),"",INDEX('Policy Characteristics'!I:I,MATCH($C536,'Policy Characteristics'!$C:$C,0)))</f>
        <v>% of fuel shifted</v>
      </c>
      <c r="P536" s="394" t="str">
        <f>IF(ISBLANK(INDEX('Policy Characteristics'!J:J,MATCH($C536,'Policy Characteristics'!$C:$C,0))),"",INDEX('Policy Characteristics'!J:J,MATCH($C536,'Policy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6" s="394" t="str">
        <f>IF(ISBLANK(INDEX('Policy Characteristics'!K:K,MATCH($C536,'Policy Characteristics'!$C:$C,0))),"",INDEX('Policy Characteristics'!K:K,MATCH($C536,'Policy Characteristics'!$C:$C,0)))</f>
        <v>industry-ag-main.html#fuel-switching</v>
      </c>
      <c r="R536" s="394" t="str">
        <f>IF(ISBLANK(INDEX('Policy Characteristics'!L:L,MATCH($C536,'Policy Characteristics'!$C:$C,0))),"",INDEX('Policy Characteristics'!L:L,MATCH($C536,'Policy Characteristics'!$C:$C,0)))</f>
        <v>industry-elec-and-hydrogen.html</v>
      </c>
    </row>
    <row r="537" customHeight="1" spans="1:18">
      <c r="A537" s="394" t="str">
        <f>IF(ISBLANK(INDEX('Policy Characteristics'!A:A,MATCH($C537,'Policy Characteristics'!$C:$C,0))),"",INDEX('Policy Characteristics'!A:A,MATCH($C537,'Policy Characteristics'!$C:$C,0)))</f>
        <v>Industry</v>
      </c>
      <c r="B537" s="395" t="str">
        <f>IF(ISBLANK(INDEX('Policy Characteristics'!B:B,MATCH($C537,'Policy Characteristics'!$C:$C,0))),"",INDEX('Policy Characteristics'!B:B,MATCH($C537,'Policy Characteristics'!$C:$C,0)))</f>
        <v>Electrification + Hydrogen (Med &amp; High Temp)</v>
      </c>
      <c r="C537" s="394" t="str">
        <f t="shared" ref="C537:C600" si="33">C$456</f>
        <v>Fraction of Med and High Temp Industrial Heat Shifted to Other Fuels</v>
      </c>
      <c r="D537" s="399" t="s">
        <v>754</v>
      </c>
      <c r="E537" s="399" t="s">
        <v>794</v>
      </c>
      <c r="F537" t="s">
        <v>755</v>
      </c>
      <c r="G537" s="399" t="s">
        <v>795</v>
      </c>
      <c r="H537" s="377">
        <v>1289</v>
      </c>
      <c r="I537" s="396" t="s">
        <v>658</v>
      </c>
      <c r="J537" s="397" t="str">
        <f>IF(ISBLANK(INDEX('Policy Characteristics'!D:D,MATCH($C537,'Policy Characteristics'!$C:$C,0))),"",INDEX('Policy Characteristics'!D:D,MATCH($C537,'Policy Characteristics'!$C:$C,0)))</f>
        <v>Electrification + Hydrogen</v>
      </c>
      <c r="K537" s="394" t="str">
        <f>IF(ISBLANK(INDEX('Policy Characteristics'!E:E,MATCH($C537,'Policy Characteristics'!$C:$C,0))),"",INDEX('Policy Characteristics'!E:E,MATCH($C537,'Policy Characteristics'!$C:$C,0)))</f>
        <v>indst med and high temp fuel type shifting</v>
      </c>
      <c r="L537" s="398">
        <f>IF(ISBLANK(INDEX('Policy Characteristics'!F:F,MATCH($C537,'Policy Characteristics'!$C:$C,0))),"",INDEX('Policy Characteristics'!F:F,MATCH($C537,'Policy Characteristics'!$C:$C,0)))</f>
        <v>0</v>
      </c>
      <c r="M537" s="398">
        <f>IF(ISBLANK(INDEX('Policy Characteristics'!G:G,MATCH($C537,'Policy Characteristics'!$C:$C,0))),"",INDEX('Policy Characteristics'!G:G,MATCH($C537,'Policy Characteristics'!$C:$C,0)))</f>
        <v>1</v>
      </c>
      <c r="N537" s="398">
        <f>IF(ISBLANK(INDEX('Policy Characteristics'!H:H,MATCH($C537,'Policy Characteristics'!$C:$C,0))),"",INDEX('Policy Characteristics'!H:H,MATCH($C537,'Policy Characteristics'!$C:$C,0)))</f>
        <v>0.01</v>
      </c>
      <c r="O537" s="394" t="str">
        <f>IF(ISBLANK(INDEX('Policy Characteristics'!I:I,MATCH($C537,'Policy Characteristics'!$C:$C,0))),"",INDEX('Policy Characteristics'!I:I,MATCH($C537,'Policy Characteristics'!$C:$C,0)))</f>
        <v>% of fuel shifted</v>
      </c>
      <c r="P537" s="394" t="str">
        <f>IF(ISBLANK(INDEX('Policy Characteristics'!J:J,MATCH($C537,'Policy Characteristics'!$C:$C,0))),"",INDEX('Policy Characteristics'!J:J,MATCH($C537,'Policy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7" s="394" t="str">
        <f>IF(ISBLANK(INDEX('Policy Characteristics'!K:K,MATCH($C537,'Policy Characteristics'!$C:$C,0))),"",INDEX('Policy Characteristics'!K:K,MATCH($C537,'Policy Characteristics'!$C:$C,0)))</f>
        <v>industry-ag-main.html#fuel-switching</v>
      </c>
      <c r="R537" s="394" t="str">
        <f>IF(ISBLANK(INDEX('Policy Characteristics'!L:L,MATCH($C537,'Policy Characteristics'!$C:$C,0))),"",INDEX('Policy Characteristics'!L:L,MATCH($C537,'Policy Characteristics'!$C:$C,0)))</f>
        <v>industry-elec-and-hydrogen.html</v>
      </c>
    </row>
    <row r="538" customHeight="1" spans="1:18">
      <c r="A538" s="394" t="str">
        <f>IF(ISBLANK(INDEX('Policy Characteristics'!A:A,MATCH($C538,'Policy Characteristics'!$C:$C,0))),"",INDEX('Policy Characteristics'!A:A,MATCH($C538,'Policy Characteristics'!$C:$C,0)))</f>
        <v>Industry</v>
      </c>
      <c r="B538" s="395" t="str">
        <f>IF(ISBLANK(INDEX('Policy Characteristics'!B:B,MATCH($C538,'Policy Characteristics'!$C:$C,0))),"",INDEX('Policy Characteristics'!B:B,MATCH($C538,'Policy Characteristics'!$C:$C,0)))</f>
        <v>Electrification + Hydrogen (Med &amp; High Temp)</v>
      </c>
      <c r="C538" s="394" t="str">
        <f t="shared" si="33"/>
        <v>Fraction of Med and High Temp Industrial Heat Shifted to Other Fuels</v>
      </c>
      <c r="D538" s="399" t="s">
        <v>754</v>
      </c>
      <c r="E538" s="399" t="s">
        <v>796</v>
      </c>
      <c r="F538" t="s">
        <v>755</v>
      </c>
      <c r="G538" s="399" t="s">
        <v>797</v>
      </c>
      <c r="H538" s="377">
        <v>1290</v>
      </c>
      <c r="I538" s="396" t="s">
        <v>658</v>
      </c>
      <c r="J538" s="397" t="str">
        <f>IF(ISBLANK(INDEX('Policy Characteristics'!D:D,MATCH($C538,'Policy Characteristics'!$C:$C,0))),"",INDEX('Policy Characteristics'!D:D,MATCH($C538,'Policy Characteristics'!$C:$C,0)))</f>
        <v>Electrification + Hydrogen</v>
      </c>
      <c r="K538" s="394" t="str">
        <f>IF(ISBLANK(INDEX('Policy Characteristics'!E:E,MATCH($C538,'Policy Characteristics'!$C:$C,0))),"",INDEX('Policy Characteristics'!E:E,MATCH($C538,'Policy Characteristics'!$C:$C,0)))</f>
        <v>indst med and high temp fuel type shifting</v>
      </c>
      <c r="L538" s="398">
        <f>IF(ISBLANK(INDEX('Policy Characteristics'!F:F,MATCH($C538,'Policy Characteristics'!$C:$C,0))),"",INDEX('Policy Characteristics'!F:F,MATCH($C538,'Policy Characteristics'!$C:$C,0)))</f>
        <v>0</v>
      </c>
      <c r="M538" s="398">
        <f>IF(ISBLANK(INDEX('Policy Characteristics'!G:G,MATCH($C538,'Policy Characteristics'!$C:$C,0))),"",INDEX('Policy Characteristics'!G:G,MATCH($C538,'Policy Characteristics'!$C:$C,0)))</f>
        <v>1</v>
      </c>
      <c r="N538" s="398">
        <f>IF(ISBLANK(INDEX('Policy Characteristics'!H:H,MATCH($C538,'Policy Characteristics'!$C:$C,0))),"",INDEX('Policy Characteristics'!H:H,MATCH($C538,'Policy Characteristics'!$C:$C,0)))</f>
        <v>0.01</v>
      </c>
      <c r="O538" s="394" t="str">
        <f>IF(ISBLANK(INDEX('Policy Characteristics'!I:I,MATCH($C538,'Policy Characteristics'!$C:$C,0))),"",INDEX('Policy Characteristics'!I:I,MATCH($C538,'Policy Characteristics'!$C:$C,0)))</f>
        <v>% of fuel shifted</v>
      </c>
      <c r="P538" s="394" t="str">
        <f>IF(ISBLANK(INDEX('Policy Characteristics'!J:J,MATCH($C538,'Policy Characteristics'!$C:$C,0))),"",INDEX('Policy Characteristics'!J:J,MATCH($C538,'Policy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8" s="394" t="str">
        <f>IF(ISBLANK(INDEX('Policy Characteristics'!K:K,MATCH($C538,'Policy Characteristics'!$C:$C,0))),"",INDEX('Policy Characteristics'!K:K,MATCH($C538,'Policy Characteristics'!$C:$C,0)))</f>
        <v>industry-ag-main.html#fuel-switching</v>
      </c>
      <c r="R538" s="394" t="str">
        <f>IF(ISBLANK(INDEX('Policy Characteristics'!L:L,MATCH($C538,'Policy Characteristics'!$C:$C,0))),"",INDEX('Policy Characteristics'!L:L,MATCH($C538,'Policy Characteristics'!$C:$C,0)))</f>
        <v>industry-elec-and-hydrogen.html</v>
      </c>
    </row>
    <row r="539" customHeight="1" spans="1:18">
      <c r="A539" s="394" t="str">
        <f>IF(ISBLANK(INDEX('Policy Characteristics'!A:A,MATCH($C539,'Policy Characteristics'!$C:$C,0))),"",INDEX('Policy Characteristics'!A:A,MATCH($C539,'Policy Characteristics'!$C:$C,0)))</f>
        <v>Industry</v>
      </c>
      <c r="B539" s="395" t="str">
        <f>IF(ISBLANK(INDEX('Policy Characteristics'!B:B,MATCH($C539,'Policy Characteristics'!$C:$C,0))),"",INDEX('Policy Characteristics'!B:B,MATCH($C539,'Policy Characteristics'!$C:$C,0)))</f>
        <v>Electrification + Hydrogen (Med &amp; High Temp)</v>
      </c>
      <c r="C539" s="394" t="str">
        <f t="shared" si="33"/>
        <v>Fraction of Med and High Temp Industrial Heat Shifted to Other Fuels</v>
      </c>
      <c r="D539" s="399" t="s">
        <v>754</v>
      </c>
      <c r="E539" s="399" t="s">
        <v>798</v>
      </c>
      <c r="F539" t="s">
        <v>755</v>
      </c>
      <c r="G539" s="399" t="s">
        <v>799</v>
      </c>
      <c r="H539" s="377">
        <v>1291</v>
      </c>
      <c r="I539" s="396" t="s">
        <v>658</v>
      </c>
      <c r="J539" s="397" t="str">
        <f>IF(ISBLANK(INDEX('Policy Characteristics'!D:D,MATCH($C539,'Policy Characteristics'!$C:$C,0))),"",INDEX('Policy Characteristics'!D:D,MATCH($C539,'Policy Characteristics'!$C:$C,0)))</f>
        <v>Electrification + Hydrogen</v>
      </c>
      <c r="K539" s="394" t="str">
        <f>IF(ISBLANK(INDEX('Policy Characteristics'!E:E,MATCH($C539,'Policy Characteristics'!$C:$C,0))),"",INDEX('Policy Characteristics'!E:E,MATCH($C539,'Policy Characteristics'!$C:$C,0)))</f>
        <v>indst med and high temp fuel type shifting</v>
      </c>
      <c r="L539" s="398">
        <f>IF(ISBLANK(INDEX('Policy Characteristics'!F:F,MATCH($C539,'Policy Characteristics'!$C:$C,0))),"",INDEX('Policy Characteristics'!F:F,MATCH($C539,'Policy Characteristics'!$C:$C,0)))</f>
        <v>0</v>
      </c>
      <c r="M539" s="398">
        <f>IF(ISBLANK(INDEX('Policy Characteristics'!G:G,MATCH($C539,'Policy Characteristics'!$C:$C,0))),"",INDEX('Policy Characteristics'!G:G,MATCH($C539,'Policy Characteristics'!$C:$C,0)))</f>
        <v>1</v>
      </c>
      <c r="N539" s="398">
        <f>IF(ISBLANK(INDEX('Policy Characteristics'!H:H,MATCH($C539,'Policy Characteristics'!$C:$C,0))),"",INDEX('Policy Characteristics'!H:H,MATCH($C539,'Policy Characteristics'!$C:$C,0)))</f>
        <v>0.01</v>
      </c>
      <c r="O539" s="394" t="str">
        <f>IF(ISBLANK(INDEX('Policy Characteristics'!I:I,MATCH($C539,'Policy Characteristics'!$C:$C,0))),"",INDEX('Policy Characteristics'!I:I,MATCH($C539,'Policy Characteristics'!$C:$C,0)))</f>
        <v>% of fuel shifted</v>
      </c>
      <c r="P539" s="394" t="str">
        <f>IF(ISBLANK(INDEX('Policy Characteristics'!J:J,MATCH($C539,'Policy Characteristics'!$C:$C,0))),"",INDEX('Policy Characteristics'!J:J,MATCH($C539,'Policy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9" s="394" t="str">
        <f>IF(ISBLANK(INDEX('Policy Characteristics'!K:K,MATCH($C539,'Policy Characteristics'!$C:$C,0))),"",INDEX('Policy Characteristics'!K:K,MATCH($C539,'Policy Characteristics'!$C:$C,0)))</f>
        <v>industry-ag-main.html#fuel-switching</v>
      </c>
      <c r="R539" s="394" t="str">
        <f>IF(ISBLANK(INDEX('Policy Characteristics'!L:L,MATCH($C539,'Policy Characteristics'!$C:$C,0))),"",INDEX('Policy Characteristics'!L:L,MATCH($C539,'Policy Characteristics'!$C:$C,0)))</f>
        <v>industry-elec-and-hydrogen.html</v>
      </c>
    </row>
    <row r="540" customHeight="1" spans="1:18">
      <c r="A540" s="394" t="str">
        <f>IF(ISBLANK(INDEX('Policy Characteristics'!A:A,MATCH($C540,'Policy Characteristics'!$C:$C,0))),"",INDEX('Policy Characteristics'!A:A,MATCH($C540,'Policy Characteristics'!$C:$C,0)))</f>
        <v>Industry</v>
      </c>
      <c r="B540" s="395" t="str">
        <f>IF(ISBLANK(INDEX('Policy Characteristics'!B:B,MATCH($C540,'Policy Characteristics'!$C:$C,0))),"",INDEX('Policy Characteristics'!B:B,MATCH($C540,'Policy Characteristics'!$C:$C,0)))</f>
        <v>Electrification + Hydrogen (Med &amp; High Temp)</v>
      </c>
      <c r="C540" s="394" t="str">
        <f t="shared" si="33"/>
        <v>Fraction of Med and High Temp Industrial Heat Shifted to Other Fuels</v>
      </c>
      <c r="D540" s="399" t="s">
        <v>754</v>
      </c>
      <c r="E540" s="399" t="s">
        <v>800</v>
      </c>
      <c r="F540" t="s">
        <v>755</v>
      </c>
      <c r="G540" s="399" t="s">
        <v>801</v>
      </c>
      <c r="H540" s="377">
        <v>1292</v>
      </c>
      <c r="I540" s="396" t="s">
        <v>658</v>
      </c>
      <c r="J540" s="397" t="str">
        <f>IF(ISBLANK(INDEX('Policy Characteristics'!D:D,MATCH($C540,'Policy Characteristics'!$C:$C,0))),"",INDEX('Policy Characteristics'!D:D,MATCH($C540,'Policy Characteristics'!$C:$C,0)))</f>
        <v>Electrification + Hydrogen</v>
      </c>
      <c r="K540" s="394" t="str">
        <f>IF(ISBLANK(INDEX('Policy Characteristics'!E:E,MATCH($C540,'Policy Characteristics'!$C:$C,0))),"",INDEX('Policy Characteristics'!E:E,MATCH($C540,'Policy Characteristics'!$C:$C,0)))</f>
        <v>indst med and high temp fuel type shifting</v>
      </c>
      <c r="L540" s="398">
        <f>IF(ISBLANK(INDEX('Policy Characteristics'!F:F,MATCH($C540,'Policy Characteristics'!$C:$C,0))),"",INDEX('Policy Characteristics'!F:F,MATCH($C540,'Policy Characteristics'!$C:$C,0)))</f>
        <v>0</v>
      </c>
      <c r="M540" s="398">
        <f>IF(ISBLANK(INDEX('Policy Characteristics'!G:G,MATCH($C540,'Policy Characteristics'!$C:$C,0))),"",INDEX('Policy Characteristics'!G:G,MATCH($C540,'Policy Characteristics'!$C:$C,0)))</f>
        <v>1</v>
      </c>
      <c r="N540" s="398">
        <f>IF(ISBLANK(INDEX('Policy Characteristics'!H:H,MATCH($C540,'Policy Characteristics'!$C:$C,0))),"",INDEX('Policy Characteristics'!H:H,MATCH($C540,'Policy Characteristics'!$C:$C,0)))</f>
        <v>0.01</v>
      </c>
      <c r="O540" s="394" t="str">
        <f>IF(ISBLANK(INDEX('Policy Characteristics'!I:I,MATCH($C540,'Policy Characteristics'!$C:$C,0))),"",INDEX('Policy Characteristics'!I:I,MATCH($C540,'Policy Characteristics'!$C:$C,0)))</f>
        <v>% of fuel shifted</v>
      </c>
      <c r="P540" s="394" t="str">
        <f>IF(ISBLANK(INDEX('Policy Characteristics'!J:J,MATCH($C540,'Policy Characteristics'!$C:$C,0))),"",INDEX('Policy Characteristics'!J:J,MATCH($C540,'Policy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0" s="394" t="str">
        <f>IF(ISBLANK(INDEX('Policy Characteristics'!K:K,MATCH($C540,'Policy Characteristics'!$C:$C,0))),"",INDEX('Policy Characteristics'!K:K,MATCH($C540,'Policy Characteristics'!$C:$C,0)))</f>
        <v>industry-ag-main.html#fuel-switching</v>
      </c>
      <c r="R540" s="394" t="str">
        <f>IF(ISBLANK(INDEX('Policy Characteristics'!L:L,MATCH($C540,'Policy Characteristics'!$C:$C,0))),"",INDEX('Policy Characteristics'!L:L,MATCH($C540,'Policy Characteristics'!$C:$C,0)))</f>
        <v>industry-elec-and-hydrogen.html</v>
      </c>
    </row>
    <row r="541" customHeight="1" spans="1:18">
      <c r="A541" s="394" t="str">
        <f>IF(ISBLANK(INDEX('Policy Characteristics'!A:A,MATCH($C541,'Policy Characteristics'!$C:$C,0))),"",INDEX('Policy Characteristics'!A:A,MATCH($C541,'Policy Characteristics'!$C:$C,0)))</f>
        <v>Industry</v>
      </c>
      <c r="B541" s="395" t="str">
        <f>IF(ISBLANK(INDEX('Policy Characteristics'!B:B,MATCH($C541,'Policy Characteristics'!$C:$C,0))),"",INDEX('Policy Characteristics'!B:B,MATCH($C541,'Policy Characteristics'!$C:$C,0)))</f>
        <v>Electrification + Hydrogen (Med &amp; High Temp)</v>
      </c>
      <c r="C541" s="394" t="str">
        <f t="shared" si="33"/>
        <v>Fraction of Med and High Temp Industrial Heat Shifted to Other Fuels</v>
      </c>
      <c r="D541" s="399" t="s">
        <v>754</v>
      </c>
      <c r="E541" s="399" t="s">
        <v>802</v>
      </c>
      <c r="F541" t="s">
        <v>755</v>
      </c>
      <c r="G541" s="399" t="s">
        <v>803</v>
      </c>
      <c r="H541" s="377">
        <v>1293</v>
      </c>
      <c r="I541" s="396" t="s">
        <v>658</v>
      </c>
      <c r="J541" s="397" t="str">
        <f>IF(ISBLANK(INDEX('Policy Characteristics'!D:D,MATCH($C541,'Policy Characteristics'!$C:$C,0))),"",INDEX('Policy Characteristics'!D:D,MATCH($C541,'Policy Characteristics'!$C:$C,0)))</f>
        <v>Electrification + Hydrogen</v>
      </c>
      <c r="K541" s="394" t="str">
        <f>IF(ISBLANK(INDEX('Policy Characteristics'!E:E,MATCH($C541,'Policy Characteristics'!$C:$C,0))),"",INDEX('Policy Characteristics'!E:E,MATCH($C541,'Policy Characteristics'!$C:$C,0)))</f>
        <v>indst med and high temp fuel type shifting</v>
      </c>
      <c r="L541" s="398">
        <f>IF(ISBLANK(INDEX('Policy Characteristics'!F:F,MATCH($C541,'Policy Characteristics'!$C:$C,0))),"",INDEX('Policy Characteristics'!F:F,MATCH($C541,'Policy Characteristics'!$C:$C,0)))</f>
        <v>0</v>
      </c>
      <c r="M541" s="398">
        <f>IF(ISBLANK(INDEX('Policy Characteristics'!G:G,MATCH($C541,'Policy Characteristics'!$C:$C,0))),"",INDEX('Policy Characteristics'!G:G,MATCH($C541,'Policy Characteristics'!$C:$C,0)))</f>
        <v>1</v>
      </c>
      <c r="N541" s="398">
        <f>IF(ISBLANK(INDEX('Policy Characteristics'!H:H,MATCH($C541,'Policy Characteristics'!$C:$C,0))),"",INDEX('Policy Characteristics'!H:H,MATCH($C541,'Policy Characteristics'!$C:$C,0)))</f>
        <v>0.01</v>
      </c>
      <c r="O541" s="394" t="str">
        <f>IF(ISBLANK(INDEX('Policy Characteristics'!I:I,MATCH($C541,'Policy Characteristics'!$C:$C,0))),"",INDEX('Policy Characteristics'!I:I,MATCH($C541,'Policy Characteristics'!$C:$C,0)))</f>
        <v>% of fuel shifted</v>
      </c>
      <c r="P541" s="394" t="str">
        <f>IF(ISBLANK(INDEX('Policy Characteristics'!J:J,MATCH($C541,'Policy Characteristics'!$C:$C,0))),"",INDEX('Policy Characteristics'!J:J,MATCH($C541,'Policy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1" s="394" t="str">
        <f>IF(ISBLANK(INDEX('Policy Characteristics'!K:K,MATCH($C541,'Policy Characteristics'!$C:$C,0))),"",INDEX('Policy Characteristics'!K:K,MATCH($C541,'Policy Characteristics'!$C:$C,0)))</f>
        <v>industry-ag-main.html#fuel-switching</v>
      </c>
      <c r="R541" s="394" t="str">
        <f>IF(ISBLANK(INDEX('Policy Characteristics'!L:L,MATCH($C541,'Policy Characteristics'!$C:$C,0))),"",INDEX('Policy Characteristics'!L:L,MATCH($C541,'Policy Characteristics'!$C:$C,0)))</f>
        <v>industry-elec-and-hydrogen.html</v>
      </c>
    </row>
    <row r="542" customHeight="1" spans="1:18">
      <c r="A542" s="394" t="str">
        <f>IF(ISBLANK(INDEX('Policy Characteristics'!A:A,MATCH($C542,'Policy Characteristics'!$C:$C,0))),"",INDEX('Policy Characteristics'!A:A,MATCH($C542,'Policy Characteristics'!$C:$C,0)))</f>
        <v>Industry</v>
      </c>
      <c r="B542" s="395" t="str">
        <f>IF(ISBLANK(INDEX('Policy Characteristics'!B:B,MATCH($C542,'Policy Characteristics'!$C:$C,0))),"",INDEX('Policy Characteristics'!B:B,MATCH($C542,'Policy Characteristics'!$C:$C,0)))</f>
        <v>Electrification + Hydrogen (Med &amp; High Temp)</v>
      </c>
      <c r="C542" s="394" t="str">
        <f t="shared" si="33"/>
        <v>Fraction of Med and High Temp Industrial Heat Shifted to Other Fuels</v>
      </c>
      <c r="D542" s="399" t="s">
        <v>754</v>
      </c>
      <c r="E542" s="399" t="s">
        <v>804</v>
      </c>
      <c r="F542" t="s">
        <v>755</v>
      </c>
      <c r="G542" s="399" t="s">
        <v>805</v>
      </c>
      <c r="H542" s="377">
        <v>1294</v>
      </c>
      <c r="I542" s="396" t="s">
        <v>658</v>
      </c>
      <c r="J542" s="397" t="str">
        <f>IF(ISBLANK(INDEX('Policy Characteristics'!D:D,MATCH($C542,'Policy Characteristics'!$C:$C,0))),"",INDEX('Policy Characteristics'!D:D,MATCH($C542,'Policy Characteristics'!$C:$C,0)))</f>
        <v>Electrification + Hydrogen</v>
      </c>
      <c r="K542" s="394" t="str">
        <f>IF(ISBLANK(INDEX('Policy Characteristics'!E:E,MATCH($C542,'Policy Characteristics'!$C:$C,0))),"",INDEX('Policy Characteristics'!E:E,MATCH($C542,'Policy Characteristics'!$C:$C,0)))</f>
        <v>indst med and high temp fuel type shifting</v>
      </c>
      <c r="L542" s="398">
        <f>IF(ISBLANK(INDEX('Policy Characteristics'!F:F,MATCH($C542,'Policy Characteristics'!$C:$C,0))),"",INDEX('Policy Characteristics'!F:F,MATCH($C542,'Policy Characteristics'!$C:$C,0)))</f>
        <v>0</v>
      </c>
      <c r="M542" s="398">
        <f>IF(ISBLANK(INDEX('Policy Characteristics'!G:G,MATCH($C542,'Policy Characteristics'!$C:$C,0))),"",INDEX('Policy Characteristics'!G:G,MATCH($C542,'Policy Characteristics'!$C:$C,0)))</f>
        <v>1</v>
      </c>
      <c r="N542" s="398">
        <f>IF(ISBLANK(INDEX('Policy Characteristics'!H:H,MATCH($C542,'Policy Characteristics'!$C:$C,0))),"",INDEX('Policy Characteristics'!H:H,MATCH($C542,'Policy Characteristics'!$C:$C,0)))</f>
        <v>0.01</v>
      </c>
      <c r="O542" s="394" t="str">
        <f>IF(ISBLANK(INDEX('Policy Characteristics'!I:I,MATCH($C542,'Policy Characteristics'!$C:$C,0))),"",INDEX('Policy Characteristics'!I:I,MATCH($C542,'Policy Characteristics'!$C:$C,0)))</f>
        <v>% of fuel shifted</v>
      </c>
      <c r="P542" s="394" t="str">
        <f>IF(ISBLANK(INDEX('Policy Characteristics'!J:J,MATCH($C542,'Policy Characteristics'!$C:$C,0))),"",INDEX('Policy Characteristics'!J:J,MATCH($C542,'Policy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2" s="394" t="str">
        <f>IF(ISBLANK(INDEX('Policy Characteristics'!K:K,MATCH($C542,'Policy Characteristics'!$C:$C,0))),"",INDEX('Policy Characteristics'!K:K,MATCH($C542,'Policy Characteristics'!$C:$C,0)))</f>
        <v>industry-ag-main.html#fuel-switching</v>
      </c>
      <c r="R542" s="394" t="str">
        <f>IF(ISBLANK(INDEX('Policy Characteristics'!L:L,MATCH($C542,'Policy Characteristics'!$C:$C,0))),"",INDEX('Policy Characteristics'!L:L,MATCH($C542,'Policy Characteristics'!$C:$C,0)))</f>
        <v>industry-elec-and-hydrogen.html</v>
      </c>
    </row>
    <row r="543" customHeight="1" spans="1:18">
      <c r="A543" s="394" t="str">
        <f>IF(ISBLANK(INDEX('Policy Characteristics'!A:A,MATCH($C543,'Policy Characteristics'!$C:$C,0))),"",INDEX('Policy Characteristics'!A:A,MATCH($C543,'Policy Characteristics'!$C:$C,0)))</f>
        <v>Industry</v>
      </c>
      <c r="B543" s="395" t="str">
        <f>IF(ISBLANK(INDEX('Policy Characteristics'!B:B,MATCH($C543,'Policy Characteristics'!$C:$C,0))),"",INDEX('Policy Characteristics'!B:B,MATCH($C543,'Policy Characteristics'!$C:$C,0)))</f>
        <v>Electrification + Hydrogen (Med &amp; High Temp)</v>
      </c>
      <c r="C543" s="394" t="str">
        <f t="shared" si="33"/>
        <v>Fraction of Med and High Temp Industrial Heat Shifted to Other Fuels</v>
      </c>
      <c r="D543" s="399" t="s">
        <v>754</v>
      </c>
      <c r="E543" s="399" t="s">
        <v>806</v>
      </c>
      <c r="F543" t="s">
        <v>755</v>
      </c>
      <c r="G543" s="399" t="s">
        <v>807</v>
      </c>
      <c r="H543" s="377">
        <v>1295</v>
      </c>
      <c r="I543" s="396" t="s">
        <v>658</v>
      </c>
      <c r="J543" s="397" t="str">
        <f>IF(ISBLANK(INDEX('Policy Characteristics'!D:D,MATCH($C543,'Policy Characteristics'!$C:$C,0))),"",INDEX('Policy Characteristics'!D:D,MATCH($C543,'Policy Characteristics'!$C:$C,0)))</f>
        <v>Electrification + Hydrogen</v>
      </c>
      <c r="K543" s="394" t="str">
        <f>IF(ISBLANK(INDEX('Policy Characteristics'!E:E,MATCH($C543,'Policy Characteristics'!$C:$C,0))),"",INDEX('Policy Characteristics'!E:E,MATCH($C543,'Policy Characteristics'!$C:$C,0)))</f>
        <v>indst med and high temp fuel type shifting</v>
      </c>
      <c r="L543" s="398">
        <f>IF(ISBLANK(INDEX('Policy Characteristics'!F:F,MATCH($C543,'Policy Characteristics'!$C:$C,0))),"",INDEX('Policy Characteristics'!F:F,MATCH($C543,'Policy Characteristics'!$C:$C,0)))</f>
        <v>0</v>
      </c>
      <c r="M543" s="398">
        <f>IF(ISBLANK(INDEX('Policy Characteristics'!G:G,MATCH($C543,'Policy Characteristics'!$C:$C,0))),"",INDEX('Policy Characteristics'!G:G,MATCH($C543,'Policy Characteristics'!$C:$C,0)))</f>
        <v>1</v>
      </c>
      <c r="N543" s="398">
        <f>IF(ISBLANK(INDEX('Policy Characteristics'!H:H,MATCH($C543,'Policy Characteristics'!$C:$C,0))),"",INDEX('Policy Characteristics'!H:H,MATCH($C543,'Policy Characteristics'!$C:$C,0)))</f>
        <v>0.01</v>
      </c>
      <c r="O543" s="394" t="str">
        <f>IF(ISBLANK(INDEX('Policy Characteristics'!I:I,MATCH($C543,'Policy Characteristics'!$C:$C,0))),"",INDEX('Policy Characteristics'!I:I,MATCH($C543,'Policy Characteristics'!$C:$C,0)))</f>
        <v>% of fuel shifted</v>
      </c>
      <c r="P543" s="394" t="str">
        <f>IF(ISBLANK(INDEX('Policy Characteristics'!J:J,MATCH($C543,'Policy Characteristics'!$C:$C,0))),"",INDEX('Policy Characteristics'!J:J,MATCH($C543,'Policy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3" s="394" t="str">
        <f>IF(ISBLANK(INDEX('Policy Characteristics'!K:K,MATCH($C543,'Policy Characteristics'!$C:$C,0))),"",INDEX('Policy Characteristics'!K:K,MATCH($C543,'Policy Characteristics'!$C:$C,0)))</f>
        <v>industry-ag-main.html#fuel-switching</v>
      </c>
      <c r="R543" s="394" t="str">
        <f>IF(ISBLANK(INDEX('Policy Characteristics'!L:L,MATCH($C543,'Policy Characteristics'!$C:$C,0))),"",INDEX('Policy Characteristics'!L:L,MATCH($C543,'Policy Characteristics'!$C:$C,0)))</f>
        <v>industry-elec-and-hydrogen.html</v>
      </c>
    </row>
    <row r="544" customHeight="1" spans="1:18">
      <c r="A544" s="394" t="str">
        <f>IF(ISBLANK(INDEX('Policy Characteristics'!A:A,MATCH($C544,'Policy Characteristics'!$C:$C,0))),"",INDEX('Policy Characteristics'!A:A,MATCH($C544,'Policy Characteristics'!$C:$C,0)))</f>
        <v>Industry</v>
      </c>
      <c r="B544" s="395" t="str">
        <f>IF(ISBLANK(INDEX('Policy Characteristics'!B:B,MATCH($C544,'Policy Characteristics'!$C:$C,0))),"",INDEX('Policy Characteristics'!B:B,MATCH($C544,'Policy Characteristics'!$C:$C,0)))</f>
        <v>Electrification + Hydrogen (Med &amp; High Temp)</v>
      </c>
      <c r="C544" s="394" t="str">
        <f t="shared" si="33"/>
        <v>Fraction of Med and High Temp Industrial Heat Shifted to Other Fuels</v>
      </c>
      <c r="D544" s="399" t="s">
        <v>754</v>
      </c>
      <c r="E544" s="399" t="s">
        <v>808</v>
      </c>
      <c r="F544" t="s">
        <v>755</v>
      </c>
      <c r="G544" s="399" t="s">
        <v>809</v>
      </c>
      <c r="H544" s="377">
        <v>1296</v>
      </c>
      <c r="I544" s="396" t="s">
        <v>658</v>
      </c>
      <c r="J544" s="397" t="str">
        <f>IF(ISBLANK(INDEX('Policy Characteristics'!D:D,MATCH($C544,'Policy Characteristics'!$C:$C,0))),"",INDEX('Policy Characteristics'!D:D,MATCH($C544,'Policy Characteristics'!$C:$C,0)))</f>
        <v>Electrification + Hydrogen</v>
      </c>
      <c r="K544" s="394" t="str">
        <f>IF(ISBLANK(INDEX('Policy Characteristics'!E:E,MATCH($C544,'Policy Characteristics'!$C:$C,0))),"",INDEX('Policy Characteristics'!E:E,MATCH($C544,'Policy Characteristics'!$C:$C,0)))</f>
        <v>indst med and high temp fuel type shifting</v>
      </c>
      <c r="L544" s="398">
        <f>IF(ISBLANK(INDEX('Policy Characteristics'!F:F,MATCH($C544,'Policy Characteristics'!$C:$C,0))),"",INDEX('Policy Characteristics'!F:F,MATCH($C544,'Policy Characteristics'!$C:$C,0)))</f>
        <v>0</v>
      </c>
      <c r="M544" s="398">
        <f>IF(ISBLANK(INDEX('Policy Characteristics'!G:G,MATCH($C544,'Policy Characteristics'!$C:$C,0))),"",INDEX('Policy Characteristics'!G:G,MATCH($C544,'Policy Characteristics'!$C:$C,0)))</f>
        <v>1</v>
      </c>
      <c r="N544" s="398">
        <f>IF(ISBLANK(INDEX('Policy Characteristics'!H:H,MATCH($C544,'Policy Characteristics'!$C:$C,0))),"",INDEX('Policy Characteristics'!H:H,MATCH($C544,'Policy Characteristics'!$C:$C,0)))</f>
        <v>0.01</v>
      </c>
      <c r="O544" s="394" t="str">
        <f>IF(ISBLANK(INDEX('Policy Characteristics'!I:I,MATCH($C544,'Policy Characteristics'!$C:$C,0))),"",INDEX('Policy Characteristics'!I:I,MATCH($C544,'Policy Characteristics'!$C:$C,0)))</f>
        <v>% of fuel shifted</v>
      </c>
      <c r="P544" s="394" t="str">
        <f>IF(ISBLANK(INDEX('Policy Characteristics'!J:J,MATCH($C544,'Policy Characteristics'!$C:$C,0))),"",INDEX('Policy Characteristics'!J:J,MATCH($C544,'Policy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4" s="394" t="str">
        <f>IF(ISBLANK(INDEX('Policy Characteristics'!K:K,MATCH($C544,'Policy Characteristics'!$C:$C,0))),"",INDEX('Policy Characteristics'!K:K,MATCH($C544,'Policy Characteristics'!$C:$C,0)))</f>
        <v>industry-ag-main.html#fuel-switching</v>
      </c>
      <c r="R544" s="394" t="str">
        <f>IF(ISBLANK(INDEX('Policy Characteristics'!L:L,MATCH($C544,'Policy Characteristics'!$C:$C,0))),"",INDEX('Policy Characteristics'!L:L,MATCH($C544,'Policy Characteristics'!$C:$C,0)))</f>
        <v>industry-elec-and-hydrogen.html</v>
      </c>
    </row>
    <row r="545" customHeight="1" spans="1:18">
      <c r="A545" s="394" t="str">
        <f>IF(ISBLANK(INDEX('Policy Characteristics'!A:A,MATCH($C545,'Policy Characteristics'!$C:$C,0))),"",INDEX('Policy Characteristics'!A:A,MATCH($C545,'Policy Characteristics'!$C:$C,0)))</f>
        <v>Industry</v>
      </c>
      <c r="B545" s="395" t="str">
        <f>IF(ISBLANK(INDEX('Policy Characteristics'!B:B,MATCH($C545,'Policy Characteristics'!$C:$C,0))),"",INDEX('Policy Characteristics'!B:B,MATCH($C545,'Policy Characteristics'!$C:$C,0)))</f>
        <v>Electrification + Hydrogen (Med &amp; High Temp)</v>
      </c>
      <c r="C545" s="394" t="str">
        <f t="shared" si="33"/>
        <v>Fraction of Med and High Temp Industrial Heat Shifted to Other Fuels</v>
      </c>
      <c r="D545" s="399" t="s">
        <v>754</v>
      </c>
      <c r="E545" s="399" t="s">
        <v>810</v>
      </c>
      <c r="F545" t="s">
        <v>755</v>
      </c>
      <c r="G545" s="399" t="s">
        <v>811</v>
      </c>
      <c r="H545" s="377">
        <v>1297</v>
      </c>
      <c r="I545" s="396" t="s">
        <v>648</v>
      </c>
      <c r="J545" s="397" t="str">
        <f>IF(ISBLANK(INDEX('Policy Characteristics'!D:D,MATCH($C545,'Policy Characteristics'!$C:$C,0))),"",INDEX('Policy Characteristics'!D:D,MATCH($C545,'Policy Characteristics'!$C:$C,0)))</f>
        <v>Electrification + Hydrogen</v>
      </c>
      <c r="K545" s="394" t="str">
        <f>IF(ISBLANK(INDEX('Policy Characteristics'!E:E,MATCH($C545,'Policy Characteristics'!$C:$C,0))),"",INDEX('Policy Characteristics'!E:E,MATCH($C545,'Policy Characteristics'!$C:$C,0)))</f>
        <v>indst med and high temp fuel type shifting</v>
      </c>
      <c r="L545" s="398">
        <f>IF(ISBLANK(INDEX('Policy Characteristics'!F:F,MATCH($C545,'Policy Characteristics'!$C:$C,0))),"",INDEX('Policy Characteristics'!F:F,MATCH($C545,'Policy Characteristics'!$C:$C,0)))</f>
        <v>0</v>
      </c>
      <c r="M545" s="398">
        <f>IF(ISBLANK(INDEX('Policy Characteristics'!G:G,MATCH($C545,'Policy Characteristics'!$C:$C,0))),"",INDEX('Policy Characteristics'!G:G,MATCH($C545,'Policy Characteristics'!$C:$C,0)))</f>
        <v>1</v>
      </c>
      <c r="N545" s="398">
        <f>IF(ISBLANK(INDEX('Policy Characteristics'!H:H,MATCH($C545,'Policy Characteristics'!$C:$C,0))),"",INDEX('Policy Characteristics'!H:H,MATCH($C545,'Policy Characteristics'!$C:$C,0)))</f>
        <v>0.01</v>
      </c>
      <c r="O545" s="394" t="str">
        <f>IF(ISBLANK(INDEX('Policy Characteristics'!I:I,MATCH($C545,'Policy Characteristics'!$C:$C,0))),"",INDEX('Policy Characteristics'!I:I,MATCH($C545,'Policy Characteristics'!$C:$C,0)))</f>
        <v>% of fuel shifted</v>
      </c>
      <c r="P545" s="394" t="str">
        <f>IF(ISBLANK(INDEX('Policy Characteristics'!J:J,MATCH($C545,'Policy Characteristics'!$C:$C,0))),"",INDEX('Policy Characteristics'!J:J,MATCH($C545,'Policy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5" s="394" t="str">
        <f>IF(ISBLANK(INDEX('Policy Characteristics'!K:K,MATCH($C545,'Policy Characteristics'!$C:$C,0))),"",INDEX('Policy Characteristics'!K:K,MATCH($C545,'Policy Characteristics'!$C:$C,0)))</f>
        <v>industry-ag-main.html#fuel-switching</v>
      </c>
      <c r="R545" s="394" t="str">
        <f>IF(ISBLANK(INDEX('Policy Characteristics'!L:L,MATCH($C545,'Policy Characteristics'!$C:$C,0))),"",INDEX('Policy Characteristics'!L:L,MATCH($C545,'Policy Characteristics'!$C:$C,0)))</f>
        <v>industry-elec-and-hydrogen.html</v>
      </c>
    </row>
    <row r="546" customHeight="1" spans="1:18">
      <c r="A546" s="394" t="str">
        <f>IF(ISBLANK(INDEX('Policy Characteristics'!A:A,MATCH($C546,'Policy Characteristics'!$C:$C,0))),"",INDEX('Policy Characteristics'!A:A,MATCH($C546,'Policy Characteristics'!$C:$C,0)))</f>
        <v>Industry</v>
      </c>
      <c r="B546" s="395" t="str">
        <f>IF(ISBLANK(INDEX('Policy Characteristics'!B:B,MATCH($C546,'Policy Characteristics'!$C:$C,0))),"",INDEX('Policy Characteristics'!B:B,MATCH($C546,'Policy Characteristics'!$C:$C,0)))</f>
        <v>Electrification + Hydrogen (Med &amp; High Temp)</v>
      </c>
      <c r="C546" s="394" t="str">
        <f t="shared" si="33"/>
        <v>Fraction of Med and High Temp Industrial Heat Shifted to Other Fuels</v>
      </c>
      <c r="D546" s="399" t="s">
        <v>756</v>
      </c>
      <c r="E546" s="399" t="s">
        <v>792</v>
      </c>
      <c r="F546" t="s">
        <v>757</v>
      </c>
      <c r="G546" s="399" t="s">
        <v>793</v>
      </c>
      <c r="H546" s="377">
        <v>1298</v>
      </c>
      <c r="I546" s="396" t="s">
        <v>648</v>
      </c>
      <c r="J546" s="397" t="str">
        <f>IF(ISBLANK(INDEX('Policy Characteristics'!D:D,MATCH($C546,'Policy Characteristics'!$C:$C,0))),"",INDEX('Policy Characteristics'!D:D,MATCH($C546,'Policy Characteristics'!$C:$C,0)))</f>
        <v>Electrification + Hydrogen</v>
      </c>
      <c r="K546" s="394" t="str">
        <f>IF(ISBLANK(INDEX('Policy Characteristics'!E:E,MATCH($C546,'Policy Characteristics'!$C:$C,0))),"",INDEX('Policy Characteristics'!E:E,MATCH($C546,'Policy Characteristics'!$C:$C,0)))</f>
        <v>indst med and high temp fuel type shifting</v>
      </c>
      <c r="L546" s="398">
        <f>IF(ISBLANK(INDEX('Policy Characteristics'!F:F,MATCH($C546,'Policy Characteristics'!$C:$C,0))),"",INDEX('Policy Characteristics'!F:F,MATCH($C546,'Policy Characteristics'!$C:$C,0)))</f>
        <v>0</v>
      </c>
      <c r="M546" s="398">
        <f>IF(ISBLANK(INDEX('Policy Characteristics'!G:G,MATCH($C546,'Policy Characteristics'!$C:$C,0))),"",INDEX('Policy Characteristics'!G:G,MATCH($C546,'Policy Characteristics'!$C:$C,0)))</f>
        <v>1</v>
      </c>
      <c r="N546" s="398">
        <f>IF(ISBLANK(INDEX('Policy Characteristics'!H:H,MATCH($C546,'Policy Characteristics'!$C:$C,0))),"",INDEX('Policy Characteristics'!H:H,MATCH($C546,'Policy Characteristics'!$C:$C,0)))</f>
        <v>0.01</v>
      </c>
      <c r="O546" s="394" t="str">
        <f>IF(ISBLANK(INDEX('Policy Characteristics'!I:I,MATCH($C546,'Policy Characteristics'!$C:$C,0))),"",INDEX('Policy Characteristics'!I:I,MATCH($C546,'Policy Characteristics'!$C:$C,0)))</f>
        <v>% of fuel shifted</v>
      </c>
      <c r="P546" s="394" t="str">
        <f>IF(ISBLANK(INDEX('Policy Characteristics'!J:J,MATCH($C546,'Policy Characteristics'!$C:$C,0))),"",INDEX('Policy Characteristics'!J:J,MATCH($C546,'Policy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6" s="394" t="str">
        <f>IF(ISBLANK(INDEX('Policy Characteristics'!K:K,MATCH($C546,'Policy Characteristics'!$C:$C,0))),"",INDEX('Policy Characteristics'!K:K,MATCH($C546,'Policy Characteristics'!$C:$C,0)))</f>
        <v>industry-ag-main.html#fuel-switching</v>
      </c>
      <c r="R546" s="394" t="str">
        <f>IF(ISBLANK(INDEX('Policy Characteristics'!L:L,MATCH($C546,'Policy Characteristics'!$C:$C,0))),"",INDEX('Policy Characteristics'!L:L,MATCH($C546,'Policy Characteristics'!$C:$C,0)))</f>
        <v>industry-elec-and-hydrogen.html</v>
      </c>
    </row>
    <row r="547" customHeight="1" spans="1:18">
      <c r="A547" s="394" t="str">
        <f>IF(ISBLANK(INDEX('Policy Characteristics'!A:A,MATCH($C547,'Policy Characteristics'!$C:$C,0))),"",INDEX('Policy Characteristics'!A:A,MATCH($C547,'Policy Characteristics'!$C:$C,0)))</f>
        <v>Industry</v>
      </c>
      <c r="B547" s="395" t="str">
        <f>IF(ISBLANK(INDEX('Policy Characteristics'!B:B,MATCH($C547,'Policy Characteristics'!$C:$C,0))),"",INDEX('Policy Characteristics'!B:B,MATCH($C547,'Policy Characteristics'!$C:$C,0)))</f>
        <v>Electrification + Hydrogen (Med &amp; High Temp)</v>
      </c>
      <c r="C547" s="394" t="str">
        <f t="shared" si="33"/>
        <v>Fraction of Med and High Temp Industrial Heat Shifted to Other Fuels</v>
      </c>
      <c r="D547" s="399" t="s">
        <v>756</v>
      </c>
      <c r="E547" s="399" t="s">
        <v>794</v>
      </c>
      <c r="F547" t="s">
        <v>757</v>
      </c>
      <c r="G547" s="399" t="s">
        <v>795</v>
      </c>
      <c r="H547" s="377">
        <v>1299</v>
      </c>
      <c r="I547" s="396" t="s">
        <v>658</v>
      </c>
      <c r="J547" s="397" t="str">
        <f>IF(ISBLANK(INDEX('Policy Characteristics'!D:D,MATCH($C547,'Policy Characteristics'!$C:$C,0))),"",INDEX('Policy Characteristics'!D:D,MATCH($C547,'Policy Characteristics'!$C:$C,0)))</f>
        <v>Electrification + Hydrogen</v>
      </c>
      <c r="K547" s="394" t="str">
        <f>IF(ISBLANK(INDEX('Policy Characteristics'!E:E,MATCH($C547,'Policy Characteristics'!$C:$C,0))),"",INDEX('Policy Characteristics'!E:E,MATCH($C547,'Policy Characteristics'!$C:$C,0)))</f>
        <v>indst med and high temp fuel type shifting</v>
      </c>
      <c r="L547" s="398">
        <f>IF(ISBLANK(INDEX('Policy Characteristics'!F:F,MATCH($C547,'Policy Characteristics'!$C:$C,0))),"",INDEX('Policy Characteristics'!F:F,MATCH($C547,'Policy Characteristics'!$C:$C,0)))</f>
        <v>0</v>
      </c>
      <c r="M547" s="398">
        <f>IF(ISBLANK(INDEX('Policy Characteristics'!G:G,MATCH($C547,'Policy Characteristics'!$C:$C,0))),"",INDEX('Policy Characteristics'!G:G,MATCH($C547,'Policy Characteristics'!$C:$C,0)))</f>
        <v>1</v>
      </c>
      <c r="N547" s="398">
        <f>IF(ISBLANK(INDEX('Policy Characteristics'!H:H,MATCH($C547,'Policy Characteristics'!$C:$C,0))),"",INDEX('Policy Characteristics'!H:H,MATCH($C547,'Policy Characteristics'!$C:$C,0)))</f>
        <v>0.01</v>
      </c>
      <c r="O547" s="394" t="str">
        <f>IF(ISBLANK(INDEX('Policy Characteristics'!I:I,MATCH($C547,'Policy Characteristics'!$C:$C,0))),"",INDEX('Policy Characteristics'!I:I,MATCH($C547,'Policy Characteristics'!$C:$C,0)))</f>
        <v>% of fuel shifted</v>
      </c>
      <c r="P547" s="394" t="str">
        <f>IF(ISBLANK(INDEX('Policy Characteristics'!J:J,MATCH($C547,'Policy Characteristics'!$C:$C,0))),"",INDEX('Policy Characteristics'!J:J,MATCH($C547,'Policy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7" s="394" t="str">
        <f>IF(ISBLANK(INDEX('Policy Characteristics'!K:K,MATCH($C547,'Policy Characteristics'!$C:$C,0))),"",INDEX('Policy Characteristics'!K:K,MATCH($C547,'Policy Characteristics'!$C:$C,0)))</f>
        <v>industry-ag-main.html#fuel-switching</v>
      </c>
      <c r="R547" s="394" t="str">
        <f>IF(ISBLANK(INDEX('Policy Characteristics'!L:L,MATCH($C547,'Policy Characteristics'!$C:$C,0))),"",INDEX('Policy Characteristics'!L:L,MATCH($C547,'Policy Characteristics'!$C:$C,0)))</f>
        <v>industry-elec-and-hydrogen.html</v>
      </c>
    </row>
    <row r="548" customHeight="1" spans="1:18">
      <c r="A548" s="394" t="str">
        <f>IF(ISBLANK(INDEX('Policy Characteristics'!A:A,MATCH($C548,'Policy Characteristics'!$C:$C,0))),"",INDEX('Policy Characteristics'!A:A,MATCH($C548,'Policy Characteristics'!$C:$C,0)))</f>
        <v>Industry</v>
      </c>
      <c r="B548" s="395" t="str">
        <f>IF(ISBLANK(INDEX('Policy Characteristics'!B:B,MATCH($C548,'Policy Characteristics'!$C:$C,0))),"",INDEX('Policy Characteristics'!B:B,MATCH($C548,'Policy Characteristics'!$C:$C,0)))</f>
        <v>Electrification + Hydrogen (Med &amp; High Temp)</v>
      </c>
      <c r="C548" s="394" t="str">
        <f t="shared" si="33"/>
        <v>Fraction of Med and High Temp Industrial Heat Shifted to Other Fuels</v>
      </c>
      <c r="D548" s="399" t="s">
        <v>756</v>
      </c>
      <c r="E548" s="399" t="s">
        <v>796</v>
      </c>
      <c r="F548" t="s">
        <v>757</v>
      </c>
      <c r="G548" s="399" t="s">
        <v>797</v>
      </c>
      <c r="H548" s="377">
        <v>1300</v>
      </c>
      <c r="I548" s="396" t="s">
        <v>658</v>
      </c>
      <c r="J548" s="397" t="str">
        <f>IF(ISBLANK(INDEX('Policy Characteristics'!D:D,MATCH($C548,'Policy Characteristics'!$C:$C,0))),"",INDEX('Policy Characteristics'!D:D,MATCH($C548,'Policy Characteristics'!$C:$C,0)))</f>
        <v>Electrification + Hydrogen</v>
      </c>
      <c r="K548" s="394" t="str">
        <f>IF(ISBLANK(INDEX('Policy Characteristics'!E:E,MATCH($C548,'Policy Characteristics'!$C:$C,0))),"",INDEX('Policy Characteristics'!E:E,MATCH($C548,'Policy Characteristics'!$C:$C,0)))</f>
        <v>indst med and high temp fuel type shifting</v>
      </c>
      <c r="L548" s="398">
        <f>IF(ISBLANK(INDEX('Policy Characteristics'!F:F,MATCH($C548,'Policy Characteristics'!$C:$C,0))),"",INDEX('Policy Characteristics'!F:F,MATCH($C548,'Policy Characteristics'!$C:$C,0)))</f>
        <v>0</v>
      </c>
      <c r="M548" s="398">
        <f>IF(ISBLANK(INDEX('Policy Characteristics'!G:G,MATCH($C548,'Policy Characteristics'!$C:$C,0))),"",INDEX('Policy Characteristics'!G:G,MATCH($C548,'Policy Characteristics'!$C:$C,0)))</f>
        <v>1</v>
      </c>
      <c r="N548" s="398">
        <f>IF(ISBLANK(INDEX('Policy Characteristics'!H:H,MATCH($C548,'Policy Characteristics'!$C:$C,0))),"",INDEX('Policy Characteristics'!H:H,MATCH($C548,'Policy Characteristics'!$C:$C,0)))</f>
        <v>0.01</v>
      </c>
      <c r="O548" s="394" t="str">
        <f>IF(ISBLANK(INDEX('Policy Characteristics'!I:I,MATCH($C548,'Policy Characteristics'!$C:$C,0))),"",INDEX('Policy Characteristics'!I:I,MATCH($C548,'Policy Characteristics'!$C:$C,0)))</f>
        <v>% of fuel shifted</v>
      </c>
      <c r="P548" s="394" t="str">
        <f>IF(ISBLANK(INDEX('Policy Characteristics'!J:J,MATCH($C548,'Policy Characteristics'!$C:$C,0))),"",INDEX('Policy Characteristics'!J:J,MATCH($C548,'Policy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8" s="394" t="str">
        <f>IF(ISBLANK(INDEX('Policy Characteristics'!K:K,MATCH($C548,'Policy Characteristics'!$C:$C,0))),"",INDEX('Policy Characteristics'!K:K,MATCH($C548,'Policy Characteristics'!$C:$C,0)))</f>
        <v>industry-ag-main.html#fuel-switching</v>
      </c>
      <c r="R548" s="394" t="str">
        <f>IF(ISBLANK(INDEX('Policy Characteristics'!L:L,MATCH($C548,'Policy Characteristics'!$C:$C,0))),"",INDEX('Policy Characteristics'!L:L,MATCH($C548,'Policy Characteristics'!$C:$C,0)))</f>
        <v>industry-elec-and-hydrogen.html</v>
      </c>
    </row>
    <row r="549" customHeight="1" spans="1:18">
      <c r="A549" s="394" t="str">
        <f>IF(ISBLANK(INDEX('Policy Characteristics'!A:A,MATCH($C549,'Policy Characteristics'!$C:$C,0))),"",INDEX('Policy Characteristics'!A:A,MATCH($C549,'Policy Characteristics'!$C:$C,0)))</f>
        <v>Industry</v>
      </c>
      <c r="B549" s="395" t="str">
        <f>IF(ISBLANK(INDEX('Policy Characteristics'!B:B,MATCH($C549,'Policy Characteristics'!$C:$C,0))),"",INDEX('Policy Characteristics'!B:B,MATCH($C549,'Policy Characteristics'!$C:$C,0)))</f>
        <v>Electrification + Hydrogen (Med &amp; High Temp)</v>
      </c>
      <c r="C549" s="394" t="str">
        <f t="shared" si="33"/>
        <v>Fraction of Med and High Temp Industrial Heat Shifted to Other Fuels</v>
      </c>
      <c r="D549" s="399" t="s">
        <v>756</v>
      </c>
      <c r="E549" s="399" t="s">
        <v>798</v>
      </c>
      <c r="F549" t="s">
        <v>757</v>
      </c>
      <c r="G549" s="399" t="s">
        <v>799</v>
      </c>
      <c r="H549" s="377">
        <v>1301</v>
      </c>
      <c r="I549" s="396" t="s">
        <v>658</v>
      </c>
      <c r="J549" s="397" t="str">
        <f>IF(ISBLANK(INDEX('Policy Characteristics'!D:D,MATCH($C549,'Policy Characteristics'!$C:$C,0))),"",INDEX('Policy Characteristics'!D:D,MATCH($C549,'Policy Characteristics'!$C:$C,0)))</f>
        <v>Electrification + Hydrogen</v>
      </c>
      <c r="K549" s="394" t="str">
        <f>IF(ISBLANK(INDEX('Policy Characteristics'!E:E,MATCH($C549,'Policy Characteristics'!$C:$C,0))),"",INDEX('Policy Characteristics'!E:E,MATCH($C549,'Policy Characteristics'!$C:$C,0)))</f>
        <v>indst med and high temp fuel type shifting</v>
      </c>
      <c r="L549" s="398">
        <f>IF(ISBLANK(INDEX('Policy Characteristics'!F:F,MATCH($C549,'Policy Characteristics'!$C:$C,0))),"",INDEX('Policy Characteristics'!F:F,MATCH($C549,'Policy Characteristics'!$C:$C,0)))</f>
        <v>0</v>
      </c>
      <c r="M549" s="398">
        <f>IF(ISBLANK(INDEX('Policy Characteristics'!G:G,MATCH($C549,'Policy Characteristics'!$C:$C,0))),"",INDEX('Policy Characteristics'!G:G,MATCH($C549,'Policy Characteristics'!$C:$C,0)))</f>
        <v>1</v>
      </c>
      <c r="N549" s="398">
        <f>IF(ISBLANK(INDEX('Policy Characteristics'!H:H,MATCH($C549,'Policy Characteristics'!$C:$C,0))),"",INDEX('Policy Characteristics'!H:H,MATCH($C549,'Policy Characteristics'!$C:$C,0)))</f>
        <v>0.01</v>
      </c>
      <c r="O549" s="394" t="str">
        <f>IF(ISBLANK(INDEX('Policy Characteristics'!I:I,MATCH($C549,'Policy Characteristics'!$C:$C,0))),"",INDEX('Policy Characteristics'!I:I,MATCH($C549,'Policy Characteristics'!$C:$C,0)))</f>
        <v>% of fuel shifted</v>
      </c>
      <c r="P549" s="394" t="str">
        <f>IF(ISBLANK(INDEX('Policy Characteristics'!J:J,MATCH($C549,'Policy Characteristics'!$C:$C,0))),"",INDEX('Policy Characteristics'!J:J,MATCH($C549,'Policy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9" s="394" t="str">
        <f>IF(ISBLANK(INDEX('Policy Characteristics'!K:K,MATCH($C549,'Policy Characteristics'!$C:$C,0))),"",INDEX('Policy Characteristics'!K:K,MATCH($C549,'Policy Characteristics'!$C:$C,0)))</f>
        <v>industry-ag-main.html#fuel-switching</v>
      </c>
      <c r="R549" s="394" t="str">
        <f>IF(ISBLANK(INDEX('Policy Characteristics'!L:L,MATCH($C549,'Policy Characteristics'!$C:$C,0))),"",INDEX('Policy Characteristics'!L:L,MATCH($C549,'Policy Characteristics'!$C:$C,0)))</f>
        <v>industry-elec-and-hydrogen.html</v>
      </c>
    </row>
    <row r="550" customHeight="1" spans="1:18">
      <c r="A550" s="394" t="str">
        <f>IF(ISBLANK(INDEX('Policy Characteristics'!A:A,MATCH($C550,'Policy Characteristics'!$C:$C,0))),"",INDEX('Policy Characteristics'!A:A,MATCH($C550,'Policy Characteristics'!$C:$C,0)))</f>
        <v>Industry</v>
      </c>
      <c r="B550" s="395" t="str">
        <f>IF(ISBLANK(INDEX('Policy Characteristics'!B:B,MATCH($C550,'Policy Characteristics'!$C:$C,0))),"",INDEX('Policy Characteristics'!B:B,MATCH($C550,'Policy Characteristics'!$C:$C,0)))</f>
        <v>Electrification + Hydrogen (Med &amp; High Temp)</v>
      </c>
      <c r="C550" s="394" t="str">
        <f t="shared" si="33"/>
        <v>Fraction of Med and High Temp Industrial Heat Shifted to Other Fuels</v>
      </c>
      <c r="D550" s="399" t="s">
        <v>756</v>
      </c>
      <c r="E550" s="399" t="s">
        <v>800</v>
      </c>
      <c r="F550" t="s">
        <v>757</v>
      </c>
      <c r="G550" s="399" t="s">
        <v>801</v>
      </c>
      <c r="H550" s="377">
        <v>1302</v>
      </c>
      <c r="I550" s="396" t="s">
        <v>658</v>
      </c>
      <c r="J550" s="397" t="str">
        <f>IF(ISBLANK(INDEX('Policy Characteristics'!D:D,MATCH($C550,'Policy Characteristics'!$C:$C,0))),"",INDEX('Policy Characteristics'!D:D,MATCH($C550,'Policy Characteristics'!$C:$C,0)))</f>
        <v>Electrification + Hydrogen</v>
      </c>
      <c r="K550" s="394" t="str">
        <f>IF(ISBLANK(INDEX('Policy Characteristics'!E:E,MATCH($C550,'Policy Characteristics'!$C:$C,0))),"",INDEX('Policy Characteristics'!E:E,MATCH($C550,'Policy Characteristics'!$C:$C,0)))</f>
        <v>indst med and high temp fuel type shifting</v>
      </c>
      <c r="L550" s="398">
        <f>IF(ISBLANK(INDEX('Policy Characteristics'!F:F,MATCH($C550,'Policy Characteristics'!$C:$C,0))),"",INDEX('Policy Characteristics'!F:F,MATCH($C550,'Policy Characteristics'!$C:$C,0)))</f>
        <v>0</v>
      </c>
      <c r="M550" s="398">
        <f>IF(ISBLANK(INDEX('Policy Characteristics'!G:G,MATCH($C550,'Policy Characteristics'!$C:$C,0))),"",INDEX('Policy Characteristics'!G:G,MATCH($C550,'Policy Characteristics'!$C:$C,0)))</f>
        <v>1</v>
      </c>
      <c r="N550" s="398">
        <f>IF(ISBLANK(INDEX('Policy Characteristics'!H:H,MATCH($C550,'Policy Characteristics'!$C:$C,0))),"",INDEX('Policy Characteristics'!H:H,MATCH($C550,'Policy Characteristics'!$C:$C,0)))</f>
        <v>0.01</v>
      </c>
      <c r="O550" s="394" t="str">
        <f>IF(ISBLANK(INDEX('Policy Characteristics'!I:I,MATCH($C550,'Policy Characteristics'!$C:$C,0))),"",INDEX('Policy Characteristics'!I:I,MATCH($C550,'Policy Characteristics'!$C:$C,0)))</f>
        <v>% of fuel shifted</v>
      </c>
      <c r="P550" s="394" t="str">
        <f>IF(ISBLANK(INDEX('Policy Characteristics'!J:J,MATCH($C550,'Policy Characteristics'!$C:$C,0))),"",INDEX('Policy Characteristics'!J:J,MATCH($C550,'Policy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0" s="394" t="str">
        <f>IF(ISBLANK(INDEX('Policy Characteristics'!K:K,MATCH($C550,'Policy Characteristics'!$C:$C,0))),"",INDEX('Policy Characteristics'!K:K,MATCH($C550,'Policy Characteristics'!$C:$C,0)))</f>
        <v>industry-ag-main.html#fuel-switching</v>
      </c>
      <c r="R550" s="394" t="str">
        <f>IF(ISBLANK(INDEX('Policy Characteristics'!L:L,MATCH($C550,'Policy Characteristics'!$C:$C,0))),"",INDEX('Policy Characteristics'!L:L,MATCH($C550,'Policy Characteristics'!$C:$C,0)))</f>
        <v>industry-elec-and-hydrogen.html</v>
      </c>
    </row>
    <row r="551" customHeight="1" spans="1:18">
      <c r="A551" s="394" t="str">
        <f>IF(ISBLANK(INDEX('Policy Characteristics'!A:A,MATCH($C551,'Policy Characteristics'!$C:$C,0))),"",INDEX('Policy Characteristics'!A:A,MATCH($C551,'Policy Characteristics'!$C:$C,0)))</f>
        <v>Industry</v>
      </c>
      <c r="B551" s="395" t="str">
        <f>IF(ISBLANK(INDEX('Policy Characteristics'!B:B,MATCH($C551,'Policy Characteristics'!$C:$C,0))),"",INDEX('Policy Characteristics'!B:B,MATCH($C551,'Policy Characteristics'!$C:$C,0)))</f>
        <v>Electrification + Hydrogen (Med &amp; High Temp)</v>
      </c>
      <c r="C551" s="394" t="str">
        <f t="shared" si="33"/>
        <v>Fraction of Med and High Temp Industrial Heat Shifted to Other Fuels</v>
      </c>
      <c r="D551" s="399" t="s">
        <v>756</v>
      </c>
      <c r="E551" s="399" t="s">
        <v>802</v>
      </c>
      <c r="F551" t="s">
        <v>757</v>
      </c>
      <c r="G551" s="399" t="s">
        <v>803</v>
      </c>
      <c r="H551" s="377">
        <v>1303</v>
      </c>
      <c r="I551" s="396" t="s">
        <v>658</v>
      </c>
      <c r="J551" s="397" t="str">
        <f>IF(ISBLANK(INDEX('Policy Characteristics'!D:D,MATCH($C551,'Policy Characteristics'!$C:$C,0))),"",INDEX('Policy Characteristics'!D:D,MATCH($C551,'Policy Characteristics'!$C:$C,0)))</f>
        <v>Electrification + Hydrogen</v>
      </c>
      <c r="K551" s="394" t="str">
        <f>IF(ISBLANK(INDEX('Policy Characteristics'!E:E,MATCH($C551,'Policy Characteristics'!$C:$C,0))),"",INDEX('Policy Characteristics'!E:E,MATCH($C551,'Policy Characteristics'!$C:$C,0)))</f>
        <v>indst med and high temp fuel type shifting</v>
      </c>
      <c r="L551" s="398">
        <f>IF(ISBLANK(INDEX('Policy Characteristics'!F:F,MATCH($C551,'Policy Characteristics'!$C:$C,0))),"",INDEX('Policy Characteristics'!F:F,MATCH($C551,'Policy Characteristics'!$C:$C,0)))</f>
        <v>0</v>
      </c>
      <c r="M551" s="398">
        <f>IF(ISBLANK(INDEX('Policy Characteristics'!G:G,MATCH($C551,'Policy Characteristics'!$C:$C,0))),"",INDEX('Policy Characteristics'!G:G,MATCH($C551,'Policy Characteristics'!$C:$C,0)))</f>
        <v>1</v>
      </c>
      <c r="N551" s="398">
        <f>IF(ISBLANK(INDEX('Policy Characteristics'!H:H,MATCH($C551,'Policy Characteristics'!$C:$C,0))),"",INDEX('Policy Characteristics'!H:H,MATCH($C551,'Policy Characteristics'!$C:$C,0)))</f>
        <v>0.01</v>
      </c>
      <c r="O551" s="394" t="str">
        <f>IF(ISBLANK(INDEX('Policy Characteristics'!I:I,MATCH($C551,'Policy Characteristics'!$C:$C,0))),"",INDEX('Policy Characteristics'!I:I,MATCH($C551,'Policy Characteristics'!$C:$C,0)))</f>
        <v>% of fuel shifted</v>
      </c>
      <c r="P551" s="394" t="str">
        <f>IF(ISBLANK(INDEX('Policy Characteristics'!J:J,MATCH($C551,'Policy Characteristics'!$C:$C,0))),"",INDEX('Policy Characteristics'!J:J,MATCH($C551,'Policy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1" s="394" t="str">
        <f>IF(ISBLANK(INDEX('Policy Characteristics'!K:K,MATCH($C551,'Policy Characteristics'!$C:$C,0))),"",INDEX('Policy Characteristics'!K:K,MATCH($C551,'Policy Characteristics'!$C:$C,0)))</f>
        <v>industry-ag-main.html#fuel-switching</v>
      </c>
      <c r="R551" s="394" t="str">
        <f>IF(ISBLANK(INDEX('Policy Characteristics'!L:L,MATCH($C551,'Policy Characteristics'!$C:$C,0))),"",INDEX('Policy Characteristics'!L:L,MATCH($C551,'Policy Characteristics'!$C:$C,0)))</f>
        <v>industry-elec-and-hydrogen.html</v>
      </c>
    </row>
    <row r="552" customHeight="1" spans="1:18">
      <c r="A552" s="394" t="str">
        <f>IF(ISBLANK(INDEX('Policy Characteristics'!A:A,MATCH($C552,'Policy Characteristics'!$C:$C,0))),"",INDEX('Policy Characteristics'!A:A,MATCH($C552,'Policy Characteristics'!$C:$C,0)))</f>
        <v>Industry</v>
      </c>
      <c r="B552" s="395" t="str">
        <f>IF(ISBLANK(INDEX('Policy Characteristics'!B:B,MATCH($C552,'Policy Characteristics'!$C:$C,0))),"",INDEX('Policy Characteristics'!B:B,MATCH($C552,'Policy Characteristics'!$C:$C,0)))</f>
        <v>Electrification + Hydrogen (Med &amp; High Temp)</v>
      </c>
      <c r="C552" s="394" t="str">
        <f t="shared" si="33"/>
        <v>Fraction of Med and High Temp Industrial Heat Shifted to Other Fuels</v>
      </c>
      <c r="D552" s="399" t="s">
        <v>756</v>
      </c>
      <c r="E552" s="399" t="s">
        <v>804</v>
      </c>
      <c r="F552" t="s">
        <v>757</v>
      </c>
      <c r="G552" s="399" t="s">
        <v>805</v>
      </c>
      <c r="H552" s="377">
        <v>1304</v>
      </c>
      <c r="I552" s="396" t="s">
        <v>658</v>
      </c>
      <c r="J552" s="397" t="str">
        <f>IF(ISBLANK(INDEX('Policy Characteristics'!D:D,MATCH($C552,'Policy Characteristics'!$C:$C,0))),"",INDEX('Policy Characteristics'!D:D,MATCH($C552,'Policy Characteristics'!$C:$C,0)))</f>
        <v>Electrification + Hydrogen</v>
      </c>
      <c r="K552" s="394" t="str">
        <f>IF(ISBLANK(INDEX('Policy Characteristics'!E:E,MATCH($C552,'Policy Characteristics'!$C:$C,0))),"",INDEX('Policy Characteristics'!E:E,MATCH($C552,'Policy Characteristics'!$C:$C,0)))</f>
        <v>indst med and high temp fuel type shifting</v>
      </c>
      <c r="L552" s="398">
        <f>IF(ISBLANK(INDEX('Policy Characteristics'!F:F,MATCH($C552,'Policy Characteristics'!$C:$C,0))),"",INDEX('Policy Characteristics'!F:F,MATCH($C552,'Policy Characteristics'!$C:$C,0)))</f>
        <v>0</v>
      </c>
      <c r="M552" s="398">
        <f>IF(ISBLANK(INDEX('Policy Characteristics'!G:G,MATCH($C552,'Policy Characteristics'!$C:$C,0))),"",INDEX('Policy Characteristics'!G:G,MATCH($C552,'Policy Characteristics'!$C:$C,0)))</f>
        <v>1</v>
      </c>
      <c r="N552" s="398">
        <f>IF(ISBLANK(INDEX('Policy Characteristics'!H:H,MATCH($C552,'Policy Characteristics'!$C:$C,0))),"",INDEX('Policy Characteristics'!H:H,MATCH($C552,'Policy Characteristics'!$C:$C,0)))</f>
        <v>0.01</v>
      </c>
      <c r="O552" s="394" t="str">
        <f>IF(ISBLANK(INDEX('Policy Characteristics'!I:I,MATCH($C552,'Policy Characteristics'!$C:$C,0))),"",INDEX('Policy Characteristics'!I:I,MATCH($C552,'Policy Characteristics'!$C:$C,0)))</f>
        <v>% of fuel shifted</v>
      </c>
      <c r="P552" s="394" t="str">
        <f>IF(ISBLANK(INDEX('Policy Characteristics'!J:J,MATCH($C552,'Policy Characteristics'!$C:$C,0))),"",INDEX('Policy Characteristics'!J:J,MATCH($C552,'Policy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2" s="394" t="str">
        <f>IF(ISBLANK(INDEX('Policy Characteristics'!K:K,MATCH($C552,'Policy Characteristics'!$C:$C,0))),"",INDEX('Policy Characteristics'!K:K,MATCH($C552,'Policy Characteristics'!$C:$C,0)))</f>
        <v>industry-ag-main.html#fuel-switching</v>
      </c>
      <c r="R552" s="394" t="str">
        <f>IF(ISBLANK(INDEX('Policy Characteristics'!L:L,MATCH($C552,'Policy Characteristics'!$C:$C,0))),"",INDEX('Policy Characteristics'!L:L,MATCH($C552,'Policy Characteristics'!$C:$C,0)))</f>
        <v>industry-elec-and-hydrogen.html</v>
      </c>
    </row>
    <row r="553" customHeight="1" spans="1:18">
      <c r="A553" s="394" t="str">
        <f>IF(ISBLANK(INDEX('Policy Characteristics'!A:A,MATCH($C553,'Policy Characteristics'!$C:$C,0))),"",INDEX('Policy Characteristics'!A:A,MATCH($C553,'Policy Characteristics'!$C:$C,0)))</f>
        <v>Industry</v>
      </c>
      <c r="B553" s="395" t="str">
        <f>IF(ISBLANK(INDEX('Policy Characteristics'!B:B,MATCH($C553,'Policy Characteristics'!$C:$C,0))),"",INDEX('Policy Characteristics'!B:B,MATCH($C553,'Policy Characteristics'!$C:$C,0)))</f>
        <v>Electrification + Hydrogen (Med &amp; High Temp)</v>
      </c>
      <c r="C553" s="394" t="str">
        <f t="shared" si="33"/>
        <v>Fraction of Med and High Temp Industrial Heat Shifted to Other Fuels</v>
      </c>
      <c r="D553" s="399" t="s">
        <v>756</v>
      </c>
      <c r="E553" s="399" t="s">
        <v>806</v>
      </c>
      <c r="F553" t="s">
        <v>757</v>
      </c>
      <c r="G553" s="399" t="s">
        <v>807</v>
      </c>
      <c r="H553" s="377">
        <v>1305</v>
      </c>
      <c r="I553" s="396" t="s">
        <v>658</v>
      </c>
      <c r="J553" s="397" t="str">
        <f>IF(ISBLANK(INDEX('Policy Characteristics'!D:D,MATCH($C553,'Policy Characteristics'!$C:$C,0))),"",INDEX('Policy Characteristics'!D:D,MATCH($C553,'Policy Characteristics'!$C:$C,0)))</f>
        <v>Electrification + Hydrogen</v>
      </c>
      <c r="K553" s="394" t="str">
        <f>IF(ISBLANK(INDEX('Policy Characteristics'!E:E,MATCH($C553,'Policy Characteristics'!$C:$C,0))),"",INDEX('Policy Characteristics'!E:E,MATCH($C553,'Policy Characteristics'!$C:$C,0)))</f>
        <v>indst med and high temp fuel type shifting</v>
      </c>
      <c r="L553" s="398">
        <f>IF(ISBLANK(INDEX('Policy Characteristics'!F:F,MATCH($C553,'Policy Characteristics'!$C:$C,0))),"",INDEX('Policy Characteristics'!F:F,MATCH($C553,'Policy Characteristics'!$C:$C,0)))</f>
        <v>0</v>
      </c>
      <c r="M553" s="398">
        <f>IF(ISBLANK(INDEX('Policy Characteristics'!G:G,MATCH($C553,'Policy Characteristics'!$C:$C,0))),"",INDEX('Policy Characteristics'!G:G,MATCH($C553,'Policy Characteristics'!$C:$C,0)))</f>
        <v>1</v>
      </c>
      <c r="N553" s="398">
        <f>IF(ISBLANK(INDEX('Policy Characteristics'!H:H,MATCH($C553,'Policy Characteristics'!$C:$C,0))),"",INDEX('Policy Characteristics'!H:H,MATCH($C553,'Policy Characteristics'!$C:$C,0)))</f>
        <v>0.01</v>
      </c>
      <c r="O553" s="394" t="str">
        <f>IF(ISBLANK(INDEX('Policy Characteristics'!I:I,MATCH($C553,'Policy Characteristics'!$C:$C,0))),"",INDEX('Policy Characteristics'!I:I,MATCH($C553,'Policy Characteristics'!$C:$C,0)))</f>
        <v>% of fuel shifted</v>
      </c>
      <c r="P553" s="394" t="str">
        <f>IF(ISBLANK(INDEX('Policy Characteristics'!J:J,MATCH($C553,'Policy Characteristics'!$C:$C,0))),"",INDEX('Policy Characteristics'!J:J,MATCH($C553,'Policy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3" s="394" t="str">
        <f>IF(ISBLANK(INDEX('Policy Characteristics'!K:K,MATCH($C553,'Policy Characteristics'!$C:$C,0))),"",INDEX('Policy Characteristics'!K:K,MATCH($C553,'Policy Characteristics'!$C:$C,0)))</f>
        <v>industry-ag-main.html#fuel-switching</v>
      </c>
      <c r="R553" s="394" t="str">
        <f>IF(ISBLANK(INDEX('Policy Characteristics'!L:L,MATCH($C553,'Policy Characteristics'!$C:$C,0))),"",INDEX('Policy Characteristics'!L:L,MATCH($C553,'Policy Characteristics'!$C:$C,0)))</f>
        <v>industry-elec-and-hydrogen.html</v>
      </c>
    </row>
    <row r="554" customHeight="1" spans="1:18">
      <c r="A554" s="394" t="str">
        <f>IF(ISBLANK(INDEX('Policy Characteristics'!A:A,MATCH($C554,'Policy Characteristics'!$C:$C,0))),"",INDEX('Policy Characteristics'!A:A,MATCH($C554,'Policy Characteristics'!$C:$C,0)))</f>
        <v>Industry</v>
      </c>
      <c r="B554" s="395" t="str">
        <f>IF(ISBLANK(INDEX('Policy Characteristics'!B:B,MATCH($C554,'Policy Characteristics'!$C:$C,0))),"",INDEX('Policy Characteristics'!B:B,MATCH($C554,'Policy Characteristics'!$C:$C,0)))</f>
        <v>Electrification + Hydrogen (Med &amp; High Temp)</v>
      </c>
      <c r="C554" s="394" t="str">
        <f t="shared" si="33"/>
        <v>Fraction of Med and High Temp Industrial Heat Shifted to Other Fuels</v>
      </c>
      <c r="D554" s="399" t="s">
        <v>756</v>
      </c>
      <c r="E554" s="399" t="s">
        <v>808</v>
      </c>
      <c r="F554" t="s">
        <v>757</v>
      </c>
      <c r="G554" s="399" t="s">
        <v>809</v>
      </c>
      <c r="H554" s="377">
        <v>1306</v>
      </c>
      <c r="I554" s="396" t="s">
        <v>658</v>
      </c>
      <c r="J554" s="397" t="str">
        <f>IF(ISBLANK(INDEX('Policy Characteristics'!D:D,MATCH($C554,'Policy Characteristics'!$C:$C,0))),"",INDEX('Policy Characteristics'!D:D,MATCH($C554,'Policy Characteristics'!$C:$C,0)))</f>
        <v>Electrification + Hydrogen</v>
      </c>
      <c r="K554" s="394" t="str">
        <f>IF(ISBLANK(INDEX('Policy Characteristics'!E:E,MATCH($C554,'Policy Characteristics'!$C:$C,0))),"",INDEX('Policy Characteristics'!E:E,MATCH($C554,'Policy Characteristics'!$C:$C,0)))</f>
        <v>indst med and high temp fuel type shifting</v>
      </c>
      <c r="L554" s="398">
        <f>IF(ISBLANK(INDEX('Policy Characteristics'!F:F,MATCH($C554,'Policy Characteristics'!$C:$C,0))),"",INDEX('Policy Characteristics'!F:F,MATCH($C554,'Policy Characteristics'!$C:$C,0)))</f>
        <v>0</v>
      </c>
      <c r="M554" s="398">
        <f>IF(ISBLANK(INDEX('Policy Characteristics'!G:G,MATCH($C554,'Policy Characteristics'!$C:$C,0))),"",INDEX('Policy Characteristics'!G:G,MATCH($C554,'Policy Characteristics'!$C:$C,0)))</f>
        <v>1</v>
      </c>
      <c r="N554" s="398">
        <f>IF(ISBLANK(INDEX('Policy Characteristics'!H:H,MATCH($C554,'Policy Characteristics'!$C:$C,0))),"",INDEX('Policy Characteristics'!H:H,MATCH($C554,'Policy Characteristics'!$C:$C,0)))</f>
        <v>0.01</v>
      </c>
      <c r="O554" s="394" t="str">
        <f>IF(ISBLANK(INDEX('Policy Characteristics'!I:I,MATCH($C554,'Policy Characteristics'!$C:$C,0))),"",INDEX('Policy Characteristics'!I:I,MATCH($C554,'Policy Characteristics'!$C:$C,0)))</f>
        <v>% of fuel shifted</v>
      </c>
      <c r="P554" s="394" t="str">
        <f>IF(ISBLANK(INDEX('Policy Characteristics'!J:J,MATCH($C554,'Policy Characteristics'!$C:$C,0))),"",INDEX('Policy Characteristics'!J:J,MATCH($C554,'Policy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4" s="394" t="str">
        <f>IF(ISBLANK(INDEX('Policy Characteristics'!K:K,MATCH($C554,'Policy Characteristics'!$C:$C,0))),"",INDEX('Policy Characteristics'!K:K,MATCH($C554,'Policy Characteristics'!$C:$C,0)))</f>
        <v>industry-ag-main.html#fuel-switching</v>
      </c>
      <c r="R554" s="394" t="str">
        <f>IF(ISBLANK(INDEX('Policy Characteristics'!L:L,MATCH($C554,'Policy Characteristics'!$C:$C,0))),"",INDEX('Policy Characteristics'!L:L,MATCH($C554,'Policy Characteristics'!$C:$C,0)))</f>
        <v>industry-elec-and-hydrogen.html</v>
      </c>
    </row>
    <row r="555" customHeight="1" spans="1:18">
      <c r="A555" s="394" t="str">
        <f>IF(ISBLANK(INDEX('Policy Characteristics'!A:A,MATCH($C555,'Policy Characteristics'!$C:$C,0))),"",INDEX('Policy Characteristics'!A:A,MATCH($C555,'Policy Characteristics'!$C:$C,0)))</f>
        <v>Industry</v>
      </c>
      <c r="B555" s="395" t="str">
        <f>IF(ISBLANK(INDEX('Policy Characteristics'!B:B,MATCH($C555,'Policy Characteristics'!$C:$C,0))),"",INDEX('Policy Characteristics'!B:B,MATCH($C555,'Policy Characteristics'!$C:$C,0)))</f>
        <v>Electrification + Hydrogen (Med &amp; High Temp)</v>
      </c>
      <c r="C555" s="394" t="str">
        <f t="shared" si="33"/>
        <v>Fraction of Med and High Temp Industrial Heat Shifted to Other Fuels</v>
      </c>
      <c r="D555" s="399" t="s">
        <v>756</v>
      </c>
      <c r="E555" s="399" t="s">
        <v>810</v>
      </c>
      <c r="F555" t="s">
        <v>757</v>
      </c>
      <c r="G555" s="399" t="s">
        <v>811</v>
      </c>
      <c r="H555" s="377">
        <v>1307</v>
      </c>
      <c r="I555" s="396" t="s">
        <v>648</v>
      </c>
      <c r="J555" s="397" t="str">
        <f>IF(ISBLANK(INDEX('Policy Characteristics'!D:D,MATCH($C555,'Policy Characteristics'!$C:$C,0))),"",INDEX('Policy Characteristics'!D:D,MATCH($C555,'Policy Characteristics'!$C:$C,0)))</f>
        <v>Electrification + Hydrogen</v>
      </c>
      <c r="K555" s="394" t="str">
        <f>IF(ISBLANK(INDEX('Policy Characteristics'!E:E,MATCH($C555,'Policy Characteristics'!$C:$C,0))),"",INDEX('Policy Characteristics'!E:E,MATCH($C555,'Policy Characteristics'!$C:$C,0)))</f>
        <v>indst med and high temp fuel type shifting</v>
      </c>
      <c r="L555" s="398">
        <f>IF(ISBLANK(INDEX('Policy Characteristics'!F:F,MATCH($C555,'Policy Characteristics'!$C:$C,0))),"",INDEX('Policy Characteristics'!F:F,MATCH($C555,'Policy Characteristics'!$C:$C,0)))</f>
        <v>0</v>
      </c>
      <c r="M555" s="398">
        <f>IF(ISBLANK(INDEX('Policy Characteristics'!G:G,MATCH($C555,'Policy Characteristics'!$C:$C,0))),"",INDEX('Policy Characteristics'!G:G,MATCH($C555,'Policy Characteristics'!$C:$C,0)))</f>
        <v>1</v>
      </c>
      <c r="N555" s="398">
        <f>IF(ISBLANK(INDEX('Policy Characteristics'!H:H,MATCH($C555,'Policy Characteristics'!$C:$C,0))),"",INDEX('Policy Characteristics'!H:H,MATCH($C555,'Policy Characteristics'!$C:$C,0)))</f>
        <v>0.01</v>
      </c>
      <c r="O555" s="394" t="str">
        <f>IF(ISBLANK(INDEX('Policy Characteristics'!I:I,MATCH($C555,'Policy Characteristics'!$C:$C,0))),"",INDEX('Policy Characteristics'!I:I,MATCH($C555,'Policy Characteristics'!$C:$C,0)))</f>
        <v>% of fuel shifted</v>
      </c>
      <c r="P555" s="394" t="str">
        <f>IF(ISBLANK(INDEX('Policy Characteristics'!J:J,MATCH($C555,'Policy Characteristics'!$C:$C,0))),"",INDEX('Policy Characteristics'!J:J,MATCH($C555,'Policy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5" s="394" t="str">
        <f>IF(ISBLANK(INDEX('Policy Characteristics'!K:K,MATCH($C555,'Policy Characteristics'!$C:$C,0))),"",INDEX('Policy Characteristics'!K:K,MATCH($C555,'Policy Characteristics'!$C:$C,0)))</f>
        <v>industry-ag-main.html#fuel-switching</v>
      </c>
      <c r="R555" s="394" t="str">
        <f>IF(ISBLANK(INDEX('Policy Characteristics'!L:L,MATCH($C555,'Policy Characteristics'!$C:$C,0))),"",INDEX('Policy Characteristics'!L:L,MATCH($C555,'Policy Characteristics'!$C:$C,0)))</f>
        <v>industry-elec-and-hydrogen.html</v>
      </c>
    </row>
    <row r="556" customHeight="1" spans="1:18">
      <c r="A556" s="394" t="str">
        <f>IF(ISBLANK(INDEX('Policy Characteristics'!A:A,MATCH($C556,'Policy Characteristics'!$C:$C,0))),"",INDEX('Policy Characteristics'!A:A,MATCH($C556,'Policy Characteristics'!$C:$C,0)))</f>
        <v>Industry</v>
      </c>
      <c r="B556" s="395" t="str">
        <f>IF(ISBLANK(INDEX('Policy Characteristics'!B:B,MATCH($C556,'Policy Characteristics'!$C:$C,0))),"",INDEX('Policy Characteristics'!B:B,MATCH($C556,'Policy Characteristics'!$C:$C,0)))</f>
        <v>Electrification + Hydrogen (Med &amp; High Temp)</v>
      </c>
      <c r="C556" s="394" t="str">
        <f t="shared" si="33"/>
        <v>Fraction of Med and High Temp Industrial Heat Shifted to Other Fuels</v>
      </c>
      <c r="D556" s="399" t="s">
        <v>758</v>
      </c>
      <c r="E556" s="399" t="s">
        <v>792</v>
      </c>
      <c r="F556" t="s">
        <v>759</v>
      </c>
      <c r="G556" s="399" t="s">
        <v>793</v>
      </c>
      <c r="H556" s="377">
        <v>1308</v>
      </c>
      <c r="I556" s="396" t="s">
        <v>648</v>
      </c>
      <c r="J556" s="397" t="str">
        <f>IF(ISBLANK(INDEX('Policy Characteristics'!D:D,MATCH($C556,'Policy Characteristics'!$C:$C,0))),"",INDEX('Policy Characteristics'!D:D,MATCH($C556,'Policy Characteristics'!$C:$C,0)))</f>
        <v>Electrification + Hydrogen</v>
      </c>
      <c r="K556" s="394" t="str">
        <f>IF(ISBLANK(INDEX('Policy Characteristics'!E:E,MATCH($C556,'Policy Characteristics'!$C:$C,0))),"",INDEX('Policy Characteristics'!E:E,MATCH($C556,'Policy Characteristics'!$C:$C,0)))</f>
        <v>indst med and high temp fuel type shifting</v>
      </c>
      <c r="L556" s="398">
        <f>IF(ISBLANK(INDEX('Policy Characteristics'!F:F,MATCH($C556,'Policy Characteristics'!$C:$C,0))),"",INDEX('Policy Characteristics'!F:F,MATCH($C556,'Policy Characteristics'!$C:$C,0)))</f>
        <v>0</v>
      </c>
      <c r="M556" s="398">
        <f>IF(ISBLANK(INDEX('Policy Characteristics'!G:G,MATCH($C556,'Policy Characteristics'!$C:$C,0))),"",INDEX('Policy Characteristics'!G:G,MATCH($C556,'Policy Characteristics'!$C:$C,0)))</f>
        <v>1</v>
      </c>
      <c r="N556" s="398">
        <f>IF(ISBLANK(INDEX('Policy Characteristics'!H:H,MATCH($C556,'Policy Characteristics'!$C:$C,0))),"",INDEX('Policy Characteristics'!H:H,MATCH($C556,'Policy Characteristics'!$C:$C,0)))</f>
        <v>0.01</v>
      </c>
      <c r="O556" s="394" t="str">
        <f>IF(ISBLANK(INDEX('Policy Characteristics'!I:I,MATCH($C556,'Policy Characteristics'!$C:$C,0))),"",INDEX('Policy Characteristics'!I:I,MATCH($C556,'Policy Characteristics'!$C:$C,0)))</f>
        <v>% of fuel shifted</v>
      </c>
      <c r="P556" s="394" t="str">
        <f>IF(ISBLANK(INDEX('Policy Characteristics'!J:J,MATCH($C556,'Policy Characteristics'!$C:$C,0))),"",INDEX('Policy Characteristics'!J:J,MATCH($C556,'Policy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6" s="394" t="str">
        <f>IF(ISBLANK(INDEX('Policy Characteristics'!K:K,MATCH($C556,'Policy Characteristics'!$C:$C,0))),"",INDEX('Policy Characteristics'!K:K,MATCH($C556,'Policy Characteristics'!$C:$C,0)))</f>
        <v>industry-ag-main.html#fuel-switching</v>
      </c>
      <c r="R556" s="394" t="str">
        <f>IF(ISBLANK(INDEX('Policy Characteristics'!L:L,MATCH($C556,'Policy Characteristics'!$C:$C,0))),"",INDEX('Policy Characteristics'!L:L,MATCH($C556,'Policy Characteristics'!$C:$C,0)))</f>
        <v>industry-elec-and-hydrogen.html</v>
      </c>
    </row>
    <row r="557" customHeight="1" spans="1:18">
      <c r="A557" s="394" t="str">
        <f>IF(ISBLANK(INDEX('Policy Characteristics'!A:A,MATCH($C557,'Policy Characteristics'!$C:$C,0))),"",INDEX('Policy Characteristics'!A:A,MATCH($C557,'Policy Characteristics'!$C:$C,0)))</f>
        <v>Industry</v>
      </c>
      <c r="B557" s="395" t="str">
        <f>IF(ISBLANK(INDEX('Policy Characteristics'!B:B,MATCH($C557,'Policy Characteristics'!$C:$C,0))),"",INDEX('Policy Characteristics'!B:B,MATCH($C557,'Policy Characteristics'!$C:$C,0)))</f>
        <v>Electrification + Hydrogen (Med &amp; High Temp)</v>
      </c>
      <c r="C557" s="394" t="str">
        <f t="shared" si="33"/>
        <v>Fraction of Med and High Temp Industrial Heat Shifted to Other Fuels</v>
      </c>
      <c r="D557" s="399" t="s">
        <v>758</v>
      </c>
      <c r="E557" s="399" t="s">
        <v>794</v>
      </c>
      <c r="F557" t="s">
        <v>759</v>
      </c>
      <c r="G557" s="399" t="s">
        <v>795</v>
      </c>
      <c r="H557" s="377">
        <v>1309</v>
      </c>
      <c r="I557" s="396" t="s">
        <v>658</v>
      </c>
      <c r="J557" s="397" t="str">
        <f>IF(ISBLANK(INDEX('Policy Characteristics'!D:D,MATCH($C557,'Policy Characteristics'!$C:$C,0))),"",INDEX('Policy Characteristics'!D:D,MATCH($C557,'Policy Characteristics'!$C:$C,0)))</f>
        <v>Electrification + Hydrogen</v>
      </c>
      <c r="K557" s="394" t="str">
        <f>IF(ISBLANK(INDEX('Policy Characteristics'!E:E,MATCH($C557,'Policy Characteristics'!$C:$C,0))),"",INDEX('Policy Characteristics'!E:E,MATCH($C557,'Policy Characteristics'!$C:$C,0)))</f>
        <v>indst med and high temp fuel type shifting</v>
      </c>
      <c r="L557" s="398">
        <f>IF(ISBLANK(INDEX('Policy Characteristics'!F:F,MATCH($C557,'Policy Characteristics'!$C:$C,0))),"",INDEX('Policy Characteristics'!F:F,MATCH($C557,'Policy Characteristics'!$C:$C,0)))</f>
        <v>0</v>
      </c>
      <c r="M557" s="398">
        <f>IF(ISBLANK(INDEX('Policy Characteristics'!G:G,MATCH($C557,'Policy Characteristics'!$C:$C,0))),"",INDEX('Policy Characteristics'!G:G,MATCH($C557,'Policy Characteristics'!$C:$C,0)))</f>
        <v>1</v>
      </c>
      <c r="N557" s="398">
        <f>IF(ISBLANK(INDEX('Policy Characteristics'!H:H,MATCH($C557,'Policy Characteristics'!$C:$C,0))),"",INDEX('Policy Characteristics'!H:H,MATCH($C557,'Policy Characteristics'!$C:$C,0)))</f>
        <v>0.01</v>
      </c>
      <c r="O557" s="394" t="str">
        <f>IF(ISBLANK(INDEX('Policy Characteristics'!I:I,MATCH($C557,'Policy Characteristics'!$C:$C,0))),"",INDEX('Policy Characteristics'!I:I,MATCH($C557,'Policy Characteristics'!$C:$C,0)))</f>
        <v>% of fuel shifted</v>
      </c>
      <c r="P557" s="394" t="str">
        <f>IF(ISBLANK(INDEX('Policy Characteristics'!J:J,MATCH($C557,'Policy Characteristics'!$C:$C,0))),"",INDEX('Policy Characteristics'!J:J,MATCH($C557,'Policy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7" s="394" t="str">
        <f>IF(ISBLANK(INDEX('Policy Characteristics'!K:K,MATCH($C557,'Policy Characteristics'!$C:$C,0))),"",INDEX('Policy Characteristics'!K:K,MATCH($C557,'Policy Characteristics'!$C:$C,0)))</f>
        <v>industry-ag-main.html#fuel-switching</v>
      </c>
      <c r="R557" s="394" t="str">
        <f>IF(ISBLANK(INDEX('Policy Characteristics'!L:L,MATCH($C557,'Policy Characteristics'!$C:$C,0))),"",INDEX('Policy Characteristics'!L:L,MATCH($C557,'Policy Characteristics'!$C:$C,0)))</f>
        <v>industry-elec-and-hydrogen.html</v>
      </c>
    </row>
    <row r="558" customHeight="1" spans="1:18">
      <c r="A558" s="394" t="str">
        <f>IF(ISBLANK(INDEX('Policy Characteristics'!A:A,MATCH($C558,'Policy Characteristics'!$C:$C,0))),"",INDEX('Policy Characteristics'!A:A,MATCH($C558,'Policy Characteristics'!$C:$C,0)))</f>
        <v>Industry</v>
      </c>
      <c r="B558" s="395" t="str">
        <f>IF(ISBLANK(INDEX('Policy Characteristics'!B:B,MATCH($C558,'Policy Characteristics'!$C:$C,0))),"",INDEX('Policy Characteristics'!B:B,MATCH($C558,'Policy Characteristics'!$C:$C,0)))</f>
        <v>Electrification + Hydrogen (Med &amp; High Temp)</v>
      </c>
      <c r="C558" s="394" t="str">
        <f t="shared" si="33"/>
        <v>Fraction of Med and High Temp Industrial Heat Shifted to Other Fuels</v>
      </c>
      <c r="D558" s="399" t="s">
        <v>758</v>
      </c>
      <c r="E558" s="399" t="s">
        <v>796</v>
      </c>
      <c r="F558" t="s">
        <v>759</v>
      </c>
      <c r="G558" s="399" t="s">
        <v>797</v>
      </c>
      <c r="H558" s="377">
        <v>1310</v>
      </c>
      <c r="I558" s="396" t="s">
        <v>658</v>
      </c>
      <c r="J558" s="397" t="str">
        <f>IF(ISBLANK(INDEX('Policy Characteristics'!D:D,MATCH($C558,'Policy Characteristics'!$C:$C,0))),"",INDEX('Policy Characteristics'!D:D,MATCH($C558,'Policy Characteristics'!$C:$C,0)))</f>
        <v>Electrification + Hydrogen</v>
      </c>
      <c r="K558" s="394" t="str">
        <f>IF(ISBLANK(INDEX('Policy Characteristics'!E:E,MATCH($C558,'Policy Characteristics'!$C:$C,0))),"",INDEX('Policy Characteristics'!E:E,MATCH($C558,'Policy Characteristics'!$C:$C,0)))</f>
        <v>indst med and high temp fuel type shifting</v>
      </c>
      <c r="L558" s="398">
        <f>IF(ISBLANK(INDEX('Policy Characteristics'!F:F,MATCH($C558,'Policy Characteristics'!$C:$C,0))),"",INDEX('Policy Characteristics'!F:F,MATCH($C558,'Policy Characteristics'!$C:$C,0)))</f>
        <v>0</v>
      </c>
      <c r="M558" s="398">
        <f>IF(ISBLANK(INDEX('Policy Characteristics'!G:G,MATCH($C558,'Policy Characteristics'!$C:$C,0))),"",INDEX('Policy Characteristics'!G:G,MATCH($C558,'Policy Characteristics'!$C:$C,0)))</f>
        <v>1</v>
      </c>
      <c r="N558" s="398">
        <f>IF(ISBLANK(INDEX('Policy Characteristics'!H:H,MATCH($C558,'Policy Characteristics'!$C:$C,0))),"",INDEX('Policy Characteristics'!H:H,MATCH($C558,'Policy Characteristics'!$C:$C,0)))</f>
        <v>0.01</v>
      </c>
      <c r="O558" s="394" t="str">
        <f>IF(ISBLANK(INDEX('Policy Characteristics'!I:I,MATCH($C558,'Policy Characteristics'!$C:$C,0))),"",INDEX('Policy Characteristics'!I:I,MATCH($C558,'Policy Characteristics'!$C:$C,0)))</f>
        <v>% of fuel shifted</v>
      </c>
      <c r="P558" s="394" t="str">
        <f>IF(ISBLANK(INDEX('Policy Characteristics'!J:J,MATCH($C558,'Policy Characteristics'!$C:$C,0))),"",INDEX('Policy Characteristics'!J:J,MATCH($C558,'Policy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8" s="394" t="str">
        <f>IF(ISBLANK(INDEX('Policy Characteristics'!K:K,MATCH($C558,'Policy Characteristics'!$C:$C,0))),"",INDEX('Policy Characteristics'!K:K,MATCH($C558,'Policy Characteristics'!$C:$C,0)))</f>
        <v>industry-ag-main.html#fuel-switching</v>
      </c>
      <c r="R558" s="394" t="str">
        <f>IF(ISBLANK(INDEX('Policy Characteristics'!L:L,MATCH($C558,'Policy Characteristics'!$C:$C,0))),"",INDEX('Policy Characteristics'!L:L,MATCH($C558,'Policy Characteristics'!$C:$C,0)))</f>
        <v>industry-elec-and-hydrogen.html</v>
      </c>
    </row>
    <row r="559" customHeight="1" spans="1:18">
      <c r="A559" s="394" t="str">
        <f>IF(ISBLANK(INDEX('Policy Characteristics'!A:A,MATCH($C559,'Policy Characteristics'!$C:$C,0))),"",INDEX('Policy Characteristics'!A:A,MATCH($C559,'Policy Characteristics'!$C:$C,0)))</f>
        <v>Industry</v>
      </c>
      <c r="B559" s="395" t="str">
        <f>IF(ISBLANK(INDEX('Policy Characteristics'!B:B,MATCH($C559,'Policy Characteristics'!$C:$C,0))),"",INDEX('Policy Characteristics'!B:B,MATCH($C559,'Policy Characteristics'!$C:$C,0)))</f>
        <v>Electrification + Hydrogen (Med &amp; High Temp)</v>
      </c>
      <c r="C559" s="394" t="str">
        <f t="shared" si="33"/>
        <v>Fraction of Med and High Temp Industrial Heat Shifted to Other Fuels</v>
      </c>
      <c r="D559" s="399" t="s">
        <v>758</v>
      </c>
      <c r="E559" s="399" t="s">
        <v>798</v>
      </c>
      <c r="F559" t="s">
        <v>759</v>
      </c>
      <c r="G559" s="399" t="s">
        <v>799</v>
      </c>
      <c r="H559" s="377">
        <v>1311</v>
      </c>
      <c r="I559" s="396" t="s">
        <v>658</v>
      </c>
      <c r="J559" s="397" t="str">
        <f>IF(ISBLANK(INDEX('Policy Characteristics'!D:D,MATCH($C559,'Policy Characteristics'!$C:$C,0))),"",INDEX('Policy Characteristics'!D:D,MATCH($C559,'Policy Characteristics'!$C:$C,0)))</f>
        <v>Electrification + Hydrogen</v>
      </c>
      <c r="K559" s="394" t="str">
        <f>IF(ISBLANK(INDEX('Policy Characteristics'!E:E,MATCH($C559,'Policy Characteristics'!$C:$C,0))),"",INDEX('Policy Characteristics'!E:E,MATCH($C559,'Policy Characteristics'!$C:$C,0)))</f>
        <v>indst med and high temp fuel type shifting</v>
      </c>
      <c r="L559" s="398">
        <f>IF(ISBLANK(INDEX('Policy Characteristics'!F:F,MATCH($C559,'Policy Characteristics'!$C:$C,0))),"",INDEX('Policy Characteristics'!F:F,MATCH($C559,'Policy Characteristics'!$C:$C,0)))</f>
        <v>0</v>
      </c>
      <c r="M559" s="398">
        <f>IF(ISBLANK(INDEX('Policy Characteristics'!G:G,MATCH($C559,'Policy Characteristics'!$C:$C,0))),"",INDEX('Policy Characteristics'!G:G,MATCH($C559,'Policy Characteristics'!$C:$C,0)))</f>
        <v>1</v>
      </c>
      <c r="N559" s="398">
        <f>IF(ISBLANK(INDEX('Policy Characteristics'!H:H,MATCH($C559,'Policy Characteristics'!$C:$C,0))),"",INDEX('Policy Characteristics'!H:H,MATCH($C559,'Policy Characteristics'!$C:$C,0)))</f>
        <v>0.01</v>
      </c>
      <c r="O559" s="394" t="str">
        <f>IF(ISBLANK(INDEX('Policy Characteristics'!I:I,MATCH($C559,'Policy Characteristics'!$C:$C,0))),"",INDEX('Policy Characteristics'!I:I,MATCH($C559,'Policy Characteristics'!$C:$C,0)))</f>
        <v>% of fuel shifted</v>
      </c>
      <c r="P559" s="394" t="str">
        <f>IF(ISBLANK(INDEX('Policy Characteristics'!J:J,MATCH($C559,'Policy Characteristics'!$C:$C,0))),"",INDEX('Policy Characteristics'!J:J,MATCH($C559,'Policy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9" s="394" t="str">
        <f>IF(ISBLANK(INDEX('Policy Characteristics'!K:K,MATCH($C559,'Policy Characteristics'!$C:$C,0))),"",INDEX('Policy Characteristics'!K:K,MATCH($C559,'Policy Characteristics'!$C:$C,0)))</f>
        <v>industry-ag-main.html#fuel-switching</v>
      </c>
      <c r="R559" s="394" t="str">
        <f>IF(ISBLANK(INDEX('Policy Characteristics'!L:L,MATCH($C559,'Policy Characteristics'!$C:$C,0))),"",INDEX('Policy Characteristics'!L:L,MATCH($C559,'Policy Characteristics'!$C:$C,0)))</f>
        <v>industry-elec-and-hydrogen.html</v>
      </c>
    </row>
    <row r="560" customHeight="1" spans="1:18">
      <c r="A560" s="394" t="str">
        <f>IF(ISBLANK(INDEX('Policy Characteristics'!A:A,MATCH($C560,'Policy Characteristics'!$C:$C,0))),"",INDEX('Policy Characteristics'!A:A,MATCH($C560,'Policy Characteristics'!$C:$C,0)))</f>
        <v>Industry</v>
      </c>
      <c r="B560" s="395" t="str">
        <f>IF(ISBLANK(INDEX('Policy Characteristics'!B:B,MATCH($C560,'Policy Characteristics'!$C:$C,0))),"",INDEX('Policy Characteristics'!B:B,MATCH($C560,'Policy Characteristics'!$C:$C,0)))</f>
        <v>Electrification + Hydrogen (Med &amp; High Temp)</v>
      </c>
      <c r="C560" s="394" t="str">
        <f t="shared" si="33"/>
        <v>Fraction of Med and High Temp Industrial Heat Shifted to Other Fuels</v>
      </c>
      <c r="D560" s="399" t="s">
        <v>758</v>
      </c>
      <c r="E560" s="399" t="s">
        <v>800</v>
      </c>
      <c r="F560" t="s">
        <v>759</v>
      </c>
      <c r="G560" s="399" t="s">
        <v>801</v>
      </c>
      <c r="H560" s="377">
        <v>1312</v>
      </c>
      <c r="I560" s="396" t="s">
        <v>658</v>
      </c>
      <c r="J560" s="397" t="str">
        <f>IF(ISBLANK(INDEX('Policy Characteristics'!D:D,MATCH($C560,'Policy Characteristics'!$C:$C,0))),"",INDEX('Policy Characteristics'!D:D,MATCH($C560,'Policy Characteristics'!$C:$C,0)))</f>
        <v>Electrification + Hydrogen</v>
      </c>
      <c r="K560" s="394" t="str">
        <f>IF(ISBLANK(INDEX('Policy Characteristics'!E:E,MATCH($C560,'Policy Characteristics'!$C:$C,0))),"",INDEX('Policy Characteristics'!E:E,MATCH($C560,'Policy Characteristics'!$C:$C,0)))</f>
        <v>indst med and high temp fuel type shifting</v>
      </c>
      <c r="L560" s="398">
        <f>IF(ISBLANK(INDEX('Policy Characteristics'!F:F,MATCH($C560,'Policy Characteristics'!$C:$C,0))),"",INDEX('Policy Characteristics'!F:F,MATCH($C560,'Policy Characteristics'!$C:$C,0)))</f>
        <v>0</v>
      </c>
      <c r="M560" s="398">
        <f>IF(ISBLANK(INDEX('Policy Characteristics'!G:G,MATCH($C560,'Policy Characteristics'!$C:$C,0))),"",INDEX('Policy Characteristics'!G:G,MATCH($C560,'Policy Characteristics'!$C:$C,0)))</f>
        <v>1</v>
      </c>
      <c r="N560" s="398">
        <f>IF(ISBLANK(INDEX('Policy Characteristics'!H:H,MATCH($C560,'Policy Characteristics'!$C:$C,0))),"",INDEX('Policy Characteristics'!H:H,MATCH($C560,'Policy Characteristics'!$C:$C,0)))</f>
        <v>0.01</v>
      </c>
      <c r="O560" s="394" t="str">
        <f>IF(ISBLANK(INDEX('Policy Characteristics'!I:I,MATCH($C560,'Policy Characteristics'!$C:$C,0))),"",INDEX('Policy Characteristics'!I:I,MATCH($C560,'Policy Characteristics'!$C:$C,0)))</f>
        <v>% of fuel shifted</v>
      </c>
      <c r="P560" s="394" t="str">
        <f>IF(ISBLANK(INDEX('Policy Characteristics'!J:J,MATCH($C560,'Policy Characteristics'!$C:$C,0))),"",INDEX('Policy Characteristics'!J:J,MATCH($C560,'Policy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0" s="394" t="str">
        <f>IF(ISBLANK(INDEX('Policy Characteristics'!K:K,MATCH($C560,'Policy Characteristics'!$C:$C,0))),"",INDEX('Policy Characteristics'!K:K,MATCH($C560,'Policy Characteristics'!$C:$C,0)))</f>
        <v>industry-ag-main.html#fuel-switching</v>
      </c>
      <c r="R560" s="394" t="str">
        <f>IF(ISBLANK(INDEX('Policy Characteristics'!L:L,MATCH($C560,'Policy Characteristics'!$C:$C,0))),"",INDEX('Policy Characteristics'!L:L,MATCH($C560,'Policy Characteristics'!$C:$C,0)))</f>
        <v>industry-elec-and-hydrogen.html</v>
      </c>
    </row>
    <row r="561" customHeight="1" spans="1:18">
      <c r="A561" s="394" t="str">
        <f>IF(ISBLANK(INDEX('Policy Characteristics'!A:A,MATCH($C561,'Policy Characteristics'!$C:$C,0))),"",INDEX('Policy Characteristics'!A:A,MATCH($C561,'Policy Characteristics'!$C:$C,0)))</f>
        <v>Industry</v>
      </c>
      <c r="B561" s="395" t="str">
        <f>IF(ISBLANK(INDEX('Policy Characteristics'!B:B,MATCH($C561,'Policy Characteristics'!$C:$C,0))),"",INDEX('Policy Characteristics'!B:B,MATCH($C561,'Policy Characteristics'!$C:$C,0)))</f>
        <v>Electrification + Hydrogen (Med &amp; High Temp)</v>
      </c>
      <c r="C561" s="394" t="str">
        <f t="shared" si="33"/>
        <v>Fraction of Med and High Temp Industrial Heat Shifted to Other Fuels</v>
      </c>
      <c r="D561" s="399" t="s">
        <v>758</v>
      </c>
      <c r="E561" s="399" t="s">
        <v>802</v>
      </c>
      <c r="F561" t="s">
        <v>759</v>
      </c>
      <c r="G561" s="399" t="s">
        <v>803</v>
      </c>
      <c r="H561" s="377">
        <v>1313</v>
      </c>
      <c r="I561" s="396" t="s">
        <v>658</v>
      </c>
      <c r="J561" s="397" t="str">
        <f>IF(ISBLANK(INDEX('Policy Characteristics'!D:D,MATCH($C561,'Policy Characteristics'!$C:$C,0))),"",INDEX('Policy Characteristics'!D:D,MATCH($C561,'Policy Characteristics'!$C:$C,0)))</f>
        <v>Electrification + Hydrogen</v>
      </c>
      <c r="K561" s="394" t="str">
        <f>IF(ISBLANK(INDEX('Policy Characteristics'!E:E,MATCH($C561,'Policy Characteristics'!$C:$C,0))),"",INDEX('Policy Characteristics'!E:E,MATCH($C561,'Policy Characteristics'!$C:$C,0)))</f>
        <v>indst med and high temp fuel type shifting</v>
      </c>
      <c r="L561" s="398">
        <f>IF(ISBLANK(INDEX('Policy Characteristics'!F:F,MATCH($C561,'Policy Characteristics'!$C:$C,0))),"",INDEX('Policy Characteristics'!F:F,MATCH($C561,'Policy Characteristics'!$C:$C,0)))</f>
        <v>0</v>
      </c>
      <c r="M561" s="398">
        <f>IF(ISBLANK(INDEX('Policy Characteristics'!G:G,MATCH($C561,'Policy Characteristics'!$C:$C,0))),"",INDEX('Policy Characteristics'!G:G,MATCH($C561,'Policy Characteristics'!$C:$C,0)))</f>
        <v>1</v>
      </c>
      <c r="N561" s="398">
        <f>IF(ISBLANK(INDEX('Policy Characteristics'!H:H,MATCH($C561,'Policy Characteristics'!$C:$C,0))),"",INDEX('Policy Characteristics'!H:H,MATCH($C561,'Policy Characteristics'!$C:$C,0)))</f>
        <v>0.01</v>
      </c>
      <c r="O561" s="394" t="str">
        <f>IF(ISBLANK(INDEX('Policy Characteristics'!I:I,MATCH($C561,'Policy Characteristics'!$C:$C,0))),"",INDEX('Policy Characteristics'!I:I,MATCH($C561,'Policy Characteristics'!$C:$C,0)))</f>
        <v>% of fuel shifted</v>
      </c>
      <c r="P561" s="394" t="str">
        <f>IF(ISBLANK(INDEX('Policy Characteristics'!J:J,MATCH($C561,'Policy Characteristics'!$C:$C,0))),"",INDEX('Policy Characteristics'!J:J,MATCH($C561,'Policy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1" s="394" t="str">
        <f>IF(ISBLANK(INDEX('Policy Characteristics'!K:K,MATCH($C561,'Policy Characteristics'!$C:$C,0))),"",INDEX('Policy Characteristics'!K:K,MATCH($C561,'Policy Characteristics'!$C:$C,0)))</f>
        <v>industry-ag-main.html#fuel-switching</v>
      </c>
      <c r="R561" s="394" t="str">
        <f>IF(ISBLANK(INDEX('Policy Characteristics'!L:L,MATCH($C561,'Policy Characteristics'!$C:$C,0))),"",INDEX('Policy Characteristics'!L:L,MATCH($C561,'Policy Characteristics'!$C:$C,0)))</f>
        <v>industry-elec-and-hydrogen.html</v>
      </c>
    </row>
    <row r="562" customHeight="1" spans="1:18">
      <c r="A562" s="394" t="str">
        <f>IF(ISBLANK(INDEX('Policy Characteristics'!A:A,MATCH($C562,'Policy Characteristics'!$C:$C,0))),"",INDEX('Policy Characteristics'!A:A,MATCH($C562,'Policy Characteristics'!$C:$C,0)))</f>
        <v>Industry</v>
      </c>
      <c r="B562" s="395" t="str">
        <f>IF(ISBLANK(INDEX('Policy Characteristics'!B:B,MATCH($C562,'Policy Characteristics'!$C:$C,0))),"",INDEX('Policy Characteristics'!B:B,MATCH($C562,'Policy Characteristics'!$C:$C,0)))</f>
        <v>Electrification + Hydrogen (Med &amp; High Temp)</v>
      </c>
      <c r="C562" s="394" t="str">
        <f t="shared" si="33"/>
        <v>Fraction of Med and High Temp Industrial Heat Shifted to Other Fuels</v>
      </c>
      <c r="D562" s="399" t="s">
        <v>758</v>
      </c>
      <c r="E562" s="399" t="s">
        <v>804</v>
      </c>
      <c r="F562" t="s">
        <v>759</v>
      </c>
      <c r="G562" s="399" t="s">
        <v>805</v>
      </c>
      <c r="H562" s="377">
        <v>1314</v>
      </c>
      <c r="I562" s="396" t="s">
        <v>658</v>
      </c>
      <c r="J562" s="397" t="str">
        <f>IF(ISBLANK(INDEX('Policy Characteristics'!D:D,MATCH($C562,'Policy Characteristics'!$C:$C,0))),"",INDEX('Policy Characteristics'!D:D,MATCH($C562,'Policy Characteristics'!$C:$C,0)))</f>
        <v>Electrification + Hydrogen</v>
      </c>
      <c r="K562" s="394" t="str">
        <f>IF(ISBLANK(INDEX('Policy Characteristics'!E:E,MATCH($C562,'Policy Characteristics'!$C:$C,0))),"",INDEX('Policy Characteristics'!E:E,MATCH($C562,'Policy Characteristics'!$C:$C,0)))</f>
        <v>indst med and high temp fuel type shifting</v>
      </c>
      <c r="L562" s="398">
        <f>IF(ISBLANK(INDEX('Policy Characteristics'!F:F,MATCH($C562,'Policy Characteristics'!$C:$C,0))),"",INDEX('Policy Characteristics'!F:F,MATCH($C562,'Policy Characteristics'!$C:$C,0)))</f>
        <v>0</v>
      </c>
      <c r="M562" s="398">
        <f>IF(ISBLANK(INDEX('Policy Characteristics'!G:G,MATCH($C562,'Policy Characteristics'!$C:$C,0))),"",INDEX('Policy Characteristics'!G:G,MATCH($C562,'Policy Characteristics'!$C:$C,0)))</f>
        <v>1</v>
      </c>
      <c r="N562" s="398">
        <f>IF(ISBLANK(INDEX('Policy Characteristics'!H:H,MATCH($C562,'Policy Characteristics'!$C:$C,0))),"",INDEX('Policy Characteristics'!H:H,MATCH($C562,'Policy Characteristics'!$C:$C,0)))</f>
        <v>0.01</v>
      </c>
      <c r="O562" s="394" t="str">
        <f>IF(ISBLANK(INDEX('Policy Characteristics'!I:I,MATCH($C562,'Policy Characteristics'!$C:$C,0))),"",INDEX('Policy Characteristics'!I:I,MATCH($C562,'Policy Characteristics'!$C:$C,0)))</f>
        <v>% of fuel shifted</v>
      </c>
      <c r="P562" s="394" t="str">
        <f>IF(ISBLANK(INDEX('Policy Characteristics'!J:J,MATCH($C562,'Policy Characteristics'!$C:$C,0))),"",INDEX('Policy Characteristics'!J:J,MATCH($C562,'Policy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2" s="394" t="str">
        <f>IF(ISBLANK(INDEX('Policy Characteristics'!K:K,MATCH($C562,'Policy Characteristics'!$C:$C,0))),"",INDEX('Policy Characteristics'!K:K,MATCH($C562,'Policy Characteristics'!$C:$C,0)))</f>
        <v>industry-ag-main.html#fuel-switching</v>
      </c>
      <c r="R562" s="394" t="str">
        <f>IF(ISBLANK(INDEX('Policy Characteristics'!L:L,MATCH($C562,'Policy Characteristics'!$C:$C,0))),"",INDEX('Policy Characteristics'!L:L,MATCH($C562,'Policy Characteristics'!$C:$C,0)))</f>
        <v>industry-elec-and-hydrogen.html</v>
      </c>
    </row>
    <row r="563" customHeight="1" spans="1:18">
      <c r="A563" s="394" t="str">
        <f>IF(ISBLANK(INDEX('Policy Characteristics'!A:A,MATCH($C563,'Policy Characteristics'!$C:$C,0))),"",INDEX('Policy Characteristics'!A:A,MATCH($C563,'Policy Characteristics'!$C:$C,0)))</f>
        <v>Industry</v>
      </c>
      <c r="B563" s="395" t="str">
        <f>IF(ISBLANK(INDEX('Policy Characteristics'!B:B,MATCH($C563,'Policy Characteristics'!$C:$C,0))),"",INDEX('Policy Characteristics'!B:B,MATCH($C563,'Policy Characteristics'!$C:$C,0)))</f>
        <v>Electrification + Hydrogen (Med &amp; High Temp)</v>
      </c>
      <c r="C563" s="394" t="str">
        <f t="shared" si="33"/>
        <v>Fraction of Med and High Temp Industrial Heat Shifted to Other Fuels</v>
      </c>
      <c r="D563" s="399" t="s">
        <v>758</v>
      </c>
      <c r="E563" s="399" t="s">
        <v>806</v>
      </c>
      <c r="F563" t="s">
        <v>759</v>
      </c>
      <c r="G563" s="399" t="s">
        <v>807</v>
      </c>
      <c r="H563" s="377">
        <v>1315</v>
      </c>
      <c r="I563" s="396" t="s">
        <v>658</v>
      </c>
      <c r="J563" s="397" t="str">
        <f>IF(ISBLANK(INDEX('Policy Characteristics'!D:D,MATCH($C563,'Policy Characteristics'!$C:$C,0))),"",INDEX('Policy Characteristics'!D:D,MATCH($C563,'Policy Characteristics'!$C:$C,0)))</f>
        <v>Electrification + Hydrogen</v>
      </c>
      <c r="K563" s="394" t="str">
        <f>IF(ISBLANK(INDEX('Policy Characteristics'!E:E,MATCH($C563,'Policy Characteristics'!$C:$C,0))),"",INDEX('Policy Characteristics'!E:E,MATCH($C563,'Policy Characteristics'!$C:$C,0)))</f>
        <v>indst med and high temp fuel type shifting</v>
      </c>
      <c r="L563" s="398">
        <f>IF(ISBLANK(INDEX('Policy Characteristics'!F:F,MATCH($C563,'Policy Characteristics'!$C:$C,0))),"",INDEX('Policy Characteristics'!F:F,MATCH($C563,'Policy Characteristics'!$C:$C,0)))</f>
        <v>0</v>
      </c>
      <c r="M563" s="398">
        <f>IF(ISBLANK(INDEX('Policy Characteristics'!G:G,MATCH($C563,'Policy Characteristics'!$C:$C,0))),"",INDEX('Policy Characteristics'!G:G,MATCH($C563,'Policy Characteristics'!$C:$C,0)))</f>
        <v>1</v>
      </c>
      <c r="N563" s="398">
        <f>IF(ISBLANK(INDEX('Policy Characteristics'!H:H,MATCH($C563,'Policy Characteristics'!$C:$C,0))),"",INDEX('Policy Characteristics'!H:H,MATCH($C563,'Policy Characteristics'!$C:$C,0)))</f>
        <v>0.01</v>
      </c>
      <c r="O563" s="394" t="str">
        <f>IF(ISBLANK(INDEX('Policy Characteristics'!I:I,MATCH($C563,'Policy Characteristics'!$C:$C,0))),"",INDEX('Policy Characteristics'!I:I,MATCH($C563,'Policy Characteristics'!$C:$C,0)))</f>
        <v>% of fuel shifted</v>
      </c>
      <c r="P563" s="394" t="str">
        <f>IF(ISBLANK(INDEX('Policy Characteristics'!J:J,MATCH($C563,'Policy Characteristics'!$C:$C,0))),"",INDEX('Policy Characteristics'!J:J,MATCH($C563,'Policy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3" s="394" t="str">
        <f>IF(ISBLANK(INDEX('Policy Characteristics'!K:K,MATCH($C563,'Policy Characteristics'!$C:$C,0))),"",INDEX('Policy Characteristics'!K:K,MATCH($C563,'Policy Characteristics'!$C:$C,0)))</f>
        <v>industry-ag-main.html#fuel-switching</v>
      </c>
      <c r="R563" s="394" t="str">
        <f>IF(ISBLANK(INDEX('Policy Characteristics'!L:L,MATCH($C563,'Policy Characteristics'!$C:$C,0))),"",INDEX('Policy Characteristics'!L:L,MATCH($C563,'Policy Characteristics'!$C:$C,0)))</f>
        <v>industry-elec-and-hydrogen.html</v>
      </c>
    </row>
    <row r="564" customHeight="1" spans="1:18">
      <c r="A564" s="394" t="str">
        <f>IF(ISBLANK(INDEX('Policy Characteristics'!A:A,MATCH($C564,'Policy Characteristics'!$C:$C,0))),"",INDEX('Policy Characteristics'!A:A,MATCH($C564,'Policy Characteristics'!$C:$C,0)))</f>
        <v>Industry</v>
      </c>
      <c r="B564" s="395" t="str">
        <f>IF(ISBLANK(INDEX('Policy Characteristics'!B:B,MATCH($C564,'Policy Characteristics'!$C:$C,0))),"",INDEX('Policy Characteristics'!B:B,MATCH($C564,'Policy Characteristics'!$C:$C,0)))</f>
        <v>Electrification + Hydrogen (Med &amp; High Temp)</v>
      </c>
      <c r="C564" s="394" t="str">
        <f t="shared" si="33"/>
        <v>Fraction of Med and High Temp Industrial Heat Shifted to Other Fuels</v>
      </c>
      <c r="D564" s="399" t="s">
        <v>758</v>
      </c>
      <c r="E564" s="399" t="s">
        <v>808</v>
      </c>
      <c r="F564" t="s">
        <v>759</v>
      </c>
      <c r="G564" s="399" t="s">
        <v>809</v>
      </c>
      <c r="H564" s="377">
        <v>1316</v>
      </c>
      <c r="I564" s="396" t="s">
        <v>658</v>
      </c>
      <c r="J564" s="397" t="str">
        <f>IF(ISBLANK(INDEX('Policy Characteristics'!D:D,MATCH($C564,'Policy Characteristics'!$C:$C,0))),"",INDEX('Policy Characteristics'!D:D,MATCH($C564,'Policy Characteristics'!$C:$C,0)))</f>
        <v>Electrification + Hydrogen</v>
      </c>
      <c r="K564" s="394" t="str">
        <f>IF(ISBLANK(INDEX('Policy Characteristics'!E:E,MATCH($C564,'Policy Characteristics'!$C:$C,0))),"",INDEX('Policy Characteristics'!E:E,MATCH($C564,'Policy Characteristics'!$C:$C,0)))</f>
        <v>indst med and high temp fuel type shifting</v>
      </c>
      <c r="L564" s="398">
        <f>IF(ISBLANK(INDEX('Policy Characteristics'!F:F,MATCH($C564,'Policy Characteristics'!$C:$C,0))),"",INDEX('Policy Characteristics'!F:F,MATCH($C564,'Policy Characteristics'!$C:$C,0)))</f>
        <v>0</v>
      </c>
      <c r="M564" s="398">
        <f>IF(ISBLANK(INDEX('Policy Characteristics'!G:G,MATCH($C564,'Policy Characteristics'!$C:$C,0))),"",INDEX('Policy Characteristics'!G:G,MATCH($C564,'Policy Characteristics'!$C:$C,0)))</f>
        <v>1</v>
      </c>
      <c r="N564" s="398">
        <f>IF(ISBLANK(INDEX('Policy Characteristics'!H:H,MATCH($C564,'Policy Characteristics'!$C:$C,0))),"",INDEX('Policy Characteristics'!H:H,MATCH($C564,'Policy Characteristics'!$C:$C,0)))</f>
        <v>0.01</v>
      </c>
      <c r="O564" s="394" t="str">
        <f>IF(ISBLANK(INDEX('Policy Characteristics'!I:I,MATCH($C564,'Policy Characteristics'!$C:$C,0))),"",INDEX('Policy Characteristics'!I:I,MATCH($C564,'Policy Characteristics'!$C:$C,0)))</f>
        <v>% of fuel shifted</v>
      </c>
      <c r="P564" s="394" t="str">
        <f>IF(ISBLANK(INDEX('Policy Characteristics'!J:J,MATCH($C564,'Policy Characteristics'!$C:$C,0))),"",INDEX('Policy Characteristics'!J:J,MATCH($C564,'Policy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4" s="394" t="str">
        <f>IF(ISBLANK(INDEX('Policy Characteristics'!K:K,MATCH($C564,'Policy Characteristics'!$C:$C,0))),"",INDEX('Policy Characteristics'!K:K,MATCH($C564,'Policy Characteristics'!$C:$C,0)))</f>
        <v>industry-ag-main.html#fuel-switching</v>
      </c>
      <c r="R564" s="394" t="str">
        <f>IF(ISBLANK(INDEX('Policy Characteristics'!L:L,MATCH($C564,'Policy Characteristics'!$C:$C,0))),"",INDEX('Policy Characteristics'!L:L,MATCH($C564,'Policy Characteristics'!$C:$C,0)))</f>
        <v>industry-elec-and-hydrogen.html</v>
      </c>
    </row>
    <row r="565" customHeight="1" spans="1:18">
      <c r="A565" s="394" t="str">
        <f>IF(ISBLANK(INDEX('Policy Characteristics'!A:A,MATCH($C565,'Policy Characteristics'!$C:$C,0))),"",INDEX('Policy Characteristics'!A:A,MATCH($C565,'Policy Characteristics'!$C:$C,0)))</f>
        <v>Industry</v>
      </c>
      <c r="B565" s="395" t="str">
        <f>IF(ISBLANK(INDEX('Policy Characteristics'!B:B,MATCH($C565,'Policy Characteristics'!$C:$C,0))),"",INDEX('Policy Characteristics'!B:B,MATCH($C565,'Policy Characteristics'!$C:$C,0)))</f>
        <v>Electrification + Hydrogen (Med &amp; High Temp)</v>
      </c>
      <c r="C565" s="394" t="str">
        <f t="shared" si="33"/>
        <v>Fraction of Med and High Temp Industrial Heat Shifted to Other Fuels</v>
      </c>
      <c r="D565" s="399" t="s">
        <v>758</v>
      </c>
      <c r="E565" s="399" t="s">
        <v>810</v>
      </c>
      <c r="F565" t="s">
        <v>759</v>
      </c>
      <c r="G565" s="399" t="s">
        <v>811</v>
      </c>
      <c r="H565" s="377">
        <v>1317</v>
      </c>
      <c r="I565" s="396" t="s">
        <v>648</v>
      </c>
      <c r="J565" s="397" t="str">
        <f>IF(ISBLANK(INDEX('Policy Characteristics'!D:D,MATCH($C565,'Policy Characteristics'!$C:$C,0))),"",INDEX('Policy Characteristics'!D:D,MATCH($C565,'Policy Characteristics'!$C:$C,0)))</f>
        <v>Electrification + Hydrogen</v>
      </c>
      <c r="K565" s="394" t="str">
        <f>IF(ISBLANK(INDEX('Policy Characteristics'!E:E,MATCH($C565,'Policy Characteristics'!$C:$C,0))),"",INDEX('Policy Characteristics'!E:E,MATCH($C565,'Policy Characteristics'!$C:$C,0)))</f>
        <v>indst med and high temp fuel type shifting</v>
      </c>
      <c r="L565" s="398">
        <f>IF(ISBLANK(INDEX('Policy Characteristics'!F:F,MATCH($C565,'Policy Characteristics'!$C:$C,0))),"",INDEX('Policy Characteristics'!F:F,MATCH($C565,'Policy Characteristics'!$C:$C,0)))</f>
        <v>0</v>
      </c>
      <c r="M565" s="398">
        <f>IF(ISBLANK(INDEX('Policy Characteristics'!G:G,MATCH($C565,'Policy Characteristics'!$C:$C,0))),"",INDEX('Policy Characteristics'!G:G,MATCH($C565,'Policy Characteristics'!$C:$C,0)))</f>
        <v>1</v>
      </c>
      <c r="N565" s="398">
        <f>IF(ISBLANK(INDEX('Policy Characteristics'!H:H,MATCH($C565,'Policy Characteristics'!$C:$C,0))),"",INDEX('Policy Characteristics'!H:H,MATCH($C565,'Policy Characteristics'!$C:$C,0)))</f>
        <v>0.01</v>
      </c>
      <c r="O565" s="394" t="str">
        <f>IF(ISBLANK(INDEX('Policy Characteristics'!I:I,MATCH($C565,'Policy Characteristics'!$C:$C,0))),"",INDEX('Policy Characteristics'!I:I,MATCH($C565,'Policy Characteristics'!$C:$C,0)))</f>
        <v>% of fuel shifted</v>
      </c>
      <c r="P565" s="394" t="str">
        <f>IF(ISBLANK(INDEX('Policy Characteristics'!J:J,MATCH($C565,'Policy Characteristics'!$C:$C,0))),"",INDEX('Policy Characteristics'!J:J,MATCH($C565,'Policy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5" s="394" t="str">
        <f>IF(ISBLANK(INDEX('Policy Characteristics'!K:K,MATCH($C565,'Policy Characteristics'!$C:$C,0))),"",INDEX('Policy Characteristics'!K:K,MATCH($C565,'Policy Characteristics'!$C:$C,0)))</f>
        <v>industry-ag-main.html#fuel-switching</v>
      </c>
      <c r="R565" s="394" t="str">
        <f>IF(ISBLANK(INDEX('Policy Characteristics'!L:L,MATCH($C565,'Policy Characteristics'!$C:$C,0))),"",INDEX('Policy Characteristics'!L:L,MATCH($C565,'Policy Characteristics'!$C:$C,0)))</f>
        <v>industry-elec-and-hydrogen.html</v>
      </c>
    </row>
    <row r="566" customHeight="1" spans="1:18">
      <c r="A566" s="394" t="str">
        <f>IF(ISBLANK(INDEX('Policy Characteristics'!A:A,MATCH($C566,'Policy Characteristics'!$C:$C,0))),"",INDEX('Policy Characteristics'!A:A,MATCH($C566,'Policy Characteristics'!$C:$C,0)))</f>
        <v>Industry</v>
      </c>
      <c r="B566" s="395" t="str">
        <f>IF(ISBLANK(INDEX('Policy Characteristics'!B:B,MATCH($C566,'Policy Characteristics'!$C:$C,0))),"",INDEX('Policy Characteristics'!B:B,MATCH($C566,'Policy Characteristics'!$C:$C,0)))</f>
        <v>Electrification + Hydrogen (Med &amp; High Temp)</v>
      </c>
      <c r="C566" s="394" t="str">
        <f t="shared" si="33"/>
        <v>Fraction of Med and High Temp Industrial Heat Shifted to Other Fuels</v>
      </c>
      <c r="D566" s="399" t="s">
        <v>760</v>
      </c>
      <c r="E566" s="399" t="s">
        <v>792</v>
      </c>
      <c r="F566" s="366" t="s">
        <v>761</v>
      </c>
      <c r="G566" s="399" t="s">
        <v>793</v>
      </c>
      <c r="H566" s="377">
        <v>1318</v>
      </c>
      <c r="I566" s="396" t="s">
        <v>648</v>
      </c>
      <c r="J566" s="397" t="str">
        <f>IF(ISBLANK(INDEX('Policy Characteristics'!D:D,MATCH($C566,'Policy Characteristics'!$C:$C,0))),"",INDEX('Policy Characteristics'!D:D,MATCH($C566,'Policy Characteristics'!$C:$C,0)))</f>
        <v>Electrification + Hydrogen</v>
      </c>
      <c r="K566" s="394" t="str">
        <f>IF(ISBLANK(INDEX('Policy Characteristics'!E:E,MATCH($C566,'Policy Characteristics'!$C:$C,0))),"",INDEX('Policy Characteristics'!E:E,MATCH($C566,'Policy Characteristics'!$C:$C,0)))</f>
        <v>indst med and high temp fuel type shifting</v>
      </c>
      <c r="L566" s="398">
        <f>IF(ISBLANK(INDEX('Policy Characteristics'!F:F,MATCH($C566,'Policy Characteristics'!$C:$C,0))),"",INDEX('Policy Characteristics'!F:F,MATCH($C566,'Policy Characteristics'!$C:$C,0)))</f>
        <v>0</v>
      </c>
      <c r="M566" s="398">
        <f>IF(ISBLANK(INDEX('Policy Characteristics'!G:G,MATCH($C566,'Policy Characteristics'!$C:$C,0))),"",INDEX('Policy Characteristics'!G:G,MATCH($C566,'Policy Characteristics'!$C:$C,0)))</f>
        <v>1</v>
      </c>
      <c r="N566" s="398">
        <f>IF(ISBLANK(INDEX('Policy Characteristics'!H:H,MATCH($C566,'Policy Characteristics'!$C:$C,0))),"",INDEX('Policy Characteristics'!H:H,MATCH($C566,'Policy Characteristics'!$C:$C,0)))</f>
        <v>0.01</v>
      </c>
      <c r="O566" s="394" t="str">
        <f>IF(ISBLANK(INDEX('Policy Characteristics'!I:I,MATCH($C566,'Policy Characteristics'!$C:$C,0))),"",INDEX('Policy Characteristics'!I:I,MATCH($C566,'Policy Characteristics'!$C:$C,0)))</f>
        <v>% of fuel shifted</v>
      </c>
      <c r="P566" s="394" t="str">
        <f>IF(ISBLANK(INDEX('Policy Characteristics'!J:J,MATCH($C566,'Policy Characteristics'!$C:$C,0))),"",INDEX('Policy Characteristics'!J:J,MATCH($C566,'Policy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6" s="394" t="str">
        <f>IF(ISBLANK(INDEX('Policy Characteristics'!K:K,MATCH($C566,'Policy Characteristics'!$C:$C,0))),"",INDEX('Policy Characteristics'!K:K,MATCH($C566,'Policy Characteristics'!$C:$C,0)))</f>
        <v>industry-ag-main.html#fuel-switching</v>
      </c>
      <c r="R566" s="394" t="str">
        <f>IF(ISBLANK(INDEX('Policy Characteristics'!L:L,MATCH($C566,'Policy Characteristics'!$C:$C,0))),"",INDEX('Policy Characteristics'!L:L,MATCH($C566,'Policy Characteristics'!$C:$C,0)))</f>
        <v>industry-elec-and-hydrogen.html</v>
      </c>
    </row>
    <row r="567" customHeight="1" spans="1:18">
      <c r="A567" s="394" t="str">
        <f>IF(ISBLANK(INDEX('Policy Characteristics'!A:A,MATCH($C567,'Policy Characteristics'!$C:$C,0))),"",INDEX('Policy Characteristics'!A:A,MATCH($C567,'Policy Characteristics'!$C:$C,0)))</f>
        <v>Industry</v>
      </c>
      <c r="B567" s="395" t="str">
        <f>IF(ISBLANK(INDEX('Policy Characteristics'!B:B,MATCH($C567,'Policy Characteristics'!$C:$C,0))),"",INDEX('Policy Characteristics'!B:B,MATCH($C567,'Policy Characteristics'!$C:$C,0)))</f>
        <v>Electrification + Hydrogen (Med &amp; High Temp)</v>
      </c>
      <c r="C567" s="394" t="str">
        <f t="shared" si="33"/>
        <v>Fraction of Med and High Temp Industrial Heat Shifted to Other Fuels</v>
      </c>
      <c r="D567" s="399" t="s">
        <v>760</v>
      </c>
      <c r="E567" s="399" t="s">
        <v>794</v>
      </c>
      <c r="F567" s="366" t="s">
        <v>761</v>
      </c>
      <c r="G567" s="399" t="s">
        <v>795</v>
      </c>
      <c r="H567" s="377">
        <v>1319</v>
      </c>
      <c r="I567" s="396" t="s">
        <v>658</v>
      </c>
      <c r="J567" s="397" t="str">
        <f>IF(ISBLANK(INDEX('Policy Characteristics'!D:D,MATCH($C567,'Policy Characteristics'!$C:$C,0))),"",INDEX('Policy Characteristics'!D:D,MATCH($C567,'Policy Characteristics'!$C:$C,0)))</f>
        <v>Electrification + Hydrogen</v>
      </c>
      <c r="K567" s="394" t="str">
        <f>IF(ISBLANK(INDEX('Policy Characteristics'!E:E,MATCH($C567,'Policy Characteristics'!$C:$C,0))),"",INDEX('Policy Characteristics'!E:E,MATCH($C567,'Policy Characteristics'!$C:$C,0)))</f>
        <v>indst med and high temp fuel type shifting</v>
      </c>
      <c r="L567" s="398">
        <f>IF(ISBLANK(INDEX('Policy Characteristics'!F:F,MATCH($C567,'Policy Characteristics'!$C:$C,0))),"",INDEX('Policy Characteristics'!F:F,MATCH($C567,'Policy Characteristics'!$C:$C,0)))</f>
        <v>0</v>
      </c>
      <c r="M567" s="398">
        <f>IF(ISBLANK(INDEX('Policy Characteristics'!G:G,MATCH($C567,'Policy Characteristics'!$C:$C,0))),"",INDEX('Policy Characteristics'!G:G,MATCH($C567,'Policy Characteristics'!$C:$C,0)))</f>
        <v>1</v>
      </c>
      <c r="N567" s="398">
        <f>IF(ISBLANK(INDEX('Policy Characteristics'!H:H,MATCH($C567,'Policy Characteristics'!$C:$C,0))),"",INDEX('Policy Characteristics'!H:H,MATCH($C567,'Policy Characteristics'!$C:$C,0)))</f>
        <v>0.01</v>
      </c>
      <c r="O567" s="394" t="str">
        <f>IF(ISBLANK(INDEX('Policy Characteristics'!I:I,MATCH($C567,'Policy Characteristics'!$C:$C,0))),"",INDEX('Policy Characteristics'!I:I,MATCH($C567,'Policy Characteristics'!$C:$C,0)))</f>
        <v>% of fuel shifted</v>
      </c>
      <c r="P567" s="394" t="str">
        <f>IF(ISBLANK(INDEX('Policy Characteristics'!J:J,MATCH($C567,'Policy Characteristics'!$C:$C,0))),"",INDEX('Policy Characteristics'!J:J,MATCH($C567,'Policy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7" s="394" t="str">
        <f>IF(ISBLANK(INDEX('Policy Characteristics'!K:K,MATCH($C567,'Policy Characteristics'!$C:$C,0))),"",INDEX('Policy Characteristics'!K:K,MATCH($C567,'Policy Characteristics'!$C:$C,0)))</f>
        <v>industry-ag-main.html#fuel-switching</v>
      </c>
      <c r="R567" s="394" t="str">
        <f>IF(ISBLANK(INDEX('Policy Characteristics'!L:L,MATCH($C567,'Policy Characteristics'!$C:$C,0))),"",INDEX('Policy Characteristics'!L:L,MATCH($C567,'Policy Characteristics'!$C:$C,0)))</f>
        <v>industry-elec-and-hydrogen.html</v>
      </c>
    </row>
    <row r="568" customHeight="1" spans="1:18">
      <c r="A568" s="394" t="str">
        <f>IF(ISBLANK(INDEX('Policy Characteristics'!A:A,MATCH($C568,'Policy Characteristics'!$C:$C,0))),"",INDEX('Policy Characteristics'!A:A,MATCH($C568,'Policy Characteristics'!$C:$C,0)))</f>
        <v>Industry</v>
      </c>
      <c r="B568" s="395" t="str">
        <f>IF(ISBLANK(INDEX('Policy Characteristics'!B:B,MATCH($C568,'Policy Characteristics'!$C:$C,0))),"",INDEX('Policy Characteristics'!B:B,MATCH($C568,'Policy Characteristics'!$C:$C,0)))</f>
        <v>Electrification + Hydrogen (Med &amp; High Temp)</v>
      </c>
      <c r="C568" s="394" t="str">
        <f t="shared" si="33"/>
        <v>Fraction of Med and High Temp Industrial Heat Shifted to Other Fuels</v>
      </c>
      <c r="D568" s="399" t="s">
        <v>760</v>
      </c>
      <c r="E568" s="399" t="s">
        <v>796</v>
      </c>
      <c r="F568" s="366" t="s">
        <v>761</v>
      </c>
      <c r="G568" s="399" t="s">
        <v>797</v>
      </c>
      <c r="H568" s="377">
        <v>1320</v>
      </c>
      <c r="I568" s="396" t="s">
        <v>658</v>
      </c>
      <c r="J568" s="397" t="str">
        <f>IF(ISBLANK(INDEX('Policy Characteristics'!D:D,MATCH($C568,'Policy Characteristics'!$C:$C,0))),"",INDEX('Policy Characteristics'!D:D,MATCH($C568,'Policy Characteristics'!$C:$C,0)))</f>
        <v>Electrification + Hydrogen</v>
      </c>
      <c r="K568" s="394" t="str">
        <f>IF(ISBLANK(INDEX('Policy Characteristics'!E:E,MATCH($C568,'Policy Characteristics'!$C:$C,0))),"",INDEX('Policy Characteristics'!E:E,MATCH($C568,'Policy Characteristics'!$C:$C,0)))</f>
        <v>indst med and high temp fuel type shifting</v>
      </c>
      <c r="L568" s="398">
        <f>IF(ISBLANK(INDEX('Policy Characteristics'!F:F,MATCH($C568,'Policy Characteristics'!$C:$C,0))),"",INDEX('Policy Characteristics'!F:F,MATCH($C568,'Policy Characteristics'!$C:$C,0)))</f>
        <v>0</v>
      </c>
      <c r="M568" s="398">
        <f>IF(ISBLANK(INDEX('Policy Characteristics'!G:G,MATCH($C568,'Policy Characteristics'!$C:$C,0))),"",INDEX('Policy Characteristics'!G:G,MATCH($C568,'Policy Characteristics'!$C:$C,0)))</f>
        <v>1</v>
      </c>
      <c r="N568" s="398">
        <f>IF(ISBLANK(INDEX('Policy Characteristics'!H:H,MATCH($C568,'Policy Characteristics'!$C:$C,0))),"",INDEX('Policy Characteristics'!H:H,MATCH($C568,'Policy Characteristics'!$C:$C,0)))</f>
        <v>0.01</v>
      </c>
      <c r="O568" s="394" t="str">
        <f>IF(ISBLANK(INDEX('Policy Characteristics'!I:I,MATCH($C568,'Policy Characteristics'!$C:$C,0))),"",INDEX('Policy Characteristics'!I:I,MATCH($C568,'Policy Characteristics'!$C:$C,0)))</f>
        <v>% of fuel shifted</v>
      </c>
      <c r="P568" s="394" t="str">
        <f>IF(ISBLANK(INDEX('Policy Characteristics'!J:J,MATCH($C568,'Policy Characteristics'!$C:$C,0))),"",INDEX('Policy Characteristics'!J:J,MATCH($C568,'Policy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8" s="394" t="str">
        <f>IF(ISBLANK(INDEX('Policy Characteristics'!K:K,MATCH($C568,'Policy Characteristics'!$C:$C,0))),"",INDEX('Policy Characteristics'!K:K,MATCH($C568,'Policy Characteristics'!$C:$C,0)))</f>
        <v>industry-ag-main.html#fuel-switching</v>
      </c>
      <c r="R568" s="394" t="str">
        <f>IF(ISBLANK(INDEX('Policy Characteristics'!L:L,MATCH($C568,'Policy Characteristics'!$C:$C,0))),"",INDEX('Policy Characteristics'!L:L,MATCH($C568,'Policy Characteristics'!$C:$C,0)))</f>
        <v>industry-elec-and-hydrogen.html</v>
      </c>
    </row>
    <row r="569" customHeight="1" spans="1:18">
      <c r="A569" s="394" t="str">
        <f>IF(ISBLANK(INDEX('Policy Characteristics'!A:A,MATCH($C569,'Policy Characteristics'!$C:$C,0))),"",INDEX('Policy Characteristics'!A:A,MATCH($C569,'Policy Characteristics'!$C:$C,0)))</f>
        <v>Industry</v>
      </c>
      <c r="B569" s="395" t="str">
        <f>IF(ISBLANK(INDEX('Policy Characteristics'!B:B,MATCH($C569,'Policy Characteristics'!$C:$C,0))),"",INDEX('Policy Characteristics'!B:B,MATCH($C569,'Policy Characteristics'!$C:$C,0)))</f>
        <v>Electrification + Hydrogen (Med &amp; High Temp)</v>
      </c>
      <c r="C569" s="394" t="str">
        <f t="shared" si="33"/>
        <v>Fraction of Med and High Temp Industrial Heat Shifted to Other Fuels</v>
      </c>
      <c r="D569" s="399" t="s">
        <v>760</v>
      </c>
      <c r="E569" s="399" t="s">
        <v>798</v>
      </c>
      <c r="F569" s="366" t="s">
        <v>761</v>
      </c>
      <c r="G569" s="399" t="s">
        <v>799</v>
      </c>
      <c r="H569" s="377">
        <v>1321</v>
      </c>
      <c r="I569" s="396" t="s">
        <v>658</v>
      </c>
      <c r="J569" s="397" t="str">
        <f>IF(ISBLANK(INDEX('Policy Characteristics'!D:D,MATCH($C569,'Policy Characteristics'!$C:$C,0))),"",INDEX('Policy Characteristics'!D:D,MATCH($C569,'Policy Characteristics'!$C:$C,0)))</f>
        <v>Electrification + Hydrogen</v>
      </c>
      <c r="K569" s="394" t="str">
        <f>IF(ISBLANK(INDEX('Policy Characteristics'!E:E,MATCH($C569,'Policy Characteristics'!$C:$C,0))),"",INDEX('Policy Characteristics'!E:E,MATCH($C569,'Policy Characteristics'!$C:$C,0)))</f>
        <v>indst med and high temp fuel type shifting</v>
      </c>
      <c r="L569" s="398">
        <f>IF(ISBLANK(INDEX('Policy Characteristics'!F:F,MATCH($C569,'Policy Characteristics'!$C:$C,0))),"",INDEX('Policy Characteristics'!F:F,MATCH($C569,'Policy Characteristics'!$C:$C,0)))</f>
        <v>0</v>
      </c>
      <c r="M569" s="398">
        <f>IF(ISBLANK(INDEX('Policy Characteristics'!G:G,MATCH($C569,'Policy Characteristics'!$C:$C,0))),"",INDEX('Policy Characteristics'!G:G,MATCH($C569,'Policy Characteristics'!$C:$C,0)))</f>
        <v>1</v>
      </c>
      <c r="N569" s="398">
        <f>IF(ISBLANK(INDEX('Policy Characteristics'!H:H,MATCH($C569,'Policy Characteristics'!$C:$C,0))),"",INDEX('Policy Characteristics'!H:H,MATCH($C569,'Policy Characteristics'!$C:$C,0)))</f>
        <v>0.01</v>
      </c>
      <c r="O569" s="394" t="str">
        <f>IF(ISBLANK(INDEX('Policy Characteristics'!I:I,MATCH($C569,'Policy Characteristics'!$C:$C,0))),"",INDEX('Policy Characteristics'!I:I,MATCH($C569,'Policy Characteristics'!$C:$C,0)))</f>
        <v>% of fuel shifted</v>
      </c>
      <c r="P569" s="394" t="str">
        <f>IF(ISBLANK(INDEX('Policy Characteristics'!J:J,MATCH($C569,'Policy Characteristics'!$C:$C,0))),"",INDEX('Policy Characteristics'!J:J,MATCH($C569,'Policy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9" s="394" t="str">
        <f>IF(ISBLANK(INDEX('Policy Characteristics'!K:K,MATCH($C569,'Policy Characteristics'!$C:$C,0))),"",INDEX('Policy Characteristics'!K:K,MATCH($C569,'Policy Characteristics'!$C:$C,0)))</f>
        <v>industry-ag-main.html#fuel-switching</v>
      </c>
      <c r="R569" s="394" t="str">
        <f>IF(ISBLANK(INDEX('Policy Characteristics'!L:L,MATCH($C569,'Policy Characteristics'!$C:$C,0))),"",INDEX('Policy Characteristics'!L:L,MATCH($C569,'Policy Characteristics'!$C:$C,0)))</f>
        <v>industry-elec-and-hydrogen.html</v>
      </c>
    </row>
    <row r="570" customHeight="1" spans="1:18">
      <c r="A570" s="394" t="str">
        <f>IF(ISBLANK(INDEX('Policy Characteristics'!A:A,MATCH($C570,'Policy Characteristics'!$C:$C,0))),"",INDEX('Policy Characteristics'!A:A,MATCH($C570,'Policy Characteristics'!$C:$C,0)))</f>
        <v>Industry</v>
      </c>
      <c r="B570" s="395" t="str">
        <f>IF(ISBLANK(INDEX('Policy Characteristics'!B:B,MATCH($C570,'Policy Characteristics'!$C:$C,0))),"",INDEX('Policy Characteristics'!B:B,MATCH($C570,'Policy Characteristics'!$C:$C,0)))</f>
        <v>Electrification + Hydrogen (Med &amp; High Temp)</v>
      </c>
      <c r="C570" s="394" t="str">
        <f t="shared" si="33"/>
        <v>Fraction of Med and High Temp Industrial Heat Shifted to Other Fuels</v>
      </c>
      <c r="D570" s="399" t="s">
        <v>760</v>
      </c>
      <c r="E570" s="399" t="s">
        <v>800</v>
      </c>
      <c r="F570" s="366" t="s">
        <v>761</v>
      </c>
      <c r="G570" s="399" t="s">
        <v>801</v>
      </c>
      <c r="H570" s="377">
        <v>1322</v>
      </c>
      <c r="I570" s="396" t="s">
        <v>658</v>
      </c>
      <c r="J570" s="397" t="str">
        <f>IF(ISBLANK(INDEX('Policy Characteristics'!D:D,MATCH($C570,'Policy Characteristics'!$C:$C,0))),"",INDEX('Policy Characteristics'!D:D,MATCH($C570,'Policy Characteristics'!$C:$C,0)))</f>
        <v>Electrification + Hydrogen</v>
      </c>
      <c r="K570" s="394" t="str">
        <f>IF(ISBLANK(INDEX('Policy Characteristics'!E:E,MATCH($C570,'Policy Characteristics'!$C:$C,0))),"",INDEX('Policy Characteristics'!E:E,MATCH($C570,'Policy Characteristics'!$C:$C,0)))</f>
        <v>indst med and high temp fuel type shifting</v>
      </c>
      <c r="L570" s="398">
        <f>IF(ISBLANK(INDEX('Policy Characteristics'!F:F,MATCH($C570,'Policy Characteristics'!$C:$C,0))),"",INDEX('Policy Characteristics'!F:F,MATCH($C570,'Policy Characteristics'!$C:$C,0)))</f>
        <v>0</v>
      </c>
      <c r="M570" s="398">
        <f>IF(ISBLANK(INDEX('Policy Characteristics'!G:G,MATCH($C570,'Policy Characteristics'!$C:$C,0))),"",INDEX('Policy Characteristics'!G:G,MATCH($C570,'Policy Characteristics'!$C:$C,0)))</f>
        <v>1</v>
      </c>
      <c r="N570" s="398">
        <f>IF(ISBLANK(INDEX('Policy Characteristics'!H:H,MATCH($C570,'Policy Characteristics'!$C:$C,0))),"",INDEX('Policy Characteristics'!H:H,MATCH($C570,'Policy Characteristics'!$C:$C,0)))</f>
        <v>0.01</v>
      </c>
      <c r="O570" s="394" t="str">
        <f>IF(ISBLANK(INDEX('Policy Characteristics'!I:I,MATCH($C570,'Policy Characteristics'!$C:$C,0))),"",INDEX('Policy Characteristics'!I:I,MATCH($C570,'Policy Characteristics'!$C:$C,0)))</f>
        <v>% of fuel shifted</v>
      </c>
      <c r="P570" s="394" t="str">
        <f>IF(ISBLANK(INDEX('Policy Characteristics'!J:J,MATCH($C570,'Policy Characteristics'!$C:$C,0))),"",INDEX('Policy Characteristics'!J:J,MATCH($C570,'Policy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0" s="394" t="str">
        <f>IF(ISBLANK(INDEX('Policy Characteristics'!K:K,MATCH($C570,'Policy Characteristics'!$C:$C,0))),"",INDEX('Policy Characteristics'!K:K,MATCH($C570,'Policy Characteristics'!$C:$C,0)))</f>
        <v>industry-ag-main.html#fuel-switching</v>
      </c>
      <c r="R570" s="394" t="str">
        <f>IF(ISBLANK(INDEX('Policy Characteristics'!L:L,MATCH($C570,'Policy Characteristics'!$C:$C,0))),"",INDEX('Policy Characteristics'!L:L,MATCH($C570,'Policy Characteristics'!$C:$C,0)))</f>
        <v>industry-elec-and-hydrogen.html</v>
      </c>
    </row>
    <row r="571" customHeight="1" spans="1:18">
      <c r="A571" s="394" t="str">
        <f>IF(ISBLANK(INDEX('Policy Characteristics'!A:A,MATCH($C571,'Policy Characteristics'!$C:$C,0))),"",INDEX('Policy Characteristics'!A:A,MATCH($C571,'Policy Characteristics'!$C:$C,0)))</f>
        <v>Industry</v>
      </c>
      <c r="B571" s="395" t="str">
        <f>IF(ISBLANK(INDEX('Policy Characteristics'!B:B,MATCH($C571,'Policy Characteristics'!$C:$C,0))),"",INDEX('Policy Characteristics'!B:B,MATCH($C571,'Policy Characteristics'!$C:$C,0)))</f>
        <v>Electrification + Hydrogen (Med &amp; High Temp)</v>
      </c>
      <c r="C571" s="394" t="str">
        <f t="shared" si="33"/>
        <v>Fraction of Med and High Temp Industrial Heat Shifted to Other Fuels</v>
      </c>
      <c r="D571" s="399" t="s">
        <v>760</v>
      </c>
      <c r="E571" s="399" t="s">
        <v>802</v>
      </c>
      <c r="F571" s="366" t="s">
        <v>761</v>
      </c>
      <c r="G571" s="399" t="s">
        <v>803</v>
      </c>
      <c r="H571" s="377">
        <v>1323</v>
      </c>
      <c r="I571" s="396" t="s">
        <v>658</v>
      </c>
      <c r="J571" s="397" t="str">
        <f>IF(ISBLANK(INDEX('Policy Characteristics'!D:D,MATCH($C571,'Policy Characteristics'!$C:$C,0))),"",INDEX('Policy Characteristics'!D:D,MATCH($C571,'Policy Characteristics'!$C:$C,0)))</f>
        <v>Electrification + Hydrogen</v>
      </c>
      <c r="K571" s="394" t="str">
        <f>IF(ISBLANK(INDEX('Policy Characteristics'!E:E,MATCH($C571,'Policy Characteristics'!$C:$C,0))),"",INDEX('Policy Characteristics'!E:E,MATCH($C571,'Policy Characteristics'!$C:$C,0)))</f>
        <v>indst med and high temp fuel type shifting</v>
      </c>
      <c r="L571" s="398">
        <f>IF(ISBLANK(INDEX('Policy Characteristics'!F:F,MATCH($C571,'Policy Characteristics'!$C:$C,0))),"",INDEX('Policy Characteristics'!F:F,MATCH($C571,'Policy Characteristics'!$C:$C,0)))</f>
        <v>0</v>
      </c>
      <c r="M571" s="398">
        <f>IF(ISBLANK(INDEX('Policy Characteristics'!G:G,MATCH($C571,'Policy Characteristics'!$C:$C,0))),"",INDEX('Policy Characteristics'!G:G,MATCH($C571,'Policy Characteristics'!$C:$C,0)))</f>
        <v>1</v>
      </c>
      <c r="N571" s="398">
        <f>IF(ISBLANK(INDEX('Policy Characteristics'!H:H,MATCH($C571,'Policy Characteristics'!$C:$C,0))),"",INDEX('Policy Characteristics'!H:H,MATCH($C571,'Policy Characteristics'!$C:$C,0)))</f>
        <v>0.01</v>
      </c>
      <c r="O571" s="394" t="str">
        <f>IF(ISBLANK(INDEX('Policy Characteristics'!I:I,MATCH($C571,'Policy Characteristics'!$C:$C,0))),"",INDEX('Policy Characteristics'!I:I,MATCH($C571,'Policy Characteristics'!$C:$C,0)))</f>
        <v>% of fuel shifted</v>
      </c>
      <c r="P571" s="394" t="str">
        <f>IF(ISBLANK(INDEX('Policy Characteristics'!J:J,MATCH($C571,'Policy Characteristics'!$C:$C,0))),"",INDEX('Policy Characteristics'!J:J,MATCH($C571,'Policy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1" s="394" t="str">
        <f>IF(ISBLANK(INDEX('Policy Characteristics'!K:K,MATCH($C571,'Policy Characteristics'!$C:$C,0))),"",INDEX('Policy Characteristics'!K:K,MATCH($C571,'Policy Characteristics'!$C:$C,0)))</f>
        <v>industry-ag-main.html#fuel-switching</v>
      </c>
      <c r="R571" s="394" t="str">
        <f>IF(ISBLANK(INDEX('Policy Characteristics'!L:L,MATCH($C571,'Policy Characteristics'!$C:$C,0))),"",INDEX('Policy Characteristics'!L:L,MATCH($C571,'Policy Characteristics'!$C:$C,0)))</f>
        <v>industry-elec-and-hydrogen.html</v>
      </c>
    </row>
    <row r="572" customHeight="1" spans="1:18">
      <c r="A572" s="394" t="str">
        <f>IF(ISBLANK(INDEX('Policy Characteristics'!A:A,MATCH($C572,'Policy Characteristics'!$C:$C,0))),"",INDEX('Policy Characteristics'!A:A,MATCH($C572,'Policy Characteristics'!$C:$C,0)))</f>
        <v>Industry</v>
      </c>
      <c r="B572" s="395" t="str">
        <f>IF(ISBLANK(INDEX('Policy Characteristics'!B:B,MATCH($C572,'Policy Characteristics'!$C:$C,0))),"",INDEX('Policy Characteristics'!B:B,MATCH($C572,'Policy Characteristics'!$C:$C,0)))</f>
        <v>Electrification + Hydrogen (Med &amp; High Temp)</v>
      </c>
      <c r="C572" s="394" t="str">
        <f t="shared" si="33"/>
        <v>Fraction of Med and High Temp Industrial Heat Shifted to Other Fuels</v>
      </c>
      <c r="D572" s="399" t="s">
        <v>760</v>
      </c>
      <c r="E572" s="399" t="s">
        <v>804</v>
      </c>
      <c r="F572" s="366" t="s">
        <v>761</v>
      </c>
      <c r="G572" s="399" t="s">
        <v>805</v>
      </c>
      <c r="H572" s="377">
        <v>1324</v>
      </c>
      <c r="I572" s="396" t="s">
        <v>658</v>
      </c>
      <c r="J572" s="397" t="str">
        <f>IF(ISBLANK(INDEX('Policy Characteristics'!D:D,MATCH($C572,'Policy Characteristics'!$C:$C,0))),"",INDEX('Policy Characteristics'!D:D,MATCH($C572,'Policy Characteristics'!$C:$C,0)))</f>
        <v>Electrification + Hydrogen</v>
      </c>
      <c r="K572" s="394" t="str">
        <f>IF(ISBLANK(INDEX('Policy Characteristics'!E:E,MATCH($C572,'Policy Characteristics'!$C:$C,0))),"",INDEX('Policy Characteristics'!E:E,MATCH($C572,'Policy Characteristics'!$C:$C,0)))</f>
        <v>indst med and high temp fuel type shifting</v>
      </c>
      <c r="L572" s="398">
        <f>IF(ISBLANK(INDEX('Policy Characteristics'!F:F,MATCH($C572,'Policy Characteristics'!$C:$C,0))),"",INDEX('Policy Characteristics'!F:F,MATCH($C572,'Policy Characteristics'!$C:$C,0)))</f>
        <v>0</v>
      </c>
      <c r="M572" s="398">
        <f>IF(ISBLANK(INDEX('Policy Characteristics'!G:G,MATCH($C572,'Policy Characteristics'!$C:$C,0))),"",INDEX('Policy Characteristics'!G:G,MATCH($C572,'Policy Characteristics'!$C:$C,0)))</f>
        <v>1</v>
      </c>
      <c r="N572" s="398">
        <f>IF(ISBLANK(INDEX('Policy Characteristics'!H:H,MATCH($C572,'Policy Characteristics'!$C:$C,0))),"",INDEX('Policy Characteristics'!H:H,MATCH($C572,'Policy Characteristics'!$C:$C,0)))</f>
        <v>0.01</v>
      </c>
      <c r="O572" s="394" t="str">
        <f>IF(ISBLANK(INDEX('Policy Characteristics'!I:I,MATCH($C572,'Policy Characteristics'!$C:$C,0))),"",INDEX('Policy Characteristics'!I:I,MATCH($C572,'Policy Characteristics'!$C:$C,0)))</f>
        <v>% of fuel shifted</v>
      </c>
      <c r="P572" s="394" t="str">
        <f>IF(ISBLANK(INDEX('Policy Characteristics'!J:J,MATCH($C572,'Policy Characteristics'!$C:$C,0))),"",INDEX('Policy Characteristics'!J:J,MATCH($C572,'Policy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2" s="394" t="str">
        <f>IF(ISBLANK(INDEX('Policy Characteristics'!K:K,MATCH($C572,'Policy Characteristics'!$C:$C,0))),"",INDEX('Policy Characteristics'!K:K,MATCH($C572,'Policy Characteristics'!$C:$C,0)))</f>
        <v>industry-ag-main.html#fuel-switching</v>
      </c>
      <c r="R572" s="394" t="str">
        <f>IF(ISBLANK(INDEX('Policy Characteristics'!L:L,MATCH($C572,'Policy Characteristics'!$C:$C,0))),"",INDEX('Policy Characteristics'!L:L,MATCH($C572,'Policy Characteristics'!$C:$C,0)))</f>
        <v>industry-elec-and-hydrogen.html</v>
      </c>
    </row>
    <row r="573" customHeight="1" spans="1:18">
      <c r="A573" s="394" t="str">
        <f>IF(ISBLANK(INDEX('Policy Characteristics'!A:A,MATCH($C573,'Policy Characteristics'!$C:$C,0))),"",INDEX('Policy Characteristics'!A:A,MATCH($C573,'Policy Characteristics'!$C:$C,0)))</f>
        <v>Industry</v>
      </c>
      <c r="B573" s="395" t="str">
        <f>IF(ISBLANK(INDEX('Policy Characteristics'!B:B,MATCH($C573,'Policy Characteristics'!$C:$C,0))),"",INDEX('Policy Characteristics'!B:B,MATCH($C573,'Policy Characteristics'!$C:$C,0)))</f>
        <v>Electrification + Hydrogen (Med &amp; High Temp)</v>
      </c>
      <c r="C573" s="394" t="str">
        <f t="shared" si="33"/>
        <v>Fraction of Med and High Temp Industrial Heat Shifted to Other Fuels</v>
      </c>
      <c r="D573" s="399" t="s">
        <v>760</v>
      </c>
      <c r="E573" s="399" t="s">
        <v>806</v>
      </c>
      <c r="F573" s="366" t="s">
        <v>761</v>
      </c>
      <c r="G573" s="399" t="s">
        <v>807</v>
      </c>
      <c r="H573" s="377">
        <v>1325</v>
      </c>
      <c r="I573" s="396" t="s">
        <v>658</v>
      </c>
      <c r="J573" s="397" t="str">
        <f>IF(ISBLANK(INDEX('Policy Characteristics'!D:D,MATCH($C573,'Policy Characteristics'!$C:$C,0))),"",INDEX('Policy Characteristics'!D:D,MATCH($C573,'Policy Characteristics'!$C:$C,0)))</f>
        <v>Electrification + Hydrogen</v>
      </c>
      <c r="K573" s="394" t="str">
        <f>IF(ISBLANK(INDEX('Policy Characteristics'!E:E,MATCH($C573,'Policy Characteristics'!$C:$C,0))),"",INDEX('Policy Characteristics'!E:E,MATCH($C573,'Policy Characteristics'!$C:$C,0)))</f>
        <v>indst med and high temp fuel type shifting</v>
      </c>
      <c r="L573" s="398">
        <f>IF(ISBLANK(INDEX('Policy Characteristics'!F:F,MATCH($C573,'Policy Characteristics'!$C:$C,0))),"",INDEX('Policy Characteristics'!F:F,MATCH($C573,'Policy Characteristics'!$C:$C,0)))</f>
        <v>0</v>
      </c>
      <c r="M573" s="398">
        <f>IF(ISBLANK(INDEX('Policy Characteristics'!G:G,MATCH($C573,'Policy Characteristics'!$C:$C,0))),"",INDEX('Policy Characteristics'!G:G,MATCH($C573,'Policy Characteristics'!$C:$C,0)))</f>
        <v>1</v>
      </c>
      <c r="N573" s="398">
        <f>IF(ISBLANK(INDEX('Policy Characteristics'!H:H,MATCH($C573,'Policy Characteristics'!$C:$C,0))),"",INDEX('Policy Characteristics'!H:H,MATCH($C573,'Policy Characteristics'!$C:$C,0)))</f>
        <v>0.01</v>
      </c>
      <c r="O573" s="394" t="str">
        <f>IF(ISBLANK(INDEX('Policy Characteristics'!I:I,MATCH($C573,'Policy Characteristics'!$C:$C,0))),"",INDEX('Policy Characteristics'!I:I,MATCH($C573,'Policy Characteristics'!$C:$C,0)))</f>
        <v>% of fuel shifted</v>
      </c>
      <c r="P573" s="394" t="str">
        <f>IF(ISBLANK(INDEX('Policy Characteristics'!J:J,MATCH($C573,'Policy Characteristics'!$C:$C,0))),"",INDEX('Policy Characteristics'!J:J,MATCH($C573,'Policy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3" s="394" t="str">
        <f>IF(ISBLANK(INDEX('Policy Characteristics'!K:K,MATCH($C573,'Policy Characteristics'!$C:$C,0))),"",INDEX('Policy Characteristics'!K:K,MATCH($C573,'Policy Characteristics'!$C:$C,0)))</f>
        <v>industry-ag-main.html#fuel-switching</v>
      </c>
      <c r="R573" s="394" t="str">
        <f>IF(ISBLANK(INDEX('Policy Characteristics'!L:L,MATCH($C573,'Policy Characteristics'!$C:$C,0))),"",INDEX('Policy Characteristics'!L:L,MATCH($C573,'Policy Characteristics'!$C:$C,0)))</f>
        <v>industry-elec-and-hydrogen.html</v>
      </c>
    </row>
    <row r="574" customHeight="1" spans="1:18">
      <c r="A574" s="394" t="str">
        <f>IF(ISBLANK(INDEX('Policy Characteristics'!A:A,MATCH($C574,'Policy Characteristics'!$C:$C,0))),"",INDEX('Policy Characteristics'!A:A,MATCH($C574,'Policy Characteristics'!$C:$C,0)))</f>
        <v>Industry</v>
      </c>
      <c r="B574" s="395" t="str">
        <f>IF(ISBLANK(INDEX('Policy Characteristics'!B:B,MATCH($C574,'Policy Characteristics'!$C:$C,0))),"",INDEX('Policy Characteristics'!B:B,MATCH($C574,'Policy Characteristics'!$C:$C,0)))</f>
        <v>Electrification + Hydrogen (Med &amp; High Temp)</v>
      </c>
      <c r="C574" s="394" t="str">
        <f t="shared" si="33"/>
        <v>Fraction of Med and High Temp Industrial Heat Shifted to Other Fuels</v>
      </c>
      <c r="D574" s="399" t="s">
        <v>760</v>
      </c>
      <c r="E574" s="399" t="s">
        <v>808</v>
      </c>
      <c r="F574" s="366" t="s">
        <v>761</v>
      </c>
      <c r="G574" s="399" t="s">
        <v>809</v>
      </c>
      <c r="H574" s="377">
        <v>1326</v>
      </c>
      <c r="I574" s="396" t="s">
        <v>658</v>
      </c>
      <c r="J574" s="397" t="str">
        <f>IF(ISBLANK(INDEX('Policy Characteristics'!D:D,MATCH($C574,'Policy Characteristics'!$C:$C,0))),"",INDEX('Policy Characteristics'!D:D,MATCH($C574,'Policy Characteristics'!$C:$C,0)))</f>
        <v>Electrification + Hydrogen</v>
      </c>
      <c r="K574" s="394" t="str">
        <f>IF(ISBLANK(INDEX('Policy Characteristics'!E:E,MATCH($C574,'Policy Characteristics'!$C:$C,0))),"",INDEX('Policy Characteristics'!E:E,MATCH($C574,'Policy Characteristics'!$C:$C,0)))</f>
        <v>indst med and high temp fuel type shifting</v>
      </c>
      <c r="L574" s="398">
        <f>IF(ISBLANK(INDEX('Policy Characteristics'!F:F,MATCH($C574,'Policy Characteristics'!$C:$C,0))),"",INDEX('Policy Characteristics'!F:F,MATCH($C574,'Policy Characteristics'!$C:$C,0)))</f>
        <v>0</v>
      </c>
      <c r="M574" s="398">
        <f>IF(ISBLANK(INDEX('Policy Characteristics'!G:G,MATCH($C574,'Policy Characteristics'!$C:$C,0))),"",INDEX('Policy Characteristics'!G:G,MATCH($C574,'Policy Characteristics'!$C:$C,0)))</f>
        <v>1</v>
      </c>
      <c r="N574" s="398">
        <f>IF(ISBLANK(INDEX('Policy Characteristics'!H:H,MATCH($C574,'Policy Characteristics'!$C:$C,0))),"",INDEX('Policy Characteristics'!H:H,MATCH($C574,'Policy Characteristics'!$C:$C,0)))</f>
        <v>0.01</v>
      </c>
      <c r="O574" s="394" t="str">
        <f>IF(ISBLANK(INDEX('Policy Characteristics'!I:I,MATCH($C574,'Policy Characteristics'!$C:$C,0))),"",INDEX('Policy Characteristics'!I:I,MATCH($C574,'Policy Characteristics'!$C:$C,0)))</f>
        <v>% of fuel shifted</v>
      </c>
      <c r="P574" s="394" t="str">
        <f>IF(ISBLANK(INDEX('Policy Characteristics'!J:J,MATCH($C574,'Policy Characteristics'!$C:$C,0))),"",INDEX('Policy Characteristics'!J:J,MATCH($C574,'Policy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4" s="394" t="str">
        <f>IF(ISBLANK(INDEX('Policy Characteristics'!K:K,MATCH($C574,'Policy Characteristics'!$C:$C,0))),"",INDEX('Policy Characteristics'!K:K,MATCH($C574,'Policy Characteristics'!$C:$C,0)))</f>
        <v>industry-ag-main.html#fuel-switching</v>
      </c>
      <c r="R574" s="394" t="str">
        <f>IF(ISBLANK(INDEX('Policy Characteristics'!L:L,MATCH($C574,'Policy Characteristics'!$C:$C,0))),"",INDEX('Policy Characteristics'!L:L,MATCH($C574,'Policy Characteristics'!$C:$C,0)))</f>
        <v>industry-elec-and-hydrogen.html</v>
      </c>
    </row>
    <row r="575" customHeight="1" spans="1:18">
      <c r="A575" s="394" t="str">
        <f>IF(ISBLANK(INDEX('Policy Characteristics'!A:A,MATCH($C575,'Policy Characteristics'!$C:$C,0))),"",INDEX('Policy Characteristics'!A:A,MATCH($C575,'Policy Characteristics'!$C:$C,0)))</f>
        <v>Industry</v>
      </c>
      <c r="B575" s="395" t="str">
        <f>IF(ISBLANK(INDEX('Policy Characteristics'!B:B,MATCH($C575,'Policy Characteristics'!$C:$C,0))),"",INDEX('Policy Characteristics'!B:B,MATCH($C575,'Policy Characteristics'!$C:$C,0)))</f>
        <v>Electrification + Hydrogen (Med &amp; High Temp)</v>
      </c>
      <c r="C575" s="394" t="str">
        <f t="shared" si="33"/>
        <v>Fraction of Med and High Temp Industrial Heat Shifted to Other Fuels</v>
      </c>
      <c r="D575" s="399" t="s">
        <v>760</v>
      </c>
      <c r="E575" s="399" t="s">
        <v>810</v>
      </c>
      <c r="F575" s="366" t="s">
        <v>761</v>
      </c>
      <c r="G575" s="399" t="s">
        <v>811</v>
      </c>
      <c r="H575" s="377">
        <v>1327</v>
      </c>
      <c r="I575" s="396" t="s">
        <v>648</v>
      </c>
      <c r="J575" s="397" t="str">
        <f>IF(ISBLANK(INDEX('Policy Characteristics'!D:D,MATCH($C575,'Policy Characteristics'!$C:$C,0))),"",INDEX('Policy Characteristics'!D:D,MATCH($C575,'Policy Characteristics'!$C:$C,0)))</f>
        <v>Electrification + Hydrogen</v>
      </c>
      <c r="K575" s="394" t="str">
        <f>IF(ISBLANK(INDEX('Policy Characteristics'!E:E,MATCH($C575,'Policy Characteristics'!$C:$C,0))),"",INDEX('Policy Characteristics'!E:E,MATCH($C575,'Policy Characteristics'!$C:$C,0)))</f>
        <v>indst med and high temp fuel type shifting</v>
      </c>
      <c r="L575" s="398">
        <f>IF(ISBLANK(INDEX('Policy Characteristics'!F:F,MATCH($C575,'Policy Characteristics'!$C:$C,0))),"",INDEX('Policy Characteristics'!F:F,MATCH($C575,'Policy Characteristics'!$C:$C,0)))</f>
        <v>0</v>
      </c>
      <c r="M575" s="398">
        <f>IF(ISBLANK(INDEX('Policy Characteristics'!G:G,MATCH($C575,'Policy Characteristics'!$C:$C,0))),"",INDEX('Policy Characteristics'!G:G,MATCH($C575,'Policy Characteristics'!$C:$C,0)))</f>
        <v>1</v>
      </c>
      <c r="N575" s="398">
        <f>IF(ISBLANK(INDEX('Policy Characteristics'!H:H,MATCH($C575,'Policy Characteristics'!$C:$C,0))),"",INDEX('Policy Characteristics'!H:H,MATCH($C575,'Policy Characteristics'!$C:$C,0)))</f>
        <v>0.01</v>
      </c>
      <c r="O575" s="394" t="str">
        <f>IF(ISBLANK(INDEX('Policy Characteristics'!I:I,MATCH($C575,'Policy Characteristics'!$C:$C,0))),"",INDEX('Policy Characteristics'!I:I,MATCH($C575,'Policy Characteristics'!$C:$C,0)))</f>
        <v>% of fuel shifted</v>
      </c>
      <c r="P575" s="394" t="str">
        <f>IF(ISBLANK(INDEX('Policy Characteristics'!J:J,MATCH($C575,'Policy Characteristics'!$C:$C,0))),"",INDEX('Policy Characteristics'!J:J,MATCH($C575,'Policy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5" s="394" t="str">
        <f>IF(ISBLANK(INDEX('Policy Characteristics'!K:K,MATCH($C575,'Policy Characteristics'!$C:$C,0))),"",INDEX('Policy Characteristics'!K:K,MATCH($C575,'Policy Characteristics'!$C:$C,0)))</f>
        <v>industry-ag-main.html#fuel-switching</v>
      </c>
      <c r="R575" s="394" t="str">
        <f>IF(ISBLANK(INDEX('Policy Characteristics'!L:L,MATCH($C575,'Policy Characteristics'!$C:$C,0))),"",INDEX('Policy Characteristics'!L:L,MATCH($C575,'Policy Characteristics'!$C:$C,0)))</f>
        <v>industry-elec-and-hydrogen.html</v>
      </c>
    </row>
    <row r="576" customHeight="1" spans="1:18">
      <c r="A576" s="394" t="str">
        <f>IF(ISBLANK(INDEX('Policy Characteristics'!A:A,MATCH($C576,'Policy Characteristics'!$C:$C,0))),"",INDEX('Policy Characteristics'!A:A,MATCH($C576,'Policy Characteristics'!$C:$C,0)))</f>
        <v>Industry</v>
      </c>
      <c r="B576" s="395" t="str">
        <f>IF(ISBLANK(INDEX('Policy Characteristics'!B:B,MATCH($C576,'Policy Characteristics'!$C:$C,0))),"",INDEX('Policy Characteristics'!B:B,MATCH($C576,'Policy Characteristics'!$C:$C,0)))</f>
        <v>Electrification + Hydrogen (Med &amp; High Temp)</v>
      </c>
      <c r="C576" s="394" t="str">
        <f t="shared" si="33"/>
        <v>Fraction of Med and High Temp Industrial Heat Shifted to Other Fuels</v>
      </c>
      <c r="D576" s="399" t="s">
        <v>762</v>
      </c>
      <c r="E576" s="399" t="s">
        <v>792</v>
      </c>
      <c r="F576" s="366" t="s">
        <v>763</v>
      </c>
      <c r="G576" s="399" t="s">
        <v>793</v>
      </c>
      <c r="H576" s="377">
        <v>1328</v>
      </c>
      <c r="I576" s="396" t="s">
        <v>648</v>
      </c>
      <c r="J576" s="397" t="str">
        <f>IF(ISBLANK(INDEX('Policy Characteristics'!D:D,MATCH($C576,'Policy Characteristics'!$C:$C,0))),"",INDEX('Policy Characteristics'!D:D,MATCH($C576,'Policy Characteristics'!$C:$C,0)))</f>
        <v>Electrification + Hydrogen</v>
      </c>
      <c r="K576" s="394" t="str">
        <f>IF(ISBLANK(INDEX('Policy Characteristics'!E:E,MATCH($C576,'Policy Characteristics'!$C:$C,0))),"",INDEX('Policy Characteristics'!E:E,MATCH($C576,'Policy Characteristics'!$C:$C,0)))</f>
        <v>indst med and high temp fuel type shifting</v>
      </c>
      <c r="L576" s="398">
        <f>IF(ISBLANK(INDEX('Policy Characteristics'!F:F,MATCH($C576,'Policy Characteristics'!$C:$C,0))),"",INDEX('Policy Characteristics'!F:F,MATCH($C576,'Policy Characteristics'!$C:$C,0)))</f>
        <v>0</v>
      </c>
      <c r="M576" s="398">
        <f>IF(ISBLANK(INDEX('Policy Characteristics'!G:G,MATCH($C576,'Policy Characteristics'!$C:$C,0))),"",INDEX('Policy Characteristics'!G:G,MATCH($C576,'Policy Characteristics'!$C:$C,0)))</f>
        <v>1</v>
      </c>
      <c r="N576" s="398">
        <f>IF(ISBLANK(INDEX('Policy Characteristics'!H:H,MATCH($C576,'Policy Characteristics'!$C:$C,0))),"",INDEX('Policy Characteristics'!H:H,MATCH($C576,'Policy Characteristics'!$C:$C,0)))</f>
        <v>0.01</v>
      </c>
      <c r="O576" s="394" t="str">
        <f>IF(ISBLANK(INDEX('Policy Characteristics'!I:I,MATCH($C576,'Policy Characteristics'!$C:$C,0))),"",INDEX('Policy Characteristics'!I:I,MATCH($C576,'Policy Characteristics'!$C:$C,0)))</f>
        <v>% of fuel shifted</v>
      </c>
      <c r="P576" s="394" t="str">
        <f>IF(ISBLANK(INDEX('Policy Characteristics'!J:J,MATCH($C576,'Policy Characteristics'!$C:$C,0))),"",INDEX('Policy Characteristics'!J:J,MATCH($C576,'Policy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6" s="394" t="str">
        <f>IF(ISBLANK(INDEX('Policy Characteristics'!K:K,MATCH($C576,'Policy Characteristics'!$C:$C,0))),"",INDEX('Policy Characteristics'!K:K,MATCH($C576,'Policy Characteristics'!$C:$C,0)))</f>
        <v>industry-ag-main.html#fuel-switching</v>
      </c>
      <c r="R576" s="394" t="str">
        <f>IF(ISBLANK(INDEX('Policy Characteristics'!L:L,MATCH($C576,'Policy Characteristics'!$C:$C,0))),"",INDEX('Policy Characteristics'!L:L,MATCH($C576,'Policy Characteristics'!$C:$C,0)))</f>
        <v>industry-elec-and-hydrogen.html</v>
      </c>
    </row>
    <row r="577" customHeight="1" spans="1:18">
      <c r="A577" s="394" t="str">
        <f>IF(ISBLANK(INDEX('Policy Characteristics'!A:A,MATCH($C577,'Policy Characteristics'!$C:$C,0))),"",INDEX('Policy Characteristics'!A:A,MATCH($C577,'Policy Characteristics'!$C:$C,0)))</f>
        <v>Industry</v>
      </c>
      <c r="B577" s="395" t="str">
        <f>IF(ISBLANK(INDEX('Policy Characteristics'!B:B,MATCH($C577,'Policy Characteristics'!$C:$C,0))),"",INDEX('Policy Characteristics'!B:B,MATCH($C577,'Policy Characteristics'!$C:$C,0)))</f>
        <v>Electrification + Hydrogen (Med &amp; High Temp)</v>
      </c>
      <c r="C577" s="394" t="str">
        <f t="shared" si="33"/>
        <v>Fraction of Med and High Temp Industrial Heat Shifted to Other Fuels</v>
      </c>
      <c r="D577" s="399" t="s">
        <v>762</v>
      </c>
      <c r="E577" s="399" t="s">
        <v>794</v>
      </c>
      <c r="F577" s="366" t="s">
        <v>763</v>
      </c>
      <c r="G577" s="399" t="s">
        <v>795</v>
      </c>
      <c r="H577" s="377">
        <v>1329</v>
      </c>
      <c r="I577" s="396" t="s">
        <v>658</v>
      </c>
      <c r="J577" s="397" t="str">
        <f>IF(ISBLANK(INDEX('Policy Characteristics'!D:D,MATCH($C577,'Policy Characteristics'!$C:$C,0))),"",INDEX('Policy Characteristics'!D:D,MATCH($C577,'Policy Characteristics'!$C:$C,0)))</f>
        <v>Electrification + Hydrogen</v>
      </c>
      <c r="K577" s="394" t="str">
        <f>IF(ISBLANK(INDEX('Policy Characteristics'!E:E,MATCH($C577,'Policy Characteristics'!$C:$C,0))),"",INDEX('Policy Characteristics'!E:E,MATCH($C577,'Policy Characteristics'!$C:$C,0)))</f>
        <v>indst med and high temp fuel type shifting</v>
      </c>
      <c r="L577" s="398">
        <f>IF(ISBLANK(INDEX('Policy Characteristics'!F:F,MATCH($C577,'Policy Characteristics'!$C:$C,0))),"",INDEX('Policy Characteristics'!F:F,MATCH($C577,'Policy Characteristics'!$C:$C,0)))</f>
        <v>0</v>
      </c>
      <c r="M577" s="398">
        <f>IF(ISBLANK(INDEX('Policy Characteristics'!G:G,MATCH($C577,'Policy Characteristics'!$C:$C,0))),"",INDEX('Policy Characteristics'!G:G,MATCH($C577,'Policy Characteristics'!$C:$C,0)))</f>
        <v>1</v>
      </c>
      <c r="N577" s="398">
        <f>IF(ISBLANK(INDEX('Policy Characteristics'!H:H,MATCH($C577,'Policy Characteristics'!$C:$C,0))),"",INDEX('Policy Characteristics'!H:H,MATCH($C577,'Policy Characteristics'!$C:$C,0)))</f>
        <v>0.01</v>
      </c>
      <c r="O577" s="394" t="str">
        <f>IF(ISBLANK(INDEX('Policy Characteristics'!I:I,MATCH($C577,'Policy Characteristics'!$C:$C,0))),"",INDEX('Policy Characteristics'!I:I,MATCH($C577,'Policy Characteristics'!$C:$C,0)))</f>
        <v>% of fuel shifted</v>
      </c>
      <c r="P577" s="394" t="str">
        <f>IF(ISBLANK(INDEX('Policy Characteristics'!J:J,MATCH($C577,'Policy Characteristics'!$C:$C,0))),"",INDEX('Policy Characteristics'!J:J,MATCH($C577,'Policy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7" s="394" t="str">
        <f>IF(ISBLANK(INDEX('Policy Characteristics'!K:K,MATCH($C577,'Policy Characteristics'!$C:$C,0))),"",INDEX('Policy Characteristics'!K:K,MATCH($C577,'Policy Characteristics'!$C:$C,0)))</f>
        <v>industry-ag-main.html#fuel-switching</v>
      </c>
      <c r="R577" s="394" t="str">
        <f>IF(ISBLANK(INDEX('Policy Characteristics'!L:L,MATCH($C577,'Policy Characteristics'!$C:$C,0))),"",INDEX('Policy Characteristics'!L:L,MATCH($C577,'Policy Characteristics'!$C:$C,0)))</f>
        <v>industry-elec-and-hydrogen.html</v>
      </c>
    </row>
    <row r="578" customHeight="1" spans="1:18">
      <c r="A578" s="394" t="str">
        <f>IF(ISBLANK(INDEX('Policy Characteristics'!A:A,MATCH($C578,'Policy Characteristics'!$C:$C,0))),"",INDEX('Policy Characteristics'!A:A,MATCH($C578,'Policy Characteristics'!$C:$C,0)))</f>
        <v>Industry</v>
      </c>
      <c r="B578" s="395" t="str">
        <f>IF(ISBLANK(INDEX('Policy Characteristics'!B:B,MATCH($C578,'Policy Characteristics'!$C:$C,0))),"",INDEX('Policy Characteristics'!B:B,MATCH($C578,'Policy Characteristics'!$C:$C,0)))</f>
        <v>Electrification + Hydrogen (Med &amp; High Temp)</v>
      </c>
      <c r="C578" s="394" t="str">
        <f t="shared" si="33"/>
        <v>Fraction of Med and High Temp Industrial Heat Shifted to Other Fuels</v>
      </c>
      <c r="D578" s="399" t="s">
        <v>762</v>
      </c>
      <c r="E578" s="399" t="s">
        <v>796</v>
      </c>
      <c r="F578" s="366" t="s">
        <v>763</v>
      </c>
      <c r="G578" s="399" t="s">
        <v>797</v>
      </c>
      <c r="H578" s="377">
        <v>1330</v>
      </c>
      <c r="I578" s="396" t="s">
        <v>658</v>
      </c>
      <c r="J578" s="397" t="str">
        <f>IF(ISBLANK(INDEX('Policy Characteristics'!D:D,MATCH($C578,'Policy Characteristics'!$C:$C,0))),"",INDEX('Policy Characteristics'!D:D,MATCH($C578,'Policy Characteristics'!$C:$C,0)))</f>
        <v>Electrification + Hydrogen</v>
      </c>
      <c r="K578" s="394" t="str">
        <f>IF(ISBLANK(INDEX('Policy Characteristics'!E:E,MATCH($C578,'Policy Characteristics'!$C:$C,0))),"",INDEX('Policy Characteristics'!E:E,MATCH($C578,'Policy Characteristics'!$C:$C,0)))</f>
        <v>indst med and high temp fuel type shifting</v>
      </c>
      <c r="L578" s="398">
        <f>IF(ISBLANK(INDEX('Policy Characteristics'!F:F,MATCH($C578,'Policy Characteristics'!$C:$C,0))),"",INDEX('Policy Characteristics'!F:F,MATCH($C578,'Policy Characteristics'!$C:$C,0)))</f>
        <v>0</v>
      </c>
      <c r="M578" s="398">
        <f>IF(ISBLANK(INDEX('Policy Characteristics'!G:G,MATCH($C578,'Policy Characteristics'!$C:$C,0))),"",INDEX('Policy Characteristics'!G:G,MATCH($C578,'Policy Characteristics'!$C:$C,0)))</f>
        <v>1</v>
      </c>
      <c r="N578" s="398">
        <f>IF(ISBLANK(INDEX('Policy Characteristics'!H:H,MATCH($C578,'Policy Characteristics'!$C:$C,0))),"",INDEX('Policy Characteristics'!H:H,MATCH($C578,'Policy Characteristics'!$C:$C,0)))</f>
        <v>0.01</v>
      </c>
      <c r="O578" s="394" t="str">
        <f>IF(ISBLANK(INDEX('Policy Characteristics'!I:I,MATCH($C578,'Policy Characteristics'!$C:$C,0))),"",INDEX('Policy Characteristics'!I:I,MATCH($C578,'Policy Characteristics'!$C:$C,0)))</f>
        <v>% of fuel shifted</v>
      </c>
      <c r="P578" s="394" t="str">
        <f>IF(ISBLANK(INDEX('Policy Characteristics'!J:J,MATCH($C578,'Policy Characteristics'!$C:$C,0))),"",INDEX('Policy Characteristics'!J:J,MATCH($C578,'Policy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8" s="394" t="str">
        <f>IF(ISBLANK(INDEX('Policy Characteristics'!K:K,MATCH($C578,'Policy Characteristics'!$C:$C,0))),"",INDEX('Policy Characteristics'!K:K,MATCH($C578,'Policy Characteristics'!$C:$C,0)))</f>
        <v>industry-ag-main.html#fuel-switching</v>
      </c>
      <c r="R578" s="394" t="str">
        <f>IF(ISBLANK(INDEX('Policy Characteristics'!L:L,MATCH($C578,'Policy Characteristics'!$C:$C,0))),"",INDEX('Policy Characteristics'!L:L,MATCH($C578,'Policy Characteristics'!$C:$C,0)))</f>
        <v>industry-elec-and-hydrogen.html</v>
      </c>
    </row>
    <row r="579" customHeight="1" spans="1:18">
      <c r="A579" s="394" t="str">
        <f>IF(ISBLANK(INDEX('Policy Characteristics'!A:A,MATCH($C579,'Policy Characteristics'!$C:$C,0))),"",INDEX('Policy Characteristics'!A:A,MATCH($C579,'Policy Characteristics'!$C:$C,0)))</f>
        <v>Industry</v>
      </c>
      <c r="B579" s="395" t="str">
        <f>IF(ISBLANK(INDEX('Policy Characteristics'!B:B,MATCH($C579,'Policy Characteristics'!$C:$C,0))),"",INDEX('Policy Characteristics'!B:B,MATCH($C579,'Policy Characteristics'!$C:$C,0)))</f>
        <v>Electrification + Hydrogen (Med &amp; High Temp)</v>
      </c>
      <c r="C579" s="394" t="str">
        <f t="shared" si="33"/>
        <v>Fraction of Med and High Temp Industrial Heat Shifted to Other Fuels</v>
      </c>
      <c r="D579" s="399" t="s">
        <v>762</v>
      </c>
      <c r="E579" s="399" t="s">
        <v>798</v>
      </c>
      <c r="F579" s="366" t="s">
        <v>763</v>
      </c>
      <c r="G579" s="399" t="s">
        <v>799</v>
      </c>
      <c r="H579" s="377">
        <v>1331</v>
      </c>
      <c r="I579" s="396" t="s">
        <v>658</v>
      </c>
      <c r="J579" s="397" t="str">
        <f>IF(ISBLANK(INDEX('Policy Characteristics'!D:D,MATCH($C579,'Policy Characteristics'!$C:$C,0))),"",INDEX('Policy Characteristics'!D:D,MATCH($C579,'Policy Characteristics'!$C:$C,0)))</f>
        <v>Electrification + Hydrogen</v>
      </c>
      <c r="K579" s="394" t="str">
        <f>IF(ISBLANK(INDEX('Policy Characteristics'!E:E,MATCH($C579,'Policy Characteristics'!$C:$C,0))),"",INDEX('Policy Characteristics'!E:E,MATCH($C579,'Policy Characteristics'!$C:$C,0)))</f>
        <v>indst med and high temp fuel type shifting</v>
      </c>
      <c r="L579" s="398">
        <f>IF(ISBLANK(INDEX('Policy Characteristics'!F:F,MATCH($C579,'Policy Characteristics'!$C:$C,0))),"",INDEX('Policy Characteristics'!F:F,MATCH($C579,'Policy Characteristics'!$C:$C,0)))</f>
        <v>0</v>
      </c>
      <c r="M579" s="398">
        <f>IF(ISBLANK(INDEX('Policy Characteristics'!G:G,MATCH($C579,'Policy Characteristics'!$C:$C,0))),"",INDEX('Policy Characteristics'!G:G,MATCH($C579,'Policy Characteristics'!$C:$C,0)))</f>
        <v>1</v>
      </c>
      <c r="N579" s="398">
        <f>IF(ISBLANK(INDEX('Policy Characteristics'!H:H,MATCH($C579,'Policy Characteristics'!$C:$C,0))),"",INDEX('Policy Characteristics'!H:H,MATCH($C579,'Policy Characteristics'!$C:$C,0)))</f>
        <v>0.01</v>
      </c>
      <c r="O579" s="394" t="str">
        <f>IF(ISBLANK(INDEX('Policy Characteristics'!I:I,MATCH($C579,'Policy Characteristics'!$C:$C,0))),"",INDEX('Policy Characteristics'!I:I,MATCH($C579,'Policy Characteristics'!$C:$C,0)))</f>
        <v>% of fuel shifted</v>
      </c>
      <c r="P579" s="394" t="str">
        <f>IF(ISBLANK(INDEX('Policy Characteristics'!J:J,MATCH($C579,'Policy Characteristics'!$C:$C,0))),"",INDEX('Policy Characteristics'!J:J,MATCH($C579,'Policy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9" s="394" t="str">
        <f>IF(ISBLANK(INDEX('Policy Characteristics'!K:K,MATCH($C579,'Policy Characteristics'!$C:$C,0))),"",INDEX('Policy Characteristics'!K:K,MATCH($C579,'Policy Characteristics'!$C:$C,0)))</f>
        <v>industry-ag-main.html#fuel-switching</v>
      </c>
      <c r="R579" s="394" t="str">
        <f>IF(ISBLANK(INDEX('Policy Characteristics'!L:L,MATCH($C579,'Policy Characteristics'!$C:$C,0))),"",INDEX('Policy Characteristics'!L:L,MATCH($C579,'Policy Characteristics'!$C:$C,0)))</f>
        <v>industry-elec-and-hydrogen.html</v>
      </c>
    </row>
    <row r="580" customHeight="1" spans="1:18">
      <c r="A580" s="394" t="str">
        <f>IF(ISBLANK(INDEX('Policy Characteristics'!A:A,MATCH($C580,'Policy Characteristics'!$C:$C,0))),"",INDEX('Policy Characteristics'!A:A,MATCH($C580,'Policy Characteristics'!$C:$C,0)))</f>
        <v>Industry</v>
      </c>
      <c r="B580" s="395" t="str">
        <f>IF(ISBLANK(INDEX('Policy Characteristics'!B:B,MATCH($C580,'Policy Characteristics'!$C:$C,0))),"",INDEX('Policy Characteristics'!B:B,MATCH($C580,'Policy Characteristics'!$C:$C,0)))</f>
        <v>Electrification + Hydrogen (Med &amp; High Temp)</v>
      </c>
      <c r="C580" s="394" t="str">
        <f t="shared" si="33"/>
        <v>Fraction of Med and High Temp Industrial Heat Shifted to Other Fuels</v>
      </c>
      <c r="D580" s="399" t="s">
        <v>762</v>
      </c>
      <c r="E580" s="399" t="s">
        <v>800</v>
      </c>
      <c r="F580" s="366" t="s">
        <v>763</v>
      </c>
      <c r="G580" s="399" t="s">
        <v>801</v>
      </c>
      <c r="H580" s="377">
        <v>1332</v>
      </c>
      <c r="I580" s="396" t="s">
        <v>658</v>
      </c>
      <c r="J580" s="397" t="str">
        <f>IF(ISBLANK(INDEX('Policy Characteristics'!D:D,MATCH($C580,'Policy Characteristics'!$C:$C,0))),"",INDEX('Policy Characteristics'!D:D,MATCH($C580,'Policy Characteristics'!$C:$C,0)))</f>
        <v>Electrification + Hydrogen</v>
      </c>
      <c r="K580" s="394" t="str">
        <f>IF(ISBLANK(INDEX('Policy Characteristics'!E:E,MATCH($C580,'Policy Characteristics'!$C:$C,0))),"",INDEX('Policy Characteristics'!E:E,MATCH($C580,'Policy Characteristics'!$C:$C,0)))</f>
        <v>indst med and high temp fuel type shifting</v>
      </c>
      <c r="L580" s="398">
        <f>IF(ISBLANK(INDEX('Policy Characteristics'!F:F,MATCH($C580,'Policy Characteristics'!$C:$C,0))),"",INDEX('Policy Characteristics'!F:F,MATCH($C580,'Policy Characteristics'!$C:$C,0)))</f>
        <v>0</v>
      </c>
      <c r="M580" s="398">
        <f>IF(ISBLANK(INDEX('Policy Characteristics'!G:G,MATCH($C580,'Policy Characteristics'!$C:$C,0))),"",INDEX('Policy Characteristics'!G:G,MATCH($C580,'Policy Characteristics'!$C:$C,0)))</f>
        <v>1</v>
      </c>
      <c r="N580" s="398">
        <f>IF(ISBLANK(INDEX('Policy Characteristics'!H:H,MATCH($C580,'Policy Characteristics'!$C:$C,0))),"",INDEX('Policy Characteristics'!H:H,MATCH($C580,'Policy Characteristics'!$C:$C,0)))</f>
        <v>0.01</v>
      </c>
      <c r="O580" s="394" t="str">
        <f>IF(ISBLANK(INDEX('Policy Characteristics'!I:I,MATCH($C580,'Policy Characteristics'!$C:$C,0))),"",INDEX('Policy Characteristics'!I:I,MATCH($C580,'Policy Characteristics'!$C:$C,0)))</f>
        <v>% of fuel shifted</v>
      </c>
      <c r="P580" s="394" t="str">
        <f>IF(ISBLANK(INDEX('Policy Characteristics'!J:J,MATCH($C580,'Policy Characteristics'!$C:$C,0))),"",INDEX('Policy Characteristics'!J:J,MATCH($C580,'Policy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0" s="394" t="str">
        <f>IF(ISBLANK(INDEX('Policy Characteristics'!K:K,MATCH($C580,'Policy Characteristics'!$C:$C,0))),"",INDEX('Policy Characteristics'!K:K,MATCH($C580,'Policy Characteristics'!$C:$C,0)))</f>
        <v>industry-ag-main.html#fuel-switching</v>
      </c>
      <c r="R580" s="394" t="str">
        <f>IF(ISBLANK(INDEX('Policy Characteristics'!L:L,MATCH($C580,'Policy Characteristics'!$C:$C,0))),"",INDEX('Policy Characteristics'!L:L,MATCH($C580,'Policy Characteristics'!$C:$C,0)))</f>
        <v>industry-elec-and-hydrogen.html</v>
      </c>
    </row>
    <row r="581" customHeight="1" spans="1:18">
      <c r="A581" s="394" t="str">
        <f>IF(ISBLANK(INDEX('Policy Characteristics'!A:A,MATCH($C581,'Policy Characteristics'!$C:$C,0))),"",INDEX('Policy Characteristics'!A:A,MATCH($C581,'Policy Characteristics'!$C:$C,0)))</f>
        <v>Industry</v>
      </c>
      <c r="B581" s="395" t="str">
        <f>IF(ISBLANK(INDEX('Policy Characteristics'!B:B,MATCH($C581,'Policy Characteristics'!$C:$C,0))),"",INDEX('Policy Characteristics'!B:B,MATCH($C581,'Policy Characteristics'!$C:$C,0)))</f>
        <v>Electrification + Hydrogen (Med &amp; High Temp)</v>
      </c>
      <c r="C581" s="394" t="str">
        <f t="shared" si="33"/>
        <v>Fraction of Med and High Temp Industrial Heat Shifted to Other Fuels</v>
      </c>
      <c r="D581" s="399" t="s">
        <v>762</v>
      </c>
      <c r="E581" s="399" t="s">
        <v>802</v>
      </c>
      <c r="F581" s="366" t="s">
        <v>763</v>
      </c>
      <c r="G581" s="399" t="s">
        <v>803</v>
      </c>
      <c r="H581" s="377">
        <v>1333</v>
      </c>
      <c r="I581" s="396" t="s">
        <v>658</v>
      </c>
      <c r="J581" s="397" t="str">
        <f>IF(ISBLANK(INDEX('Policy Characteristics'!D:D,MATCH($C581,'Policy Characteristics'!$C:$C,0))),"",INDEX('Policy Characteristics'!D:D,MATCH($C581,'Policy Characteristics'!$C:$C,0)))</f>
        <v>Electrification + Hydrogen</v>
      </c>
      <c r="K581" s="394" t="str">
        <f>IF(ISBLANK(INDEX('Policy Characteristics'!E:E,MATCH($C581,'Policy Characteristics'!$C:$C,0))),"",INDEX('Policy Characteristics'!E:E,MATCH($C581,'Policy Characteristics'!$C:$C,0)))</f>
        <v>indst med and high temp fuel type shifting</v>
      </c>
      <c r="L581" s="398">
        <f>IF(ISBLANK(INDEX('Policy Characteristics'!F:F,MATCH($C581,'Policy Characteristics'!$C:$C,0))),"",INDEX('Policy Characteristics'!F:F,MATCH($C581,'Policy Characteristics'!$C:$C,0)))</f>
        <v>0</v>
      </c>
      <c r="M581" s="398">
        <f>IF(ISBLANK(INDEX('Policy Characteristics'!G:G,MATCH($C581,'Policy Characteristics'!$C:$C,0))),"",INDEX('Policy Characteristics'!G:G,MATCH($C581,'Policy Characteristics'!$C:$C,0)))</f>
        <v>1</v>
      </c>
      <c r="N581" s="398">
        <f>IF(ISBLANK(INDEX('Policy Characteristics'!H:H,MATCH($C581,'Policy Characteristics'!$C:$C,0))),"",INDEX('Policy Characteristics'!H:H,MATCH($C581,'Policy Characteristics'!$C:$C,0)))</f>
        <v>0.01</v>
      </c>
      <c r="O581" s="394" t="str">
        <f>IF(ISBLANK(INDEX('Policy Characteristics'!I:I,MATCH($C581,'Policy Characteristics'!$C:$C,0))),"",INDEX('Policy Characteristics'!I:I,MATCH($C581,'Policy Characteristics'!$C:$C,0)))</f>
        <v>% of fuel shifted</v>
      </c>
      <c r="P581" s="394" t="str">
        <f>IF(ISBLANK(INDEX('Policy Characteristics'!J:J,MATCH($C581,'Policy Characteristics'!$C:$C,0))),"",INDEX('Policy Characteristics'!J:J,MATCH($C581,'Policy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1" s="394" t="str">
        <f>IF(ISBLANK(INDEX('Policy Characteristics'!K:K,MATCH($C581,'Policy Characteristics'!$C:$C,0))),"",INDEX('Policy Characteristics'!K:K,MATCH($C581,'Policy Characteristics'!$C:$C,0)))</f>
        <v>industry-ag-main.html#fuel-switching</v>
      </c>
      <c r="R581" s="394" t="str">
        <f>IF(ISBLANK(INDEX('Policy Characteristics'!L:L,MATCH($C581,'Policy Characteristics'!$C:$C,0))),"",INDEX('Policy Characteristics'!L:L,MATCH($C581,'Policy Characteristics'!$C:$C,0)))</f>
        <v>industry-elec-and-hydrogen.html</v>
      </c>
    </row>
    <row r="582" customHeight="1" spans="1:18">
      <c r="A582" s="394" t="str">
        <f>IF(ISBLANK(INDEX('Policy Characteristics'!A:A,MATCH($C582,'Policy Characteristics'!$C:$C,0))),"",INDEX('Policy Characteristics'!A:A,MATCH($C582,'Policy Characteristics'!$C:$C,0)))</f>
        <v>Industry</v>
      </c>
      <c r="B582" s="395" t="str">
        <f>IF(ISBLANK(INDEX('Policy Characteristics'!B:B,MATCH($C582,'Policy Characteristics'!$C:$C,0))),"",INDEX('Policy Characteristics'!B:B,MATCH($C582,'Policy Characteristics'!$C:$C,0)))</f>
        <v>Electrification + Hydrogen (Med &amp; High Temp)</v>
      </c>
      <c r="C582" s="394" t="str">
        <f t="shared" si="33"/>
        <v>Fraction of Med and High Temp Industrial Heat Shifted to Other Fuels</v>
      </c>
      <c r="D582" s="399" t="s">
        <v>762</v>
      </c>
      <c r="E582" s="399" t="s">
        <v>804</v>
      </c>
      <c r="F582" s="366" t="s">
        <v>763</v>
      </c>
      <c r="G582" s="399" t="s">
        <v>805</v>
      </c>
      <c r="H582" s="377">
        <v>1334</v>
      </c>
      <c r="I582" s="396" t="s">
        <v>658</v>
      </c>
      <c r="J582" s="397" t="str">
        <f>IF(ISBLANK(INDEX('Policy Characteristics'!D:D,MATCH($C582,'Policy Characteristics'!$C:$C,0))),"",INDEX('Policy Characteristics'!D:D,MATCH($C582,'Policy Characteristics'!$C:$C,0)))</f>
        <v>Electrification + Hydrogen</v>
      </c>
      <c r="K582" s="394" t="str">
        <f>IF(ISBLANK(INDEX('Policy Characteristics'!E:E,MATCH($C582,'Policy Characteristics'!$C:$C,0))),"",INDEX('Policy Characteristics'!E:E,MATCH($C582,'Policy Characteristics'!$C:$C,0)))</f>
        <v>indst med and high temp fuel type shifting</v>
      </c>
      <c r="L582" s="398">
        <f>IF(ISBLANK(INDEX('Policy Characteristics'!F:F,MATCH($C582,'Policy Characteristics'!$C:$C,0))),"",INDEX('Policy Characteristics'!F:F,MATCH($C582,'Policy Characteristics'!$C:$C,0)))</f>
        <v>0</v>
      </c>
      <c r="M582" s="398">
        <f>IF(ISBLANK(INDEX('Policy Characteristics'!G:G,MATCH($C582,'Policy Characteristics'!$C:$C,0))),"",INDEX('Policy Characteristics'!G:G,MATCH($C582,'Policy Characteristics'!$C:$C,0)))</f>
        <v>1</v>
      </c>
      <c r="N582" s="398">
        <f>IF(ISBLANK(INDEX('Policy Characteristics'!H:H,MATCH($C582,'Policy Characteristics'!$C:$C,0))),"",INDEX('Policy Characteristics'!H:H,MATCH($C582,'Policy Characteristics'!$C:$C,0)))</f>
        <v>0.01</v>
      </c>
      <c r="O582" s="394" t="str">
        <f>IF(ISBLANK(INDEX('Policy Characteristics'!I:I,MATCH($C582,'Policy Characteristics'!$C:$C,0))),"",INDEX('Policy Characteristics'!I:I,MATCH($C582,'Policy Characteristics'!$C:$C,0)))</f>
        <v>% of fuel shifted</v>
      </c>
      <c r="P582" s="394" t="str">
        <f>IF(ISBLANK(INDEX('Policy Characteristics'!J:J,MATCH($C582,'Policy Characteristics'!$C:$C,0))),"",INDEX('Policy Characteristics'!J:J,MATCH($C582,'Policy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2" s="394" t="str">
        <f>IF(ISBLANK(INDEX('Policy Characteristics'!K:K,MATCH($C582,'Policy Characteristics'!$C:$C,0))),"",INDEX('Policy Characteristics'!K:K,MATCH($C582,'Policy Characteristics'!$C:$C,0)))</f>
        <v>industry-ag-main.html#fuel-switching</v>
      </c>
      <c r="R582" s="394" t="str">
        <f>IF(ISBLANK(INDEX('Policy Characteristics'!L:L,MATCH($C582,'Policy Characteristics'!$C:$C,0))),"",INDEX('Policy Characteristics'!L:L,MATCH($C582,'Policy Characteristics'!$C:$C,0)))</f>
        <v>industry-elec-and-hydrogen.html</v>
      </c>
    </row>
    <row r="583" customHeight="1" spans="1:18">
      <c r="A583" s="394" t="str">
        <f>IF(ISBLANK(INDEX('Policy Characteristics'!A:A,MATCH($C583,'Policy Characteristics'!$C:$C,0))),"",INDEX('Policy Characteristics'!A:A,MATCH($C583,'Policy Characteristics'!$C:$C,0)))</f>
        <v>Industry</v>
      </c>
      <c r="B583" s="395" t="str">
        <f>IF(ISBLANK(INDEX('Policy Characteristics'!B:B,MATCH($C583,'Policy Characteristics'!$C:$C,0))),"",INDEX('Policy Characteristics'!B:B,MATCH($C583,'Policy Characteristics'!$C:$C,0)))</f>
        <v>Electrification + Hydrogen (Med &amp; High Temp)</v>
      </c>
      <c r="C583" s="394" t="str">
        <f t="shared" si="33"/>
        <v>Fraction of Med and High Temp Industrial Heat Shifted to Other Fuels</v>
      </c>
      <c r="D583" s="399" t="s">
        <v>762</v>
      </c>
      <c r="E583" s="399" t="s">
        <v>806</v>
      </c>
      <c r="F583" s="366" t="s">
        <v>763</v>
      </c>
      <c r="G583" s="399" t="s">
        <v>807</v>
      </c>
      <c r="H583" s="377">
        <v>1335</v>
      </c>
      <c r="I583" s="396" t="s">
        <v>658</v>
      </c>
      <c r="J583" s="397" t="str">
        <f>IF(ISBLANK(INDEX('Policy Characteristics'!D:D,MATCH($C583,'Policy Characteristics'!$C:$C,0))),"",INDEX('Policy Characteristics'!D:D,MATCH($C583,'Policy Characteristics'!$C:$C,0)))</f>
        <v>Electrification + Hydrogen</v>
      </c>
      <c r="K583" s="394" t="str">
        <f>IF(ISBLANK(INDEX('Policy Characteristics'!E:E,MATCH($C583,'Policy Characteristics'!$C:$C,0))),"",INDEX('Policy Characteristics'!E:E,MATCH($C583,'Policy Characteristics'!$C:$C,0)))</f>
        <v>indst med and high temp fuel type shifting</v>
      </c>
      <c r="L583" s="398">
        <f>IF(ISBLANK(INDEX('Policy Characteristics'!F:F,MATCH($C583,'Policy Characteristics'!$C:$C,0))),"",INDEX('Policy Characteristics'!F:F,MATCH($C583,'Policy Characteristics'!$C:$C,0)))</f>
        <v>0</v>
      </c>
      <c r="M583" s="398">
        <f>IF(ISBLANK(INDEX('Policy Characteristics'!G:G,MATCH($C583,'Policy Characteristics'!$C:$C,0))),"",INDEX('Policy Characteristics'!G:G,MATCH($C583,'Policy Characteristics'!$C:$C,0)))</f>
        <v>1</v>
      </c>
      <c r="N583" s="398">
        <f>IF(ISBLANK(INDEX('Policy Characteristics'!H:H,MATCH($C583,'Policy Characteristics'!$C:$C,0))),"",INDEX('Policy Characteristics'!H:H,MATCH($C583,'Policy Characteristics'!$C:$C,0)))</f>
        <v>0.01</v>
      </c>
      <c r="O583" s="394" t="str">
        <f>IF(ISBLANK(INDEX('Policy Characteristics'!I:I,MATCH($C583,'Policy Characteristics'!$C:$C,0))),"",INDEX('Policy Characteristics'!I:I,MATCH($C583,'Policy Characteristics'!$C:$C,0)))</f>
        <v>% of fuel shifted</v>
      </c>
      <c r="P583" s="394" t="str">
        <f>IF(ISBLANK(INDEX('Policy Characteristics'!J:J,MATCH($C583,'Policy Characteristics'!$C:$C,0))),"",INDEX('Policy Characteristics'!J:J,MATCH($C583,'Policy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3" s="394" t="str">
        <f>IF(ISBLANK(INDEX('Policy Characteristics'!K:K,MATCH($C583,'Policy Characteristics'!$C:$C,0))),"",INDEX('Policy Characteristics'!K:K,MATCH($C583,'Policy Characteristics'!$C:$C,0)))</f>
        <v>industry-ag-main.html#fuel-switching</v>
      </c>
      <c r="R583" s="394" t="str">
        <f>IF(ISBLANK(INDEX('Policy Characteristics'!L:L,MATCH($C583,'Policy Characteristics'!$C:$C,0))),"",INDEX('Policy Characteristics'!L:L,MATCH($C583,'Policy Characteristics'!$C:$C,0)))</f>
        <v>industry-elec-and-hydrogen.html</v>
      </c>
    </row>
    <row r="584" customHeight="1" spans="1:18">
      <c r="A584" s="394" t="str">
        <f>IF(ISBLANK(INDEX('Policy Characteristics'!A:A,MATCH($C584,'Policy Characteristics'!$C:$C,0))),"",INDEX('Policy Characteristics'!A:A,MATCH($C584,'Policy Characteristics'!$C:$C,0)))</f>
        <v>Industry</v>
      </c>
      <c r="B584" s="395" t="str">
        <f>IF(ISBLANK(INDEX('Policy Characteristics'!B:B,MATCH($C584,'Policy Characteristics'!$C:$C,0))),"",INDEX('Policy Characteristics'!B:B,MATCH($C584,'Policy Characteristics'!$C:$C,0)))</f>
        <v>Electrification + Hydrogen (Med &amp; High Temp)</v>
      </c>
      <c r="C584" s="394" t="str">
        <f t="shared" si="33"/>
        <v>Fraction of Med and High Temp Industrial Heat Shifted to Other Fuels</v>
      </c>
      <c r="D584" s="399" t="s">
        <v>762</v>
      </c>
      <c r="E584" s="399" t="s">
        <v>808</v>
      </c>
      <c r="F584" s="366" t="s">
        <v>763</v>
      </c>
      <c r="G584" s="399" t="s">
        <v>809</v>
      </c>
      <c r="H584" s="377">
        <v>1336</v>
      </c>
      <c r="I584" s="396" t="s">
        <v>658</v>
      </c>
      <c r="J584" s="397" t="str">
        <f>IF(ISBLANK(INDEX('Policy Characteristics'!D:D,MATCH($C584,'Policy Characteristics'!$C:$C,0))),"",INDEX('Policy Characteristics'!D:D,MATCH($C584,'Policy Characteristics'!$C:$C,0)))</f>
        <v>Electrification + Hydrogen</v>
      </c>
      <c r="K584" s="394" t="str">
        <f>IF(ISBLANK(INDEX('Policy Characteristics'!E:E,MATCH($C584,'Policy Characteristics'!$C:$C,0))),"",INDEX('Policy Characteristics'!E:E,MATCH($C584,'Policy Characteristics'!$C:$C,0)))</f>
        <v>indst med and high temp fuel type shifting</v>
      </c>
      <c r="L584" s="398">
        <f>IF(ISBLANK(INDEX('Policy Characteristics'!F:F,MATCH($C584,'Policy Characteristics'!$C:$C,0))),"",INDEX('Policy Characteristics'!F:F,MATCH($C584,'Policy Characteristics'!$C:$C,0)))</f>
        <v>0</v>
      </c>
      <c r="M584" s="398">
        <f>IF(ISBLANK(INDEX('Policy Characteristics'!G:G,MATCH($C584,'Policy Characteristics'!$C:$C,0))),"",INDEX('Policy Characteristics'!G:G,MATCH($C584,'Policy Characteristics'!$C:$C,0)))</f>
        <v>1</v>
      </c>
      <c r="N584" s="398">
        <f>IF(ISBLANK(INDEX('Policy Characteristics'!H:H,MATCH($C584,'Policy Characteristics'!$C:$C,0))),"",INDEX('Policy Characteristics'!H:H,MATCH($C584,'Policy Characteristics'!$C:$C,0)))</f>
        <v>0.01</v>
      </c>
      <c r="O584" s="394" t="str">
        <f>IF(ISBLANK(INDEX('Policy Characteristics'!I:I,MATCH($C584,'Policy Characteristics'!$C:$C,0))),"",INDEX('Policy Characteristics'!I:I,MATCH($C584,'Policy Characteristics'!$C:$C,0)))</f>
        <v>% of fuel shifted</v>
      </c>
      <c r="P584" s="394" t="str">
        <f>IF(ISBLANK(INDEX('Policy Characteristics'!J:J,MATCH($C584,'Policy Characteristics'!$C:$C,0))),"",INDEX('Policy Characteristics'!J:J,MATCH($C584,'Policy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4" s="394" t="str">
        <f>IF(ISBLANK(INDEX('Policy Characteristics'!K:K,MATCH($C584,'Policy Characteristics'!$C:$C,0))),"",INDEX('Policy Characteristics'!K:K,MATCH($C584,'Policy Characteristics'!$C:$C,0)))</f>
        <v>industry-ag-main.html#fuel-switching</v>
      </c>
      <c r="R584" s="394" t="str">
        <f>IF(ISBLANK(INDEX('Policy Characteristics'!L:L,MATCH($C584,'Policy Characteristics'!$C:$C,0))),"",INDEX('Policy Characteristics'!L:L,MATCH($C584,'Policy Characteristics'!$C:$C,0)))</f>
        <v>industry-elec-and-hydrogen.html</v>
      </c>
    </row>
    <row r="585" customHeight="1" spans="1:18">
      <c r="A585" s="394" t="str">
        <f>IF(ISBLANK(INDEX('Policy Characteristics'!A:A,MATCH($C585,'Policy Characteristics'!$C:$C,0))),"",INDEX('Policy Characteristics'!A:A,MATCH($C585,'Policy Characteristics'!$C:$C,0)))</f>
        <v>Industry</v>
      </c>
      <c r="B585" s="395" t="str">
        <f>IF(ISBLANK(INDEX('Policy Characteristics'!B:B,MATCH($C585,'Policy Characteristics'!$C:$C,0))),"",INDEX('Policy Characteristics'!B:B,MATCH($C585,'Policy Characteristics'!$C:$C,0)))</f>
        <v>Electrification + Hydrogen (Med &amp; High Temp)</v>
      </c>
      <c r="C585" s="394" t="str">
        <f t="shared" si="33"/>
        <v>Fraction of Med and High Temp Industrial Heat Shifted to Other Fuels</v>
      </c>
      <c r="D585" s="399" t="s">
        <v>762</v>
      </c>
      <c r="E585" s="399" t="s">
        <v>810</v>
      </c>
      <c r="F585" s="366" t="s">
        <v>763</v>
      </c>
      <c r="G585" s="399" t="s">
        <v>811</v>
      </c>
      <c r="H585" s="377">
        <v>1337</v>
      </c>
      <c r="I585" s="396" t="s">
        <v>648</v>
      </c>
      <c r="J585" s="397" t="str">
        <f>IF(ISBLANK(INDEX('Policy Characteristics'!D:D,MATCH($C585,'Policy Characteristics'!$C:$C,0))),"",INDEX('Policy Characteristics'!D:D,MATCH($C585,'Policy Characteristics'!$C:$C,0)))</f>
        <v>Electrification + Hydrogen</v>
      </c>
      <c r="K585" s="394" t="str">
        <f>IF(ISBLANK(INDEX('Policy Characteristics'!E:E,MATCH($C585,'Policy Characteristics'!$C:$C,0))),"",INDEX('Policy Characteristics'!E:E,MATCH($C585,'Policy Characteristics'!$C:$C,0)))</f>
        <v>indst med and high temp fuel type shifting</v>
      </c>
      <c r="L585" s="398">
        <f>IF(ISBLANK(INDEX('Policy Characteristics'!F:F,MATCH($C585,'Policy Characteristics'!$C:$C,0))),"",INDEX('Policy Characteristics'!F:F,MATCH($C585,'Policy Characteristics'!$C:$C,0)))</f>
        <v>0</v>
      </c>
      <c r="M585" s="398">
        <f>IF(ISBLANK(INDEX('Policy Characteristics'!G:G,MATCH($C585,'Policy Characteristics'!$C:$C,0))),"",INDEX('Policy Characteristics'!G:G,MATCH($C585,'Policy Characteristics'!$C:$C,0)))</f>
        <v>1</v>
      </c>
      <c r="N585" s="398">
        <f>IF(ISBLANK(INDEX('Policy Characteristics'!H:H,MATCH($C585,'Policy Characteristics'!$C:$C,0))),"",INDEX('Policy Characteristics'!H:H,MATCH($C585,'Policy Characteristics'!$C:$C,0)))</f>
        <v>0.01</v>
      </c>
      <c r="O585" s="394" t="str">
        <f>IF(ISBLANK(INDEX('Policy Characteristics'!I:I,MATCH($C585,'Policy Characteristics'!$C:$C,0))),"",INDEX('Policy Characteristics'!I:I,MATCH($C585,'Policy Characteristics'!$C:$C,0)))</f>
        <v>% of fuel shifted</v>
      </c>
      <c r="P585" s="394" t="str">
        <f>IF(ISBLANK(INDEX('Policy Characteristics'!J:J,MATCH($C585,'Policy Characteristics'!$C:$C,0))),"",INDEX('Policy Characteristics'!J:J,MATCH($C585,'Policy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5" s="394" t="str">
        <f>IF(ISBLANK(INDEX('Policy Characteristics'!K:K,MATCH($C585,'Policy Characteristics'!$C:$C,0))),"",INDEX('Policy Characteristics'!K:K,MATCH($C585,'Policy Characteristics'!$C:$C,0)))</f>
        <v>industry-ag-main.html#fuel-switching</v>
      </c>
      <c r="R585" s="394" t="str">
        <f>IF(ISBLANK(INDEX('Policy Characteristics'!L:L,MATCH($C585,'Policy Characteristics'!$C:$C,0))),"",INDEX('Policy Characteristics'!L:L,MATCH($C585,'Policy Characteristics'!$C:$C,0)))</f>
        <v>industry-elec-and-hydrogen.html</v>
      </c>
    </row>
    <row r="586" customHeight="1" spans="1:18">
      <c r="A586" s="394" t="str">
        <f>IF(ISBLANK(INDEX('Policy Characteristics'!A:A,MATCH($C586,'Policy Characteristics'!$C:$C,0))),"",INDEX('Policy Characteristics'!A:A,MATCH($C586,'Policy Characteristics'!$C:$C,0)))</f>
        <v>Industry</v>
      </c>
      <c r="B586" s="395" t="str">
        <f>IF(ISBLANK(INDEX('Policy Characteristics'!B:B,MATCH($C586,'Policy Characteristics'!$C:$C,0))),"",INDEX('Policy Characteristics'!B:B,MATCH($C586,'Policy Characteristics'!$C:$C,0)))</f>
        <v>Electrification + Hydrogen (Med &amp; High Temp)</v>
      </c>
      <c r="C586" s="394" t="str">
        <f t="shared" si="33"/>
        <v>Fraction of Med and High Temp Industrial Heat Shifted to Other Fuels</v>
      </c>
      <c r="D586" s="399" t="s">
        <v>764</v>
      </c>
      <c r="E586" s="399" t="s">
        <v>792</v>
      </c>
      <c r="F586" t="s">
        <v>765</v>
      </c>
      <c r="G586" s="399" t="s">
        <v>793</v>
      </c>
      <c r="H586" s="377">
        <v>1338</v>
      </c>
      <c r="I586" s="396" t="s">
        <v>648</v>
      </c>
      <c r="J586" s="397" t="str">
        <f>IF(ISBLANK(INDEX('Policy Characteristics'!D:D,MATCH($C586,'Policy Characteristics'!$C:$C,0))),"",INDEX('Policy Characteristics'!D:D,MATCH($C586,'Policy Characteristics'!$C:$C,0)))</f>
        <v>Electrification + Hydrogen</v>
      </c>
      <c r="K586" s="394" t="str">
        <f>IF(ISBLANK(INDEX('Policy Characteristics'!E:E,MATCH($C586,'Policy Characteristics'!$C:$C,0))),"",INDEX('Policy Characteristics'!E:E,MATCH($C586,'Policy Characteristics'!$C:$C,0)))</f>
        <v>indst med and high temp fuel type shifting</v>
      </c>
      <c r="L586" s="398">
        <f>IF(ISBLANK(INDEX('Policy Characteristics'!F:F,MATCH($C586,'Policy Characteristics'!$C:$C,0))),"",INDEX('Policy Characteristics'!F:F,MATCH($C586,'Policy Characteristics'!$C:$C,0)))</f>
        <v>0</v>
      </c>
      <c r="M586" s="398">
        <f>IF(ISBLANK(INDEX('Policy Characteristics'!G:G,MATCH($C586,'Policy Characteristics'!$C:$C,0))),"",INDEX('Policy Characteristics'!G:G,MATCH($C586,'Policy Characteristics'!$C:$C,0)))</f>
        <v>1</v>
      </c>
      <c r="N586" s="398">
        <f>IF(ISBLANK(INDEX('Policy Characteristics'!H:H,MATCH($C586,'Policy Characteristics'!$C:$C,0))),"",INDEX('Policy Characteristics'!H:H,MATCH($C586,'Policy Characteristics'!$C:$C,0)))</f>
        <v>0.01</v>
      </c>
      <c r="O586" s="394" t="str">
        <f>IF(ISBLANK(INDEX('Policy Characteristics'!I:I,MATCH($C586,'Policy Characteristics'!$C:$C,0))),"",INDEX('Policy Characteristics'!I:I,MATCH($C586,'Policy Characteristics'!$C:$C,0)))</f>
        <v>% of fuel shifted</v>
      </c>
      <c r="P586" s="394" t="str">
        <f>IF(ISBLANK(INDEX('Policy Characteristics'!J:J,MATCH($C586,'Policy Characteristics'!$C:$C,0))),"",INDEX('Policy Characteristics'!J:J,MATCH($C586,'Policy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6" s="394" t="str">
        <f>IF(ISBLANK(INDEX('Policy Characteristics'!K:K,MATCH($C586,'Policy Characteristics'!$C:$C,0))),"",INDEX('Policy Characteristics'!K:K,MATCH($C586,'Policy Characteristics'!$C:$C,0)))</f>
        <v>industry-ag-main.html#fuel-switching</v>
      </c>
      <c r="R586" s="394" t="str">
        <f>IF(ISBLANK(INDEX('Policy Characteristics'!L:L,MATCH($C586,'Policy Characteristics'!$C:$C,0))),"",INDEX('Policy Characteristics'!L:L,MATCH($C586,'Policy Characteristics'!$C:$C,0)))</f>
        <v>industry-elec-and-hydrogen.html</v>
      </c>
    </row>
    <row r="587" customHeight="1" spans="1:18">
      <c r="A587" s="394" t="str">
        <f>IF(ISBLANK(INDEX('Policy Characteristics'!A:A,MATCH($C587,'Policy Characteristics'!$C:$C,0))),"",INDEX('Policy Characteristics'!A:A,MATCH($C587,'Policy Characteristics'!$C:$C,0)))</f>
        <v>Industry</v>
      </c>
      <c r="B587" s="395" t="str">
        <f>IF(ISBLANK(INDEX('Policy Characteristics'!B:B,MATCH($C587,'Policy Characteristics'!$C:$C,0))),"",INDEX('Policy Characteristics'!B:B,MATCH($C587,'Policy Characteristics'!$C:$C,0)))</f>
        <v>Electrification + Hydrogen (Med &amp; High Temp)</v>
      </c>
      <c r="C587" s="394" t="str">
        <f t="shared" si="33"/>
        <v>Fraction of Med and High Temp Industrial Heat Shifted to Other Fuels</v>
      </c>
      <c r="D587" s="399" t="s">
        <v>764</v>
      </c>
      <c r="E587" s="399" t="s">
        <v>794</v>
      </c>
      <c r="F587" t="s">
        <v>765</v>
      </c>
      <c r="G587" s="399" t="s">
        <v>795</v>
      </c>
      <c r="H587" s="377">
        <v>1339</v>
      </c>
      <c r="I587" s="396" t="s">
        <v>658</v>
      </c>
      <c r="J587" s="397" t="str">
        <f>IF(ISBLANK(INDEX('Policy Characteristics'!D:D,MATCH($C587,'Policy Characteristics'!$C:$C,0))),"",INDEX('Policy Characteristics'!D:D,MATCH($C587,'Policy Characteristics'!$C:$C,0)))</f>
        <v>Electrification + Hydrogen</v>
      </c>
      <c r="K587" s="394" t="str">
        <f>IF(ISBLANK(INDEX('Policy Characteristics'!E:E,MATCH($C587,'Policy Characteristics'!$C:$C,0))),"",INDEX('Policy Characteristics'!E:E,MATCH($C587,'Policy Characteristics'!$C:$C,0)))</f>
        <v>indst med and high temp fuel type shifting</v>
      </c>
      <c r="L587" s="398">
        <f>IF(ISBLANK(INDEX('Policy Characteristics'!F:F,MATCH($C587,'Policy Characteristics'!$C:$C,0))),"",INDEX('Policy Characteristics'!F:F,MATCH($C587,'Policy Characteristics'!$C:$C,0)))</f>
        <v>0</v>
      </c>
      <c r="M587" s="398">
        <f>IF(ISBLANK(INDEX('Policy Characteristics'!G:G,MATCH($C587,'Policy Characteristics'!$C:$C,0))),"",INDEX('Policy Characteristics'!G:G,MATCH($C587,'Policy Characteristics'!$C:$C,0)))</f>
        <v>1</v>
      </c>
      <c r="N587" s="398">
        <f>IF(ISBLANK(INDEX('Policy Characteristics'!H:H,MATCH($C587,'Policy Characteristics'!$C:$C,0))),"",INDEX('Policy Characteristics'!H:H,MATCH($C587,'Policy Characteristics'!$C:$C,0)))</f>
        <v>0.01</v>
      </c>
      <c r="O587" s="394" t="str">
        <f>IF(ISBLANK(INDEX('Policy Characteristics'!I:I,MATCH($C587,'Policy Characteristics'!$C:$C,0))),"",INDEX('Policy Characteristics'!I:I,MATCH($C587,'Policy Characteristics'!$C:$C,0)))</f>
        <v>% of fuel shifted</v>
      </c>
      <c r="P587" s="394" t="str">
        <f>IF(ISBLANK(INDEX('Policy Characteristics'!J:J,MATCH($C587,'Policy Characteristics'!$C:$C,0))),"",INDEX('Policy Characteristics'!J:J,MATCH($C587,'Policy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7" s="394" t="str">
        <f>IF(ISBLANK(INDEX('Policy Characteristics'!K:K,MATCH($C587,'Policy Characteristics'!$C:$C,0))),"",INDEX('Policy Characteristics'!K:K,MATCH($C587,'Policy Characteristics'!$C:$C,0)))</f>
        <v>industry-ag-main.html#fuel-switching</v>
      </c>
      <c r="R587" s="394" t="str">
        <f>IF(ISBLANK(INDEX('Policy Characteristics'!L:L,MATCH($C587,'Policy Characteristics'!$C:$C,0))),"",INDEX('Policy Characteristics'!L:L,MATCH($C587,'Policy Characteristics'!$C:$C,0)))</f>
        <v>industry-elec-and-hydrogen.html</v>
      </c>
    </row>
    <row r="588" customHeight="1" spans="1:18">
      <c r="A588" s="394" t="str">
        <f>IF(ISBLANK(INDEX('Policy Characteristics'!A:A,MATCH($C588,'Policy Characteristics'!$C:$C,0))),"",INDEX('Policy Characteristics'!A:A,MATCH($C588,'Policy Characteristics'!$C:$C,0)))</f>
        <v>Industry</v>
      </c>
      <c r="B588" s="395" t="str">
        <f>IF(ISBLANK(INDEX('Policy Characteristics'!B:B,MATCH($C588,'Policy Characteristics'!$C:$C,0))),"",INDEX('Policy Characteristics'!B:B,MATCH($C588,'Policy Characteristics'!$C:$C,0)))</f>
        <v>Electrification + Hydrogen (Med &amp; High Temp)</v>
      </c>
      <c r="C588" s="394" t="str">
        <f t="shared" si="33"/>
        <v>Fraction of Med and High Temp Industrial Heat Shifted to Other Fuels</v>
      </c>
      <c r="D588" s="399" t="s">
        <v>764</v>
      </c>
      <c r="E588" s="399" t="s">
        <v>796</v>
      </c>
      <c r="F588" t="s">
        <v>765</v>
      </c>
      <c r="G588" s="399" t="s">
        <v>797</v>
      </c>
      <c r="H588" s="377">
        <v>1340</v>
      </c>
      <c r="I588" s="396" t="s">
        <v>658</v>
      </c>
      <c r="J588" s="397" t="str">
        <f>IF(ISBLANK(INDEX('Policy Characteristics'!D:D,MATCH($C588,'Policy Characteristics'!$C:$C,0))),"",INDEX('Policy Characteristics'!D:D,MATCH($C588,'Policy Characteristics'!$C:$C,0)))</f>
        <v>Electrification + Hydrogen</v>
      </c>
      <c r="K588" s="394" t="str">
        <f>IF(ISBLANK(INDEX('Policy Characteristics'!E:E,MATCH($C588,'Policy Characteristics'!$C:$C,0))),"",INDEX('Policy Characteristics'!E:E,MATCH($C588,'Policy Characteristics'!$C:$C,0)))</f>
        <v>indst med and high temp fuel type shifting</v>
      </c>
      <c r="L588" s="398">
        <f>IF(ISBLANK(INDEX('Policy Characteristics'!F:F,MATCH($C588,'Policy Characteristics'!$C:$C,0))),"",INDEX('Policy Characteristics'!F:F,MATCH($C588,'Policy Characteristics'!$C:$C,0)))</f>
        <v>0</v>
      </c>
      <c r="M588" s="398">
        <f>IF(ISBLANK(INDEX('Policy Characteristics'!G:G,MATCH($C588,'Policy Characteristics'!$C:$C,0))),"",INDEX('Policy Characteristics'!G:G,MATCH($C588,'Policy Characteristics'!$C:$C,0)))</f>
        <v>1</v>
      </c>
      <c r="N588" s="398">
        <f>IF(ISBLANK(INDEX('Policy Characteristics'!H:H,MATCH($C588,'Policy Characteristics'!$C:$C,0))),"",INDEX('Policy Characteristics'!H:H,MATCH($C588,'Policy Characteristics'!$C:$C,0)))</f>
        <v>0.01</v>
      </c>
      <c r="O588" s="394" t="str">
        <f>IF(ISBLANK(INDEX('Policy Characteristics'!I:I,MATCH($C588,'Policy Characteristics'!$C:$C,0))),"",INDEX('Policy Characteristics'!I:I,MATCH($C588,'Policy Characteristics'!$C:$C,0)))</f>
        <v>% of fuel shifted</v>
      </c>
      <c r="P588" s="394" t="str">
        <f>IF(ISBLANK(INDEX('Policy Characteristics'!J:J,MATCH($C588,'Policy Characteristics'!$C:$C,0))),"",INDEX('Policy Characteristics'!J:J,MATCH($C588,'Policy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8" s="394" t="str">
        <f>IF(ISBLANK(INDEX('Policy Characteristics'!K:K,MATCH($C588,'Policy Characteristics'!$C:$C,0))),"",INDEX('Policy Characteristics'!K:K,MATCH($C588,'Policy Characteristics'!$C:$C,0)))</f>
        <v>industry-ag-main.html#fuel-switching</v>
      </c>
      <c r="R588" s="394" t="str">
        <f>IF(ISBLANK(INDEX('Policy Characteristics'!L:L,MATCH($C588,'Policy Characteristics'!$C:$C,0))),"",INDEX('Policy Characteristics'!L:L,MATCH($C588,'Policy Characteristics'!$C:$C,0)))</f>
        <v>industry-elec-and-hydrogen.html</v>
      </c>
    </row>
    <row r="589" customHeight="1" spans="1:18">
      <c r="A589" s="394" t="str">
        <f>IF(ISBLANK(INDEX('Policy Characteristics'!A:A,MATCH($C589,'Policy Characteristics'!$C:$C,0))),"",INDEX('Policy Characteristics'!A:A,MATCH($C589,'Policy Characteristics'!$C:$C,0)))</f>
        <v>Industry</v>
      </c>
      <c r="B589" s="395" t="str">
        <f>IF(ISBLANK(INDEX('Policy Characteristics'!B:B,MATCH($C589,'Policy Characteristics'!$C:$C,0))),"",INDEX('Policy Characteristics'!B:B,MATCH($C589,'Policy Characteristics'!$C:$C,0)))</f>
        <v>Electrification + Hydrogen (Med &amp; High Temp)</v>
      </c>
      <c r="C589" s="394" t="str">
        <f t="shared" si="33"/>
        <v>Fraction of Med and High Temp Industrial Heat Shifted to Other Fuels</v>
      </c>
      <c r="D589" s="399" t="s">
        <v>764</v>
      </c>
      <c r="E589" s="399" t="s">
        <v>798</v>
      </c>
      <c r="F589" t="s">
        <v>765</v>
      </c>
      <c r="G589" s="399" t="s">
        <v>799</v>
      </c>
      <c r="H589" s="377">
        <v>1341</v>
      </c>
      <c r="I589" s="396" t="s">
        <v>658</v>
      </c>
      <c r="J589" s="397" t="str">
        <f>IF(ISBLANK(INDEX('Policy Characteristics'!D:D,MATCH($C589,'Policy Characteristics'!$C:$C,0))),"",INDEX('Policy Characteristics'!D:D,MATCH($C589,'Policy Characteristics'!$C:$C,0)))</f>
        <v>Electrification + Hydrogen</v>
      </c>
      <c r="K589" s="394" t="str">
        <f>IF(ISBLANK(INDEX('Policy Characteristics'!E:E,MATCH($C589,'Policy Characteristics'!$C:$C,0))),"",INDEX('Policy Characteristics'!E:E,MATCH($C589,'Policy Characteristics'!$C:$C,0)))</f>
        <v>indst med and high temp fuel type shifting</v>
      </c>
      <c r="L589" s="398">
        <f>IF(ISBLANK(INDEX('Policy Characteristics'!F:F,MATCH($C589,'Policy Characteristics'!$C:$C,0))),"",INDEX('Policy Characteristics'!F:F,MATCH($C589,'Policy Characteristics'!$C:$C,0)))</f>
        <v>0</v>
      </c>
      <c r="M589" s="398">
        <f>IF(ISBLANK(INDEX('Policy Characteristics'!G:G,MATCH($C589,'Policy Characteristics'!$C:$C,0))),"",INDEX('Policy Characteristics'!G:G,MATCH($C589,'Policy Characteristics'!$C:$C,0)))</f>
        <v>1</v>
      </c>
      <c r="N589" s="398">
        <f>IF(ISBLANK(INDEX('Policy Characteristics'!H:H,MATCH($C589,'Policy Characteristics'!$C:$C,0))),"",INDEX('Policy Characteristics'!H:H,MATCH($C589,'Policy Characteristics'!$C:$C,0)))</f>
        <v>0.01</v>
      </c>
      <c r="O589" s="394" t="str">
        <f>IF(ISBLANK(INDEX('Policy Characteristics'!I:I,MATCH($C589,'Policy Characteristics'!$C:$C,0))),"",INDEX('Policy Characteristics'!I:I,MATCH($C589,'Policy Characteristics'!$C:$C,0)))</f>
        <v>% of fuel shifted</v>
      </c>
      <c r="P589" s="394" t="str">
        <f>IF(ISBLANK(INDEX('Policy Characteristics'!J:J,MATCH($C589,'Policy Characteristics'!$C:$C,0))),"",INDEX('Policy Characteristics'!J:J,MATCH($C589,'Policy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9" s="394" t="str">
        <f>IF(ISBLANK(INDEX('Policy Characteristics'!K:K,MATCH($C589,'Policy Characteristics'!$C:$C,0))),"",INDEX('Policy Characteristics'!K:K,MATCH($C589,'Policy Characteristics'!$C:$C,0)))</f>
        <v>industry-ag-main.html#fuel-switching</v>
      </c>
      <c r="R589" s="394" t="str">
        <f>IF(ISBLANK(INDEX('Policy Characteristics'!L:L,MATCH($C589,'Policy Characteristics'!$C:$C,0))),"",INDEX('Policy Characteristics'!L:L,MATCH($C589,'Policy Characteristics'!$C:$C,0)))</f>
        <v>industry-elec-and-hydrogen.html</v>
      </c>
    </row>
    <row r="590" customHeight="1" spans="1:18">
      <c r="A590" s="394" t="str">
        <f>IF(ISBLANK(INDEX('Policy Characteristics'!A:A,MATCH($C590,'Policy Characteristics'!$C:$C,0))),"",INDEX('Policy Characteristics'!A:A,MATCH($C590,'Policy Characteristics'!$C:$C,0)))</f>
        <v>Industry</v>
      </c>
      <c r="B590" s="395" t="str">
        <f>IF(ISBLANK(INDEX('Policy Characteristics'!B:B,MATCH($C590,'Policy Characteristics'!$C:$C,0))),"",INDEX('Policy Characteristics'!B:B,MATCH($C590,'Policy Characteristics'!$C:$C,0)))</f>
        <v>Electrification + Hydrogen (Med &amp; High Temp)</v>
      </c>
      <c r="C590" s="394" t="str">
        <f t="shared" si="33"/>
        <v>Fraction of Med and High Temp Industrial Heat Shifted to Other Fuels</v>
      </c>
      <c r="D590" s="399" t="s">
        <v>764</v>
      </c>
      <c r="E590" s="399" t="s">
        <v>800</v>
      </c>
      <c r="F590" t="s">
        <v>765</v>
      </c>
      <c r="G590" s="399" t="s">
        <v>801</v>
      </c>
      <c r="H590" s="377">
        <v>1342</v>
      </c>
      <c r="I590" s="396" t="s">
        <v>658</v>
      </c>
      <c r="J590" s="397" t="str">
        <f>IF(ISBLANK(INDEX('Policy Characteristics'!D:D,MATCH($C590,'Policy Characteristics'!$C:$C,0))),"",INDEX('Policy Characteristics'!D:D,MATCH($C590,'Policy Characteristics'!$C:$C,0)))</f>
        <v>Electrification + Hydrogen</v>
      </c>
      <c r="K590" s="394" t="str">
        <f>IF(ISBLANK(INDEX('Policy Characteristics'!E:E,MATCH($C590,'Policy Characteristics'!$C:$C,0))),"",INDEX('Policy Characteristics'!E:E,MATCH($C590,'Policy Characteristics'!$C:$C,0)))</f>
        <v>indst med and high temp fuel type shifting</v>
      </c>
      <c r="L590" s="398">
        <f>IF(ISBLANK(INDEX('Policy Characteristics'!F:F,MATCH($C590,'Policy Characteristics'!$C:$C,0))),"",INDEX('Policy Characteristics'!F:F,MATCH($C590,'Policy Characteristics'!$C:$C,0)))</f>
        <v>0</v>
      </c>
      <c r="M590" s="398">
        <f>IF(ISBLANK(INDEX('Policy Characteristics'!G:G,MATCH($C590,'Policy Characteristics'!$C:$C,0))),"",INDEX('Policy Characteristics'!G:G,MATCH($C590,'Policy Characteristics'!$C:$C,0)))</f>
        <v>1</v>
      </c>
      <c r="N590" s="398">
        <f>IF(ISBLANK(INDEX('Policy Characteristics'!H:H,MATCH($C590,'Policy Characteristics'!$C:$C,0))),"",INDEX('Policy Characteristics'!H:H,MATCH($C590,'Policy Characteristics'!$C:$C,0)))</f>
        <v>0.01</v>
      </c>
      <c r="O590" s="394" t="str">
        <f>IF(ISBLANK(INDEX('Policy Characteristics'!I:I,MATCH($C590,'Policy Characteristics'!$C:$C,0))),"",INDEX('Policy Characteristics'!I:I,MATCH($C590,'Policy Characteristics'!$C:$C,0)))</f>
        <v>% of fuel shifted</v>
      </c>
      <c r="P590" s="394" t="str">
        <f>IF(ISBLANK(INDEX('Policy Characteristics'!J:J,MATCH($C590,'Policy Characteristics'!$C:$C,0))),"",INDEX('Policy Characteristics'!J:J,MATCH($C590,'Policy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0" s="394" t="str">
        <f>IF(ISBLANK(INDEX('Policy Characteristics'!K:K,MATCH($C590,'Policy Characteristics'!$C:$C,0))),"",INDEX('Policy Characteristics'!K:K,MATCH($C590,'Policy Characteristics'!$C:$C,0)))</f>
        <v>industry-ag-main.html#fuel-switching</v>
      </c>
      <c r="R590" s="394" t="str">
        <f>IF(ISBLANK(INDEX('Policy Characteristics'!L:L,MATCH($C590,'Policy Characteristics'!$C:$C,0))),"",INDEX('Policy Characteristics'!L:L,MATCH($C590,'Policy Characteristics'!$C:$C,0)))</f>
        <v>industry-elec-and-hydrogen.html</v>
      </c>
    </row>
    <row r="591" customHeight="1" spans="1:18">
      <c r="A591" s="394" t="str">
        <f>IF(ISBLANK(INDEX('Policy Characteristics'!A:A,MATCH($C591,'Policy Characteristics'!$C:$C,0))),"",INDEX('Policy Characteristics'!A:A,MATCH($C591,'Policy Characteristics'!$C:$C,0)))</f>
        <v>Industry</v>
      </c>
      <c r="B591" s="395" t="str">
        <f>IF(ISBLANK(INDEX('Policy Characteristics'!B:B,MATCH($C591,'Policy Characteristics'!$C:$C,0))),"",INDEX('Policy Characteristics'!B:B,MATCH($C591,'Policy Characteristics'!$C:$C,0)))</f>
        <v>Electrification + Hydrogen (Med &amp; High Temp)</v>
      </c>
      <c r="C591" s="394" t="str">
        <f t="shared" si="33"/>
        <v>Fraction of Med and High Temp Industrial Heat Shifted to Other Fuels</v>
      </c>
      <c r="D591" s="399" t="s">
        <v>764</v>
      </c>
      <c r="E591" s="399" t="s">
        <v>802</v>
      </c>
      <c r="F591" t="s">
        <v>765</v>
      </c>
      <c r="G591" s="399" t="s">
        <v>803</v>
      </c>
      <c r="H591" s="377">
        <v>1343</v>
      </c>
      <c r="I591" s="396" t="s">
        <v>658</v>
      </c>
      <c r="J591" s="397" t="str">
        <f>IF(ISBLANK(INDEX('Policy Characteristics'!D:D,MATCH($C591,'Policy Characteristics'!$C:$C,0))),"",INDEX('Policy Characteristics'!D:D,MATCH($C591,'Policy Characteristics'!$C:$C,0)))</f>
        <v>Electrification + Hydrogen</v>
      </c>
      <c r="K591" s="394" t="str">
        <f>IF(ISBLANK(INDEX('Policy Characteristics'!E:E,MATCH($C591,'Policy Characteristics'!$C:$C,0))),"",INDEX('Policy Characteristics'!E:E,MATCH($C591,'Policy Characteristics'!$C:$C,0)))</f>
        <v>indst med and high temp fuel type shifting</v>
      </c>
      <c r="L591" s="398">
        <f>IF(ISBLANK(INDEX('Policy Characteristics'!F:F,MATCH($C591,'Policy Characteristics'!$C:$C,0))),"",INDEX('Policy Characteristics'!F:F,MATCH($C591,'Policy Characteristics'!$C:$C,0)))</f>
        <v>0</v>
      </c>
      <c r="M591" s="398">
        <f>IF(ISBLANK(INDEX('Policy Characteristics'!G:G,MATCH($C591,'Policy Characteristics'!$C:$C,0))),"",INDEX('Policy Characteristics'!G:G,MATCH($C591,'Policy Characteristics'!$C:$C,0)))</f>
        <v>1</v>
      </c>
      <c r="N591" s="398">
        <f>IF(ISBLANK(INDEX('Policy Characteristics'!H:H,MATCH($C591,'Policy Characteristics'!$C:$C,0))),"",INDEX('Policy Characteristics'!H:H,MATCH($C591,'Policy Characteristics'!$C:$C,0)))</f>
        <v>0.01</v>
      </c>
      <c r="O591" s="394" t="str">
        <f>IF(ISBLANK(INDEX('Policy Characteristics'!I:I,MATCH($C591,'Policy Characteristics'!$C:$C,0))),"",INDEX('Policy Characteristics'!I:I,MATCH($C591,'Policy Characteristics'!$C:$C,0)))</f>
        <v>% of fuel shifted</v>
      </c>
      <c r="P591" s="394" t="str">
        <f>IF(ISBLANK(INDEX('Policy Characteristics'!J:J,MATCH($C591,'Policy Characteristics'!$C:$C,0))),"",INDEX('Policy Characteristics'!J:J,MATCH($C591,'Policy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1" s="394" t="str">
        <f>IF(ISBLANK(INDEX('Policy Characteristics'!K:K,MATCH($C591,'Policy Characteristics'!$C:$C,0))),"",INDEX('Policy Characteristics'!K:K,MATCH($C591,'Policy Characteristics'!$C:$C,0)))</f>
        <v>industry-ag-main.html#fuel-switching</v>
      </c>
      <c r="R591" s="394" t="str">
        <f>IF(ISBLANK(INDEX('Policy Characteristics'!L:L,MATCH($C591,'Policy Characteristics'!$C:$C,0))),"",INDEX('Policy Characteristics'!L:L,MATCH($C591,'Policy Characteristics'!$C:$C,0)))</f>
        <v>industry-elec-and-hydrogen.html</v>
      </c>
    </row>
    <row r="592" customHeight="1" spans="1:18">
      <c r="A592" s="394" t="str">
        <f>IF(ISBLANK(INDEX('Policy Characteristics'!A:A,MATCH($C592,'Policy Characteristics'!$C:$C,0))),"",INDEX('Policy Characteristics'!A:A,MATCH($C592,'Policy Characteristics'!$C:$C,0)))</f>
        <v>Industry</v>
      </c>
      <c r="B592" s="395" t="str">
        <f>IF(ISBLANK(INDEX('Policy Characteristics'!B:B,MATCH($C592,'Policy Characteristics'!$C:$C,0))),"",INDEX('Policy Characteristics'!B:B,MATCH($C592,'Policy Characteristics'!$C:$C,0)))</f>
        <v>Electrification + Hydrogen (Med &amp; High Temp)</v>
      </c>
      <c r="C592" s="394" t="str">
        <f t="shared" si="33"/>
        <v>Fraction of Med and High Temp Industrial Heat Shifted to Other Fuels</v>
      </c>
      <c r="D592" s="399" t="s">
        <v>764</v>
      </c>
      <c r="E592" s="399" t="s">
        <v>804</v>
      </c>
      <c r="F592" t="s">
        <v>765</v>
      </c>
      <c r="G592" s="399" t="s">
        <v>805</v>
      </c>
      <c r="H592" s="377">
        <v>1344</v>
      </c>
      <c r="I592" s="396" t="s">
        <v>658</v>
      </c>
      <c r="J592" s="397" t="str">
        <f>IF(ISBLANK(INDEX('Policy Characteristics'!D:D,MATCH($C592,'Policy Characteristics'!$C:$C,0))),"",INDEX('Policy Characteristics'!D:D,MATCH($C592,'Policy Characteristics'!$C:$C,0)))</f>
        <v>Electrification + Hydrogen</v>
      </c>
      <c r="K592" s="394" t="str">
        <f>IF(ISBLANK(INDEX('Policy Characteristics'!E:E,MATCH($C592,'Policy Characteristics'!$C:$C,0))),"",INDEX('Policy Characteristics'!E:E,MATCH($C592,'Policy Characteristics'!$C:$C,0)))</f>
        <v>indst med and high temp fuel type shifting</v>
      </c>
      <c r="L592" s="398">
        <f>IF(ISBLANK(INDEX('Policy Characteristics'!F:F,MATCH($C592,'Policy Characteristics'!$C:$C,0))),"",INDEX('Policy Characteristics'!F:F,MATCH($C592,'Policy Characteristics'!$C:$C,0)))</f>
        <v>0</v>
      </c>
      <c r="M592" s="398">
        <f>IF(ISBLANK(INDEX('Policy Characteristics'!G:G,MATCH($C592,'Policy Characteristics'!$C:$C,0))),"",INDEX('Policy Characteristics'!G:G,MATCH($C592,'Policy Characteristics'!$C:$C,0)))</f>
        <v>1</v>
      </c>
      <c r="N592" s="398">
        <f>IF(ISBLANK(INDEX('Policy Characteristics'!H:H,MATCH($C592,'Policy Characteristics'!$C:$C,0))),"",INDEX('Policy Characteristics'!H:H,MATCH($C592,'Policy Characteristics'!$C:$C,0)))</f>
        <v>0.01</v>
      </c>
      <c r="O592" s="394" t="str">
        <f>IF(ISBLANK(INDEX('Policy Characteristics'!I:I,MATCH($C592,'Policy Characteristics'!$C:$C,0))),"",INDEX('Policy Characteristics'!I:I,MATCH($C592,'Policy Characteristics'!$C:$C,0)))</f>
        <v>% of fuel shifted</v>
      </c>
      <c r="P592" s="394" t="str">
        <f>IF(ISBLANK(INDEX('Policy Characteristics'!J:J,MATCH($C592,'Policy Characteristics'!$C:$C,0))),"",INDEX('Policy Characteristics'!J:J,MATCH($C592,'Policy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2" s="394" t="str">
        <f>IF(ISBLANK(INDEX('Policy Characteristics'!K:K,MATCH($C592,'Policy Characteristics'!$C:$C,0))),"",INDEX('Policy Characteristics'!K:K,MATCH($C592,'Policy Characteristics'!$C:$C,0)))</f>
        <v>industry-ag-main.html#fuel-switching</v>
      </c>
      <c r="R592" s="394" t="str">
        <f>IF(ISBLANK(INDEX('Policy Characteristics'!L:L,MATCH($C592,'Policy Characteristics'!$C:$C,0))),"",INDEX('Policy Characteristics'!L:L,MATCH($C592,'Policy Characteristics'!$C:$C,0)))</f>
        <v>industry-elec-and-hydrogen.html</v>
      </c>
    </row>
    <row r="593" customHeight="1" spans="1:18">
      <c r="A593" s="394" t="str">
        <f>IF(ISBLANK(INDEX('Policy Characteristics'!A:A,MATCH($C593,'Policy Characteristics'!$C:$C,0))),"",INDEX('Policy Characteristics'!A:A,MATCH($C593,'Policy Characteristics'!$C:$C,0)))</f>
        <v>Industry</v>
      </c>
      <c r="B593" s="395" t="str">
        <f>IF(ISBLANK(INDEX('Policy Characteristics'!B:B,MATCH($C593,'Policy Characteristics'!$C:$C,0))),"",INDEX('Policy Characteristics'!B:B,MATCH($C593,'Policy Characteristics'!$C:$C,0)))</f>
        <v>Electrification + Hydrogen (Med &amp; High Temp)</v>
      </c>
      <c r="C593" s="394" t="str">
        <f t="shared" si="33"/>
        <v>Fraction of Med and High Temp Industrial Heat Shifted to Other Fuels</v>
      </c>
      <c r="D593" s="399" t="s">
        <v>764</v>
      </c>
      <c r="E593" s="399" t="s">
        <v>806</v>
      </c>
      <c r="F593" t="s">
        <v>765</v>
      </c>
      <c r="G593" s="399" t="s">
        <v>807</v>
      </c>
      <c r="H593" s="377">
        <v>1345</v>
      </c>
      <c r="I593" s="396" t="s">
        <v>658</v>
      </c>
      <c r="J593" s="397" t="str">
        <f>IF(ISBLANK(INDEX('Policy Characteristics'!D:D,MATCH($C593,'Policy Characteristics'!$C:$C,0))),"",INDEX('Policy Characteristics'!D:D,MATCH($C593,'Policy Characteristics'!$C:$C,0)))</f>
        <v>Electrification + Hydrogen</v>
      </c>
      <c r="K593" s="394" t="str">
        <f>IF(ISBLANK(INDEX('Policy Characteristics'!E:E,MATCH($C593,'Policy Characteristics'!$C:$C,0))),"",INDEX('Policy Characteristics'!E:E,MATCH($C593,'Policy Characteristics'!$C:$C,0)))</f>
        <v>indst med and high temp fuel type shifting</v>
      </c>
      <c r="L593" s="398">
        <f>IF(ISBLANK(INDEX('Policy Characteristics'!F:F,MATCH($C593,'Policy Characteristics'!$C:$C,0))),"",INDEX('Policy Characteristics'!F:F,MATCH($C593,'Policy Characteristics'!$C:$C,0)))</f>
        <v>0</v>
      </c>
      <c r="M593" s="398">
        <f>IF(ISBLANK(INDEX('Policy Characteristics'!G:G,MATCH($C593,'Policy Characteristics'!$C:$C,0))),"",INDEX('Policy Characteristics'!G:G,MATCH($C593,'Policy Characteristics'!$C:$C,0)))</f>
        <v>1</v>
      </c>
      <c r="N593" s="398">
        <f>IF(ISBLANK(INDEX('Policy Characteristics'!H:H,MATCH($C593,'Policy Characteristics'!$C:$C,0))),"",INDEX('Policy Characteristics'!H:H,MATCH($C593,'Policy Characteristics'!$C:$C,0)))</f>
        <v>0.01</v>
      </c>
      <c r="O593" s="394" t="str">
        <f>IF(ISBLANK(INDEX('Policy Characteristics'!I:I,MATCH($C593,'Policy Characteristics'!$C:$C,0))),"",INDEX('Policy Characteristics'!I:I,MATCH($C593,'Policy Characteristics'!$C:$C,0)))</f>
        <v>% of fuel shifted</v>
      </c>
      <c r="P593" s="394" t="str">
        <f>IF(ISBLANK(INDEX('Policy Characteristics'!J:J,MATCH($C593,'Policy Characteristics'!$C:$C,0))),"",INDEX('Policy Characteristics'!J:J,MATCH($C593,'Policy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3" s="394" t="str">
        <f>IF(ISBLANK(INDEX('Policy Characteristics'!K:K,MATCH($C593,'Policy Characteristics'!$C:$C,0))),"",INDEX('Policy Characteristics'!K:K,MATCH($C593,'Policy Characteristics'!$C:$C,0)))</f>
        <v>industry-ag-main.html#fuel-switching</v>
      </c>
      <c r="R593" s="394" t="str">
        <f>IF(ISBLANK(INDEX('Policy Characteristics'!L:L,MATCH($C593,'Policy Characteristics'!$C:$C,0))),"",INDEX('Policy Characteristics'!L:L,MATCH($C593,'Policy Characteristics'!$C:$C,0)))</f>
        <v>industry-elec-and-hydrogen.html</v>
      </c>
    </row>
    <row r="594" customHeight="1" spans="1:18">
      <c r="A594" s="394" t="str">
        <f>IF(ISBLANK(INDEX('Policy Characteristics'!A:A,MATCH($C594,'Policy Characteristics'!$C:$C,0))),"",INDEX('Policy Characteristics'!A:A,MATCH($C594,'Policy Characteristics'!$C:$C,0)))</f>
        <v>Industry</v>
      </c>
      <c r="B594" s="395" t="str">
        <f>IF(ISBLANK(INDEX('Policy Characteristics'!B:B,MATCH($C594,'Policy Characteristics'!$C:$C,0))),"",INDEX('Policy Characteristics'!B:B,MATCH($C594,'Policy Characteristics'!$C:$C,0)))</f>
        <v>Electrification + Hydrogen (Med &amp; High Temp)</v>
      </c>
      <c r="C594" s="394" t="str">
        <f t="shared" si="33"/>
        <v>Fraction of Med and High Temp Industrial Heat Shifted to Other Fuels</v>
      </c>
      <c r="D594" s="399" t="s">
        <v>764</v>
      </c>
      <c r="E594" s="399" t="s">
        <v>808</v>
      </c>
      <c r="F594" t="s">
        <v>765</v>
      </c>
      <c r="G594" s="399" t="s">
        <v>809</v>
      </c>
      <c r="H594" s="377">
        <v>1346</v>
      </c>
      <c r="I594" s="396" t="s">
        <v>658</v>
      </c>
      <c r="J594" s="397" t="str">
        <f>IF(ISBLANK(INDEX('Policy Characteristics'!D:D,MATCH($C594,'Policy Characteristics'!$C:$C,0))),"",INDEX('Policy Characteristics'!D:D,MATCH($C594,'Policy Characteristics'!$C:$C,0)))</f>
        <v>Electrification + Hydrogen</v>
      </c>
      <c r="K594" s="394" t="str">
        <f>IF(ISBLANK(INDEX('Policy Characteristics'!E:E,MATCH($C594,'Policy Characteristics'!$C:$C,0))),"",INDEX('Policy Characteristics'!E:E,MATCH($C594,'Policy Characteristics'!$C:$C,0)))</f>
        <v>indst med and high temp fuel type shifting</v>
      </c>
      <c r="L594" s="398">
        <f>IF(ISBLANK(INDEX('Policy Characteristics'!F:F,MATCH($C594,'Policy Characteristics'!$C:$C,0))),"",INDEX('Policy Characteristics'!F:F,MATCH($C594,'Policy Characteristics'!$C:$C,0)))</f>
        <v>0</v>
      </c>
      <c r="M594" s="398">
        <f>IF(ISBLANK(INDEX('Policy Characteristics'!G:G,MATCH($C594,'Policy Characteristics'!$C:$C,0))),"",INDEX('Policy Characteristics'!G:G,MATCH($C594,'Policy Characteristics'!$C:$C,0)))</f>
        <v>1</v>
      </c>
      <c r="N594" s="398">
        <f>IF(ISBLANK(INDEX('Policy Characteristics'!H:H,MATCH($C594,'Policy Characteristics'!$C:$C,0))),"",INDEX('Policy Characteristics'!H:H,MATCH($C594,'Policy Characteristics'!$C:$C,0)))</f>
        <v>0.01</v>
      </c>
      <c r="O594" s="394" t="str">
        <f>IF(ISBLANK(INDEX('Policy Characteristics'!I:I,MATCH($C594,'Policy Characteristics'!$C:$C,0))),"",INDEX('Policy Characteristics'!I:I,MATCH($C594,'Policy Characteristics'!$C:$C,0)))</f>
        <v>% of fuel shifted</v>
      </c>
      <c r="P594" s="394" t="str">
        <f>IF(ISBLANK(INDEX('Policy Characteristics'!J:J,MATCH($C594,'Policy Characteristics'!$C:$C,0))),"",INDEX('Policy Characteristics'!J:J,MATCH($C594,'Policy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4" s="394" t="str">
        <f>IF(ISBLANK(INDEX('Policy Characteristics'!K:K,MATCH($C594,'Policy Characteristics'!$C:$C,0))),"",INDEX('Policy Characteristics'!K:K,MATCH($C594,'Policy Characteristics'!$C:$C,0)))</f>
        <v>industry-ag-main.html#fuel-switching</v>
      </c>
      <c r="R594" s="394" t="str">
        <f>IF(ISBLANK(INDEX('Policy Characteristics'!L:L,MATCH($C594,'Policy Characteristics'!$C:$C,0))),"",INDEX('Policy Characteristics'!L:L,MATCH($C594,'Policy Characteristics'!$C:$C,0)))</f>
        <v>industry-elec-and-hydrogen.html</v>
      </c>
    </row>
    <row r="595" customHeight="1" spans="1:18">
      <c r="A595" s="394" t="str">
        <f>IF(ISBLANK(INDEX('Policy Characteristics'!A:A,MATCH($C595,'Policy Characteristics'!$C:$C,0))),"",INDEX('Policy Characteristics'!A:A,MATCH($C595,'Policy Characteristics'!$C:$C,0)))</f>
        <v>Industry</v>
      </c>
      <c r="B595" s="395" t="str">
        <f>IF(ISBLANK(INDEX('Policy Characteristics'!B:B,MATCH($C595,'Policy Characteristics'!$C:$C,0))),"",INDEX('Policy Characteristics'!B:B,MATCH($C595,'Policy Characteristics'!$C:$C,0)))</f>
        <v>Electrification + Hydrogen (Med &amp; High Temp)</v>
      </c>
      <c r="C595" s="394" t="str">
        <f t="shared" si="33"/>
        <v>Fraction of Med and High Temp Industrial Heat Shifted to Other Fuels</v>
      </c>
      <c r="D595" s="399" t="s">
        <v>764</v>
      </c>
      <c r="E595" s="399" t="s">
        <v>810</v>
      </c>
      <c r="F595" t="s">
        <v>765</v>
      </c>
      <c r="G595" s="399" t="s">
        <v>811</v>
      </c>
      <c r="H595" s="377">
        <v>1347</v>
      </c>
      <c r="I595" s="396" t="s">
        <v>648</v>
      </c>
      <c r="J595" s="397" t="str">
        <f>IF(ISBLANK(INDEX('Policy Characteristics'!D:D,MATCH($C595,'Policy Characteristics'!$C:$C,0))),"",INDEX('Policy Characteristics'!D:D,MATCH($C595,'Policy Characteristics'!$C:$C,0)))</f>
        <v>Electrification + Hydrogen</v>
      </c>
      <c r="K595" s="394" t="str">
        <f>IF(ISBLANK(INDEX('Policy Characteristics'!E:E,MATCH($C595,'Policy Characteristics'!$C:$C,0))),"",INDEX('Policy Characteristics'!E:E,MATCH($C595,'Policy Characteristics'!$C:$C,0)))</f>
        <v>indst med and high temp fuel type shifting</v>
      </c>
      <c r="L595" s="398">
        <f>IF(ISBLANK(INDEX('Policy Characteristics'!F:F,MATCH($C595,'Policy Characteristics'!$C:$C,0))),"",INDEX('Policy Characteristics'!F:F,MATCH($C595,'Policy Characteristics'!$C:$C,0)))</f>
        <v>0</v>
      </c>
      <c r="M595" s="398">
        <f>IF(ISBLANK(INDEX('Policy Characteristics'!G:G,MATCH($C595,'Policy Characteristics'!$C:$C,0))),"",INDEX('Policy Characteristics'!G:G,MATCH($C595,'Policy Characteristics'!$C:$C,0)))</f>
        <v>1</v>
      </c>
      <c r="N595" s="398">
        <f>IF(ISBLANK(INDEX('Policy Characteristics'!H:H,MATCH($C595,'Policy Characteristics'!$C:$C,0))),"",INDEX('Policy Characteristics'!H:H,MATCH($C595,'Policy Characteristics'!$C:$C,0)))</f>
        <v>0.01</v>
      </c>
      <c r="O595" s="394" t="str">
        <f>IF(ISBLANK(INDEX('Policy Characteristics'!I:I,MATCH($C595,'Policy Characteristics'!$C:$C,0))),"",INDEX('Policy Characteristics'!I:I,MATCH($C595,'Policy Characteristics'!$C:$C,0)))</f>
        <v>% of fuel shifted</v>
      </c>
      <c r="P595" s="394" t="str">
        <f>IF(ISBLANK(INDEX('Policy Characteristics'!J:J,MATCH($C595,'Policy Characteristics'!$C:$C,0))),"",INDEX('Policy Characteristics'!J:J,MATCH($C595,'Policy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5" s="394" t="str">
        <f>IF(ISBLANK(INDEX('Policy Characteristics'!K:K,MATCH($C595,'Policy Characteristics'!$C:$C,0))),"",INDEX('Policy Characteristics'!K:K,MATCH($C595,'Policy Characteristics'!$C:$C,0)))</f>
        <v>industry-ag-main.html#fuel-switching</v>
      </c>
      <c r="R595" s="394" t="str">
        <f>IF(ISBLANK(INDEX('Policy Characteristics'!L:L,MATCH($C595,'Policy Characteristics'!$C:$C,0))),"",INDEX('Policy Characteristics'!L:L,MATCH($C595,'Policy Characteristics'!$C:$C,0)))</f>
        <v>industry-elec-and-hydrogen.html</v>
      </c>
    </row>
    <row r="596" customHeight="1" spans="1:18">
      <c r="A596" s="394" t="str">
        <f>IF(ISBLANK(INDEX('Policy Characteristics'!A:A,MATCH($C596,'Policy Characteristics'!$C:$C,0))),"",INDEX('Policy Characteristics'!A:A,MATCH($C596,'Policy Characteristics'!$C:$C,0)))</f>
        <v>Industry</v>
      </c>
      <c r="B596" s="395" t="str">
        <f>IF(ISBLANK(INDEX('Policy Characteristics'!B:B,MATCH($C596,'Policy Characteristics'!$C:$C,0))),"",INDEX('Policy Characteristics'!B:B,MATCH($C596,'Policy Characteristics'!$C:$C,0)))</f>
        <v>Electrification + Hydrogen (Med &amp; High Temp)</v>
      </c>
      <c r="C596" s="394" t="str">
        <f t="shared" si="33"/>
        <v>Fraction of Med and High Temp Industrial Heat Shifted to Other Fuels</v>
      </c>
      <c r="D596" s="399" t="s">
        <v>766</v>
      </c>
      <c r="E596" s="399" t="s">
        <v>792</v>
      </c>
      <c r="F596" t="s">
        <v>767</v>
      </c>
      <c r="G596" s="399" t="s">
        <v>793</v>
      </c>
      <c r="H596" s="377">
        <v>1348</v>
      </c>
      <c r="I596" s="396" t="s">
        <v>648</v>
      </c>
      <c r="J596" s="397" t="str">
        <f>IF(ISBLANK(INDEX('Policy Characteristics'!D:D,MATCH($C596,'Policy Characteristics'!$C:$C,0))),"",INDEX('Policy Characteristics'!D:D,MATCH($C596,'Policy Characteristics'!$C:$C,0)))</f>
        <v>Electrification + Hydrogen</v>
      </c>
      <c r="K596" s="394" t="str">
        <f>IF(ISBLANK(INDEX('Policy Characteristics'!E:E,MATCH($C596,'Policy Characteristics'!$C:$C,0))),"",INDEX('Policy Characteristics'!E:E,MATCH($C596,'Policy Characteristics'!$C:$C,0)))</f>
        <v>indst med and high temp fuel type shifting</v>
      </c>
      <c r="L596" s="398">
        <f>IF(ISBLANK(INDEX('Policy Characteristics'!F:F,MATCH($C596,'Policy Characteristics'!$C:$C,0))),"",INDEX('Policy Characteristics'!F:F,MATCH($C596,'Policy Characteristics'!$C:$C,0)))</f>
        <v>0</v>
      </c>
      <c r="M596" s="398">
        <f>IF(ISBLANK(INDEX('Policy Characteristics'!G:G,MATCH($C596,'Policy Characteristics'!$C:$C,0))),"",INDEX('Policy Characteristics'!G:G,MATCH($C596,'Policy Characteristics'!$C:$C,0)))</f>
        <v>1</v>
      </c>
      <c r="N596" s="398">
        <f>IF(ISBLANK(INDEX('Policy Characteristics'!H:H,MATCH($C596,'Policy Characteristics'!$C:$C,0))),"",INDEX('Policy Characteristics'!H:H,MATCH($C596,'Policy Characteristics'!$C:$C,0)))</f>
        <v>0.01</v>
      </c>
      <c r="O596" s="394" t="str">
        <f>IF(ISBLANK(INDEX('Policy Characteristics'!I:I,MATCH($C596,'Policy Characteristics'!$C:$C,0))),"",INDEX('Policy Characteristics'!I:I,MATCH($C596,'Policy Characteristics'!$C:$C,0)))</f>
        <v>% of fuel shifted</v>
      </c>
      <c r="P596" s="394" t="str">
        <f>IF(ISBLANK(INDEX('Policy Characteristics'!J:J,MATCH($C596,'Policy Characteristics'!$C:$C,0))),"",INDEX('Policy Characteristics'!J:J,MATCH($C596,'Policy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6" s="394" t="str">
        <f>IF(ISBLANK(INDEX('Policy Characteristics'!K:K,MATCH($C596,'Policy Characteristics'!$C:$C,0))),"",INDEX('Policy Characteristics'!K:K,MATCH($C596,'Policy Characteristics'!$C:$C,0)))</f>
        <v>industry-ag-main.html#fuel-switching</v>
      </c>
      <c r="R596" s="394" t="str">
        <f>IF(ISBLANK(INDEX('Policy Characteristics'!L:L,MATCH($C596,'Policy Characteristics'!$C:$C,0))),"",INDEX('Policy Characteristics'!L:L,MATCH($C596,'Policy Characteristics'!$C:$C,0)))</f>
        <v>industry-elec-and-hydrogen.html</v>
      </c>
    </row>
    <row r="597" customHeight="1" spans="1:18">
      <c r="A597" s="394" t="str">
        <f>IF(ISBLANK(INDEX('Policy Characteristics'!A:A,MATCH($C597,'Policy Characteristics'!$C:$C,0))),"",INDEX('Policy Characteristics'!A:A,MATCH($C597,'Policy Characteristics'!$C:$C,0)))</f>
        <v>Industry</v>
      </c>
      <c r="B597" s="395" t="str">
        <f>IF(ISBLANK(INDEX('Policy Characteristics'!B:B,MATCH($C597,'Policy Characteristics'!$C:$C,0))),"",INDEX('Policy Characteristics'!B:B,MATCH($C597,'Policy Characteristics'!$C:$C,0)))</f>
        <v>Electrification + Hydrogen (Med &amp; High Temp)</v>
      </c>
      <c r="C597" s="394" t="str">
        <f t="shared" si="33"/>
        <v>Fraction of Med and High Temp Industrial Heat Shifted to Other Fuels</v>
      </c>
      <c r="D597" s="399" t="s">
        <v>766</v>
      </c>
      <c r="E597" s="399" t="s">
        <v>794</v>
      </c>
      <c r="F597" t="s">
        <v>767</v>
      </c>
      <c r="G597" s="399" t="s">
        <v>795</v>
      </c>
      <c r="H597" s="377">
        <v>1349</v>
      </c>
      <c r="I597" s="396" t="s">
        <v>658</v>
      </c>
      <c r="J597" s="397" t="str">
        <f>IF(ISBLANK(INDEX('Policy Characteristics'!D:D,MATCH($C597,'Policy Characteristics'!$C:$C,0))),"",INDEX('Policy Characteristics'!D:D,MATCH($C597,'Policy Characteristics'!$C:$C,0)))</f>
        <v>Electrification + Hydrogen</v>
      </c>
      <c r="K597" s="394" t="str">
        <f>IF(ISBLANK(INDEX('Policy Characteristics'!E:E,MATCH($C597,'Policy Characteristics'!$C:$C,0))),"",INDEX('Policy Characteristics'!E:E,MATCH($C597,'Policy Characteristics'!$C:$C,0)))</f>
        <v>indst med and high temp fuel type shifting</v>
      </c>
      <c r="L597" s="398">
        <f>IF(ISBLANK(INDEX('Policy Characteristics'!F:F,MATCH($C597,'Policy Characteristics'!$C:$C,0))),"",INDEX('Policy Characteristics'!F:F,MATCH($C597,'Policy Characteristics'!$C:$C,0)))</f>
        <v>0</v>
      </c>
      <c r="M597" s="398">
        <f>IF(ISBLANK(INDEX('Policy Characteristics'!G:G,MATCH($C597,'Policy Characteristics'!$C:$C,0))),"",INDEX('Policy Characteristics'!G:G,MATCH($C597,'Policy Characteristics'!$C:$C,0)))</f>
        <v>1</v>
      </c>
      <c r="N597" s="398">
        <f>IF(ISBLANK(INDEX('Policy Characteristics'!H:H,MATCH($C597,'Policy Characteristics'!$C:$C,0))),"",INDEX('Policy Characteristics'!H:H,MATCH($C597,'Policy Characteristics'!$C:$C,0)))</f>
        <v>0.01</v>
      </c>
      <c r="O597" s="394" t="str">
        <f>IF(ISBLANK(INDEX('Policy Characteristics'!I:I,MATCH($C597,'Policy Characteristics'!$C:$C,0))),"",INDEX('Policy Characteristics'!I:I,MATCH($C597,'Policy Characteristics'!$C:$C,0)))</f>
        <v>% of fuel shifted</v>
      </c>
      <c r="P597" s="394" t="str">
        <f>IF(ISBLANK(INDEX('Policy Characteristics'!J:J,MATCH($C597,'Policy Characteristics'!$C:$C,0))),"",INDEX('Policy Characteristics'!J:J,MATCH($C597,'Policy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7" s="394" t="str">
        <f>IF(ISBLANK(INDEX('Policy Characteristics'!K:K,MATCH($C597,'Policy Characteristics'!$C:$C,0))),"",INDEX('Policy Characteristics'!K:K,MATCH($C597,'Policy Characteristics'!$C:$C,0)))</f>
        <v>industry-ag-main.html#fuel-switching</v>
      </c>
      <c r="R597" s="394" t="str">
        <f>IF(ISBLANK(INDEX('Policy Characteristics'!L:L,MATCH($C597,'Policy Characteristics'!$C:$C,0))),"",INDEX('Policy Characteristics'!L:L,MATCH($C597,'Policy Characteristics'!$C:$C,0)))</f>
        <v>industry-elec-and-hydrogen.html</v>
      </c>
    </row>
    <row r="598" customHeight="1" spans="1:18">
      <c r="A598" s="394" t="str">
        <f>IF(ISBLANK(INDEX('Policy Characteristics'!A:A,MATCH($C598,'Policy Characteristics'!$C:$C,0))),"",INDEX('Policy Characteristics'!A:A,MATCH($C598,'Policy Characteristics'!$C:$C,0)))</f>
        <v>Industry</v>
      </c>
      <c r="B598" s="395" t="str">
        <f>IF(ISBLANK(INDEX('Policy Characteristics'!B:B,MATCH($C598,'Policy Characteristics'!$C:$C,0))),"",INDEX('Policy Characteristics'!B:B,MATCH($C598,'Policy Characteristics'!$C:$C,0)))</f>
        <v>Electrification + Hydrogen (Med &amp; High Temp)</v>
      </c>
      <c r="C598" s="394" t="str">
        <f t="shared" si="33"/>
        <v>Fraction of Med and High Temp Industrial Heat Shifted to Other Fuels</v>
      </c>
      <c r="D598" s="399" t="s">
        <v>766</v>
      </c>
      <c r="E598" s="399" t="s">
        <v>796</v>
      </c>
      <c r="F598" t="s">
        <v>767</v>
      </c>
      <c r="G598" s="399" t="s">
        <v>797</v>
      </c>
      <c r="H598" s="377">
        <v>1350</v>
      </c>
      <c r="I598" s="396" t="s">
        <v>658</v>
      </c>
      <c r="J598" s="397" t="str">
        <f>IF(ISBLANK(INDEX('Policy Characteristics'!D:D,MATCH($C598,'Policy Characteristics'!$C:$C,0))),"",INDEX('Policy Characteristics'!D:D,MATCH($C598,'Policy Characteristics'!$C:$C,0)))</f>
        <v>Electrification + Hydrogen</v>
      </c>
      <c r="K598" s="394" t="str">
        <f>IF(ISBLANK(INDEX('Policy Characteristics'!E:E,MATCH($C598,'Policy Characteristics'!$C:$C,0))),"",INDEX('Policy Characteristics'!E:E,MATCH($C598,'Policy Characteristics'!$C:$C,0)))</f>
        <v>indst med and high temp fuel type shifting</v>
      </c>
      <c r="L598" s="398">
        <f>IF(ISBLANK(INDEX('Policy Characteristics'!F:F,MATCH($C598,'Policy Characteristics'!$C:$C,0))),"",INDEX('Policy Characteristics'!F:F,MATCH($C598,'Policy Characteristics'!$C:$C,0)))</f>
        <v>0</v>
      </c>
      <c r="M598" s="398">
        <f>IF(ISBLANK(INDEX('Policy Characteristics'!G:G,MATCH($C598,'Policy Characteristics'!$C:$C,0))),"",INDEX('Policy Characteristics'!G:G,MATCH($C598,'Policy Characteristics'!$C:$C,0)))</f>
        <v>1</v>
      </c>
      <c r="N598" s="398">
        <f>IF(ISBLANK(INDEX('Policy Characteristics'!H:H,MATCH($C598,'Policy Characteristics'!$C:$C,0))),"",INDEX('Policy Characteristics'!H:H,MATCH($C598,'Policy Characteristics'!$C:$C,0)))</f>
        <v>0.01</v>
      </c>
      <c r="O598" s="394" t="str">
        <f>IF(ISBLANK(INDEX('Policy Characteristics'!I:I,MATCH($C598,'Policy Characteristics'!$C:$C,0))),"",INDEX('Policy Characteristics'!I:I,MATCH($C598,'Policy Characteristics'!$C:$C,0)))</f>
        <v>% of fuel shifted</v>
      </c>
      <c r="P598" s="394" t="str">
        <f>IF(ISBLANK(INDEX('Policy Characteristics'!J:J,MATCH($C598,'Policy Characteristics'!$C:$C,0))),"",INDEX('Policy Characteristics'!J:J,MATCH($C598,'Policy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8" s="394" t="str">
        <f>IF(ISBLANK(INDEX('Policy Characteristics'!K:K,MATCH($C598,'Policy Characteristics'!$C:$C,0))),"",INDEX('Policy Characteristics'!K:K,MATCH($C598,'Policy Characteristics'!$C:$C,0)))</f>
        <v>industry-ag-main.html#fuel-switching</v>
      </c>
      <c r="R598" s="394" t="str">
        <f>IF(ISBLANK(INDEX('Policy Characteristics'!L:L,MATCH($C598,'Policy Characteristics'!$C:$C,0))),"",INDEX('Policy Characteristics'!L:L,MATCH($C598,'Policy Characteristics'!$C:$C,0)))</f>
        <v>industry-elec-and-hydrogen.html</v>
      </c>
    </row>
    <row r="599" customHeight="1" spans="1:18">
      <c r="A599" s="394" t="str">
        <f>IF(ISBLANK(INDEX('Policy Characteristics'!A:A,MATCH($C599,'Policy Characteristics'!$C:$C,0))),"",INDEX('Policy Characteristics'!A:A,MATCH($C599,'Policy Characteristics'!$C:$C,0)))</f>
        <v>Industry</v>
      </c>
      <c r="B599" s="395" t="str">
        <f>IF(ISBLANK(INDEX('Policy Characteristics'!B:B,MATCH($C599,'Policy Characteristics'!$C:$C,0))),"",INDEX('Policy Characteristics'!B:B,MATCH($C599,'Policy Characteristics'!$C:$C,0)))</f>
        <v>Electrification + Hydrogen (Med &amp; High Temp)</v>
      </c>
      <c r="C599" s="394" t="str">
        <f t="shared" si="33"/>
        <v>Fraction of Med and High Temp Industrial Heat Shifted to Other Fuels</v>
      </c>
      <c r="D599" s="399" t="s">
        <v>766</v>
      </c>
      <c r="E599" s="399" t="s">
        <v>798</v>
      </c>
      <c r="F599" t="s">
        <v>767</v>
      </c>
      <c r="G599" s="399" t="s">
        <v>799</v>
      </c>
      <c r="H599" s="377">
        <v>1351</v>
      </c>
      <c r="I599" s="396" t="s">
        <v>658</v>
      </c>
      <c r="J599" s="397" t="str">
        <f>IF(ISBLANK(INDEX('Policy Characteristics'!D:D,MATCH($C599,'Policy Characteristics'!$C:$C,0))),"",INDEX('Policy Characteristics'!D:D,MATCH($C599,'Policy Characteristics'!$C:$C,0)))</f>
        <v>Electrification + Hydrogen</v>
      </c>
      <c r="K599" s="394" t="str">
        <f>IF(ISBLANK(INDEX('Policy Characteristics'!E:E,MATCH($C599,'Policy Characteristics'!$C:$C,0))),"",INDEX('Policy Characteristics'!E:E,MATCH($C599,'Policy Characteristics'!$C:$C,0)))</f>
        <v>indst med and high temp fuel type shifting</v>
      </c>
      <c r="L599" s="398">
        <f>IF(ISBLANK(INDEX('Policy Characteristics'!F:F,MATCH($C599,'Policy Characteristics'!$C:$C,0))),"",INDEX('Policy Characteristics'!F:F,MATCH($C599,'Policy Characteristics'!$C:$C,0)))</f>
        <v>0</v>
      </c>
      <c r="M599" s="398">
        <f>IF(ISBLANK(INDEX('Policy Characteristics'!G:G,MATCH($C599,'Policy Characteristics'!$C:$C,0))),"",INDEX('Policy Characteristics'!G:G,MATCH($C599,'Policy Characteristics'!$C:$C,0)))</f>
        <v>1</v>
      </c>
      <c r="N599" s="398">
        <f>IF(ISBLANK(INDEX('Policy Characteristics'!H:H,MATCH($C599,'Policy Characteristics'!$C:$C,0))),"",INDEX('Policy Characteristics'!H:H,MATCH($C599,'Policy Characteristics'!$C:$C,0)))</f>
        <v>0.01</v>
      </c>
      <c r="O599" s="394" t="str">
        <f>IF(ISBLANK(INDEX('Policy Characteristics'!I:I,MATCH($C599,'Policy Characteristics'!$C:$C,0))),"",INDEX('Policy Characteristics'!I:I,MATCH($C599,'Policy Characteristics'!$C:$C,0)))</f>
        <v>% of fuel shifted</v>
      </c>
      <c r="P599" s="394" t="str">
        <f>IF(ISBLANK(INDEX('Policy Characteristics'!J:J,MATCH($C599,'Policy Characteristics'!$C:$C,0))),"",INDEX('Policy Characteristics'!J:J,MATCH($C599,'Policy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9" s="394" t="str">
        <f>IF(ISBLANK(INDEX('Policy Characteristics'!K:K,MATCH($C599,'Policy Characteristics'!$C:$C,0))),"",INDEX('Policy Characteristics'!K:K,MATCH($C599,'Policy Characteristics'!$C:$C,0)))</f>
        <v>industry-ag-main.html#fuel-switching</v>
      </c>
      <c r="R599" s="394" t="str">
        <f>IF(ISBLANK(INDEX('Policy Characteristics'!L:L,MATCH($C599,'Policy Characteristics'!$C:$C,0))),"",INDEX('Policy Characteristics'!L:L,MATCH($C599,'Policy Characteristics'!$C:$C,0)))</f>
        <v>industry-elec-and-hydrogen.html</v>
      </c>
    </row>
    <row r="600" customHeight="1" spans="1:18">
      <c r="A600" s="394" t="str">
        <f>IF(ISBLANK(INDEX('Policy Characteristics'!A:A,MATCH($C600,'Policy Characteristics'!$C:$C,0))),"",INDEX('Policy Characteristics'!A:A,MATCH($C600,'Policy Characteristics'!$C:$C,0)))</f>
        <v>Industry</v>
      </c>
      <c r="B600" s="395" t="str">
        <f>IF(ISBLANK(INDEX('Policy Characteristics'!B:B,MATCH($C600,'Policy Characteristics'!$C:$C,0))),"",INDEX('Policy Characteristics'!B:B,MATCH($C600,'Policy Characteristics'!$C:$C,0)))</f>
        <v>Electrification + Hydrogen (Med &amp; High Temp)</v>
      </c>
      <c r="C600" s="394" t="str">
        <f t="shared" si="33"/>
        <v>Fraction of Med and High Temp Industrial Heat Shifted to Other Fuels</v>
      </c>
      <c r="D600" s="399" t="s">
        <v>766</v>
      </c>
      <c r="E600" s="399" t="s">
        <v>800</v>
      </c>
      <c r="F600" t="s">
        <v>767</v>
      </c>
      <c r="G600" s="399" t="s">
        <v>801</v>
      </c>
      <c r="H600" s="377">
        <v>1352</v>
      </c>
      <c r="I600" s="396" t="s">
        <v>658</v>
      </c>
      <c r="J600" s="397" t="str">
        <f>IF(ISBLANK(INDEX('Policy Characteristics'!D:D,MATCH($C600,'Policy Characteristics'!$C:$C,0))),"",INDEX('Policy Characteristics'!D:D,MATCH($C600,'Policy Characteristics'!$C:$C,0)))</f>
        <v>Electrification + Hydrogen</v>
      </c>
      <c r="K600" s="394" t="str">
        <f>IF(ISBLANK(INDEX('Policy Characteristics'!E:E,MATCH($C600,'Policy Characteristics'!$C:$C,0))),"",INDEX('Policy Characteristics'!E:E,MATCH($C600,'Policy Characteristics'!$C:$C,0)))</f>
        <v>indst med and high temp fuel type shifting</v>
      </c>
      <c r="L600" s="398">
        <f>IF(ISBLANK(INDEX('Policy Characteristics'!F:F,MATCH($C600,'Policy Characteristics'!$C:$C,0))),"",INDEX('Policy Characteristics'!F:F,MATCH($C600,'Policy Characteristics'!$C:$C,0)))</f>
        <v>0</v>
      </c>
      <c r="M600" s="398">
        <f>IF(ISBLANK(INDEX('Policy Characteristics'!G:G,MATCH($C600,'Policy Characteristics'!$C:$C,0))),"",INDEX('Policy Characteristics'!G:G,MATCH($C600,'Policy Characteristics'!$C:$C,0)))</f>
        <v>1</v>
      </c>
      <c r="N600" s="398">
        <f>IF(ISBLANK(INDEX('Policy Characteristics'!H:H,MATCH($C600,'Policy Characteristics'!$C:$C,0))),"",INDEX('Policy Characteristics'!H:H,MATCH($C600,'Policy Characteristics'!$C:$C,0)))</f>
        <v>0.01</v>
      </c>
      <c r="O600" s="394" t="str">
        <f>IF(ISBLANK(INDEX('Policy Characteristics'!I:I,MATCH($C600,'Policy Characteristics'!$C:$C,0))),"",INDEX('Policy Characteristics'!I:I,MATCH($C600,'Policy Characteristics'!$C:$C,0)))</f>
        <v>% of fuel shifted</v>
      </c>
      <c r="P600" s="394" t="str">
        <f>IF(ISBLANK(INDEX('Policy Characteristics'!J:J,MATCH($C600,'Policy Characteristics'!$C:$C,0))),"",INDEX('Policy Characteristics'!J:J,MATCH($C600,'Policy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0" s="394" t="str">
        <f>IF(ISBLANK(INDEX('Policy Characteristics'!K:K,MATCH($C600,'Policy Characteristics'!$C:$C,0))),"",INDEX('Policy Characteristics'!K:K,MATCH($C600,'Policy Characteristics'!$C:$C,0)))</f>
        <v>industry-ag-main.html#fuel-switching</v>
      </c>
      <c r="R600" s="394" t="str">
        <f>IF(ISBLANK(INDEX('Policy Characteristics'!L:L,MATCH($C600,'Policy Characteristics'!$C:$C,0))),"",INDEX('Policy Characteristics'!L:L,MATCH($C600,'Policy Characteristics'!$C:$C,0)))</f>
        <v>industry-elec-and-hydrogen.html</v>
      </c>
    </row>
    <row r="601" customHeight="1" spans="1:18">
      <c r="A601" s="394" t="str">
        <f>IF(ISBLANK(INDEX('Policy Characteristics'!A:A,MATCH($C601,'Policy Characteristics'!$C:$C,0))),"",INDEX('Policy Characteristics'!A:A,MATCH($C601,'Policy Characteristics'!$C:$C,0)))</f>
        <v>Industry</v>
      </c>
      <c r="B601" s="395" t="str">
        <f>IF(ISBLANK(INDEX('Policy Characteristics'!B:B,MATCH($C601,'Policy Characteristics'!$C:$C,0))),"",INDEX('Policy Characteristics'!B:B,MATCH($C601,'Policy Characteristics'!$C:$C,0)))</f>
        <v>Electrification + Hydrogen (Med &amp; High Temp)</v>
      </c>
      <c r="C601" s="394" t="str">
        <f t="shared" ref="C601:C664" si="34">C$456</f>
        <v>Fraction of Med and High Temp Industrial Heat Shifted to Other Fuels</v>
      </c>
      <c r="D601" s="399" t="s">
        <v>766</v>
      </c>
      <c r="E601" s="399" t="s">
        <v>802</v>
      </c>
      <c r="F601" t="s">
        <v>767</v>
      </c>
      <c r="G601" s="399" t="s">
        <v>803</v>
      </c>
      <c r="H601" s="377">
        <v>1353</v>
      </c>
      <c r="I601" s="396" t="s">
        <v>658</v>
      </c>
      <c r="J601" s="397" t="str">
        <f>IF(ISBLANK(INDEX('Policy Characteristics'!D:D,MATCH($C601,'Policy Characteristics'!$C:$C,0))),"",INDEX('Policy Characteristics'!D:D,MATCH($C601,'Policy Characteristics'!$C:$C,0)))</f>
        <v>Electrification + Hydrogen</v>
      </c>
      <c r="K601" s="394" t="str">
        <f>IF(ISBLANK(INDEX('Policy Characteristics'!E:E,MATCH($C601,'Policy Characteristics'!$C:$C,0))),"",INDEX('Policy Characteristics'!E:E,MATCH($C601,'Policy Characteristics'!$C:$C,0)))</f>
        <v>indst med and high temp fuel type shifting</v>
      </c>
      <c r="L601" s="398">
        <f>IF(ISBLANK(INDEX('Policy Characteristics'!F:F,MATCH($C601,'Policy Characteristics'!$C:$C,0))),"",INDEX('Policy Characteristics'!F:F,MATCH($C601,'Policy Characteristics'!$C:$C,0)))</f>
        <v>0</v>
      </c>
      <c r="M601" s="398">
        <f>IF(ISBLANK(INDEX('Policy Characteristics'!G:G,MATCH($C601,'Policy Characteristics'!$C:$C,0))),"",INDEX('Policy Characteristics'!G:G,MATCH($C601,'Policy Characteristics'!$C:$C,0)))</f>
        <v>1</v>
      </c>
      <c r="N601" s="398">
        <f>IF(ISBLANK(INDEX('Policy Characteristics'!H:H,MATCH($C601,'Policy Characteristics'!$C:$C,0))),"",INDEX('Policy Characteristics'!H:H,MATCH($C601,'Policy Characteristics'!$C:$C,0)))</f>
        <v>0.01</v>
      </c>
      <c r="O601" s="394" t="str">
        <f>IF(ISBLANK(INDEX('Policy Characteristics'!I:I,MATCH($C601,'Policy Characteristics'!$C:$C,0))),"",INDEX('Policy Characteristics'!I:I,MATCH($C601,'Policy Characteristics'!$C:$C,0)))</f>
        <v>% of fuel shifted</v>
      </c>
      <c r="P601" s="394" t="str">
        <f>IF(ISBLANK(INDEX('Policy Characteristics'!J:J,MATCH($C601,'Policy Characteristics'!$C:$C,0))),"",INDEX('Policy Characteristics'!J:J,MATCH($C601,'Policy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1" s="394" t="str">
        <f>IF(ISBLANK(INDEX('Policy Characteristics'!K:K,MATCH($C601,'Policy Characteristics'!$C:$C,0))),"",INDEX('Policy Characteristics'!K:K,MATCH($C601,'Policy Characteristics'!$C:$C,0)))</f>
        <v>industry-ag-main.html#fuel-switching</v>
      </c>
      <c r="R601" s="394" t="str">
        <f>IF(ISBLANK(INDEX('Policy Characteristics'!L:L,MATCH($C601,'Policy Characteristics'!$C:$C,0))),"",INDEX('Policy Characteristics'!L:L,MATCH($C601,'Policy Characteristics'!$C:$C,0)))</f>
        <v>industry-elec-and-hydrogen.html</v>
      </c>
    </row>
    <row r="602" customHeight="1" spans="1:18">
      <c r="A602" s="394" t="str">
        <f>IF(ISBLANK(INDEX('Policy Characteristics'!A:A,MATCH($C602,'Policy Characteristics'!$C:$C,0))),"",INDEX('Policy Characteristics'!A:A,MATCH($C602,'Policy Characteristics'!$C:$C,0)))</f>
        <v>Industry</v>
      </c>
      <c r="B602" s="395" t="str">
        <f>IF(ISBLANK(INDEX('Policy Characteristics'!B:B,MATCH($C602,'Policy Characteristics'!$C:$C,0))),"",INDEX('Policy Characteristics'!B:B,MATCH($C602,'Policy Characteristics'!$C:$C,0)))</f>
        <v>Electrification + Hydrogen (Med &amp; High Temp)</v>
      </c>
      <c r="C602" s="394" t="str">
        <f t="shared" si="34"/>
        <v>Fraction of Med and High Temp Industrial Heat Shifted to Other Fuels</v>
      </c>
      <c r="D602" s="399" t="s">
        <v>766</v>
      </c>
      <c r="E602" s="399" t="s">
        <v>804</v>
      </c>
      <c r="F602" t="s">
        <v>767</v>
      </c>
      <c r="G602" s="399" t="s">
        <v>805</v>
      </c>
      <c r="H602" s="377">
        <v>1354</v>
      </c>
      <c r="I602" s="396" t="s">
        <v>658</v>
      </c>
      <c r="J602" s="397" t="str">
        <f>IF(ISBLANK(INDEX('Policy Characteristics'!D:D,MATCH($C602,'Policy Characteristics'!$C:$C,0))),"",INDEX('Policy Characteristics'!D:D,MATCH($C602,'Policy Characteristics'!$C:$C,0)))</f>
        <v>Electrification + Hydrogen</v>
      </c>
      <c r="K602" s="394" t="str">
        <f>IF(ISBLANK(INDEX('Policy Characteristics'!E:E,MATCH($C602,'Policy Characteristics'!$C:$C,0))),"",INDEX('Policy Characteristics'!E:E,MATCH($C602,'Policy Characteristics'!$C:$C,0)))</f>
        <v>indst med and high temp fuel type shifting</v>
      </c>
      <c r="L602" s="398">
        <f>IF(ISBLANK(INDEX('Policy Characteristics'!F:F,MATCH($C602,'Policy Characteristics'!$C:$C,0))),"",INDEX('Policy Characteristics'!F:F,MATCH($C602,'Policy Characteristics'!$C:$C,0)))</f>
        <v>0</v>
      </c>
      <c r="M602" s="398">
        <f>IF(ISBLANK(INDEX('Policy Characteristics'!G:G,MATCH($C602,'Policy Characteristics'!$C:$C,0))),"",INDEX('Policy Characteristics'!G:G,MATCH($C602,'Policy Characteristics'!$C:$C,0)))</f>
        <v>1</v>
      </c>
      <c r="N602" s="398">
        <f>IF(ISBLANK(INDEX('Policy Characteristics'!H:H,MATCH($C602,'Policy Characteristics'!$C:$C,0))),"",INDEX('Policy Characteristics'!H:H,MATCH($C602,'Policy Characteristics'!$C:$C,0)))</f>
        <v>0.01</v>
      </c>
      <c r="O602" s="394" t="str">
        <f>IF(ISBLANK(INDEX('Policy Characteristics'!I:I,MATCH($C602,'Policy Characteristics'!$C:$C,0))),"",INDEX('Policy Characteristics'!I:I,MATCH($C602,'Policy Characteristics'!$C:$C,0)))</f>
        <v>% of fuel shifted</v>
      </c>
      <c r="P602" s="394" t="str">
        <f>IF(ISBLANK(INDEX('Policy Characteristics'!J:J,MATCH($C602,'Policy Characteristics'!$C:$C,0))),"",INDEX('Policy Characteristics'!J:J,MATCH($C602,'Policy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2" s="394" t="str">
        <f>IF(ISBLANK(INDEX('Policy Characteristics'!K:K,MATCH($C602,'Policy Characteristics'!$C:$C,0))),"",INDEX('Policy Characteristics'!K:K,MATCH($C602,'Policy Characteristics'!$C:$C,0)))</f>
        <v>industry-ag-main.html#fuel-switching</v>
      </c>
      <c r="R602" s="394" t="str">
        <f>IF(ISBLANK(INDEX('Policy Characteristics'!L:L,MATCH($C602,'Policy Characteristics'!$C:$C,0))),"",INDEX('Policy Characteristics'!L:L,MATCH($C602,'Policy Characteristics'!$C:$C,0)))</f>
        <v>industry-elec-and-hydrogen.html</v>
      </c>
    </row>
    <row r="603" customHeight="1" spans="1:18">
      <c r="A603" s="394" t="str">
        <f>IF(ISBLANK(INDEX('Policy Characteristics'!A:A,MATCH($C603,'Policy Characteristics'!$C:$C,0))),"",INDEX('Policy Characteristics'!A:A,MATCH($C603,'Policy Characteristics'!$C:$C,0)))</f>
        <v>Industry</v>
      </c>
      <c r="B603" s="395" t="str">
        <f>IF(ISBLANK(INDEX('Policy Characteristics'!B:B,MATCH($C603,'Policy Characteristics'!$C:$C,0))),"",INDEX('Policy Characteristics'!B:B,MATCH($C603,'Policy Characteristics'!$C:$C,0)))</f>
        <v>Electrification + Hydrogen (Med &amp; High Temp)</v>
      </c>
      <c r="C603" s="394" t="str">
        <f t="shared" si="34"/>
        <v>Fraction of Med and High Temp Industrial Heat Shifted to Other Fuels</v>
      </c>
      <c r="D603" s="399" t="s">
        <v>766</v>
      </c>
      <c r="E603" s="399" t="s">
        <v>806</v>
      </c>
      <c r="F603" t="s">
        <v>767</v>
      </c>
      <c r="G603" s="399" t="s">
        <v>807</v>
      </c>
      <c r="H603" s="377">
        <v>1355</v>
      </c>
      <c r="I603" s="396" t="s">
        <v>658</v>
      </c>
      <c r="J603" s="397" t="str">
        <f>IF(ISBLANK(INDEX('Policy Characteristics'!D:D,MATCH($C603,'Policy Characteristics'!$C:$C,0))),"",INDEX('Policy Characteristics'!D:D,MATCH($C603,'Policy Characteristics'!$C:$C,0)))</f>
        <v>Electrification + Hydrogen</v>
      </c>
      <c r="K603" s="394" t="str">
        <f>IF(ISBLANK(INDEX('Policy Characteristics'!E:E,MATCH($C603,'Policy Characteristics'!$C:$C,0))),"",INDEX('Policy Characteristics'!E:E,MATCH($C603,'Policy Characteristics'!$C:$C,0)))</f>
        <v>indst med and high temp fuel type shifting</v>
      </c>
      <c r="L603" s="398">
        <f>IF(ISBLANK(INDEX('Policy Characteristics'!F:F,MATCH($C603,'Policy Characteristics'!$C:$C,0))),"",INDEX('Policy Characteristics'!F:F,MATCH($C603,'Policy Characteristics'!$C:$C,0)))</f>
        <v>0</v>
      </c>
      <c r="M603" s="398">
        <f>IF(ISBLANK(INDEX('Policy Characteristics'!G:G,MATCH($C603,'Policy Characteristics'!$C:$C,0))),"",INDEX('Policy Characteristics'!G:G,MATCH($C603,'Policy Characteristics'!$C:$C,0)))</f>
        <v>1</v>
      </c>
      <c r="N603" s="398">
        <f>IF(ISBLANK(INDEX('Policy Characteristics'!H:H,MATCH($C603,'Policy Characteristics'!$C:$C,0))),"",INDEX('Policy Characteristics'!H:H,MATCH($C603,'Policy Characteristics'!$C:$C,0)))</f>
        <v>0.01</v>
      </c>
      <c r="O603" s="394" t="str">
        <f>IF(ISBLANK(INDEX('Policy Characteristics'!I:I,MATCH($C603,'Policy Characteristics'!$C:$C,0))),"",INDEX('Policy Characteristics'!I:I,MATCH($C603,'Policy Characteristics'!$C:$C,0)))</f>
        <v>% of fuel shifted</v>
      </c>
      <c r="P603" s="394" t="str">
        <f>IF(ISBLANK(INDEX('Policy Characteristics'!J:J,MATCH($C603,'Policy Characteristics'!$C:$C,0))),"",INDEX('Policy Characteristics'!J:J,MATCH($C603,'Policy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3" s="394" t="str">
        <f>IF(ISBLANK(INDEX('Policy Characteristics'!K:K,MATCH($C603,'Policy Characteristics'!$C:$C,0))),"",INDEX('Policy Characteristics'!K:K,MATCH($C603,'Policy Characteristics'!$C:$C,0)))</f>
        <v>industry-ag-main.html#fuel-switching</v>
      </c>
      <c r="R603" s="394" t="str">
        <f>IF(ISBLANK(INDEX('Policy Characteristics'!L:L,MATCH($C603,'Policy Characteristics'!$C:$C,0))),"",INDEX('Policy Characteristics'!L:L,MATCH($C603,'Policy Characteristics'!$C:$C,0)))</f>
        <v>industry-elec-and-hydrogen.html</v>
      </c>
    </row>
    <row r="604" customHeight="1" spans="1:18">
      <c r="A604" s="394" t="str">
        <f>IF(ISBLANK(INDEX('Policy Characteristics'!A:A,MATCH($C604,'Policy Characteristics'!$C:$C,0))),"",INDEX('Policy Characteristics'!A:A,MATCH($C604,'Policy Characteristics'!$C:$C,0)))</f>
        <v>Industry</v>
      </c>
      <c r="B604" s="395" t="str">
        <f>IF(ISBLANK(INDEX('Policy Characteristics'!B:B,MATCH($C604,'Policy Characteristics'!$C:$C,0))),"",INDEX('Policy Characteristics'!B:B,MATCH($C604,'Policy Characteristics'!$C:$C,0)))</f>
        <v>Electrification + Hydrogen (Med &amp; High Temp)</v>
      </c>
      <c r="C604" s="394" t="str">
        <f t="shared" si="34"/>
        <v>Fraction of Med and High Temp Industrial Heat Shifted to Other Fuels</v>
      </c>
      <c r="D604" s="399" t="s">
        <v>766</v>
      </c>
      <c r="E604" s="399" t="s">
        <v>808</v>
      </c>
      <c r="F604" t="s">
        <v>767</v>
      </c>
      <c r="G604" s="399" t="s">
        <v>809</v>
      </c>
      <c r="H604" s="377">
        <v>1356</v>
      </c>
      <c r="I604" s="396" t="s">
        <v>658</v>
      </c>
      <c r="J604" s="397" t="str">
        <f>IF(ISBLANK(INDEX('Policy Characteristics'!D:D,MATCH($C604,'Policy Characteristics'!$C:$C,0))),"",INDEX('Policy Characteristics'!D:D,MATCH($C604,'Policy Characteristics'!$C:$C,0)))</f>
        <v>Electrification + Hydrogen</v>
      </c>
      <c r="K604" s="394" t="str">
        <f>IF(ISBLANK(INDEX('Policy Characteristics'!E:E,MATCH($C604,'Policy Characteristics'!$C:$C,0))),"",INDEX('Policy Characteristics'!E:E,MATCH($C604,'Policy Characteristics'!$C:$C,0)))</f>
        <v>indst med and high temp fuel type shifting</v>
      </c>
      <c r="L604" s="398">
        <f>IF(ISBLANK(INDEX('Policy Characteristics'!F:F,MATCH($C604,'Policy Characteristics'!$C:$C,0))),"",INDEX('Policy Characteristics'!F:F,MATCH($C604,'Policy Characteristics'!$C:$C,0)))</f>
        <v>0</v>
      </c>
      <c r="M604" s="398">
        <f>IF(ISBLANK(INDEX('Policy Characteristics'!G:G,MATCH($C604,'Policy Characteristics'!$C:$C,0))),"",INDEX('Policy Characteristics'!G:G,MATCH($C604,'Policy Characteristics'!$C:$C,0)))</f>
        <v>1</v>
      </c>
      <c r="N604" s="398">
        <f>IF(ISBLANK(INDEX('Policy Characteristics'!H:H,MATCH($C604,'Policy Characteristics'!$C:$C,0))),"",INDEX('Policy Characteristics'!H:H,MATCH($C604,'Policy Characteristics'!$C:$C,0)))</f>
        <v>0.01</v>
      </c>
      <c r="O604" s="394" t="str">
        <f>IF(ISBLANK(INDEX('Policy Characteristics'!I:I,MATCH($C604,'Policy Characteristics'!$C:$C,0))),"",INDEX('Policy Characteristics'!I:I,MATCH($C604,'Policy Characteristics'!$C:$C,0)))</f>
        <v>% of fuel shifted</v>
      </c>
      <c r="P604" s="394" t="str">
        <f>IF(ISBLANK(INDEX('Policy Characteristics'!J:J,MATCH($C604,'Policy Characteristics'!$C:$C,0))),"",INDEX('Policy Characteristics'!J:J,MATCH($C604,'Policy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4" s="394" t="str">
        <f>IF(ISBLANK(INDEX('Policy Characteristics'!K:K,MATCH($C604,'Policy Characteristics'!$C:$C,0))),"",INDEX('Policy Characteristics'!K:K,MATCH($C604,'Policy Characteristics'!$C:$C,0)))</f>
        <v>industry-ag-main.html#fuel-switching</v>
      </c>
      <c r="R604" s="394" t="str">
        <f>IF(ISBLANK(INDEX('Policy Characteristics'!L:L,MATCH($C604,'Policy Characteristics'!$C:$C,0))),"",INDEX('Policy Characteristics'!L:L,MATCH($C604,'Policy Characteristics'!$C:$C,0)))</f>
        <v>industry-elec-and-hydrogen.html</v>
      </c>
    </row>
    <row r="605" customHeight="1" spans="1:18">
      <c r="A605" s="394" t="str">
        <f>IF(ISBLANK(INDEX('Policy Characteristics'!A:A,MATCH($C605,'Policy Characteristics'!$C:$C,0))),"",INDEX('Policy Characteristics'!A:A,MATCH($C605,'Policy Characteristics'!$C:$C,0)))</f>
        <v>Industry</v>
      </c>
      <c r="B605" s="395" t="str">
        <f>IF(ISBLANK(INDEX('Policy Characteristics'!B:B,MATCH($C605,'Policy Characteristics'!$C:$C,0))),"",INDEX('Policy Characteristics'!B:B,MATCH($C605,'Policy Characteristics'!$C:$C,0)))</f>
        <v>Electrification + Hydrogen (Med &amp; High Temp)</v>
      </c>
      <c r="C605" s="394" t="str">
        <f t="shared" si="34"/>
        <v>Fraction of Med and High Temp Industrial Heat Shifted to Other Fuels</v>
      </c>
      <c r="D605" s="399" t="s">
        <v>766</v>
      </c>
      <c r="E605" s="399" t="s">
        <v>810</v>
      </c>
      <c r="F605" t="s">
        <v>767</v>
      </c>
      <c r="G605" s="399" t="s">
        <v>811</v>
      </c>
      <c r="H605" s="377">
        <v>1357</v>
      </c>
      <c r="I605" s="396" t="s">
        <v>648</v>
      </c>
      <c r="J605" s="397" t="str">
        <f>IF(ISBLANK(INDEX('Policy Characteristics'!D:D,MATCH($C605,'Policy Characteristics'!$C:$C,0))),"",INDEX('Policy Characteristics'!D:D,MATCH($C605,'Policy Characteristics'!$C:$C,0)))</f>
        <v>Electrification + Hydrogen</v>
      </c>
      <c r="K605" s="394" t="str">
        <f>IF(ISBLANK(INDEX('Policy Characteristics'!E:E,MATCH($C605,'Policy Characteristics'!$C:$C,0))),"",INDEX('Policy Characteristics'!E:E,MATCH($C605,'Policy Characteristics'!$C:$C,0)))</f>
        <v>indst med and high temp fuel type shifting</v>
      </c>
      <c r="L605" s="398">
        <f>IF(ISBLANK(INDEX('Policy Characteristics'!F:F,MATCH($C605,'Policy Characteristics'!$C:$C,0))),"",INDEX('Policy Characteristics'!F:F,MATCH($C605,'Policy Characteristics'!$C:$C,0)))</f>
        <v>0</v>
      </c>
      <c r="M605" s="398">
        <f>IF(ISBLANK(INDEX('Policy Characteristics'!G:G,MATCH($C605,'Policy Characteristics'!$C:$C,0))),"",INDEX('Policy Characteristics'!G:G,MATCH($C605,'Policy Characteristics'!$C:$C,0)))</f>
        <v>1</v>
      </c>
      <c r="N605" s="398">
        <f>IF(ISBLANK(INDEX('Policy Characteristics'!H:H,MATCH($C605,'Policy Characteristics'!$C:$C,0))),"",INDEX('Policy Characteristics'!H:H,MATCH($C605,'Policy Characteristics'!$C:$C,0)))</f>
        <v>0.01</v>
      </c>
      <c r="O605" s="394" t="str">
        <f>IF(ISBLANK(INDEX('Policy Characteristics'!I:I,MATCH($C605,'Policy Characteristics'!$C:$C,0))),"",INDEX('Policy Characteristics'!I:I,MATCH($C605,'Policy Characteristics'!$C:$C,0)))</f>
        <v>% of fuel shifted</v>
      </c>
      <c r="P605" s="394" t="str">
        <f>IF(ISBLANK(INDEX('Policy Characteristics'!J:J,MATCH($C605,'Policy Characteristics'!$C:$C,0))),"",INDEX('Policy Characteristics'!J:J,MATCH($C605,'Policy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5" s="394" t="str">
        <f>IF(ISBLANK(INDEX('Policy Characteristics'!K:K,MATCH($C605,'Policy Characteristics'!$C:$C,0))),"",INDEX('Policy Characteristics'!K:K,MATCH($C605,'Policy Characteristics'!$C:$C,0)))</f>
        <v>industry-ag-main.html#fuel-switching</v>
      </c>
      <c r="R605" s="394" t="str">
        <f>IF(ISBLANK(INDEX('Policy Characteristics'!L:L,MATCH($C605,'Policy Characteristics'!$C:$C,0))),"",INDEX('Policy Characteristics'!L:L,MATCH($C605,'Policy Characteristics'!$C:$C,0)))</f>
        <v>industry-elec-and-hydrogen.html</v>
      </c>
    </row>
    <row r="606" customHeight="1" spans="1:18">
      <c r="A606" s="394" t="str">
        <f>IF(ISBLANK(INDEX('Policy Characteristics'!A:A,MATCH($C606,'Policy Characteristics'!$C:$C,0))),"",INDEX('Policy Characteristics'!A:A,MATCH($C606,'Policy Characteristics'!$C:$C,0)))</f>
        <v>Industry</v>
      </c>
      <c r="B606" s="395" t="str">
        <f>IF(ISBLANK(INDEX('Policy Characteristics'!B:B,MATCH($C606,'Policy Characteristics'!$C:$C,0))),"",INDEX('Policy Characteristics'!B:B,MATCH($C606,'Policy Characteristics'!$C:$C,0)))</f>
        <v>Electrification + Hydrogen (Med &amp; High Temp)</v>
      </c>
      <c r="C606" s="394" t="str">
        <f t="shared" si="34"/>
        <v>Fraction of Med and High Temp Industrial Heat Shifted to Other Fuels</v>
      </c>
      <c r="D606" s="399" t="s">
        <v>768</v>
      </c>
      <c r="E606" s="399" t="s">
        <v>792</v>
      </c>
      <c r="F606" t="s">
        <v>769</v>
      </c>
      <c r="G606" s="399" t="s">
        <v>793</v>
      </c>
      <c r="H606" s="377">
        <v>1358</v>
      </c>
      <c r="I606" s="396" t="s">
        <v>648</v>
      </c>
      <c r="J606" s="397" t="str">
        <f>IF(ISBLANK(INDEX('Policy Characteristics'!D:D,MATCH($C606,'Policy Characteristics'!$C:$C,0))),"",INDEX('Policy Characteristics'!D:D,MATCH($C606,'Policy Characteristics'!$C:$C,0)))</f>
        <v>Electrification + Hydrogen</v>
      </c>
      <c r="K606" s="394" t="str">
        <f>IF(ISBLANK(INDEX('Policy Characteristics'!E:E,MATCH($C606,'Policy Characteristics'!$C:$C,0))),"",INDEX('Policy Characteristics'!E:E,MATCH($C606,'Policy Characteristics'!$C:$C,0)))</f>
        <v>indst med and high temp fuel type shifting</v>
      </c>
      <c r="L606" s="398">
        <f>IF(ISBLANK(INDEX('Policy Characteristics'!F:F,MATCH($C606,'Policy Characteristics'!$C:$C,0))),"",INDEX('Policy Characteristics'!F:F,MATCH($C606,'Policy Characteristics'!$C:$C,0)))</f>
        <v>0</v>
      </c>
      <c r="M606" s="398">
        <f>IF(ISBLANK(INDEX('Policy Characteristics'!G:G,MATCH($C606,'Policy Characteristics'!$C:$C,0))),"",INDEX('Policy Characteristics'!G:G,MATCH($C606,'Policy Characteristics'!$C:$C,0)))</f>
        <v>1</v>
      </c>
      <c r="N606" s="398">
        <f>IF(ISBLANK(INDEX('Policy Characteristics'!H:H,MATCH($C606,'Policy Characteristics'!$C:$C,0))),"",INDEX('Policy Characteristics'!H:H,MATCH($C606,'Policy Characteristics'!$C:$C,0)))</f>
        <v>0.01</v>
      </c>
      <c r="O606" s="394" t="str">
        <f>IF(ISBLANK(INDEX('Policy Characteristics'!I:I,MATCH($C606,'Policy Characteristics'!$C:$C,0))),"",INDEX('Policy Characteristics'!I:I,MATCH($C606,'Policy Characteristics'!$C:$C,0)))</f>
        <v>% of fuel shifted</v>
      </c>
      <c r="P606" s="394" t="str">
        <f>IF(ISBLANK(INDEX('Policy Characteristics'!J:J,MATCH($C606,'Policy Characteristics'!$C:$C,0))),"",INDEX('Policy Characteristics'!J:J,MATCH($C606,'Policy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6" s="394" t="str">
        <f>IF(ISBLANK(INDEX('Policy Characteristics'!K:K,MATCH($C606,'Policy Characteristics'!$C:$C,0))),"",INDEX('Policy Characteristics'!K:K,MATCH($C606,'Policy Characteristics'!$C:$C,0)))</f>
        <v>industry-ag-main.html#fuel-switching</v>
      </c>
      <c r="R606" s="394" t="str">
        <f>IF(ISBLANK(INDEX('Policy Characteristics'!L:L,MATCH($C606,'Policy Characteristics'!$C:$C,0))),"",INDEX('Policy Characteristics'!L:L,MATCH($C606,'Policy Characteristics'!$C:$C,0)))</f>
        <v>industry-elec-and-hydrogen.html</v>
      </c>
    </row>
    <row r="607" customHeight="1" spans="1:18">
      <c r="A607" s="394" t="str">
        <f>IF(ISBLANK(INDEX('Policy Characteristics'!A:A,MATCH($C607,'Policy Characteristics'!$C:$C,0))),"",INDEX('Policy Characteristics'!A:A,MATCH($C607,'Policy Characteristics'!$C:$C,0)))</f>
        <v>Industry</v>
      </c>
      <c r="B607" s="395" t="str">
        <f>IF(ISBLANK(INDEX('Policy Characteristics'!B:B,MATCH($C607,'Policy Characteristics'!$C:$C,0))),"",INDEX('Policy Characteristics'!B:B,MATCH($C607,'Policy Characteristics'!$C:$C,0)))</f>
        <v>Electrification + Hydrogen (Med &amp; High Temp)</v>
      </c>
      <c r="C607" s="394" t="str">
        <f t="shared" si="34"/>
        <v>Fraction of Med and High Temp Industrial Heat Shifted to Other Fuels</v>
      </c>
      <c r="D607" s="399" t="s">
        <v>768</v>
      </c>
      <c r="E607" s="399" t="s">
        <v>794</v>
      </c>
      <c r="F607" t="s">
        <v>769</v>
      </c>
      <c r="G607" s="399" t="s">
        <v>795</v>
      </c>
      <c r="H607" s="377">
        <v>1359</v>
      </c>
      <c r="I607" s="396" t="s">
        <v>658</v>
      </c>
      <c r="J607" s="397" t="str">
        <f>IF(ISBLANK(INDEX('Policy Characteristics'!D:D,MATCH($C607,'Policy Characteristics'!$C:$C,0))),"",INDEX('Policy Characteristics'!D:D,MATCH($C607,'Policy Characteristics'!$C:$C,0)))</f>
        <v>Electrification + Hydrogen</v>
      </c>
      <c r="K607" s="394" t="str">
        <f>IF(ISBLANK(INDEX('Policy Characteristics'!E:E,MATCH($C607,'Policy Characteristics'!$C:$C,0))),"",INDEX('Policy Characteristics'!E:E,MATCH($C607,'Policy Characteristics'!$C:$C,0)))</f>
        <v>indst med and high temp fuel type shifting</v>
      </c>
      <c r="L607" s="398">
        <f>IF(ISBLANK(INDEX('Policy Characteristics'!F:F,MATCH($C607,'Policy Characteristics'!$C:$C,0))),"",INDEX('Policy Characteristics'!F:F,MATCH($C607,'Policy Characteristics'!$C:$C,0)))</f>
        <v>0</v>
      </c>
      <c r="M607" s="398">
        <f>IF(ISBLANK(INDEX('Policy Characteristics'!G:G,MATCH($C607,'Policy Characteristics'!$C:$C,0))),"",INDEX('Policy Characteristics'!G:G,MATCH($C607,'Policy Characteristics'!$C:$C,0)))</f>
        <v>1</v>
      </c>
      <c r="N607" s="398">
        <f>IF(ISBLANK(INDEX('Policy Characteristics'!H:H,MATCH($C607,'Policy Characteristics'!$C:$C,0))),"",INDEX('Policy Characteristics'!H:H,MATCH($C607,'Policy Characteristics'!$C:$C,0)))</f>
        <v>0.01</v>
      </c>
      <c r="O607" s="394" t="str">
        <f>IF(ISBLANK(INDEX('Policy Characteristics'!I:I,MATCH($C607,'Policy Characteristics'!$C:$C,0))),"",INDEX('Policy Characteristics'!I:I,MATCH($C607,'Policy Characteristics'!$C:$C,0)))</f>
        <v>% of fuel shifted</v>
      </c>
      <c r="P607" s="394" t="str">
        <f>IF(ISBLANK(INDEX('Policy Characteristics'!J:J,MATCH($C607,'Policy Characteristics'!$C:$C,0))),"",INDEX('Policy Characteristics'!J:J,MATCH($C607,'Policy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7" s="394" t="str">
        <f>IF(ISBLANK(INDEX('Policy Characteristics'!K:K,MATCH($C607,'Policy Characteristics'!$C:$C,0))),"",INDEX('Policy Characteristics'!K:K,MATCH($C607,'Policy Characteristics'!$C:$C,0)))</f>
        <v>industry-ag-main.html#fuel-switching</v>
      </c>
      <c r="R607" s="394" t="str">
        <f>IF(ISBLANK(INDEX('Policy Characteristics'!L:L,MATCH($C607,'Policy Characteristics'!$C:$C,0))),"",INDEX('Policy Characteristics'!L:L,MATCH($C607,'Policy Characteristics'!$C:$C,0)))</f>
        <v>industry-elec-and-hydrogen.html</v>
      </c>
    </row>
    <row r="608" customHeight="1" spans="1:18">
      <c r="A608" s="394" t="str">
        <f>IF(ISBLANK(INDEX('Policy Characteristics'!A:A,MATCH($C608,'Policy Characteristics'!$C:$C,0))),"",INDEX('Policy Characteristics'!A:A,MATCH($C608,'Policy Characteristics'!$C:$C,0)))</f>
        <v>Industry</v>
      </c>
      <c r="B608" s="395" t="str">
        <f>IF(ISBLANK(INDEX('Policy Characteristics'!B:B,MATCH($C608,'Policy Characteristics'!$C:$C,0))),"",INDEX('Policy Characteristics'!B:B,MATCH($C608,'Policy Characteristics'!$C:$C,0)))</f>
        <v>Electrification + Hydrogen (Med &amp; High Temp)</v>
      </c>
      <c r="C608" s="394" t="str">
        <f t="shared" si="34"/>
        <v>Fraction of Med and High Temp Industrial Heat Shifted to Other Fuels</v>
      </c>
      <c r="D608" s="399" t="s">
        <v>768</v>
      </c>
      <c r="E608" s="399" t="s">
        <v>796</v>
      </c>
      <c r="F608" t="s">
        <v>769</v>
      </c>
      <c r="G608" s="399" t="s">
        <v>797</v>
      </c>
      <c r="H608" s="377">
        <v>1360</v>
      </c>
      <c r="I608" s="396" t="s">
        <v>658</v>
      </c>
      <c r="J608" s="397" t="str">
        <f>IF(ISBLANK(INDEX('Policy Characteristics'!D:D,MATCH($C608,'Policy Characteristics'!$C:$C,0))),"",INDEX('Policy Characteristics'!D:D,MATCH($C608,'Policy Characteristics'!$C:$C,0)))</f>
        <v>Electrification + Hydrogen</v>
      </c>
      <c r="K608" s="394" t="str">
        <f>IF(ISBLANK(INDEX('Policy Characteristics'!E:E,MATCH($C608,'Policy Characteristics'!$C:$C,0))),"",INDEX('Policy Characteristics'!E:E,MATCH($C608,'Policy Characteristics'!$C:$C,0)))</f>
        <v>indst med and high temp fuel type shifting</v>
      </c>
      <c r="L608" s="398">
        <f>IF(ISBLANK(INDEX('Policy Characteristics'!F:F,MATCH($C608,'Policy Characteristics'!$C:$C,0))),"",INDEX('Policy Characteristics'!F:F,MATCH($C608,'Policy Characteristics'!$C:$C,0)))</f>
        <v>0</v>
      </c>
      <c r="M608" s="398">
        <f>IF(ISBLANK(INDEX('Policy Characteristics'!G:G,MATCH($C608,'Policy Characteristics'!$C:$C,0))),"",INDEX('Policy Characteristics'!G:G,MATCH($C608,'Policy Characteristics'!$C:$C,0)))</f>
        <v>1</v>
      </c>
      <c r="N608" s="398">
        <f>IF(ISBLANK(INDEX('Policy Characteristics'!H:H,MATCH($C608,'Policy Characteristics'!$C:$C,0))),"",INDEX('Policy Characteristics'!H:H,MATCH($C608,'Policy Characteristics'!$C:$C,0)))</f>
        <v>0.01</v>
      </c>
      <c r="O608" s="394" t="str">
        <f>IF(ISBLANK(INDEX('Policy Characteristics'!I:I,MATCH($C608,'Policy Characteristics'!$C:$C,0))),"",INDEX('Policy Characteristics'!I:I,MATCH($C608,'Policy Characteristics'!$C:$C,0)))</f>
        <v>% of fuel shifted</v>
      </c>
      <c r="P608" s="394" t="str">
        <f>IF(ISBLANK(INDEX('Policy Characteristics'!J:J,MATCH($C608,'Policy Characteristics'!$C:$C,0))),"",INDEX('Policy Characteristics'!J:J,MATCH($C608,'Policy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8" s="394" t="str">
        <f>IF(ISBLANK(INDEX('Policy Characteristics'!K:K,MATCH($C608,'Policy Characteristics'!$C:$C,0))),"",INDEX('Policy Characteristics'!K:K,MATCH($C608,'Policy Characteristics'!$C:$C,0)))</f>
        <v>industry-ag-main.html#fuel-switching</v>
      </c>
      <c r="R608" s="394" t="str">
        <f>IF(ISBLANK(INDEX('Policy Characteristics'!L:L,MATCH($C608,'Policy Characteristics'!$C:$C,0))),"",INDEX('Policy Characteristics'!L:L,MATCH($C608,'Policy Characteristics'!$C:$C,0)))</f>
        <v>industry-elec-and-hydrogen.html</v>
      </c>
    </row>
    <row r="609" customHeight="1" spans="1:18">
      <c r="A609" s="394" t="str">
        <f>IF(ISBLANK(INDEX('Policy Characteristics'!A:A,MATCH($C609,'Policy Characteristics'!$C:$C,0))),"",INDEX('Policy Characteristics'!A:A,MATCH($C609,'Policy Characteristics'!$C:$C,0)))</f>
        <v>Industry</v>
      </c>
      <c r="B609" s="395" t="str">
        <f>IF(ISBLANK(INDEX('Policy Characteristics'!B:B,MATCH($C609,'Policy Characteristics'!$C:$C,0))),"",INDEX('Policy Characteristics'!B:B,MATCH($C609,'Policy Characteristics'!$C:$C,0)))</f>
        <v>Electrification + Hydrogen (Med &amp; High Temp)</v>
      </c>
      <c r="C609" s="394" t="str">
        <f t="shared" si="34"/>
        <v>Fraction of Med and High Temp Industrial Heat Shifted to Other Fuels</v>
      </c>
      <c r="D609" s="399" t="s">
        <v>768</v>
      </c>
      <c r="E609" s="399" t="s">
        <v>798</v>
      </c>
      <c r="F609" t="s">
        <v>769</v>
      </c>
      <c r="G609" s="399" t="s">
        <v>799</v>
      </c>
      <c r="H609" s="377">
        <v>1361</v>
      </c>
      <c r="I609" s="396" t="s">
        <v>658</v>
      </c>
      <c r="J609" s="397" t="str">
        <f>IF(ISBLANK(INDEX('Policy Characteristics'!D:D,MATCH($C609,'Policy Characteristics'!$C:$C,0))),"",INDEX('Policy Characteristics'!D:D,MATCH($C609,'Policy Characteristics'!$C:$C,0)))</f>
        <v>Electrification + Hydrogen</v>
      </c>
      <c r="K609" s="394" t="str">
        <f>IF(ISBLANK(INDEX('Policy Characteristics'!E:E,MATCH($C609,'Policy Characteristics'!$C:$C,0))),"",INDEX('Policy Characteristics'!E:E,MATCH($C609,'Policy Characteristics'!$C:$C,0)))</f>
        <v>indst med and high temp fuel type shifting</v>
      </c>
      <c r="L609" s="398">
        <f>IF(ISBLANK(INDEX('Policy Characteristics'!F:F,MATCH($C609,'Policy Characteristics'!$C:$C,0))),"",INDEX('Policy Characteristics'!F:F,MATCH($C609,'Policy Characteristics'!$C:$C,0)))</f>
        <v>0</v>
      </c>
      <c r="M609" s="398">
        <f>IF(ISBLANK(INDEX('Policy Characteristics'!G:G,MATCH($C609,'Policy Characteristics'!$C:$C,0))),"",INDEX('Policy Characteristics'!G:G,MATCH($C609,'Policy Characteristics'!$C:$C,0)))</f>
        <v>1</v>
      </c>
      <c r="N609" s="398">
        <f>IF(ISBLANK(INDEX('Policy Characteristics'!H:H,MATCH($C609,'Policy Characteristics'!$C:$C,0))),"",INDEX('Policy Characteristics'!H:H,MATCH($C609,'Policy Characteristics'!$C:$C,0)))</f>
        <v>0.01</v>
      </c>
      <c r="O609" s="394" t="str">
        <f>IF(ISBLANK(INDEX('Policy Characteristics'!I:I,MATCH($C609,'Policy Characteristics'!$C:$C,0))),"",INDEX('Policy Characteristics'!I:I,MATCH($C609,'Policy Characteristics'!$C:$C,0)))</f>
        <v>% of fuel shifted</v>
      </c>
      <c r="P609" s="394" t="str">
        <f>IF(ISBLANK(INDEX('Policy Characteristics'!J:J,MATCH($C609,'Policy Characteristics'!$C:$C,0))),"",INDEX('Policy Characteristics'!J:J,MATCH($C609,'Policy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9" s="394" t="str">
        <f>IF(ISBLANK(INDEX('Policy Characteristics'!K:K,MATCH($C609,'Policy Characteristics'!$C:$C,0))),"",INDEX('Policy Characteristics'!K:K,MATCH($C609,'Policy Characteristics'!$C:$C,0)))</f>
        <v>industry-ag-main.html#fuel-switching</v>
      </c>
      <c r="R609" s="394" t="str">
        <f>IF(ISBLANK(INDEX('Policy Characteristics'!L:L,MATCH($C609,'Policy Characteristics'!$C:$C,0))),"",INDEX('Policy Characteristics'!L:L,MATCH($C609,'Policy Characteristics'!$C:$C,0)))</f>
        <v>industry-elec-and-hydrogen.html</v>
      </c>
    </row>
    <row r="610" customHeight="1" spans="1:18">
      <c r="A610" s="394" t="str">
        <f>IF(ISBLANK(INDEX('Policy Characteristics'!A:A,MATCH($C610,'Policy Characteristics'!$C:$C,0))),"",INDEX('Policy Characteristics'!A:A,MATCH($C610,'Policy Characteristics'!$C:$C,0)))</f>
        <v>Industry</v>
      </c>
      <c r="B610" s="395" t="str">
        <f>IF(ISBLANK(INDEX('Policy Characteristics'!B:B,MATCH($C610,'Policy Characteristics'!$C:$C,0))),"",INDEX('Policy Characteristics'!B:B,MATCH($C610,'Policy Characteristics'!$C:$C,0)))</f>
        <v>Electrification + Hydrogen (Med &amp; High Temp)</v>
      </c>
      <c r="C610" s="394" t="str">
        <f t="shared" si="34"/>
        <v>Fraction of Med and High Temp Industrial Heat Shifted to Other Fuels</v>
      </c>
      <c r="D610" s="399" t="s">
        <v>768</v>
      </c>
      <c r="E610" s="399" t="s">
        <v>800</v>
      </c>
      <c r="F610" t="s">
        <v>769</v>
      </c>
      <c r="G610" s="399" t="s">
        <v>801</v>
      </c>
      <c r="H610" s="377">
        <v>1362</v>
      </c>
      <c r="I610" s="396" t="s">
        <v>658</v>
      </c>
      <c r="J610" s="397" t="str">
        <f>IF(ISBLANK(INDEX('Policy Characteristics'!D:D,MATCH($C610,'Policy Characteristics'!$C:$C,0))),"",INDEX('Policy Characteristics'!D:D,MATCH($C610,'Policy Characteristics'!$C:$C,0)))</f>
        <v>Electrification + Hydrogen</v>
      </c>
      <c r="K610" s="394" t="str">
        <f>IF(ISBLANK(INDEX('Policy Characteristics'!E:E,MATCH($C610,'Policy Characteristics'!$C:$C,0))),"",INDEX('Policy Characteristics'!E:E,MATCH($C610,'Policy Characteristics'!$C:$C,0)))</f>
        <v>indst med and high temp fuel type shifting</v>
      </c>
      <c r="L610" s="398">
        <f>IF(ISBLANK(INDEX('Policy Characteristics'!F:F,MATCH($C610,'Policy Characteristics'!$C:$C,0))),"",INDEX('Policy Characteristics'!F:F,MATCH($C610,'Policy Characteristics'!$C:$C,0)))</f>
        <v>0</v>
      </c>
      <c r="M610" s="398">
        <f>IF(ISBLANK(INDEX('Policy Characteristics'!G:G,MATCH($C610,'Policy Characteristics'!$C:$C,0))),"",INDEX('Policy Characteristics'!G:G,MATCH($C610,'Policy Characteristics'!$C:$C,0)))</f>
        <v>1</v>
      </c>
      <c r="N610" s="398">
        <f>IF(ISBLANK(INDEX('Policy Characteristics'!H:H,MATCH($C610,'Policy Characteristics'!$C:$C,0))),"",INDEX('Policy Characteristics'!H:H,MATCH($C610,'Policy Characteristics'!$C:$C,0)))</f>
        <v>0.01</v>
      </c>
      <c r="O610" s="394" t="str">
        <f>IF(ISBLANK(INDEX('Policy Characteristics'!I:I,MATCH($C610,'Policy Characteristics'!$C:$C,0))),"",INDEX('Policy Characteristics'!I:I,MATCH($C610,'Policy Characteristics'!$C:$C,0)))</f>
        <v>% of fuel shifted</v>
      </c>
      <c r="P610" s="394" t="str">
        <f>IF(ISBLANK(INDEX('Policy Characteristics'!J:J,MATCH($C610,'Policy Characteristics'!$C:$C,0))),"",INDEX('Policy Characteristics'!J:J,MATCH($C610,'Policy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0" s="394" t="str">
        <f>IF(ISBLANK(INDEX('Policy Characteristics'!K:K,MATCH($C610,'Policy Characteristics'!$C:$C,0))),"",INDEX('Policy Characteristics'!K:K,MATCH($C610,'Policy Characteristics'!$C:$C,0)))</f>
        <v>industry-ag-main.html#fuel-switching</v>
      </c>
      <c r="R610" s="394" t="str">
        <f>IF(ISBLANK(INDEX('Policy Characteristics'!L:L,MATCH($C610,'Policy Characteristics'!$C:$C,0))),"",INDEX('Policy Characteristics'!L:L,MATCH($C610,'Policy Characteristics'!$C:$C,0)))</f>
        <v>industry-elec-and-hydrogen.html</v>
      </c>
    </row>
    <row r="611" customHeight="1" spans="1:18">
      <c r="A611" s="394" t="str">
        <f>IF(ISBLANK(INDEX('Policy Characteristics'!A:A,MATCH($C611,'Policy Characteristics'!$C:$C,0))),"",INDEX('Policy Characteristics'!A:A,MATCH($C611,'Policy Characteristics'!$C:$C,0)))</f>
        <v>Industry</v>
      </c>
      <c r="B611" s="395" t="str">
        <f>IF(ISBLANK(INDEX('Policy Characteristics'!B:B,MATCH($C611,'Policy Characteristics'!$C:$C,0))),"",INDEX('Policy Characteristics'!B:B,MATCH($C611,'Policy Characteristics'!$C:$C,0)))</f>
        <v>Electrification + Hydrogen (Med &amp; High Temp)</v>
      </c>
      <c r="C611" s="394" t="str">
        <f t="shared" si="34"/>
        <v>Fraction of Med and High Temp Industrial Heat Shifted to Other Fuels</v>
      </c>
      <c r="D611" s="399" t="s">
        <v>768</v>
      </c>
      <c r="E611" s="399" t="s">
        <v>802</v>
      </c>
      <c r="F611" t="s">
        <v>769</v>
      </c>
      <c r="G611" s="399" t="s">
        <v>803</v>
      </c>
      <c r="H611" s="377">
        <v>1363</v>
      </c>
      <c r="I611" s="396" t="s">
        <v>658</v>
      </c>
      <c r="J611" s="397" t="str">
        <f>IF(ISBLANK(INDEX('Policy Characteristics'!D:D,MATCH($C611,'Policy Characteristics'!$C:$C,0))),"",INDEX('Policy Characteristics'!D:D,MATCH($C611,'Policy Characteristics'!$C:$C,0)))</f>
        <v>Electrification + Hydrogen</v>
      </c>
      <c r="K611" s="394" t="str">
        <f>IF(ISBLANK(INDEX('Policy Characteristics'!E:E,MATCH($C611,'Policy Characteristics'!$C:$C,0))),"",INDEX('Policy Characteristics'!E:E,MATCH($C611,'Policy Characteristics'!$C:$C,0)))</f>
        <v>indst med and high temp fuel type shifting</v>
      </c>
      <c r="L611" s="398">
        <f>IF(ISBLANK(INDEX('Policy Characteristics'!F:F,MATCH($C611,'Policy Characteristics'!$C:$C,0))),"",INDEX('Policy Characteristics'!F:F,MATCH($C611,'Policy Characteristics'!$C:$C,0)))</f>
        <v>0</v>
      </c>
      <c r="M611" s="398">
        <f>IF(ISBLANK(INDEX('Policy Characteristics'!G:G,MATCH($C611,'Policy Characteristics'!$C:$C,0))),"",INDEX('Policy Characteristics'!G:G,MATCH($C611,'Policy Characteristics'!$C:$C,0)))</f>
        <v>1</v>
      </c>
      <c r="N611" s="398">
        <f>IF(ISBLANK(INDEX('Policy Characteristics'!H:H,MATCH($C611,'Policy Characteristics'!$C:$C,0))),"",INDEX('Policy Characteristics'!H:H,MATCH($C611,'Policy Characteristics'!$C:$C,0)))</f>
        <v>0.01</v>
      </c>
      <c r="O611" s="394" t="str">
        <f>IF(ISBLANK(INDEX('Policy Characteristics'!I:I,MATCH($C611,'Policy Characteristics'!$C:$C,0))),"",INDEX('Policy Characteristics'!I:I,MATCH($C611,'Policy Characteristics'!$C:$C,0)))</f>
        <v>% of fuel shifted</v>
      </c>
      <c r="P611" s="394" t="str">
        <f>IF(ISBLANK(INDEX('Policy Characteristics'!J:J,MATCH($C611,'Policy Characteristics'!$C:$C,0))),"",INDEX('Policy Characteristics'!J:J,MATCH($C611,'Policy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1" s="394" t="str">
        <f>IF(ISBLANK(INDEX('Policy Characteristics'!K:K,MATCH($C611,'Policy Characteristics'!$C:$C,0))),"",INDEX('Policy Characteristics'!K:K,MATCH($C611,'Policy Characteristics'!$C:$C,0)))</f>
        <v>industry-ag-main.html#fuel-switching</v>
      </c>
      <c r="R611" s="394" t="str">
        <f>IF(ISBLANK(INDEX('Policy Characteristics'!L:L,MATCH($C611,'Policy Characteristics'!$C:$C,0))),"",INDEX('Policy Characteristics'!L:L,MATCH($C611,'Policy Characteristics'!$C:$C,0)))</f>
        <v>industry-elec-and-hydrogen.html</v>
      </c>
    </row>
    <row r="612" customHeight="1" spans="1:18">
      <c r="A612" s="394" t="str">
        <f>IF(ISBLANK(INDEX('Policy Characteristics'!A:A,MATCH($C612,'Policy Characteristics'!$C:$C,0))),"",INDEX('Policy Characteristics'!A:A,MATCH($C612,'Policy Characteristics'!$C:$C,0)))</f>
        <v>Industry</v>
      </c>
      <c r="B612" s="395" t="str">
        <f>IF(ISBLANK(INDEX('Policy Characteristics'!B:B,MATCH($C612,'Policy Characteristics'!$C:$C,0))),"",INDEX('Policy Characteristics'!B:B,MATCH($C612,'Policy Characteristics'!$C:$C,0)))</f>
        <v>Electrification + Hydrogen (Med &amp; High Temp)</v>
      </c>
      <c r="C612" s="394" t="str">
        <f t="shared" si="34"/>
        <v>Fraction of Med and High Temp Industrial Heat Shifted to Other Fuels</v>
      </c>
      <c r="D612" s="399" t="s">
        <v>768</v>
      </c>
      <c r="E612" s="399" t="s">
        <v>804</v>
      </c>
      <c r="F612" t="s">
        <v>769</v>
      </c>
      <c r="G612" s="399" t="s">
        <v>805</v>
      </c>
      <c r="H612" s="377">
        <v>1364</v>
      </c>
      <c r="I612" s="396" t="s">
        <v>658</v>
      </c>
      <c r="J612" s="397" t="str">
        <f>IF(ISBLANK(INDEX('Policy Characteristics'!D:D,MATCH($C612,'Policy Characteristics'!$C:$C,0))),"",INDEX('Policy Characteristics'!D:D,MATCH($C612,'Policy Characteristics'!$C:$C,0)))</f>
        <v>Electrification + Hydrogen</v>
      </c>
      <c r="K612" s="394" t="str">
        <f>IF(ISBLANK(INDEX('Policy Characteristics'!E:E,MATCH($C612,'Policy Characteristics'!$C:$C,0))),"",INDEX('Policy Characteristics'!E:E,MATCH($C612,'Policy Characteristics'!$C:$C,0)))</f>
        <v>indst med and high temp fuel type shifting</v>
      </c>
      <c r="L612" s="398">
        <f>IF(ISBLANK(INDEX('Policy Characteristics'!F:F,MATCH($C612,'Policy Characteristics'!$C:$C,0))),"",INDEX('Policy Characteristics'!F:F,MATCH($C612,'Policy Characteristics'!$C:$C,0)))</f>
        <v>0</v>
      </c>
      <c r="M612" s="398">
        <f>IF(ISBLANK(INDEX('Policy Characteristics'!G:G,MATCH($C612,'Policy Characteristics'!$C:$C,0))),"",INDEX('Policy Characteristics'!G:G,MATCH($C612,'Policy Characteristics'!$C:$C,0)))</f>
        <v>1</v>
      </c>
      <c r="N612" s="398">
        <f>IF(ISBLANK(INDEX('Policy Characteristics'!H:H,MATCH($C612,'Policy Characteristics'!$C:$C,0))),"",INDEX('Policy Characteristics'!H:H,MATCH($C612,'Policy Characteristics'!$C:$C,0)))</f>
        <v>0.01</v>
      </c>
      <c r="O612" s="394" t="str">
        <f>IF(ISBLANK(INDEX('Policy Characteristics'!I:I,MATCH($C612,'Policy Characteristics'!$C:$C,0))),"",INDEX('Policy Characteristics'!I:I,MATCH($C612,'Policy Characteristics'!$C:$C,0)))</f>
        <v>% of fuel shifted</v>
      </c>
      <c r="P612" s="394" t="str">
        <f>IF(ISBLANK(INDEX('Policy Characteristics'!J:J,MATCH($C612,'Policy Characteristics'!$C:$C,0))),"",INDEX('Policy Characteristics'!J:J,MATCH($C612,'Policy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2" s="394" t="str">
        <f>IF(ISBLANK(INDEX('Policy Characteristics'!K:K,MATCH($C612,'Policy Characteristics'!$C:$C,0))),"",INDEX('Policy Characteristics'!K:K,MATCH($C612,'Policy Characteristics'!$C:$C,0)))</f>
        <v>industry-ag-main.html#fuel-switching</v>
      </c>
      <c r="R612" s="394" t="str">
        <f>IF(ISBLANK(INDEX('Policy Characteristics'!L:L,MATCH($C612,'Policy Characteristics'!$C:$C,0))),"",INDEX('Policy Characteristics'!L:L,MATCH($C612,'Policy Characteristics'!$C:$C,0)))</f>
        <v>industry-elec-and-hydrogen.html</v>
      </c>
    </row>
    <row r="613" customHeight="1" spans="1:18">
      <c r="A613" s="394" t="str">
        <f>IF(ISBLANK(INDEX('Policy Characteristics'!A:A,MATCH($C613,'Policy Characteristics'!$C:$C,0))),"",INDEX('Policy Characteristics'!A:A,MATCH($C613,'Policy Characteristics'!$C:$C,0)))</f>
        <v>Industry</v>
      </c>
      <c r="B613" s="395" t="str">
        <f>IF(ISBLANK(INDEX('Policy Characteristics'!B:B,MATCH($C613,'Policy Characteristics'!$C:$C,0))),"",INDEX('Policy Characteristics'!B:B,MATCH($C613,'Policy Characteristics'!$C:$C,0)))</f>
        <v>Electrification + Hydrogen (Med &amp; High Temp)</v>
      </c>
      <c r="C613" s="394" t="str">
        <f t="shared" si="34"/>
        <v>Fraction of Med and High Temp Industrial Heat Shifted to Other Fuels</v>
      </c>
      <c r="D613" s="399" t="s">
        <v>768</v>
      </c>
      <c r="E613" s="399" t="s">
        <v>806</v>
      </c>
      <c r="F613" t="s">
        <v>769</v>
      </c>
      <c r="G613" s="399" t="s">
        <v>807</v>
      </c>
      <c r="H613" s="377">
        <v>1365</v>
      </c>
      <c r="I613" s="396" t="s">
        <v>658</v>
      </c>
      <c r="J613" s="397" t="str">
        <f>IF(ISBLANK(INDEX('Policy Characteristics'!D:D,MATCH($C613,'Policy Characteristics'!$C:$C,0))),"",INDEX('Policy Characteristics'!D:D,MATCH($C613,'Policy Characteristics'!$C:$C,0)))</f>
        <v>Electrification + Hydrogen</v>
      </c>
      <c r="K613" s="394" t="str">
        <f>IF(ISBLANK(INDEX('Policy Characteristics'!E:E,MATCH($C613,'Policy Characteristics'!$C:$C,0))),"",INDEX('Policy Characteristics'!E:E,MATCH($C613,'Policy Characteristics'!$C:$C,0)))</f>
        <v>indst med and high temp fuel type shifting</v>
      </c>
      <c r="L613" s="398">
        <f>IF(ISBLANK(INDEX('Policy Characteristics'!F:F,MATCH($C613,'Policy Characteristics'!$C:$C,0))),"",INDEX('Policy Characteristics'!F:F,MATCH($C613,'Policy Characteristics'!$C:$C,0)))</f>
        <v>0</v>
      </c>
      <c r="M613" s="398">
        <f>IF(ISBLANK(INDEX('Policy Characteristics'!G:G,MATCH($C613,'Policy Characteristics'!$C:$C,0))),"",INDEX('Policy Characteristics'!G:G,MATCH($C613,'Policy Characteristics'!$C:$C,0)))</f>
        <v>1</v>
      </c>
      <c r="N613" s="398">
        <f>IF(ISBLANK(INDEX('Policy Characteristics'!H:H,MATCH($C613,'Policy Characteristics'!$C:$C,0))),"",INDEX('Policy Characteristics'!H:H,MATCH($C613,'Policy Characteristics'!$C:$C,0)))</f>
        <v>0.01</v>
      </c>
      <c r="O613" s="394" t="str">
        <f>IF(ISBLANK(INDEX('Policy Characteristics'!I:I,MATCH($C613,'Policy Characteristics'!$C:$C,0))),"",INDEX('Policy Characteristics'!I:I,MATCH($C613,'Policy Characteristics'!$C:$C,0)))</f>
        <v>% of fuel shifted</v>
      </c>
      <c r="P613" s="394" t="str">
        <f>IF(ISBLANK(INDEX('Policy Characteristics'!J:J,MATCH($C613,'Policy Characteristics'!$C:$C,0))),"",INDEX('Policy Characteristics'!J:J,MATCH($C613,'Policy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3" s="394" t="str">
        <f>IF(ISBLANK(INDEX('Policy Characteristics'!K:K,MATCH($C613,'Policy Characteristics'!$C:$C,0))),"",INDEX('Policy Characteristics'!K:K,MATCH($C613,'Policy Characteristics'!$C:$C,0)))</f>
        <v>industry-ag-main.html#fuel-switching</v>
      </c>
      <c r="R613" s="394" t="str">
        <f>IF(ISBLANK(INDEX('Policy Characteristics'!L:L,MATCH($C613,'Policy Characteristics'!$C:$C,0))),"",INDEX('Policy Characteristics'!L:L,MATCH($C613,'Policy Characteristics'!$C:$C,0)))</f>
        <v>industry-elec-and-hydrogen.html</v>
      </c>
    </row>
    <row r="614" customHeight="1" spans="1:18">
      <c r="A614" s="394" t="str">
        <f>IF(ISBLANK(INDEX('Policy Characteristics'!A:A,MATCH($C614,'Policy Characteristics'!$C:$C,0))),"",INDEX('Policy Characteristics'!A:A,MATCH($C614,'Policy Characteristics'!$C:$C,0)))</f>
        <v>Industry</v>
      </c>
      <c r="B614" s="395" t="str">
        <f>IF(ISBLANK(INDEX('Policy Characteristics'!B:B,MATCH($C614,'Policy Characteristics'!$C:$C,0))),"",INDEX('Policy Characteristics'!B:B,MATCH($C614,'Policy Characteristics'!$C:$C,0)))</f>
        <v>Electrification + Hydrogen (Med &amp; High Temp)</v>
      </c>
      <c r="C614" s="394" t="str">
        <f t="shared" si="34"/>
        <v>Fraction of Med and High Temp Industrial Heat Shifted to Other Fuels</v>
      </c>
      <c r="D614" s="399" t="s">
        <v>768</v>
      </c>
      <c r="E614" s="399" t="s">
        <v>808</v>
      </c>
      <c r="F614" t="s">
        <v>769</v>
      </c>
      <c r="G614" s="399" t="s">
        <v>809</v>
      </c>
      <c r="H614" s="377">
        <v>1366</v>
      </c>
      <c r="I614" s="396" t="s">
        <v>658</v>
      </c>
      <c r="J614" s="397" t="str">
        <f>IF(ISBLANK(INDEX('Policy Characteristics'!D:D,MATCH($C614,'Policy Characteristics'!$C:$C,0))),"",INDEX('Policy Characteristics'!D:D,MATCH($C614,'Policy Characteristics'!$C:$C,0)))</f>
        <v>Electrification + Hydrogen</v>
      </c>
      <c r="K614" s="394" t="str">
        <f>IF(ISBLANK(INDEX('Policy Characteristics'!E:E,MATCH($C614,'Policy Characteristics'!$C:$C,0))),"",INDEX('Policy Characteristics'!E:E,MATCH($C614,'Policy Characteristics'!$C:$C,0)))</f>
        <v>indst med and high temp fuel type shifting</v>
      </c>
      <c r="L614" s="398">
        <f>IF(ISBLANK(INDEX('Policy Characteristics'!F:F,MATCH($C614,'Policy Characteristics'!$C:$C,0))),"",INDEX('Policy Characteristics'!F:F,MATCH($C614,'Policy Characteristics'!$C:$C,0)))</f>
        <v>0</v>
      </c>
      <c r="M614" s="398">
        <f>IF(ISBLANK(INDEX('Policy Characteristics'!G:G,MATCH($C614,'Policy Characteristics'!$C:$C,0))),"",INDEX('Policy Characteristics'!G:G,MATCH($C614,'Policy Characteristics'!$C:$C,0)))</f>
        <v>1</v>
      </c>
      <c r="N614" s="398">
        <f>IF(ISBLANK(INDEX('Policy Characteristics'!H:H,MATCH($C614,'Policy Characteristics'!$C:$C,0))),"",INDEX('Policy Characteristics'!H:H,MATCH($C614,'Policy Characteristics'!$C:$C,0)))</f>
        <v>0.01</v>
      </c>
      <c r="O614" s="394" t="str">
        <f>IF(ISBLANK(INDEX('Policy Characteristics'!I:I,MATCH($C614,'Policy Characteristics'!$C:$C,0))),"",INDEX('Policy Characteristics'!I:I,MATCH($C614,'Policy Characteristics'!$C:$C,0)))</f>
        <v>% of fuel shifted</v>
      </c>
      <c r="P614" s="394" t="str">
        <f>IF(ISBLANK(INDEX('Policy Characteristics'!J:J,MATCH($C614,'Policy Characteristics'!$C:$C,0))),"",INDEX('Policy Characteristics'!J:J,MATCH($C614,'Policy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4" s="394" t="str">
        <f>IF(ISBLANK(INDEX('Policy Characteristics'!K:K,MATCH($C614,'Policy Characteristics'!$C:$C,0))),"",INDEX('Policy Characteristics'!K:K,MATCH($C614,'Policy Characteristics'!$C:$C,0)))</f>
        <v>industry-ag-main.html#fuel-switching</v>
      </c>
      <c r="R614" s="394" t="str">
        <f>IF(ISBLANK(INDEX('Policy Characteristics'!L:L,MATCH($C614,'Policy Characteristics'!$C:$C,0))),"",INDEX('Policy Characteristics'!L:L,MATCH($C614,'Policy Characteristics'!$C:$C,0)))</f>
        <v>industry-elec-and-hydrogen.html</v>
      </c>
    </row>
    <row r="615" customHeight="1" spans="1:18">
      <c r="A615" s="394" t="str">
        <f>IF(ISBLANK(INDEX('Policy Characteristics'!A:A,MATCH($C615,'Policy Characteristics'!$C:$C,0))),"",INDEX('Policy Characteristics'!A:A,MATCH($C615,'Policy Characteristics'!$C:$C,0)))</f>
        <v>Industry</v>
      </c>
      <c r="B615" s="395" t="str">
        <f>IF(ISBLANK(INDEX('Policy Characteristics'!B:B,MATCH($C615,'Policy Characteristics'!$C:$C,0))),"",INDEX('Policy Characteristics'!B:B,MATCH($C615,'Policy Characteristics'!$C:$C,0)))</f>
        <v>Electrification + Hydrogen (Med &amp; High Temp)</v>
      </c>
      <c r="C615" s="394" t="str">
        <f t="shared" si="34"/>
        <v>Fraction of Med and High Temp Industrial Heat Shifted to Other Fuels</v>
      </c>
      <c r="D615" s="399" t="s">
        <v>768</v>
      </c>
      <c r="E615" s="399" t="s">
        <v>810</v>
      </c>
      <c r="F615" t="s">
        <v>769</v>
      </c>
      <c r="G615" s="399" t="s">
        <v>811</v>
      </c>
      <c r="H615" s="377">
        <v>1367</v>
      </c>
      <c r="I615" s="396" t="s">
        <v>648</v>
      </c>
      <c r="J615" s="397" t="str">
        <f>IF(ISBLANK(INDEX('Policy Characteristics'!D:D,MATCH($C615,'Policy Characteristics'!$C:$C,0))),"",INDEX('Policy Characteristics'!D:D,MATCH($C615,'Policy Characteristics'!$C:$C,0)))</f>
        <v>Electrification + Hydrogen</v>
      </c>
      <c r="K615" s="394" t="str">
        <f>IF(ISBLANK(INDEX('Policy Characteristics'!E:E,MATCH($C615,'Policy Characteristics'!$C:$C,0))),"",INDEX('Policy Characteristics'!E:E,MATCH($C615,'Policy Characteristics'!$C:$C,0)))</f>
        <v>indst med and high temp fuel type shifting</v>
      </c>
      <c r="L615" s="398">
        <f>IF(ISBLANK(INDEX('Policy Characteristics'!F:F,MATCH($C615,'Policy Characteristics'!$C:$C,0))),"",INDEX('Policy Characteristics'!F:F,MATCH($C615,'Policy Characteristics'!$C:$C,0)))</f>
        <v>0</v>
      </c>
      <c r="M615" s="398">
        <f>IF(ISBLANK(INDEX('Policy Characteristics'!G:G,MATCH($C615,'Policy Characteristics'!$C:$C,0))),"",INDEX('Policy Characteristics'!G:G,MATCH($C615,'Policy Characteristics'!$C:$C,0)))</f>
        <v>1</v>
      </c>
      <c r="N615" s="398">
        <f>IF(ISBLANK(INDEX('Policy Characteristics'!H:H,MATCH($C615,'Policy Characteristics'!$C:$C,0))),"",INDEX('Policy Characteristics'!H:H,MATCH($C615,'Policy Characteristics'!$C:$C,0)))</f>
        <v>0.01</v>
      </c>
      <c r="O615" s="394" t="str">
        <f>IF(ISBLANK(INDEX('Policy Characteristics'!I:I,MATCH($C615,'Policy Characteristics'!$C:$C,0))),"",INDEX('Policy Characteristics'!I:I,MATCH($C615,'Policy Characteristics'!$C:$C,0)))</f>
        <v>% of fuel shifted</v>
      </c>
      <c r="P615" s="394" t="str">
        <f>IF(ISBLANK(INDEX('Policy Characteristics'!J:J,MATCH($C615,'Policy Characteristics'!$C:$C,0))),"",INDEX('Policy Characteristics'!J:J,MATCH($C615,'Policy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5" s="394" t="str">
        <f>IF(ISBLANK(INDEX('Policy Characteristics'!K:K,MATCH($C615,'Policy Characteristics'!$C:$C,0))),"",INDEX('Policy Characteristics'!K:K,MATCH($C615,'Policy Characteristics'!$C:$C,0)))</f>
        <v>industry-ag-main.html#fuel-switching</v>
      </c>
      <c r="R615" s="394" t="str">
        <f>IF(ISBLANK(INDEX('Policy Characteristics'!L:L,MATCH($C615,'Policy Characteristics'!$C:$C,0))),"",INDEX('Policy Characteristics'!L:L,MATCH($C615,'Policy Characteristics'!$C:$C,0)))</f>
        <v>industry-elec-and-hydrogen.html</v>
      </c>
    </row>
    <row r="616" customHeight="1" spans="1:18">
      <c r="A616" s="394" t="str">
        <f>IF(ISBLANK(INDEX('Policy Characteristics'!A:A,MATCH($C616,'Policy Characteristics'!$C:$C,0))),"",INDEX('Policy Characteristics'!A:A,MATCH($C616,'Policy Characteristics'!$C:$C,0)))</f>
        <v>Industry</v>
      </c>
      <c r="B616" s="395" t="str">
        <f>IF(ISBLANK(INDEX('Policy Characteristics'!B:B,MATCH($C616,'Policy Characteristics'!$C:$C,0))),"",INDEX('Policy Characteristics'!B:B,MATCH($C616,'Policy Characteristics'!$C:$C,0)))</f>
        <v>Electrification + Hydrogen (Med &amp; High Temp)</v>
      </c>
      <c r="C616" s="394" t="str">
        <f t="shared" si="34"/>
        <v>Fraction of Med and High Temp Industrial Heat Shifted to Other Fuels</v>
      </c>
      <c r="D616" s="399" t="s">
        <v>770</v>
      </c>
      <c r="E616" s="399" t="s">
        <v>792</v>
      </c>
      <c r="F616" t="s">
        <v>771</v>
      </c>
      <c r="G616" s="399" t="s">
        <v>793</v>
      </c>
      <c r="H616" s="377">
        <v>1368</v>
      </c>
      <c r="I616" s="396" t="s">
        <v>648</v>
      </c>
      <c r="J616" s="397" t="str">
        <f>IF(ISBLANK(INDEX('Policy Characteristics'!D:D,MATCH($C616,'Policy Characteristics'!$C:$C,0))),"",INDEX('Policy Characteristics'!D:D,MATCH($C616,'Policy Characteristics'!$C:$C,0)))</f>
        <v>Electrification + Hydrogen</v>
      </c>
      <c r="K616" s="394" t="str">
        <f>IF(ISBLANK(INDEX('Policy Characteristics'!E:E,MATCH($C616,'Policy Characteristics'!$C:$C,0))),"",INDEX('Policy Characteristics'!E:E,MATCH($C616,'Policy Characteristics'!$C:$C,0)))</f>
        <v>indst med and high temp fuel type shifting</v>
      </c>
      <c r="L616" s="398">
        <f>IF(ISBLANK(INDEX('Policy Characteristics'!F:F,MATCH($C616,'Policy Characteristics'!$C:$C,0))),"",INDEX('Policy Characteristics'!F:F,MATCH($C616,'Policy Characteristics'!$C:$C,0)))</f>
        <v>0</v>
      </c>
      <c r="M616" s="398">
        <f>IF(ISBLANK(INDEX('Policy Characteristics'!G:G,MATCH($C616,'Policy Characteristics'!$C:$C,0))),"",INDEX('Policy Characteristics'!G:G,MATCH($C616,'Policy Characteristics'!$C:$C,0)))</f>
        <v>1</v>
      </c>
      <c r="N616" s="398">
        <f>IF(ISBLANK(INDEX('Policy Characteristics'!H:H,MATCH($C616,'Policy Characteristics'!$C:$C,0))),"",INDEX('Policy Characteristics'!H:H,MATCH($C616,'Policy Characteristics'!$C:$C,0)))</f>
        <v>0.01</v>
      </c>
      <c r="O616" s="394" t="str">
        <f>IF(ISBLANK(INDEX('Policy Characteristics'!I:I,MATCH($C616,'Policy Characteristics'!$C:$C,0))),"",INDEX('Policy Characteristics'!I:I,MATCH($C616,'Policy Characteristics'!$C:$C,0)))</f>
        <v>% of fuel shifted</v>
      </c>
      <c r="P616" s="394" t="str">
        <f>IF(ISBLANK(INDEX('Policy Characteristics'!J:J,MATCH($C616,'Policy Characteristics'!$C:$C,0))),"",INDEX('Policy Characteristics'!J:J,MATCH($C616,'Policy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6" s="394" t="str">
        <f>IF(ISBLANK(INDEX('Policy Characteristics'!K:K,MATCH($C616,'Policy Characteristics'!$C:$C,0))),"",INDEX('Policy Characteristics'!K:K,MATCH($C616,'Policy Characteristics'!$C:$C,0)))</f>
        <v>industry-ag-main.html#fuel-switching</v>
      </c>
      <c r="R616" s="394" t="str">
        <f>IF(ISBLANK(INDEX('Policy Characteristics'!L:L,MATCH($C616,'Policy Characteristics'!$C:$C,0))),"",INDEX('Policy Characteristics'!L:L,MATCH($C616,'Policy Characteristics'!$C:$C,0)))</f>
        <v>industry-elec-and-hydrogen.html</v>
      </c>
    </row>
    <row r="617" customHeight="1" spans="1:18">
      <c r="A617" s="394" t="str">
        <f>IF(ISBLANK(INDEX('Policy Characteristics'!A:A,MATCH($C617,'Policy Characteristics'!$C:$C,0))),"",INDEX('Policy Characteristics'!A:A,MATCH($C617,'Policy Characteristics'!$C:$C,0)))</f>
        <v>Industry</v>
      </c>
      <c r="B617" s="395" t="str">
        <f>IF(ISBLANK(INDEX('Policy Characteristics'!B:B,MATCH($C617,'Policy Characteristics'!$C:$C,0))),"",INDEX('Policy Characteristics'!B:B,MATCH($C617,'Policy Characteristics'!$C:$C,0)))</f>
        <v>Electrification + Hydrogen (Med &amp; High Temp)</v>
      </c>
      <c r="C617" s="394" t="str">
        <f t="shared" si="34"/>
        <v>Fraction of Med and High Temp Industrial Heat Shifted to Other Fuels</v>
      </c>
      <c r="D617" s="399" t="s">
        <v>770</v>
      </c>
      <c r="E617" s="399" t="s">
        <v>794</v>
      </c>
      <c r="F617" t="s">
        <v>771</v>
      </c>
      <c r="G617" s="399" t="s">
        <v>795</v>
      </c>
      <c r="H617" s="377">
        <v>1369</v>
      </c>
      <c r="I617" s="396" t="s">
        <v>658</v>
      </c>
      <c r="J617" s="397" t="str">
        <f>IF(ISBLANK(INDEX('Policy Characteristics'!D:D,MATCH($C617,'Policy Characteristics'!$C:$C,0))),"",INDEX('Policy Characteristics'!D:D,MATCH($C617,'Policy Characteristics'!$C:$C,0)))</f>
        <v>Electrification + Hydrogen</v>
      </c>
      <c r="K617" s="394" t="str">
        <f>IF(ISBLANK(INDEX('Policy Characteristics'!E:E,MATCH($C617,'Policy Characteristics'!$C:$C,0))),"",INDEX('Policy Characteristics'!E:E,MATCH($C617,'Policy Characteristics'!$C:$C,0)))</f>
        <v>indst med and high temp fuel type shifting</v>
      </c>
      <c r="L617" s="398">
        <f>IF(ISBLANK(INDEX('Policy Characteristics'!F:F,MATCH($C617,'Policy Characteristics'!$C:$C,0))),"",INDEX('Policy Characteristics'!F:F,MATCH($C617,'Policy Characteristics'!$C:$C,0)))</f>
        <v>0</v>
      </c>
      <c r="M617" s="398">
        <f>IF(ISBLANK(INDEX('Policy Characteristics'!G:G,MATCH($C617,'Policy Characteristics'!$C:$C,0))),"",INDEX('Policy Characteristics'!G:G,MATCH($C617,'Policy Characteristics'!$C:$C,0)))</f>
        <v>1</v>
      </c>
      <c r="N617" s="398">
        <f>IF(ISBLANK(INDEX('Policy Characteristics'!H:H,MATCH($C617,'Policy Characteristics'!$C:$C,0))),"",INDEX('Policy Characteristics'!H:H,MATCH($C617,'Policy Characteristics'!$C:$C,0)))</f>
        <v>0.01</v>
      </c>
      <c r="O617" s="394" t="str">
        <f>IF(ISBLANK(INDEX('Policy Characteristics'!I:I,MATCH($C617,'Policy Characteristics'!$C:$C,0))),"",INDEX('Policy Characteristics'!I:I,MATCH($C617,'Policy Characteristics'!$C:$C,0)))</f>
        <v>% of fuel shifted</v>
      </c>
      <c r="P617" s="394" t="str">
        <f>IF(ISBLANK(INDEX('Policy Characteristics'!J:J,MATCH($C617,'Policy Characteristics'!$C:$C,0))),"",INDEX('Policy Characteristics'!J:J,MATCH($C617,'Policy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7" s="394" t="str">
        <f>IF(ISBLANK(INDEX('Policy Characteristics'!K:K,MATCH($C617,'Policy Characteristics'!$C:$C,0))),"",INDEX('Policy Characteristics'!K:K,MATCH($C617,'Policy Characteristics'!$C:$C,0)))</f>
        <v>industry-ag-main.html#fuel-switching</v>
      </c>
      <c r="R617" s="394" t="str">
        <f>IF(ISBLANK(INDEX('Policy Characteristics'!L:L,MATCH($C617,'Policy Characteristics'!$C:$C,0))),"",INDEX('Policy Characteristics'!L:L,MATCH($C617,'Policy Characteristics'!$C:$C,0)))</f>
        <v>industry-elec-and-hydrogen.html</v>
      </c>
    </row>
    <row r="618" customHeight="1" spans="1:18">
      <c r="A618" s="394" t="str">
        <f>IF(ISBLANK(INDEX('Policy Characteristics'!A:A,MATCH($C618,'Policy Characteristics'!$C:$C,0))),"",INDEX('Policy Characteristics'!A:A,MATCH($C618,'Policy Characteristics'!$C:$C,0)))</f>
        <v>Industry</v>
      </c>
      <c r="B618" s="395" t="str">
        <f>IF(ISBLANK(INDEX('Policy Characteristics'!B:B,MATCH($C618,'Policy Characteristics'!$C:$C,0))),"",INDEX('Policy Characteristics'!B:B,MATCH($C618,'Policy Characteristics'!$C:$C,0)))</f>
        <v>Electrification + Hydrogen (Med &amp; High Temp)</v>
      </c>
      <c r="C618" s="394" t="str">
        <f t="shared" si="34"/>
        <v>Fraction of Med and High Temp Industrial Heat Shifted to Other Fuels</v>
      </c>
      <c r="D618" s="399" t="s">
        <v>770</v>
      </c>
      <c r="E618" s="399" t="s">
        <v>796</v>
      </c>
      <c r="F618" t="s">
        <v>771</v>
      </c>
      <c r="G618" s="399" t="s">
        <v>797</v>
      </c>
      <c r="H618" s="377">
        <v>1370</v>
      </c>
      <c r="I618" s="396" t="s">
        <v>658</v>
      </c>
      <c r="J618" s="397" t="str">
        <f>IF(ISBLANK(INDEX('Policy Characteristics'!D:D,MATCH($C618,'Policy Characteristics'!$C:$C,0))),"",INDEX('Policy Characteristics'!D:D,MATCH($C618,'Policy Characteristics'!$C:$C,0)))</f>
        <v>Electrification + Hydrogen</v>
      </c>
      <c r="K618" s="394" t="str">
        <f>IF(ISBLANK(INDEX('Policy Characteristics'!E:E,MATCH($C618,'Policy Characteristics'!$C:$C,0))),"",INDEX('Policy Characteristics'!E:E,MATCH($C618,'Policy Characteristics'!$C:$C,0)))</f>
        <v>indst med and high temp fuel type shifting</v>
      </c>
      <c r="L618" s="398">
        <f>IF(ISBLANK(INDEX('Policy Characteristics'!F:F,MATCH($C618,'Policy Characteristics'!$C:$C,0))),"",INDEX('Policy Characteristics'!F:F,MATCH($C618,'Policy Characteristics'!$C:$C,0)))</f>
        <v>0</v>
      </c>
      <c r="M618" s="398">
        <f>IF(ISBLANK(INDEX('Policy Characteristics'!G:G,MATCH($C618,'Policy Characteristics'!$C:$C,0))),"",INDEX('Policy Characteristics'!G:G,MATCH($C618,'Policy Characteristics'!$C:$C,0)))</f>
        <v>1</v>
      </c>
      <c r="N618" s="398">
        <f>IF(ISBLANK(INDEX('Policy Characteristics'!H:H,MATCH($C618,'Policy Characteristics'!$C:$C,0))),"",INDEX('Policy Characteristics'!H:H,MATCH($C618,'Policy Characteristics'!$C:$C,0)))</f>
        <v>0.01</v>
      </c>
      <c r="O618" s="394" t="str">
        <f>IF(ISBLANK(INDEX('Policy Characteristics'!I:I,MATCH($C618,'Policy Characteristics'!$C:$C,0))),"",INDEX('Policy Characteristics'!I:I,MATCH($C618,'Policy Characteristics'!$C:$C,0)))</f>
        <v>% of fuel shifted</v>
      </c>
      <c r="P618" s="394" t="str">
        <f>IF(ISBLANK(INDEX('Policy Characteristics'!J:J,MATCH($C618,'Policy Characteristics'!$C:$C,0))),"",INDEX('Policy Characteristics'!J:J,MATCH($C618,'Policy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8" s="394" t="str">
        <f>IF(ISBLANK(INDEX('Policy Characteristics'!K:K,MATCH($C618,'Policy Characteristics'!$C:$C,0))),"",INDEX('Policy Characteristics'!K:K,MATCH($C618,'Policy Characteristics'!$C:$C,0)))</f>
        <v>industry-ag-main.html#fuel-switching</v>
      </c>
      <c r="R618" s="394" t="str">
        <f>IF(ISBLANK(INDEX('Policy Characteristics'!L:L,MATCH($C618,'Policy Characteristics'!$C:$C,0))),"",INDEX('Policy Characteristics'!L:L,MATCH($C618,'Policy Characteristics'!$C:$C,0)))</f>
        <v>industry-elec-and-hydrogen.html</v>
      </c>
    </row>
    <row r="619" customHeight="1" spans="1:18">
      <c r="A619" s="394" t="str">
        <f>IF(ISBLANK(INDEX('Policy Characteristics'!A:A,MATCH($C619,'Policy Characteristics'!$C:$C,0))),"",INDEX('Policy Characteristics'!A:A,MATCH($C619,'Policy Characteristics'!$C:$C,0)))</f>
        <v>Industry</v>
      </c>
      <c r="B619" s="395" t="str">
        <f>IF(ISBLANK(INDEX('Policy Characteristics'!B:B,MATCH($C619,'Policy Characteristics'!$C:$C,0))),"",INDEX('Policy Characteristics'!B:B,MATCH($C619,'Policy Characteristics'!$C:$C,0)))</f>
        <v>Electrification + Hydrogen (Med &amp; High Temp)</v>
      </c>
      <c r="C619" s="394" t="str">
        <f t="shared" si="34"/>
        <v>Fraction of Med and High Temp Industrial Heat Shifted to Other Fuels</v>
      </c>
      <c r="D619" s="399" t="s">
        <v>770</v>
      </c>
      <c r="E619" s="399" t="s">
        <v>798</v>
      </c>
      <c r="F619" t="s">
        <v>771</v>
      </c>
      <c r="G619" s="399" t="s">
        <v>799</v>
      </c>
      <c r="H619" s="377">
        <v>1371</v>
      </c>
      <c r="I619" s="396" t="s">
        <v>658</v>
      </c>
      <c r="J619" s="397" t="str">
        <f>IF(ISBLANK(INDEX('Policy Characteristics'!D:D,MATCH($C619,'Policy Characteristics'!$C:$C,0))),"",INDEX('Policy Characteristics'!D:D,MATCH($C619,'Policy Characteristics'!$C:$C,0)))</f>
        <v>Electrification + Hydrogen</v>
      </c>
      <c r="K619" s="394" t="str">
        <f>IF(ISBLANK(INDEX('Policy Characteristics'!E:E,MATCH($C619,'Policy Characteristics'!$C:$C,0))),"",INDEX('Policy Characteristics'!E:E,MATCH($C619,'Policy Characteristics'!$C:$C,0)))</f>
        <v>indst med and high temp fuel type shifting</v>
      </c>
      <c r="L619" s="398">
        <f>IF(ISBLANK(INDEX('Policy Characteristics'!F:F,MATCH($C619,'Policy Characteristics'!$C:$C,0))),"",INDEX('Policy Characteristics'!F:F,MATCH($C619,'Policy Characteristics'!$C:$C,0)))</f>
        <v>0</v>
      </c>
      <c r="M619" s="398">
        <f>IF(ISBLANK(INDEX('Policy Characteristics'!G:G,MATCH($C619,'Policy Characteristics'!$C:$C,0))),"",INDEX('Policy Characteristics'!G:G,MATCH($C619,'Policy Characteristics'!$C:$C,0)))</f>
        <v>1</v>
      </c>
      <c r="N619" s="398">
        <f>IF(ISBLANK(INDEX('Policy Characteristics'!H:H,MATCH($C619,'Policy Characteristics'!$C:$C,0))),"",INDEX('Policy Characteristics'!H:H,MATCH($C619,'Policy Characteristics'!$C:$C,0)))</f>
        <v>0.01</v>
      </c>
      <c r="O619" s="394" t="str">
        <f>IF(ISBLANK(INDEX('Policy Characteristics'!I:I,MATCH($C619,'Policy Characteristics'!$C:$C,0))),"",INDEX('Policy Characteristics'!I:I,MATCH($C619,'Policy Characteristics'!$C:$C,0)))</f>
        <v>% of fuel shifted</v>
      </c>
      <c r="P619" s="394" t="str">
        <f>IF(ISBLANK(INDEX('Policy Characteristics'!J:J,MATCH($C619,'Policy Characteristics'!$C:$C,0))),"",INDEX('Policy Characteristics'!J:J,MATCH($C619,'Policy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9" s="394" t="str">
        <f>IF(ISBLANK(INDEX('Policy Characteristics'!K:K,MATCH($C619,'Policy Characteristics'!$C:$C,0))),"",INDEX('Policy Characteristics'!K:K,MATCH($C619,'Policy Characteristics'!$C:$C,0)))</f>
        <v>industry-ag-main.html#fuel-switching</v>
      </c>
      <c r="R619" s="394" t="str">
        <f>IF(ISBLANK(INDEX('Policy Characteristics'!L:L,MATCH($C619,'Policy Characteristics'!$C:$C,0))),"",INDEX('Policy Characteristics'!L:L,MATCH($C619,'Policy Characteristics'!$C:$C,0)))</f>
        <v>industry-elec-and-hydrogen.html</v>
      </c>
    </row>
    <row r="620" customHeight="1" spans="1:18">
      <c r="A620" s="394" t="str">
        <f>IF(ISBLANK(INDEX('Policy Characteristics'!A:A,MATCH($C620,'Policy Characteristics'!$C:$C,0))),"",INDEX('Policy Characteristics'!A:A,MATCH($C620,'Policy Characteristics'!$C:$C,0)))</f>
        <v>Industry</v>
      </c>
      <c r="B620" s="395" t="str">
        <f>IF(ISBLANK(INDEX('Policy Characteristics'!B:B,MATCH($C620,'Policy Characteristics'!$C:$C,0))),"",INDEX('Policy Characteristics'!B:B,MATCH($C620,'Policy Characteristics'!$C:$C,0)))</f>
        <v>Electrification + Hydrogen (Med &amp; High Temp)</v>
      </c>
      <c r="C620" s="394" t="str">
        <f t="shared" si="34"/>
        <v>Fraction of Med and High Temp Industrial Heat Shifted to Other Fuels</v>
      </c>
      <c r="D620" s="399" t="s">
        <v>770</v>
      </c>
      <c r="E620" s="399" t="s">
        <v>800</v>
      </c>
      <c r="F620" t="s">
        <v>771</v>
      </c>
      <c r="G620" s="399" t="s">
        <v>801</v>
      </c>
      <c r="H620" s="377">
        <v>1372</v>
      </c>
      <c r="I620" s="396" t="s">
        <v>658</v>
      </c>
      <c r="J620" s="397" t="str">
        <f>IF(ISBLANK(INDEX('Policy Characteristics'!D:D,MATCH($C620,'Policy Characteristics'!$C:$C,0))),"",INDEX('Policy Characteristics'!D:D,MATCH($C620,'Policy Characteristics'!$C:$C,0)))</f>
        <v>Electrification + Hydrogen</v>
      </c>
      <c r="K620" s="394" t="str">
        <f>IF(ISBLANK(INDEX('Policy Characteristics'!E:E,MATCH($C620,'Policy Characteristics'!$C:$C,0))),"",INDEX('Policy Characteristics'!E:E,MATCH($C620,'Policy Characteristics'!$C:$C,0)))</f>
        <v>indst med and high temp fuel type shifting</v>
      </c>
      <c r="L620" s="398">
        <f>IF(ISBLANK(INDEX('Policy Characteristics'!F:F,MATCH($C620,'Policy Characteristics'!$C:$C,0))),"",INDEX('Policy Characteristics'!F:F,MATCH($C620,'Policy Characteristics'!$C:$C,0)))</f>
        <v>0</v>
      </c>
      <c r="M620" s="398">
        <f>IF(ISBLANK(INDEX('Policy Characteristics'!G:G,MATCH($C620,'Policy Characteristics'!$C:$C,0))),"",INDEX('Policy Characteristics'!G:G,MATCH($C620,'Policy Characteristics'!$C:$C,0)))</f>
        <v>1</v>
      </c>
      <c r="N620" s="398">
        <f>IF(ISBLANK(INDEX('Policy Characteristics'!H:H,MATCH($C620,'Policy Characteristics'!$C:$C,0))),"",INDEX('Policy Characteristics'!H:H,MATCH($C620,'Policy Characteristics'!$C:$C,0)))</f>
        <v>0.01</v>
      </c>
      <c r="O620" s="394" t="str">
        <f>IF(ISBLANK(INDEX('Policy Characteristics'!I:I,MATCH($C620,'Policy Characteristics'!$C:$C,0))),"",INDEX('Policy Characteristics'!I:I,MATCH($C620,'Policy Characteristics'!$C:$C,0)))</f>
        <v>% of fuel shifted</v>
      </c>
      <c r="P620" s="394" t="str">
        <f>IF(ISBLANK(INDEX('Policy Characteristics'!J:J,MATCH($C620,'Policy Characteristics'!$C:$C,0))),"",INDEX('Policy Characteristics'!J:J,MATCH($C620,'Policy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0" s="394" t="str">
        <f>IF(ISBLANK(INDEX('Policy Characteristics'!K:K,MATCH($C620,'Policy Characteristics'!$C:$C,0))),"",INDEX('Policy Characteristics'!K:K,MATCH($C620,'Policy Characteristics'!$C:$C,0)))</f>
        <v>industry-ag-main.html#fuel-switching</v>
      </c>
      <c r="R620" s="394" t="str">
        <f>IF(ISBLANK(INDEX('Policy Characteristics'!L:L,MATCH($C620,'Policy Characteristics'!$C:$C,0))),"",INDEX('Policy Characteristics'!L:L,MATCH($C620,'Policy Characteristics'!$C:$C,0)))</f>
        <v>industry-elec-and-hydrogen.html</v>
      </c>
    </row>
    <row r="621" customHeight="1" spans="1:18">
      <c r="A621" s="394" t="str">
        <f>IF(ISBLANK(INDEX('Policy Characteristics'!A:A,MATCH($C621,'Policy Characteristics'!$C:$C,0))),"",INDEX('Policy Characteristics'!A:A,MATCH($C621,'Policy Characteristics'!$C:$C,0)))</f>
        <v>Industry</v>
      </c>
      <c r="B621" s="395" t="str">
        <f>IF(ISBLANK(INDEX('Policy Characteristics'!B:B,MATCH($C621,'Policy Characteristics'!$C:$C,0))),"",INDEX('Policy Characteristics'!B:B,MATCH($C621,'Policy Characteristics'!$C:$C,0)))</f>
        <v>Electrification + Hydrogen (Med &amp; High Temp)</v>
      </c>
      <c r="C621" s="394" t="str">
        <f t="shared" si="34"/>
        <v>Fraction of Med and High Temp Industrial Heat Shifted to Other Fuels</v>
      </c>
      <c r="D621" s="399" t="s">
        <v>770</v>
      </c>
      <c r="E621" s="399" t="s">
        <v>802</v>
      </c>
      <c r="F621" t="s">
        <v>771</v>
      </c>
      <c r="G621" s="399" t="s">
        <v>803</v>
      </c>
      <c r="H621" s="377">
        <v>1373</v>
      </c>
      <c r="I621" s="396" t="s">
        <v>658</v>
      </c>
      <c r="J621" s="397" t="str">
        <f>IF(ISBLANK(INDEX('Policy Characteristics'!D:D,MATCH($C621,'Policy Characteristics'!$C:$C,0))),"",INDEX('Policy Characteristics'!D:D,MATCH($C621,'Policy Characteristics'!$C:$C,0)))</f>
        <v>Electrification + Hydrogen</v>
      </c>
      <c r="K621" s="394" t="str">
        <f>IF(ISBLANK(INDEX('Policy Characteristics'!E:E,MATCH($C621,'Policy Characteristics'!$C:$C,0))),"",INDEX('Policy Characteristics'!E:E,MATCH($C621,'Policy Characteristics'!$C:$C,0)))</f>
        <v>indst med and high temp fuel type shifting</v>
      </c>
      <c r="L621" s="398">
        <f>IF(ISBLANK(INDEX('Policy Characteristics'!F:F,MATCH($C621,'Policy Characteristics'!$C:$C,0))),"",INDEX('Policy Characteristics'!F:F,MATCH($C621,'Policy Characteristics'!$C:$C,0)))</f>
        <v>0</v>
      </c>
      <c r="M621" s="398">
        <f>IF(ISBLANK(INDEX('Policy Characteristics'!G:G,MATCH($C621,'Policy Characteristics'!$C:$C,0))),"",INDEX('Policy Characteristics'!G:G,MATCH($C621,'Policy Characteristics'!$C:$C,0)))</f>
        <v>1</v>
      </c>
      <c r="N621" s="398">
        <f>IF(ISBLANK(INDEX('Policy Characteristics'!H:H,MATCH($C621,'Policy Characteristics'!$C:$C,0))),"",INDEX('Policy Characteristics'!H:H,MATCH($C621,'Policy Characteristics'!$C:$C,0)))</f>
        <v>0.01</v>
      </c>
      <c r="O621" s="394" t="str">
        <f>IF(ISBLANK(INDEX('Policy Characteristics'!I:I,MATCH($C621,'Policy Characteristics'!$C:$C,0))),"",INDEX('Policy Characteristics'!I:I,MATCH($C621,'Policy Characteristics'!$C:$C,0)))</f>
        <v>% of fuel shifted</v>
      </c>
      <c r="P621" s="394" t="str">
        <f>IF(ISBLANK(INDEX('Policy Characteristics'!J:J,MATCH($C621,'Policy Characteristics'!$C:$C,0))),"",INDEX('Policy Characteristics'!J:J,MATCH($C621,'Policy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1" s="394" t="str">
        <f>IF(ISBLANK(INDEX('Policy Characteristics'!K:K,MATCH($C621,'Policy Characteristics'!$C:$C,0))),"",INDEX('Policy Characteristics'!K:K,MATCH($C621,'Policy Characteristics'!$C:$C,0)))</f>
        <v>industry-ag-main.html#fuel-switching</v>
      </c>
      <c r="R621" s="394" t="str">
        <f>IF(ISBLANK(INDEX('Policy Characteristics'!L:L,MATCH($C621,'Policy Characteristics'!$C:$C,0))),"",INDEX('Policy Characteristics'!L:L,MATCH($C621,'Policy Characteristics'!$C:$C,0)))</f>
        <v>industry-elec-and-hydrogen.html</v>
      </c>
    </row>
    <row r="622" customHeight="1" spans="1:18">
      <c r="A622" s="394" t="str">
        <f>IF(ISBLANK(INDEX('Policy Characteristics'!A:A,MATCH($C622,'Policy Characteristics'!$C:$C,0))),"",INDEX('Policy Characteristics'!A:A,MATCH($C622,'Policy Characteristics'!$C:$C,0)))</f>
        <v>Industry</v>
      </c>
      <c r="B622" s="395" t="str">
        <f>IF(ISBLANK(INDEX('Policy Characteristics'!B:B,MATCH($C622,'Policy Characteristics'!$C:$C,0))),"",INDEX('Policy Characteristics'!B:B,MATCH($C622,'Policy Characteristics'!$C:$C,0)))</f>
        <v>Electrification + Hydrogen (Med &amp; High Temp)</v>
      </c>
      <c r="C622" s="394" t="str">
        <f t="shared" si="34"/>
        <v>Fraction of Med and High Temp Industrial Heat Shifted to Other Fuels</v>
      </c>
      <c r="D622" s="399" t="s">
        <v>770</v>
      </c>
      <c r="E622" s="399" t="s">
        <v>804</v>
      </c>
      <c r="F622" t="s">
        <v>771</v>
      </c>
      <c r="G622" s="399" t="s">
        <v>805</v>
      </c>
      <c r="H622" s="377">
        <v>1374</v>
      </c>
      <c r="I622" s="396" t="s">
        <v>658</v>
      </c>
      <c r="J622" s="397" t="str">
        <f>IF(ISBLANK(INDEX('Policy Characteristics'!D:D,MATCH($C622,'Policy Characteristics'!$C:$C,0))),"",INDEX('Policy Characteristics'!D:D,MATCH($C622,'Policy Characteristics'!$C:$C,0)))</f>
        <v>Electrification + Hydrogen</v>
      </c>
      <c r="K622" s="394" t="str">
        <f>IF(ISBLANK(INDEX('Policy Characteristics'!E:E,MATCH($C622,'Policy Characteristics'!$C:$C,0))),"",INDEX('Policy Characteristics'!E:E,MATCH($C622,'Policy Characteristics'!$C:$C,0)))</f>
        <v>indst med and high temp fuel type shifting</v>
      </c>
      <c r="L622" s="398">
        <f>IF(ISBLANK(INDEX('Policy Characteristics'!F:F,MATCH($C622,'Policy Characteristics'!$C:$C,0))),"",INDEX('Policy Characteristics'!F:F,MATCH($C622,'Policy Characteristics'!$C:$C,0)))</f>
        <v>0</v>
      </c>
      <c r="M622" s="398">
        <f>IF(ISBLANK(INDEX('Policy Characteristics'!G:G,MATCH($C622,'Policy Characteristics'!$C:$C,0))),"",INDEX('Policy Characteristics'!G:G,MATCH($C622,'Policy Characteristics'!$C:$C,0)))</f>
        <v>1</v>
      </c>
      <c r="N622" s="398">
        <f>IF(ISBLANK(INDEX('Policy Characteristics'!H:H,MATCH($C622,'Policy Characteristics'!$C:$C,0))),"",INDEX('Policy Characteristics'!H:H,MATCH($C622,'Policy Characteristics'!$C:$C,0)))</f>
        <v>0.01</v>
      </c>
      <c r="O622" s="394" t="str">
        <f>IF(ISBLANK(INDEX('Policy Characteristics'!I:I,MATCH($C622,'Policy Characteristics'!$C:$C,0))),"",INDEX('Policy Characteristics'!I:I,MATCH($C622,'Policy Characteristics'!$C:$C,0)))</f>
        <v>% of fuel shifted</v>
      </c>
      <c r="P622" s="394" t="str">
        <f>IF(ISBLANK(INDEX('Policy Characteristics'!J:J,MATCH($C622,'Policy Characteristics'!$C:$C,0))),"",INDEX('Policy Characteristics'!J:J,MATCH($C622,'Policy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2" s="394" t="str">
        <f>IF(ISBLANK(INDEX('Policy Characteristics'!K:K,MATCH($C622,'Policy Characteristics'!$C:$C,0))),"",INDEX('Policy Characteristics'!K:K,MATCH($C622,'Policy Characteristics'!$C:$C,0)))</f>
        <v>industry-ag-main.html#fuel-switching</v>
      </c>
      <c r="R622" s="394" t="str">
        <f>IF(ISBLANK(INDEX('Policy Characteristics'!L:L,MATCH($C622,'Policy Characteristics'!$C:$C,0))),"",INDEX('Policy Characteristics'!L:L,MATCH($C622,'Policy Characteristics'!$C:$C,0)))</f>
        <v>industry-elec-and-hydrogen.html</v>
      </c>
    </row>
    <row r="623" customHeight="1" spans="1:18">
      <c r="A623" s="394" t="str">
        <f>IF(ISBLANK(INDEX('Policy Characteristics'!A:A,MATCH($C623,'Policy Characteristics'!$C:$C,0))),"",INDEX('Policy Characteristics'!A:A,MATCH($C623,'Policy Characteristics'!$C:$C,0)))</f>
        <v>Industry</v>
      </c>
      <c r="B623" s="395" t="str">
        <f>IF(ISBLANK(INDEX('Policy Characteristics'!B:B,MATCH($C623,'Policy Characteristics'!$C:$C,0))),"",INDEX('Policy Characteristics'!B:B,MATCH($C623,'Policy Characteristics'!$C:$C,0)))</f>
        <v>Electrification + Hydrogen (Med &amp; High Temp)</v>
      </c>
      <c r="C623" s="394" t="str">
        <f t="shared" si="34"/>
        <v>Fraction of Med and High Temp Industrial Heat Shifted to Other Fuels</v>
      </c>
      <c r="D623" s="399" t="s">
        <v>770</v>
      </c>
      <c r="E623" s="399" t="s">
        <v>806</v>
      </c>
      <c r="F623" t="s">
        <v>771</v>
      </c>
      <c r="G623" s="399" t="s">
        <v>807</v>
      </c>
      <c r="H623" s="377">
        <v>1375</v>
      </c>
      <c r="I623" s="396" t="s">
        <v>658</v>
      </c>
      <c r="J623" s="397" t="str">
        <f>IF(ISBLANK(INDEX('Policy Characteristics'!D:D,MATCH($C623,'Policy Characteristics'!$C:$C,0))),"",INDEX('Policy Characteristics'!D:D,MATCH($C623,'Policy Characteristics'!$C:$C,0)))</f>
        <v>Electrification + Hydrogen</v>
      </c>
      <c r="K623" s="394" t="str">
        <f>IF(ISBLANK(INDEX('Policy Characteristics'!E:E,MATCH($C623,'Policy Characteristics'!$C:$C,0))),"",INDEX('Policy Characteristics'!E:E,MATCH($C623,'Policy Characteristics'!$C:$C,0)))</f>
        <v>indst med and high temp fuel type shifting</v>
      </c>
      <c r="L623" s="398">
        <f>IF(ISBLANK(INDEX('Policy Characteristics'!F:F,MATCH($C623,'Policy Characteristics'!$C:$C,0))),"",INDEX('Policy Characteristics'!F:F,MATCH($C623,'Policy Characteristics'!$C:$C,0)))</f>
        <v>0</v>
      </c>
      <c r="M623" s="398">
        <f>IF(ISBLANK(INDEX('Policy Characteristics'!G:G,MATCH($C623,'Policy Characteristics'!$C:$C,0))),"",INDEX('Policy Characteristics'!G:G,MATCH($C623,'Policy Characteristics'!$C:$C,0)))</f>
        <v>1</v>
      </c>
      <c r="N623" s="398">
        <f>IF(ISBLANK(INDEX('Policy Characteristics'!H:H,MATCH($C623,'Policy Characteristics'!$C:$C,0))),"",INDEX('Policy Characteristics'!H:H,MATCH($C623,'Policy Characteristics'!$C:$C,0)))</f>
        <v>0.01</v>
      </c>
      <c r="O623" s="394" t="str">
        <f>IF(ISBLANK(INDEX('Policy Characteristics'!I:I,MATCH($C623,'Policy Characteristics'!$C:$C,0))),"",INDEX('Policy Characteristics'!I:I,MATCH($C623,'Policy Characteristics'!$C:$C,0)))</f>
        <v>% of fuel shifted</v>
      </c>
      <c r="P623" s="394" t="str">
        <f>IF(ISBLANK(INDEX('Policy Characteristics'!J:J,MATCH($C623,'Policy Characteristics'!$C:$C,0))),"",INDEX('Policy Characteristics'!J:J,MATCH($C623,'Policy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3" s="394" t="str">
        <f>IF(ISBLANK(INDEX('Policy Characteristics'!K:K,MATCH($C623,'Policy Characteristics'!$C:$C,0))),"",INDEX('Policy Characteristics'!K:K,MATCH($C623,'Policy Characteristics'!$C:$C,0)))</f>
        <v>industry-ag-main.html#fuel-switching</v>
      </c>
      <c r="R623" s="394" t="str">
        <f>IF(ISBLANK(INDEX('Policy Characteristics'!L:L,MATCH($C623,'Policy Characteristics'!$C:$C,0))),"",INDEX('Policy Characteristics'!L:L,MATCH($C623,'Policy Characteristics'!$C:$C,0)))</f>
        <v>industry-elec-and-hydrogen.html</v>
      </c>
    </row>
    <row r="624" customHeight="1" spans="1:18">
      <c r="A624" s="394" t="str">
        <f>IF(ISBLANK(INDEX('Policy Characteristics'!A:A,MATCH($C624,'Policy Characteristics'!$C:$C,0))),"",INDEX('Policy Characteristics'!A:A,MATCH($C624,'Policy Characteristics'!$C:$C,0)))</f>
        <v>Industry</v>
      </c>
      <c r="B624" s="395" t="str">
        <f>IF(ISBLANK(INDEX('Policy Characteristics'!B:B,MATCH($C624,'Policy Characteristics'!$C:$C,0))),"",INDEX('Policy Characteristics'!B:B,MATCH($C624,'Policy Characteristics'!$C:$C,0)))</f>
        <v>Electrification + Hydrogen (Med &amp; High Temp)</v>
      </c>
      <c r="C624" s="394" t="str">
        <f t="shared" si="34"/>
        <v>Fraction of Med and High Temp Industrial Heat Shifted to Other Fuels</v>
      </c>
      <c r="D624" s="399" t="s">
        <v>770</v>
      </c>
      <c r="E624" s="399" t="s">
        <v>808</v>
      </c>
      <c r="F624" t="s">
        <v>771</v>
      </c>
      <c r="G624" s="399" t="s">
        <v>809</v>
      </c>
      <c r="H624" s="377">
        <v>1376</v>
      </c>
      <c r="I624" s="396" t="s">
        <v>658</v>
      </c>
      <c r="J624" s="397" t="str">
        <f>IF(ISBLANK(INDEX('Policy Characteristics'!D:D,MATCH($C624,'Policy Characteristics'!$C:$C,0))),"",INDEX('Policy Characteristics'!D:D,MATCH($C624,'Policy Characteristics'!$C:$C,0)))</f>
        <v>Electrification + Hydrogen</v>
      </c>
      <c r="K624" s="394" t="str">
        <f>IF(ISBLANK(INDEX('Policy Characteristics'!E:E,MATCH($C624,'Policy Characteristics'!$C:$C,0))),"",INDEX('Policy Characteristics'!E:E,MATCH($C624,'Policy Characteristics'!$C:$C,0)))</f>
        <v>indst med and high temp fuel type shifting</v>
      </c>
      <c r="L624" s="398">
        <f>IF(ISBLANK(INDEX('Policy Characteristics'!F:F,MATCH($C624,'Policy Characteristics'!$C:$C,0))),"",INDEX('Policy Characteristics'!F:F,MATCH($C624,'Policy Characteristics'!$C:$C,0)))</f>
        <v>0</v>
      </c>
      <c r="M624" s="398">
        <f>IF(ISBLANK(INDEX('Policy Characteristics'!G:G,MATCH($C624,'Policy Characteristics'!$C:$C,0))),"",INDEX('Policy Characteristics'!G:G,MATCH($C624,'Policy Characteristics'!$C:$C,0)))</f>
        <v>1</v>
      </c>
      <c r="N624" s="398">
        <f>IF(ISBLANK(INDEX('Policy Characteristics'!H:H,MATCH($C624,'Policy Characteristics'!$C:$C,0))),"",INDEX('Policy Characteristics'!H:H,MATCH($C624,'Policy Characteristics'!$C:$C,0)))</f>
        <v>0.01</v>
      </c>
      <c r="O624" s="394" t="str">
        <f>IF(ISBLANK(INDEX('Policy Characteristics'!I:I,MATCH($C624,'Policy Characteristics'!$C:$C,0))),"",INDEX('Policy Characteristics'!I:I,MATCH($C624,'Policy Characteristics'!$C:$C,0)))</f>
        <v>% of fuel shifted</v>
      </c>
      <c r="P624" s="394" t="str">
        <f>IF(ISBLANK(INDEX('Policy Characteristics'!J:J,MATCH($C624,'Policy Characteristics'!$C:$C,0))),"",INDEX('Policy Characteristics'!J:J,MATCH($C624,'Policy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4" s="394" t="str">
        <f>IF(ISBLANK(INDEX('Policy Characteristics'!K:K,MATCH($C624,'Policy Characteristics'!$C:$C,0))),"",INDEX('Policy Characteristics'!K:K,MATCH($C624,'Policy Characteristics'!$C:$C,0)))</f>
        <v>industry-ag-main.html#fuel-switching</v>
      </c>
      <c r="R624" s="394" t="str">
        <f>IF(ISBLANK(INDEX('Policy Characteristics'!L:L,MATCH($C624,'Policy Characteristics'!$C:$C,0))),"",INDEX('Policy Characteristics'!L:L,MATCH($C624,'Policy Characteristics'!$C:$C,0)))</f>
        <v>industry-elec-and-hydrogen.html</v>
      </c>
    </row>
    <row r="625" customHeight="1" spans="1:18">
      <c r="A625" s="394" t="str">
        <f>IF(ISBLANK(INDEX('Policy Characteristics'!A:A,MATCH($C625,'Policy Characteristics'!$C:$C,0))),"",INDEX('Policy Characteristics'!A:A,MATCH($C625,'Policy Characteristics'!$C:$C,0)))</f>
        <v>Industry</v>
      </c>
      <c r="B625" s="395" t="str">
        <f>IF(ISBLANK(INDEX('Policy Characteristics'!B:B,MATCH($C625,'Policy Characteristics'!$C:$C,0))),"",INDEX('Policy Characteristics'!B:B,MATCH($C625,'Policy Characteristics'!$C:$C,0)))</f>
        <v>Electrification + Hydrogen (Med &amp; High Temp)</v>
      </c>
      <c r="C625" s="394" t="str">
        <f t="shared" si="34"/>
        <v>Fraction of Med and High Temp Industrial Heat Shifted to Other Fuels</v>
      </c>
      <c r="D625" s="399" t="s">
        <v>770</v>
      </c>
      <c r="E625" s="399" t="s">
        <v>810</v>
      </c>
      <c r="F625" t="s">
        <v>771</v>
      </c>
      <c r="G625" s="399" t="s">
        <v>811</v>
      </c>
      <c r="H625" s="377">
        <v>1377</v>
      </c>
      <c r="I625" s="396" t="s">
        <v>648</v>
      </c>
      <c r="J625" s="397" t="str">
        <f>IF(ISBLANK(INDEX('Policy Characteristics'!D:D,MATCH($C625,'Policy Characteristics'!$C:$C,0))),"",INDEX('Policy Characteristics'!D:D,MATCH($C625,'Policy Characteristics'!$C:$C,0)))</f>
        <v>Electrification + Hydrogen</v>
      </c>
      <c r="K625" s="394" t="str">
        <f>IF(ISBLANK(INDEX('Policy Characteristics'!E:E,MATCH($C625,'Policy Characteristics'!$C:$C,0))),"",INDEX('Policy Characteristics'!E:E,MATCH($C625,'Policy Characteristics'!$C:$C,0)))</f>
        <v>indst med and high temp fuel type shifting</v>
      </c>
      <c r="L625" s="398">
        <f>IF(ISBLANK(INDEX('Policy Characteristics'!F:F,MATCH($C625,'Policy Characteristics'!$C:$C,0))),"",INDEX('Policy Characteristics'!F:F,MATCH($C625,'Policy Characteristics'!$C:$C,0)))</f>
        <v>0</v>
      </c>
      <c r="M625" s="398">
        <f>IF(ISBLANK(INDEX('Policy Characteristics'!G:G,MATCH($C625,'Policy Characteristics'!$C:$C,0))),"",INDEX('Policy Characteristics'!G:G,MATCH($C625,'Policy Characteristics'!$C:$C,0)))</f>
        <v>1</v>
      </c>
      <c r="N625" s="398">
        <f>IF(ISBLANK(INDEX('Policy Characteristics'!H:H,MATCH($C625,'Policy Characteristics'!$C:$C,0))),"",INDEX('Policy Characteristics'!H:H,MATCH($C625,'Policy Characteristics'!$C:$C,0)))</f>
        <v>0.01</v>
      </c>
      <c r="O625" s="394" t="str">
        <f>IF(ISBLANK(INDEX('Policy Characteristics'!I:I,MATCH($C625,'Policy Characteristics'!$C:$C,0))),"",INDEX('Policy Characteristics'!I:I,MATCH($C625,'Policy Characteristics'!$C:$C,0)))</f>
        <v>% of fuel shifted</v>
      </c>
      <c r="P625" s="394" t="str">
        <f>IF(ISBLANK(INDEX('Policy Characteristics'!J:J,MATCH($C625,'Policy Characteristics'!$C:$C,0))),"",INDEX('Policy Characteristics'!J:J,MATCH($C625,'Policy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5" s="394" t="str">
        <f>IF(ISBLANK(INDEX('Policy Characteristics'!K:K,MATCH($C625,'Policy Characteristics'!$C:$C,0))),"",INDEX('Policy Characteristics'!K:K,MATCH($C625,'Policy Characteristics'!$C:$C,0)))</f>
        <v>industry-ag-main.html#fuel-switching</v>
      </c>
      <c r="R625" s="394" t="str">
        <f>IF(ISBLANK(INDEX('Policy Characteristics'!L:L,MATCH($C625,'Policy Characteristics'!$C:$C,0))),"",INDEX('Policy Characteristics'!L:L,MATCH($C625,'Policy Characteristics'!$C:$C,0)))</f>
        <v>industry-elec-and-hydrogen.html</v>
      </c>
    </row>
    <row r="626" customHeight="1" spans="1:18">
      <c r="A626" s="394" t="str">
        <f>IF(ISBLANK(INDEX('Policy Characteristics'!A:A,MATCH($C626,'Policy Characteristics'!$C:$C,0))),"",INDEX('Policy Characteristics'!A:A,MATCH($C626,'Policy Characteristics'!$C:$C,0)))</f>
        <v>Industry</v>
      </c>
      <c r="B626" s="395" t="str">
        <f>IF(ISBLANK(INDEX('Policy Characteristics'!B:B,MATCH($C626,'Policy Characteristics'!$C:$C,0))),"",INDEX('Policy Characteristics'!B:B,MATCH($C626,'Policy Characteristics'!$C:$C,0)))</f>
        <v>Electrification + Hydrogen (Med &amp; High Temp)</v>
      </c>
      <c r="C626" s="394" t="str">
        <f t="shared" si="34"/>
        <v>Fraction of Med and High Temp Industrial Heat Shifted to Other Fuels</v>
      </c>
      <c r="D626" s="399" t="s">
        <v>772</v>
      </c>
      <c r="E626" s="399" t="s">
        <v>792</v>
      </c>
      <c r="F626" t="s">
        <v>773</v>
      </c>
      <c r="G626" s="399" t="s">
        <v>793</v>
      </c>
      <c r="H626" s="377">
        <v>1378</v>
      </c>
      <c r="I626" s="396" t="s">
        <v>648</v>
      </c>
      <c r="J626" s="397" t="str">
        <f>IF(ISBLANK(INDEX('Policy Characteristics'!D:D,MATCH($C626,'Policy Characteristics'!$C:$C,0))),"",INDEX('Policy Characteristics'!D:D,MATCH($C626,'Policy Characteristics'!$C:$C,0)))</f>
        <v>Electrification + Hydrogen</v>
      </c>
      <c r="K626" s="394" t="str">
        <f>IF(ISBLANK(INDEX('Policy Characteristics'!E:E,MATCH($C626,'Policy Characteristics'!$C:$C,0))),"",INDEX('Policy Characteristics'!E:E,MATCH($C626,'Policy Characteristics'!$C:$C,0)))</f>
        <v>indst med and high temp fuel type shifting</v>
      </c>
      <c r="L626" s="398">
        <f>IF(ISBLANK(INDEX('Policy Characteristics'!F:F,MATCH($C626,'Policy Characteristics'!$C:$C,0))),"",INDEX('Policy Characteristics'!F:F,MATCH($C626,'Policy Characteristics'!$C:$C,0)))</f>
        <v>0</v>
      </c>
      <c r="M626" s="398">
        <f>IF(ISBLANK(INDEX('Policy Characteristics'!G:G,MATCH($C626,'Policy Characteristics'!$C:$C,0))),"",INDEX('Policy Characteristics'!G:G,MATCH($C626,'Policy Characteristics'!$C:$C,0)))</f>
        <v>1</v>
      </c>
      <c r="N626" s="398">
        <f>IF(ISBLANK(INDEX('Policy Characteristics'!H:H,MATCH($C626,'Policy Characteristics'!$C:$C,0))),"",INDEX('Policy Characteristics'!H:H,MATCH($C626,'Policy Characteristics'!$C:$C,0)))</f>
        <v>0.01</v>
      </c>
      <c r="O626" s="394" t="str">
        <f>IF(ISBLANK(INDEX('Policy Characteristics'!I:I,MATCH($C626,'Policy Characteristics'!$C:$C,0))),"",INDEX('Policy Characteristics'!I:I,MATCH($C626,'Policy Characteristics'!$C:$C,0)))</f>
        <v>% of fuel shifted</v>
      </c>
      <c r="P626" s="394" t="str">
        <f>IF(ISBLANK(INDEX('Policy Characteristics'!J:J,MATCH($C626,'Policy Characteristics'!$C:$C,0))),"",INDEX('Policy Characteristics'!J:J,MATCH($C626,'Policy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6" s="394" t="str">
        <f>IF(ISBLANK(INDEX('Policy Characteristics'!K:K,MATCH($C626,'Policy Characteristics'!$C:$C,0))),"",INDEX('Policy Characteristics'!K:K,MATCH($C626,'Policy Characteristics'!$C:$C,0)))</f>
        <v>industry-ag-main.html#fuel-switching</v>
      </c>
      <c r="R626" s="394" t="str">
        <f>IF(ISBLANK(INDEX('Policy Characteristics'!L:L,MATCH($C626,'Policy Characteristics'!$C:$C,0))),"",INDEX('Policy Characteristics'!L:L,MATCH($C626,'Policy Characteristics'!$C:$C,0)))</f>
        <v>industry-elec-and-hydrogen.html</v>
      </c>
    </row>
    <row r="627" customHeight="1" spans="1:18">
      <c r="A627" s="394" t="str">
        <f>IF(ISBLANK(INDEX('Policy Characteristics'!A:A,MATCH($C627,'Policy Characteristics'!$C:$C,0))),"",INDEX('Policy Characteristics'!A:A,MATCH($C627,'Policy Characteristics'!$C:$C,0)))</f>
        <v>Industry</v>
      </c>
      <c r="B627" s="395" t="str">
        <f>IF(ISBLANK(INDEX('Policy Characteristics'!B:B,MATCH($C627,'Policy Characteristics'!$C:$C,0))),"",INDEX('Policy Characteristics'!B:B,MATCH($C627,'Policy Characteristics'!$C:$C,0)))</f>
        <v>Electrification + Hydrogen (Med &amp; High Temp)</v>
      </c>
      <c r="C627" s="394" t="str">
        <f t="shared" si="34"/>
        <v>Fraction of Med and High Temp Industrial Heat Shifted to Other Fuels</v>
      </c>
      <c r="D627" s="399" t="s">
        <v>772</v>
      </c>
      <c r="E627" s="399" t="s">
        <v>794</v>
      </c>
      <c r="F627" t="s">
        <v>773</v>
      </c>
      <c r="G627" s="399" t="s">
        <v>795</v>
      </c>
      <c r="H627" s="377">
        <v>1379</v>
      </c>
      <c r="I627" s="396" t="s">
        <v>658</v>
      </c>
      <c r="J627" s="397" t="str">
        <f>IF(ISBLANK(INDEX('Policy Characteristics'!D:D,MATCH($C627,'Policy Characteristics'!$C:$C,0))),"",INDEX('Policy Characteristics'!D:D,MATCH($C627,'Policy Characteristics'!$C:$C,0)))</f>
        <v>Electrification + Hydrogen</v>
      </c>
      <c r="K627" s="394" t="str">
        <f>IF(ISBLANK(INDEX('Policy Characteristics'!E:E,MATCH($C627,'Policy Characteristics'!$C:$C,0))),"",INDEX('Policy Characteristics'!E:E,MATCH($C627,'Policy Characteristics'!$C:$C,0)))</f>
        <v>indst med and high temp fuel type shifting</v>
      </c>
      <c r="L627" s="398">
        <f>IF(ISBLANK(INDEX('Policy Characteristics'!F:F,MATCH($C627,'Policy Characteristics'!$C:$C,0))),"",INDEX('Policy Characteristics'!F:F,MATCH($C627,'Policy Characteristics'!$C:$C,0)))</f>
        <v>0</v>
      </c>
      <c r="M627" s="398">
        <f>IF(ISBLANK(INDEX('Policy Characteristics'!G:G,MATCH($C627,'Policy Characteristics'!$C:$C,0))),"",INDEX('Policy Characteristics'!G:G,MATCH($C627,'Policy Characteristics'!$C:$C,0)))</f>
        <v>1</v>
      </c>
      <c r="N627" s="398">
        <f>IF(ISBLANK(INDEX('Policy Characteristics'!H:H,MATCH($C627,'Policy Characteristics'!$C:$C,0))),"",INDEX('Policy Characteristics'!H:H,MATCH($C627,'Policy Characteristics'!$C:$C,0)))</f>
        <v>0.01</v>
      </c>
      <c r="O627" s="394" t="str">
        <f>IF(ISBLANK(INDEX('Policy Characteristics'!I:I,MATCH($C627,'Policy Characteristics'!$C:$C,0))),"",INDEX('Policy Characteristics'!I:I,MATCH($C627,'Policy Characteristics'!$C:$C,0)))</f>
        <v>% of fuel shifted</v>
      </c>
      <c r="P627" s="394" t="str">
        <f>IF(ISBLANK(INDEX('Policy Characteristics'!J:J,MATCH($C627,'Policy Characteristics'!$C:$C,0))),"",INDEX('Policy Characteristics'!J:J,MATCH($C627,'Policy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7" s="394" t="str">
        <f>IF(ISBLANK(INDEX('Policy Characteristics'!K:K,MATCH($C627,'Policy Characteristics'!$C:$C,0))),"",INDEX('Policy Characteristics'!K:K,MATCH($C627,'Policy Characteristics'!$C:$C,0)))</f>
        <v>industry-ag-main.html#fuel-switching</v>
      </c>
      <c r="R627" s="394" t="str">
        <f>IF(ISBLANK(INDEX('Policy Characteristics'!L:L,MATCH($C627,'Policy Characteristics'!$C:$C,0))),"",INDEX('Policy Characteristics'!L:L,MATCH($C627,'Policy Characteristics'!$C:$C,0)))</f>
        <v>industry-elec-and-hydrogen.html</v>
      </c>
    </row>
    <row r="628" customHeight="1" spans="1:18">
      <c r="A628" s="394" t="str">
        <f>IF(ISBLANK(INDEX('Policy Characteristics'!A:A,MATCH($C628,'Policy Characteristics'!$C:$C,0))),"",INDEX('Policy Characteristics'!A:A,MATCH($C628,'Policy Characteristics'!$C:$C,0)))</f>
        <v>Industry</v>
      </c>
      <c r="B628" s="395" t="str">
        <f>IF(ISBLANK(INDEX('Policy Characteristics'!B:B,MATCH($C628,'Policy Characteristics'!$C:$C,0))),"",INDEX('Policy Characteristics'!B:B,MATCH($C628,'Policy Characteristics'!$C:$C,0)))</f>
        <v>Electrification + Hydrogen (Med &amp; High Temp)</v>
      </c>
      <c r="C628" s="394" t="str">
        <f t="shared" si="34"/>
        <v>Fraction of Med and High Temp Industrial Heat Shifted to Other Fuels</v>
      </c>
      <c r="D628" s="399" t="s">
        <v>772</v>
      </c>
      <c r="E628" s="399" t="s">
        <v>796</v>
      </c>
      <c r="F628" t="s">
        <v>773</v>
      </c>
      <c r="G628" s="399" t="s">
        <v>797</v>
      </c>
      <c r="H628" s="377">
        <v>1380</v>
      </c>
      <c r="I628" s="396" t="s">
        <v>658</v>
      </c>
      <c r="J628" s="397" t="str">
        <f>IF(ISBLANK(INDEX('Policy Characteristics'!D:D,MATCH($C628,'Policy Characteristics'!$C:$C,0))),"",INDEX('Policy Characteristics'!D:D,MATCH($C628,'Policy Characteristics'!$C:$C,0)))</f>
        <v>Electrification + Hydrogen</v>
      </c>
      <c r="K628" s="394" t="str">
        <f>IF(ISBLANK(INDEX('Policy Characteristics'!E:E,MATCH($C628,'Policy Characteristics'!$C:$C,0))),"",INDEX('Policy Characteristics'!E:E,MATCH($C628,'Policy Characteristics'!$C:$C,0)))</f>
        <v>indst med and high temp fuel type shifting</v>
      </c>
      <c r="L628" s="398">
        <f>IF(ISBLANK(INDEX('Policy Characteristics'!F:F,MATCH($C628,'Policy Characteristics'!$C:$C,0))),"",INDEX('Policy Characteristics'!F:F,MATCH($C628,'Policy Characteristics'!$C:$C,0)))</f>
        <v>0</v>
      </c>
      <c r="M628" s="398">
        <f>IF(ISBLANK(INDEX('Policy Characteristics'!G:G,MATCH($C628,'Policy Characteristics'!$C:$C,0))),"",INDEX('Policy Characteristics'!G:G,MATCH($C628,'Policy Characteristics'!$C:$C,0)))</f>
        <v>1</v>
      </c>
      <c r="N628" s="398">
        <f>IF(ISBLANK(INDEX('Policy Characteristics'!H:H,MATCH($C628,'Policy Characteristics'!$C:$C,0))),"",INDEX('Policy Characteristics'!H:H,MATCH($C628,'Policy Characteristics'!$C:$C,0)))</f>
        <v>0.01</v>
      </c>
      <c r="O628" s="394" t="str">
        <f>IF(ISBLANK(INDEX('Policy Characteristics'!I:I,MATCH($C628,'Policy Characteristics'!$C:$C,0))),"",INDEX('Policy Characteristics'!I:I,MATCH($C628,'Policy Characteristics'!$C:$C,0)))</f>
        <v>% of fuel shifted</v>
      </c>
      <c r="P628" s="394" t="str">
        <f>IF(ISBLANK(INDEX('Policy Characteristics'!J:J,MATCH($C628,'Policy Characteristics'!$C:$C,0))),"",INDEX('Policy Characteristics'!J:J,MATCH($C628,'Policy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8" s="394" t="str">
        <f>IF(ISBLANK(INDEX('Policy Characteristics'!K:K,MATCH($C628,'Policy Characteristics'!$C:$C,0))),"",INDEX('Policy Characteristics'!K:K,MATCH($C628,'Policy Characteristics'!$C:$C,0)))</f>
        <v>industry-ag-main.html#fuel-switching</v>
      </c>
      <c r="R628" s="394" t="str">
        <f>IF(ISBLANK(INDEX('Policy Characteristics'!L:L,MATCH($C628,'Policy Characteristics'!$C:$C,0))),"",INDEX('Policy Characteristics'!L:L,MATCH($C628,'Policy Characteristics'!$C:$C,0)))</f>
        <v>industry-elec-and-hydrogen.html</v>
      </c>
    </row>
    <row r="629" customHeight="1" spans="1:18">
      <c r="A629" s="394" t="str">
        <f>IF(ISBLANK(INDEX('Policy Characteristics'!A:A,MATCH($C629,'Policy Characteristics'!$C:$C,0))),"",INDEX('Policy Characteristics'!A:A,MATCH($C629,'Policy Characteristics'!$C:$C,0)))</f>
        <v>Industry</v>
      </c>
      <c r="B629" s="395" t="str">
        <f>IF(ISBLANK(INDEX('Policy Characteristics'!B:B,MATCH($C629,'Policy Characteristics'!$C:$C,0))),"",INDEX('Policy Characteristics'!B:B,MATCH($C629,'Policy Characteristics'!$C:$C,0)))</f>
        <v>Electrification + Hydrogen (Med &amp; High Temp)</v>
      </c>
      <c r="C629" s="394" t="str">
        <f t="shared" si="34"/>
        <v>Fraction of Med and High Temp Industrial Heat Shifted to Other Fuels</v>
      </c>
      <c r="D629" s="399" t="s">
        <v>772</v>
      </c>
      <c r="E629" s="399" t="s">
        <v>798</v>
      </c>
      <c r="F629" t="s">
        <v>773</v>
      </c>
      <c r="G629" s="399" t="s">
        <v>799</v>
      </c>
      <c r="H629" s="377">
        <v>1381</v>
      </c>
      <c r="I629" s="396" t="s">
        <v>658</v>
      </c>
      <c r="J629" s="397" t="str">
        <f>IF(ISBLANK(INDEX('Policy Characteristics'!D:D,MATCH($C629,'Policy Characteristics'!$C:$C,0))),"",INDEX('Policy Characteristics'!D:D,MATCH($C629,'Policy Characteristics'!$C:$C,0)))</f>
        <v>Electrification + Hydrogen</v>
      </c>
      <c r="K629" s="394" t="str">
        <f>IF(ISBLANK(INDEX('Policy Characteristics'!E:E,MATCH($C629,'Policy Characteristics'!$C:$C,0))),"",INDEX('Policy Characteristics'!E:E,MATCH($C629,'Policy Characteristics'!$C:$C,0)))</f>
        <v>indst med and high temp fuel type shifting</v>
      </c>
      <c r="L629" s="398">
        <f>IF(ISBLANK(INDEX('Policy Characteristics'!F:F,MATCH($C629,'Policy Characteristics'!$C:$C,0))),"",INDEX('Policy Characteristics'!F:F,MATCH($C629,'Policy Characteristics'!$C:$C,0)))</f>
        <v>0</v>
      </c>
      <c r="M629" s="398">
        <f>IF(ISBLANK(INDEX('Policy Characteristics'!G:G,MATCH($C629,'Policy Characteristics'!$C:$C,0))),"",INDEX('Policy Characteristics'!G:G,MATCH($C629,'Policy Characteristics'!$C:$C,0)))</f>
        <v>1</v>
      </c>
      <c r="N629" s="398">
        <f>IF(ISBLANK(INDEX('Policy Characteristics'!H:H,MATCH($C629,'Policy Characteristics'!$C:$C,0))),"",INDEX('Policy Characteristics'!H:H,MATCH($C629,'Policy Characteristics'!$C:$C,0)))</f>
        <v>0.01</v>
      </c>
      <c r="O629" s="394" t="str">
        <f>IF(ISBLANK(INDEX('Policy Characteristics'!I:I,MATCH($C629,'Policy Characteristics'!$C:$C,0))),"",INDEX('Policy Characteristics'!I:I,MATCH($C629,'Policy Characteristics'!$C:$C,0)))</f>
        <v>% of fuel shifted</v>
      </c>
      <c r="P629" s="394" t="str">
        <f>IF(ISBLANK(INDEX('Policy Characteristics'!J:J,MATCH($C629,'Policy Characteristics'!$C:$C,0))),"",INDEX('Policy Characteristics'!J:J,MATCH($C629,'Policy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9" s="394" t="str">
        <f>IF(ISBLANK(INDEX('Policy Characteristics'!K:K,MATCH($C629,'Policy Characteristics'!$C:$C,0))),"",INDEX('Policy Characteristics'!K:K,MATCH($C629,'Policy Characteristics'!$C:$C,0)))</f>
        <v>industry-ag-main.html#fuel-switching</v>
      </c>
      <c r="R629" s="394" t="str">
        <f>IF(ISBLANK(INDEX('Policy Characteristics'!L:L,MATCH($C629,'Policy Characteristics'!$C:$C,0))),"",INDEX('Policy Characteristics'!L:L,MATCH($C629,'Policy Characteristics'!$C:$C,0)))</f>
        <v>industry-elec-and-hydrogen.html</v>
      </c>
    </row>
    <row r="630" customHeight="1" spans="1:18">
      <c r="A630" s="394" t="str">
        <f>IF(ISBLANK(INDEX('Policy Characteristics'!A:A,MATCH($C630,'Policy Characteristics'!$C:$C,0))),"",INDEX('Policy Characteristics'!A:A,MATCH($C630,'Policy Characteristics'!$C:$C,0)))</f>
        <v>Industry</v>
      </c>
      <c r="B630" s="395" t="str">
        <f>IF(ISBLANK(INDEX('Policy Characteristics'!B:B,MATCH($C630,'Policy Characteristics'!$C:$C,0))),"",INDEX('Policy Characteristics'!B:B,MATCH($C630,'Policy Characteristics'!$C:$C,0)))</f>
        <v>Electrification + Hydrogen (Med &amp; High Temp)</v>
      </c>
      <c r="C630" s="394" t="str">
        <f t="shared" si="34"/>
        <v>Fraction of Med and High Temp Industrial Heat Shifted to Other Fuels</v>
      </c>
      <c r="D630" s="399" t="s">
        <v>772</v>
      </c>
      <c r="E630" s="399" t="s">
        <v>800</v>
      </c>
      <c r="F630" t="s">
        <v>773</v>
      </c>
      <c r="G630" s="399" t="s">
        <v>801</v>
      </c>
      <c r="H630" s="377">
        <v>1382</v>
      </c>
      <c r="I630" s="396" t="s">
        <v>658</v>
      </c>
      <c r="J630" s="397" t="str">
        <f>IF(ISBLANK(INDEX('Policy Characteristics'!D:D,MATCH($C630,'Policy Characteristics'!$C:$C,0))),"",INDEX('Policy Characteristics'!D:D,MATCH($C630,'Policy Characteristics'!$C:$C,0)))</f>
        <v>Electrification + Hydrogen</v>
      </c>
      <c r="K630" s="394" t="str">
        <f>IF(ISBLANK(INDEX('Policy Characteristics'!E:E,MATCH($C630,'Policy Characteristics'!$C:$C,0))),"",INDEX('Policy Characteristics'!E:E,MATCH($C630,'Policy Characteristics'!$C:$C,0)))</f>
        <v>indst med and high temp fuel type shifting</v>
      </c>
      <c r="L630" s="398">
        <f>IF(ISBLANK(INDEX('Policy Characteristics'!F:F,MATCH($C630,'Policy Characteristics'!$C:$C,0))),"",INDEX('Policy Characteristics'!F:F,MATCH($C630,'Policy Characteristics'!$C:$C,0)))</f>
        <v>0</v>
      </c>
      <c r="M630" s="398">
        <f>IF(ISBLANK(INDEX('Policy Characteristics'!G:G,MATCH($C630,'Policy Characteristics'!$C:$C,0))),"",INDEX('Policy Characteristics'!G:G,MATCH($C630,'Policy Characteristics'!$C:$C,0)))</f>
        <v>1</v>
      </c>
      <c r="N630" s="398">
        <f>IF(ISBLANK(INDEX('Policy Characteristics'!H:H,MATCH($C630,'Policy Characteristics'!$C:$C,0))),"",INDEX('Policy Characteristics'!H:H,MATCH($C630,'Policy Characteristics'!$C:$C,0)))</f>
        <v>0.01</v>
      </c>
      <c r="O630" s="394" t="str">
        <f>IF(ISBLANK(INDEX('Policy Characteristics'!I:I,MATCH($C630,'Policy Characteristics'!$C:$C,0))),"",INDEX('Policy Characteristics'!I:I,MATCH($C630,'Policy Characteristics'!$C:$C,0)))</f>
        <v>% of fuel shifted</v>
      </c>
      <c r="P630" s="394" t="str">
        <f>IF(ISBLANK(INDEX('Policy Characteristics'!J:J,MATCH($C630,'Policy Characteristics'!$C:$C,0))),"",INDEX('Policy Characteristics'!J:J,MATCH($C630,'Policy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0" s="394" t="str">
        <f>IF(ISBLANK(INDEX('Policy Characteristics'!K:K,MATCH($C630,'Policy Characteristics'!$C:$C,0))),"",INDEX('Policy Characteristics'!K:K,MATCH($C630,'Policy Characteristics'!$C:$C,0)))</f>
        <v>industry-ag-main.html#fuel-switching</v>
      </c>
      <c r="R630" s="394" t="str">
        <f>IF(ISBLANK(INDEX('Policy Characteristics'!L:L,MATCH($C630,'Policy Characteristics'!$C:$C,0))),"",INDEX('Policy Characteristics'!L:L,MATCH($C630,'Policy Characteristics'!$C:$C,0)))</f>
        <v>industry-elec-and-hydrogen.html</v>
      </c>
    </row>
    <row r="631" customHeight="1" spans="1:18">
      <c r="A631" s="394" t="str">
        <f>IF(ISBLANK(INDEX('Policy Characteristics'!A:A,MATCH($C631,'Policy Characteristics'!$C:$C,0))),"",INDEX('Policy Characteristics'!A:A,MATCH($C631,'Policy Characteristics'!$C:$C,0)))</f>
        <v>Industry</v>
      </c>
      <c r="B631" s="395" t="str">
        <f>IF(ISBLANK(INDEX('Policy Characteristics'!B:B,MATCH($C631,'Policy Characteristics'!$C:$C,0))),"",INDEX('Policy Characteristics'!B:B,MATCH($C631,'Policy Characteristics'!$C:$C,0)))</f>
        <v>Electrification + Hydrogen (Med &amp; High Temp)</v>
      </c>
      <c r="C631" s="394" t="str">
        <f t="shared" si="34"/>
        <v>Fraction of Med and High Temp Industrial Heat Shifted to Other Fuels</v>
      </c>
      <c r="D631" s="399" t="s">
        <v>772</v>
      </c>
      <c r="E631" s="399" t="s">
        <v>802</v>
      </c>
      <c r="F631" t="s">
        <v>773</v>
      </c>
      <c r="G631" s="399" t="s">
        <v>803</v>
      </c>
      <c r="H631" s="377">
        <v>1383</v>
      </c>
      <c r="I631" s="396" t="s">
        <v>658</v>
      </c>
      <c r="J631" s="397" t="str">
        <f>IF(ISBLANK(INDEX('Policy Characteristics'!D:D,MATCH($C631,'Policy Characteristics'!$C:$C,0))),"",INDEX('Policy Characteristics'!D:D,MATCH($C631,'Policy Characteristics'!$C:$C,0)))</f>
        <v>Electrification + Hydrogen</v>
      </c>
      <c r="K631" s="394" t="str">
        <f>IF(ISBLANK(INDEX('Policy Characteristics'!E:E,MATCH($C631,'Policy Characteristics'!$C:$C,0))),"",INDEX('Policy Characteristics'!E:E,MATCH($C631,'Policy Characteristics'!$C:$C,0)))</f>
        <v>indst med and high temp fuel type shifting</v>
      </c>
      <c r="L631" s="398">
        <f>IF(ISBLANK(INDEX('Policy Characteristics'!F:F,MATCH($C631,'Policy Characteristics'!$C:$C,0))),"",INDEX('Policy Characteristics'!F:F,MATCH($C631,'Policy Characteristics'!$C:$C,0)))</f>
        <v>0</v>
      </c>
      <c r="M631" s="398">
        <f>IF(ISBLANK(INDEX('Policy Characteristics'!G:G,MATCH($C631,'Policy Characteristics'!$C:$C,0))),"",INDEX('Policy Characteristics'!G:G,MATCH($C631,'Policy Characteristics'!$C:$C,0)))</f>
        <v>1</v>
      </c>
      <c r="N631" s="398">
        <f>IF(ISBLANK(INDEX('Policy Characteristics'!H:H,MATCH($C631,'Policy Characteristics'!$C:$C,0))),"",INDEX('Policy Characteristics'!H:H,MATCH($C631,'Policy Characteristics'!$C:$C,0)))</f>
        <v>0.01</v>
      </c>
      <c r="O631" s="394" t="str">
        <f>IF(ISBLANK(INDEX('Policy Characteristics'!I:I,MATCH($C631,'Policy Characteristics'!$C:$C,0))),"",INDEX('Policy Characteristics'!I:I,MATCH($C631,'Policy Characteristics'!$C:$C,0)))</f>
        <v>% of fuel shifted</v>
      </c>
      <c r="P631" s="394" t="str">
        <f>IF(ISBLANK(INDEX('Policy Characteristics'!J:J,MATCH($C631,'Policy Characteristics'!$C:$C,0))),"",INDEX('Policy Characteristics'!J:J,MATCH($C631,'Policy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1" s="394" t="str">
        <f>IF(ISBLANK(INDEX('Policy Characteristics'!K:K,MATCH($C631,'Policy Characteristics'!$C:$C,0))),"",INDEX('Policy Characteristics'!K:K,MATCH($C631,'Policy Characteristics'!$C:$C,0)))</f>
        <v>industry-ag-main.html#fuel-switching</v>
      </c>
      <c r="R631" s="394" t="str">
        <f>IF(ISBLANK(INDEX('Policy Characteristics'!L:L,MATCH($C631,'Policy Characteristics'!$C:$C,0))),"",INDEX('Policy Characteristics'!L:L,MATCH($C631,'Policy Characteristics'!$C:$C,0)))</f>
        <v>industry-elec-and-hydrogen.html</v>
      </c>
    </row>
    <row r="632" customHeight="1" spans="1:18">
      <c r="A632" s="394" t="str">
        <f>IF(ISBLANK(INDEX('Policy Characteristics'!A:A,MATCH($C632,'Policy Characteristics'!$C:$C,0))),"",INDEX('Policy Characteristics'!A:A,MATCH($C632,'Policy Characteristics'!$C:$C,0)))</f>
        <v>Industry</v>
      </c>
      <c r="B632" s="395" t="str">
        <f>IF(ISBLANK(INDEX('Policy Characteristics'!B:B,MATCH($C632,'Policy Characteristics'!$C:$C,0))),"",INDEX('Policy Characteristics'!B:B,MATCH($C632,'Policy Characteristics'!$C:$C,0)))</f>
        <v>Electrification + Hydrogen (Med &amp; High Temp)</v>
      </c>
      <c r="C632" s="394" t="str">
        <f t="shared" si="34"/>
        <v>Fraction of Med and High Temp Industrial Heat Shifted to Other Fuels</v>
      </c>
      <c r="D632" s="399" t="s">
        <v>772</v>
      </c>
      <c r="E632" s="399" t="s">
        <v>804</v>
      </c>
      <c r="F632" t="s">
        <v>773</v>
      </c>
      <c r="G632" s="399" t="s">
        <v>805</v>
      </c>
      <c r="H632" s="377">
        <v>1384</v>
      </c>
      <c r="I632" s="396" t="s">
        <v>658</v>
      </c>
      <c r="J632" s="397" t="str">
        <f>IF(ISBLANK(INDEX('Policy Characteristics'!D:D,MATCH($C632,'Policy Characteristics'!$C:$C,0))),"",INDEX('Policy Characteristics'!D:D,MATCH($C632,'Policy Characteristics'!$C:$C,0)))</f>
        <v>Electrification + Hydrogen</v>
      </c>
      <c r="K632" s="394" t="str">
        <f>IF(ISBLANK(INDEX('Policy Characteristics'!E:E,MATCH($C632,'Policy Characteristics'!$C:$C,0))),"",INDEX('Policy Characteristics'!E:E,MATCH($C632,'Policy Characteristics'!$C:$C,0)))</f>
        <v>indst med and high temp fuel type shifting</v>
      </c>
      <c r="L632" s="398">
        <f>IF(ISBLANK(INDEX('Policy Characteristics'!F:F,MATCH($C632,'Policy Characteristics'!$C:$C,0))),"",INDEX('Policy Characteristics'!F:F,MATCH($C632,'Policy Characteristics'!$C:$C,0)))</f>
        <v>0</v>
      </c>
      <c r="M632" s="398">
        <f>IF(ISBLANK(INDEX('Policy Characteristics'!G:G,MATCH($C632,'Policy Characteristics'!$C:$C,0))),"",INDEX('Policy Characteristics'!G:G,MATCH($C632,'Policy Characteristics'!$C:$C,0)))</f>
        <v>1</v>
      </c>
      <c r="N632" s="398">
        <f>IF(ISBLANK(INDEX('Policy Characteristics'!H:H,MATCH($C632,'Policy Characteristics'!$C:$C,0))),"",INDEX('Policy Characteristics'!H:H,MATCH($C632,'Policy Characteristics'!$C:$C,0)))</f>
        <v>0.01</v>
      </c>
      <c r="O632" s="394" t="str">
        <f>IF(ISBLANK(INDEX('Policy Characteristics'!I:I,MATCH($C632,'Policy Characteristics'!$C:$C,0))),"",INDEX('Policy Characteristics'!I:I,MATCH($C632,'Policy Characteristics'!$C:$C,0)))</f>
        <v>% of fuel shifted</v>
      </c>
      <c r="P632" s="394" t="str">
        <f>IF(ISBLANK(INDEX('Policy Characteristics'!J:J,MATCH($C632,'Policy Characteristics'!$C:$C,0))),"",INDEX('Policy Characteristics'!J:J,MATCH($C632,'Policy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2" s="394" t="str">
        <f>IF(ISBLANK(INDEX('Policy Characteristics'!K:K,MATCH($C632,'Policy Characteristics'!$C:$C,0))),"",INDEX('Policy Characteristics'!K:K,MATCH($C632,'Policy Characteristics'!$C:$C,0)))</f>
        <v>industry-ag-main.html#fuel-switching</v>
      </c>
      <c r="R632" s="394" t="str">
        <f>IF(ISBLANK(INDEX('Policy Characteristics'!L:L,MATCH($C632,'Policy Characteristics'!$C:$C,0))),"",INDEX('Policy Characteristics'!L:L,MATCH($C632,'Policy Characteristics'!$C:$C,0)))</f>
        <v>industry-elec-and-hydrogen.html</v>
      </c>
    </row>
    <row r="633" customHeight="1" spans="1:18">
      <c r="A633" s="394" t="str">
        <f>IF(ISBLANK(INDEX('Policy Characteristics'!A:A,MATCH($C633,'Policy Characteristics'!$C:$C,0))),"",INDEX('Policy Characteristics'!A:A,MATCH($C633,'Policy Characteristics'!$C:$C,0)))</f>
        <v>Industry</v>
      </c>
      <c r="B633" s="395" t="str">
        <f>IF(ISBLANK(INDEX('Policy Characteristics'!B:B,MATCH($C633,'Policy Characteristics'!$C:$C,0))),"",INDEX('Policy Characteristics'!B:B,MATCH($C633,'Policy Characteristics'!$C:$C,0)))</f>
        <v>Electrification + Hydrogen (Med &amp; High Temp)</v>
      </c>
      <c r="C633" s="394" t="str">
        <f t="shared" si="34"/>
        <v>Fraction of Med and High Temp Industrial Heat Shifted to Other Fuels</v>
      </c>
      <c r="D633" s="399" t="s">
        <v>772</v>
      </c>
      <c r="E633" s="399" t="s">
        <v>806</v>
      </c>
      <c r="F633" t="s">
        <v>773</v>
      </c>
      <c r="G633" s="399" t="s">
        <v>807</v>
      </c>
      <c r="H633" s="377">
        <v>1385</v>
      </c>
      <c r="I633" s="396" t="s">
        <v>658</v>
      </c>
      <c r="J633" s="397" t="str">
        <f>IF(ISBLANK(INDEX('Policy Characteristics'!D:D,MATCH($C633,'Policy Characteristics'!$C:$C,0))),"",INDEX('Policy Characteristics'!D:D,MATCH($C633,'Policy Characteristics'!$C:$C,0)))</f>
        <v>Electrification + Hydrogen</v>
      </c>
      <c r="K633" s="394" t="str">
        <f>IF(ISBLANK(INDEX('Policy Characteristics'!E:E,MATCH($C633,'Policy Characteristics'!$C:$C,0))),"",INDEX('Policy Characteristics'!E:E,MATCH($C633,'Policy Characteristics'!$C:$C,0)))</f>
        <v>indst med and high temp fuel type shifting</v>
      </c>
      <c r="L633" s="398">
        <f>IF(ISBLANK(INDEX('Policy Characteristics'!F:F,MATCH($C633,'Policy Characteristics'!$C:$C,0))),"",INDEX('Policy Characteristics'!F:F,MATCH($C633,'Policy Characteristics'!$C:$C,0)))</f>
        <v>0</v>
      </c>
      <c r="M633" s="398">
        <f>IF(ISBLANK(INDEX('Policy Characteristics'!G:G,MATCH($C633,'Policy Characteristics'!$C:$C,0))),"",INDEX('Policy Characteristics'!G:G,MATCH($C633,'Policy Characteristics'!$C:$C,0)))</f>
        <v>1</v>
      </c>
      <c r="N633" s="398">
        <f>IF(ISBLANK(INDEX('Policy Characteristics'!H:H,MATCH($C633,'Policy Characteristics'!$C:$C,0))),"",INDEX('Policy Characteristics'!H:H,MATCH($C633,'Policy Characteristics'!$C:$C,0)))</f>
        <v>0.01</v>
      </c>
      <c r="O633" s="394" t="str">
        <f>IF(ISBLANK(INDEX('Policy Characteristics'!I:I,MATCH($C633,'Policy Characteristics'!$C:$C,0))),"",INDEX('Policy Characteristics'!I:I,MATCH($C633,'Policy Characteristics'!$C:$C,0)))</f>
        <v>% of fuel shifted</v>
      </c>
      <c r="P633" s="394" t="str">
        <f>IF(ISBLANK(INDEX('Policy Characteristics'!J:J,MATCH($C633,'Policy Characteristics'!$C:$C,0))),"",INDEX('Policy Characteristics'!J:J,MATCH($C633,'Policy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3" s="394" t="str">
        <f>IF(ISBLANK(INDEX('Policy Characteristics'!K:K,MATCH($C633,'Policy Characteristics'!$C:$C,0))),"",INDEX('Policy Characteristics'!K:K,MATCH($C633,'Policy Characteristics'!$C:$C,0)))</f>
        <v>industry-ag-main.html#fuel-switching</v>
      </c>
      <c r="R633" s="394" t="str">
        <f>IF(ISBLANK(INDEX('Policy Characteristics'!L:L,MATCH($C633,'Policy Characteristics'!$C:$C,0))),"",INDEX('Policy Characteristics'!L:L,MATCH($C633,'Policy Characteristics'!$C:$C,0)))</f>
        <v>industry-elec-and-hydrogen.html</v>
      </c>
    </row>
    <row r="634" customHeight="1" spans="1:18">
      <c r="A634" s="394" t="str">
        <f>IF(ISBLANK(INDEX('Policy Characteristics'!A:A,MATCH($C634,'Policy Characteristics'!$C:$C,0))),"",INDEX('Policy Characteristics'!A:A,MATCH($C634,'Policy Characteristics'!$C:$C,0)))</f>
        <v>Industry</v>
      </c>
      <c r="B634" s="395" t="str">
        <f>IF(ISBLANK(INDEX('Policy Characteristics'!B:B,MATCH($C634,'Policy Characteristics'!$C:$C,0))),"",INDEX('Policy Characteristics'!B:B,MATCH($C634,'Policy Characteristics'!$C:$C,0)))</f>
        <v>Electrification + Hydrogen (Med &amp; High Temp)</v>
      </c>
      <c r="C634" s="394" t="str">
        <f t="shared" si="34"/>
        <v>Fraction of Med and High Temp Industrial Heat Shifted to Other Fuels</v>
      </c>
      <c r="D634" s="399" t="s">
        <v>772</v>
      </c>
      <c r="E634" s="399" t="s">
        <v>808</v>
      </c>
      <c r="F634" t="s">
        <v>773</v>
      </c>
      <c r="G634" s="399" t="s">
        <v>809</v>
      </c>
      <c r="H634" s="377">
        <v>1386</v>
      </c>
      <c r="I634" s="396" t="s">
        <v>658</v>
      </c>
      <c r="J634" s="397" t="str">
        <f>IF(ISBLANK(INDEX('Policy Characteristics'!D:D,MATCH($C634,'Policy Characteristics'!$C:$C,0))),"",INDEX('Policy Characteristics'!D:D,MATCH($C634,'Policy Characteristics'!$C:$C,0)))</f>
        <v>Electrification + Hydrogen</v>
      </c>
      <c r="K634" s="394" t="str">
        <f>IF(ISBLANK(INDEX('Policy Characteristics'!E:E,MATCH($C634,'Policy Characteristics'!$C:$C,0))),"",INDEX('Policy Characteristics'!E:E,MATCH($C634,'Policy Characteristics'!$C:$C,0)))</f>
        <v>indst med and high temp fuel type shifting</v>
      </c>
      <c r="L634" s="398">
        <f>IF(ISBLANK(INDEX('Policy Characteristics'!F:F,MATCH($C634,'Policy Characteristics'!$C:$C,0))),"",INDEX('Policy Characteristics'!F:F,MATCH($C634,'Policy Characteristics'!$C:$C,0)))</f>
        <v>0</v>
      </c>
      <c r="M634" s="398">
        <f>IF(ISBLANK(INDEX('Policy Characteristics'!G:G,MATCH($C634,'Policy Characteristics'!$C:$C,0))),"",INDEX('Policy Characteristics'!G:G,MATCH($C634,'Policy Characteristics'!$C:$C,0)))</f>
        <v>1</v>
      </c>
      <c r="N634" s="398">
        <f>IF(ISBLANK(INDEX('Policy Characteristics'!H:H,MATCH($C634,'Policy Characteristics'!$C:$C,0))),"",INDEX('Policy Characteristics'!H:H,MATCH($C634,'Policy Characteristics'!$C:$C,0)))</f>
        <v>0.01</v>
      </c>
      <c r="O634" s="394" t="str">
        <f>IF(ISBLANK(INDEX('Policy Characteristics'!I:I,MATCH($C634,'Policy Characteristics'!$C:$C,0))),"",INDEX('Policy Characteristics'!I:I,MATCH($C634,'Policy Characteristics'!$C:$C,0)))</f>
        <v>% of fuel shifted</v>
      </c>
      <c r="P634" s="394" t="str">
        <f>IF(ISBLANK(INDEX('Policy Characteristics'!J:J,MATCH($C634,'Policy Characteristics'!$C:$C,0))),"",INDEX('Policy Characteristics'!J:J,MATCH($C634,'Policy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4" s="394" t="str">
        <f>IF(ISBLANK(INDEX('Policy Characteristics'!K:K,MATCH($C634,'Policy Characteristics'!$C:$C,0))),"",INDEX('Policy Characteristics'!K:K,MATCH($C634,'Policy Characteristics'!$C:$C,0)))</f>
        <v>industry-ag-main.html#fuel-switching</v>
      </c>
      <c r="R634" s="394" t="str">
        <f>IF(ISBLANK(INDEX('Policy Characteristics'!L:L,MATCH($C634,'Policy Characteristics'!$C:$C,0))),"",INDEX('Policy Characteristics'!L:L,MATCH($C634,'Policy Characteristics'!$C:$C,0)))</f>
        <v>industry-elec-and-hydrogen.html</v>
      </c>
    </row>
    <row r="635" customHeight="1" spans="1:18">
      <c r="A635" s="394" t="str">
        <f>IF(ISBLANK(INDEX('Policy Characteristics'!A:A,MATCH($C635,'Policy Characteristics'!$C:$C,0))),"",INDEX('Policy Characteristics'!A:A,MATCH($C635,'Policy Characteristics'!$C:$C,0)))</f>
        <v>Industry</v>
      </c>
      <c r="B635" s="395" t="str">
        <f>IF(ISBLANK(INDEX('Policy Characteristics'!B:B,MATCH($C635,'Policy Characteristics'!$C:$C,0))),"",INDEX('Policy Characteristics'!B:B,MATCH($C635,'Policy Characteristics'!$C:$C,0)))</f>
        <v>Electrification + Hydrogen (Med &amp; High Temp)</v>
      </c>
      <c r="C635" s="394" t="str">
        <f t="shared" si="34"/>
        <v>Fraction of Med and High Temp Industrial Heat Shifted to Other Fuels</v>
      </c>
      <c r="D635" s="399" t="s">
        <v>772</v>
      </c>
      <c r="E635" s="399" t="s">
        <v>810</v>
      </c>
      <c r="F635" t="s">
        <v>773</v>
      </c>
      <c r="G635" s="399" t="s">
        <v>811</v>
      </c>
      <c r="H635" s="377">
        <v>1387</v>
      </c>
      <c r="I635" s="396" t="s">
        <v>648</v>
      </c>
      <c r="J635" s="397" t="str">
        <f>IF(ISBLANK(INDEX('Policy Characteristics'!D:D,MATCH($C635,'Policy Characteristics'!$C:$C,0))),"",INDEX('Policy Characteristics'!D:D,MATCH($C635,'Policy Characteristics'!$C:$C,0)))</f>
        <v>Electrification + Hydrogen</v>
      </c>
      <c r="K635" s="394" t="str">
        <f>IF(ISBLANK(INDEX('Policy Characteristics'!E:E,MATCH($C635,'Policy Characteristics'!$C:$C,0))),"",INDEX('Policy Characteristics'!E:E,MATCH($C635,'Policy Characteristics'!$C:$C,0)))</f>
        <v>indst med and high temp fuel type shifting</v>
      </c>
      <c r="L635" s="398">
        <f>IF(ISBLANK(INDEX('Policy Characteristics'!F:F,MATCH($C635,'Policy Characteristics'!$C:$C,0))),"",INDEX('Policy Characteristics'!F:F,MATCH($C635,'Policy Characteristics'!$C:$C,0)))</f>
        <v>0</v>
      </c>
      <c r="M635" s="398">
        <f>IF(ISBLANK(INDEX('Policy Characteristics'!G:G,MATCH($C635,'Policy Characteristics'!$C:$C,0))),"",INDEX('Policy Characteristics'!G:G,MATCH($C635,'Policy Characteristics'!$C:$C,0)))</f>
        <v>1</v>
      </c>
      <c r="N635" s="398">
        <f>IF(ISBLANK(INDEX('Policy Characteristics'!H:H,MATCH($C635,'Policy Characteristics'!$C:$C,0))),"",INDEX('Policy Characteristics'!H:H,MATCH($C635,'Policy Characteristics'!$C:$C,0)))</f>
        <v>0.01</v>
      </c>
      <c r="O635" s="394" t="str">
        <f>IF(ISBLANK(INDEX('Policy Characteristics'!I:I,MATCH($C635,'Policy Characteristics'!$C:$C,0))),"",INDEX('Policy Characteristics'!I:I,MATCH($C635,'Policy Characteristics'!$C:$C,0)))</f>
        <v>% of fuel shifted</v>
      </c>
      <c r="P635" s="394" t="str">
        <f>IF(ISBLANK(INDEX('Policy Characteristics'!J:J,MATCH($C635,'Policy Characteristics'!$C:$C,0))),"",INDEX('Policy Characteristics'!J:J,MATCH($C635,'Policy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5" s="394" t="str">
        <f>IF(ISBLANK(INDEX('Policy Characteristics'!K:K,MATCH($C635,'Policy Characteristics'!$C:$C,0))),"",INDEX('Policy Characteristics'!K:K,MATCH($C635,'Policy Characteristics'!$C:$C,0)))</f>
        <v>industry-ag-main.html#fuel-switching</v>
      </c>
      <c r="R635" s="394" t="str">
        <f>IF(ISBLANK(INDEX('Policy Characteristics'!L:L,MATCH($C635,'Policy Characteristics'!$C:$C,0))),"",INDEX('Policy Characteristics'!L:L,MATCH($C635,'Policy Characteristics'!$C:$C,0)))</f>
        <v>industry-elec-and-hydrogen.html</v>
      </c>
    </row>
    <row r="636" customHeight="1" spans="1:18">
      <c r="A636" s="394" t="str">
        <f>IF(ISBLANK(INDEX('Policy Characteristics'!A:A,MATCH($C636,'Policy Characteristics'!$C:$C,0))),"",INDEX('Policy Characteristics'!A:A,MATCH($C636,'Policy Characteristics'!$C:$C,0)))</f>
        <v>Industry</v>
      </c>
      <c r="B636" s="395" t="str">
        <f>IF(ISBLANK(INDEX('Policy Characteristics'!B:B,MATCH($C636,'Policy Characteristics'!$C:$C,0))),"",INDEX('Policy Characteristics'!B:B,MATCH($C636,'Policy Characteristics'!$C:$C,0)))</f>
        <v>Electrification + Hydrogen (Med &amp; High Temp)</v>
      </c>
      <c r="C636" s="394" t="str">
        <f t="shared" si="34"/>
        <v>Fraction of Med and High Temp Industrial Heat Shifted to Other Fuels</v>
      </c>
      <c r="D636" s="399" t="s">
        <v>774</v>
      </c>
      <c r="E636" s="399" t="s">
        <v>792</v>
      </c>
      <c r="F636" t="s">
        <v>775</v>
      </c>
      <c r="G636" s="399" t="s">
        <v>793</v>
      </c>
      <c r="H636" s="377">
        <v>1388</v>
      </c>
      <c r="I636" s="396" t="s">
        <v>648</v>
      </c>
      <c r="J636" s="397" t="str">
        <f>IF(ISBLANK(INDEX('Policy Characteristics'!D:D,MATCH($C636,'Policy Characteristics'!$C:$C,0))),"",INDEX('Policy Characteristics'!D:D,MATCH($C636,'Policy Characteristics'!$C:$C,0)))</f>
        <v>Electrification + Hydrogen</v>
      </c>
      <c r="K636" s="394" t="str">
        <f>IF(ISBLANK(INDEX('Policy Characteristics'!E:E,MATCH($C636,'Policy Characteristics'!$C:$C,0))),"",INDEX('Policy Characteristics'!E:E,MATCH($C636,'Policy Characteristics'!$C:$C,0)))</f>
        <v>indst med and high temp fuel type shifting</v>
      </c>
      <c r="L636" s="398">
        <f>IF(ISBLANK(INDEX('Policy Characteristics'!F:F,MATCH($C636,'Policy Characteristics'!$C:$C,0))),"",INDEX('Policy Characteristics'!F:F,MATCH($C636,'Policy Characteristics'!$C:$C,0)))</f>
        <v>0</v>
      </c>
      <c r="M636" s="398">
        <f>IF(ISBLANK(INDEX('Policy Characteristics'!G:G,MATCH($C636,'Policy Characteristics'!$C:$C,0))),"",INDEX('Policy Characteristics'!G:G,MATCH($C636,'Policy Characteristics'!$C:$C,0)))</f>
        <v>1</v>
      </c>
      <c r="N636" s="398">
        <f>IF(ISBLANK(INDEX('Policy Characteristics'!H:H,MATCH($C636,'Policy Characteristics'!$C:$C,0))),"",INDEX('Policy Characteristics'!H:H,MATCH($C636,'Policy Characteristics'!$C:$C,0)))</f>
        <v>0.01</v>
      </c>
      <c r="O636" s="394" t="str">
        <f>IF(ISBLANK(INDEX('Policy Characteristics'!I:I,MATCH($C636,'Policy Characteristics'!$C:$C,0))),"",INDEX('Policy Characteristics'!I:I,MATCH($C636,'Policy Characteristics'!$C:$C,0)))</f>
        <v>% of fuel shifted</v>
      </c>
      <c r="P636" s="394" t="str">
        <f>IF(ISBLANK(INDEX('Policy Characteristics'!J:J,MATCH($C636,'Policy Characteristics'!$C:$C,0))),"",INDEX('Policy Characteristics'!J:J,MATCH($C636,'Policy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6" s="394" t="str">
        <f>IF(ISBLANK(INDEX('Policy Characteristics'!K:K,MATCH($C636,'Policy Characteristics'!$C:$C,0))),"",INDEX('Policy Characteristics'!K:K,MATCH($C636,'Policy Characteristics'!$C:$C,0)))</f>
        <v>industry-ag-main.html#fuel-switching</v>
      </c>
      <c r="R636" s="394" t="str">
        <f>IF(ISBLANK(INDEX('Policy Characteristics'!L:L,MATCH($C636,'Policy Characteristics'!$C:$C,0))),"",INDEX('Policy Characteristics'!L:L,MATCH($C636,'Policy Characteristics'!$C:$C,0)))</f>
        <v>industry-elec-and-hydrogen.html</v>
      </c>
    </row>
    <row r="637" customHeight="1" spans="1:18">
      <c r="A637" s="394" t="str">
        <f>IF(ISBLANK(INDEX('Policy Characteristics'!A:A,MATCH($C637,'Policy Characteristics'!$C:$C,0))),"",INDEX('Policy Characteristics'!A:A,MATCH($C637,'Policy Characteristics'!$C:$C,0)))</f>
        <v>Industry</v>
      </c>
      <c r="B637" s="395" t="str">
        <f>IF(ISBLANK(INDEX('Policy Characteristics'!B:B,MATCH($C637,'Policy Characteristics'!$C:$C,0))),"",INDEX('Policy Characteristics'!B:B,MATCH($C637,'Policy Characteristics'!$C:$C,0)))</f>
        <v>Electrification + Hydrogen (Med &amp; High Temp)</v>
      </c>
      <c r="C637" s="394" t="str">
        <f t="shared" si="34"/>
        <v>Fraction of Med and High Temp Industrial Heat Shifted to Other Fuels</v>
      </c>
      <c r="D637" s="399" t="s">
        <v>774</v>
      </c>
      <c r="E637" s="399" t="s">
        <v>794</v>
      </c>
      <c r="F637" t="s">
        <v>775</v>
      </c>
      <c r="G637" s="399" t="s">
        <v>795</v>
      </c>
      <c r="H637" s="377">
        <v>1389</v>
      </c>
      <c r="I637" s="396" t="s">
        <v>658</v>
      </c>
      <c r="J637" s="397" t="str">
        <f>IF(ISBLANK(INDEX('Policy Characteristics'!D:D,MATCH($C637,'Policy Characteristics'!$C:$C,0))),"",INDEX('Policy Characteristics'!D:D,MATCH($C637,'Policy Characteristics'!$C:$C,0)))</f>
        <v>Electrification + Hydrogen</v>
      </c>
      <c r="K637" s="394" t="str">
        <f>IF(ISBLANK(INDEX('Policy Characteristics'!E:E,MATCH($C637,'Policy Characteristics'!$C:$C,0))),"",INDEX('Policy Characteristics'!E:E,MATCH($C637,'Policy Characteristics'!$C:$C,0)))</f>
        <v>indst med and high temp fuel type shifting</v>
      </c>
      <c r="L637" s="398">
        <f>IF(ISBLANK(INDEX('Policy Characteristics'!F:F,MATCH($C637,'Policy Characteristics'!$C:$C,0))),"",INDEX('Policy Characteristics'!F:F,MATCH($C637,'Policy Characteristics'!$C:$C,0)))</f>
        <v>0</v>
      </c>
      <c r="M637" s="398">
        <f>IF(ISBLANK(INDEX('Policy Characteristics'!G:G,MATCH($C637,'Policy Characteristics'!$C:$C,0))),"",INDEX('Policy Characteristics'!G:G,MATCH($C637,'Policy Characteristics'!$C:$C,0)))</f>
        <v>1</v>
      </c>
      <c r="N637" s="398">
        <f>IF(ISBLANK(INDEX('Policy Characteristics'!H:H,MATCH($C637,'Policy Characteristics'!$C:$C,0))),"",INDEX('Policy Characteristics'!H:H,MATCH($C637,'Policy Characteristics'!$C:$C,0)))</f>
        <v>0.01</v>
      </c>
      <c r="O637" s="394" t="str">
        <f>IF(ISBLANK(INDEX('Policy Characteristics'!I:I,MATCH($C637,'Policy Characteristics'!$C:$C,0))),"",INDEX('Policy Characteristics'!I:I,MATCH($C637,'Policy Characteristics'!$C:$C,0)))</f>
        <v>% of fuel shifted</v>
      </c>
      <c r="P637" s="394" t="str">
        <f>IF(ISBLANK(INDEX('Policy Characteristics'!J:J,MATCH($C637,'Policy Characteristics'!$C:$C,0))),"",INDEX('Policy Characteristics'!J:J,MATCH($C637,'Policy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7" s="394" t="str">
        <f>IF(ISBLANK(INDEX('Policy Characteristics'!K:K,MATCH($C637,'Policy Characteristics'!$C:$C,0))),"",INDEX('Policy Characteristics'!K:K,MATCH($C637,'Policy Characteristics'!$C:$C,0)))</f>
        <v>industry-ag-main.html#fuel-switching</v>
      </c>
      <c r="R637" s="394" t="str">
        <f>IF(ISBLANK(INDEX('Policy Characteristics'!L:L,MATCH($C637,'Policy Characteristics'!$C:$C,0))),"",INDEX('Policy Characteristics'!L:L,MATCH($C637,'Policy Characteristics'!$C:$C,0)))</f>
        <v>industry-elec-and-hydrogen.html</v>
      </c>
    </row>
    <row r="638" customHeight="1" spans="1:18">
      <c r="A638" s="394" t="str">
        <f>IF(ISBLANK(INDEX('Policy Characteristics'!A:A,MATCH($C638,'Policy Characteristics'!$C:$C,0))),"",INDEX('Policy Characteristics'!A:A,MATCH($C638,'Policy Characteristics'!$C:$C,0)))</f>
        <v>Industry</v>
      </c>
      <c r="B638" s="395" t="str">
        <f>IF(ISBLANK(INDEX('Policy Characteristics'!B:B,MATCH($C638,'Policy Characteristics'!$C:$C,0))),"",INDEX('Policy Characteristics'!B:B,MATCH($C638,'Policy Characteristics'!$C:$C,0)))</f>
        <v>Electrification + Hydrogen (Med &amp; High Temp)</v>
      </c>
      <c r="C638" s="394" t="str">
        <f t="shared" si="34"/>
        <v>Fraction of Med and High Temp Industrial Heat Shifted to Other Fuels</v>
      </c>
      <c r="D638" s="399" t="s">
        <v>774</v>
      </c>
      <c r="E638" s="399" t="s">
        <v>796</v>
      </c>
      <c r="F638" t="s">
        <v>775</v>
      </c>
      <c r="G638" s="399" t="s">
        <v>797</v>
      </c>
      <c r="H638" s="377">
        <v>1390</v>
      </c>
      <c r="I638" s="396" t="s">
        <v>658</v>
      </c>
      <c r="J638" s="397" t="str">
        <f>IF(ISBLANK(INDEX('Policy Characteristics'!D:D,MATCH($C638,'Policy Characteristics'!$C:$C,0))),"",INDEX('Policy Characteristics'!D:D,MATCH($C638,'Policy Characteristics'!$C:$C,0)))</f>
        <v>Electrification + Hydrogen</v>
      </c>
      <c r="K638" s="394" t="str">
        <f>IF(ISBLANK(INDEX('Policy Characteristics'!E:E,MATCH($C638,'Policy Characteristics'!$C:$C,0))),"",INDEX('Policy Characteristics'!E:E,MATCH($C638,'Policy Characteristics'!$C:$C,0)))</f>
        <v>indst med and high temp fuel type shifting</v>
      </c>
      <c r="L638" s="398">
        <f>IF(ISBLANK(INDEX('Policy Characteristics'!F:F,MATCH($C638,'Policy Characteristics'!$C:$C,0))),"",INDEX('Policy Characteristics'!F:F,MATCH($C638,'Policy Characteristics'!$C:$C,0)))</f>
        <v>0</v>
      </c>
      <c r="M638" s="398">
        <f>IF(ISBLANK(INDEX('Policy Characteristics'!G:G,MATCH($C638,'Policy Characteristics'!$C:$C,0))),"",INDEX('Policy Characteristics'!G:G,MATCH($C638,'Policy Characteristics'!$C:$C,0)))</f>
        <v>1</v>
      </c>
      <c r="N638" s="398">
        <f>IF(ISBLANK(INDEX('Policy Characteristics'!H:H,MATCH($C638,'Policy Characteristics'!$C:$C,0))),"",INDEX('Policy Characteristics'!H:H,MATCH($C638,'Policy Characteristics'!$C:$C,0)))</f>
        <v>0.01</v>
      </c>
      <c r="O638" s="394" t="str">
        <f>IF(ISBLANK(INDEX('Policy Characteristics'!I:I,MATCH($C638,'Policy Characteristics'!$C:$C,0))),"",INDEX('Policy Characteristics'!I:I,MATCH($C638,'Policy Characteristics'!$C:$C,0)))</f>
        <v>% of fuel shifted</v>
      </c>
      <c r="P638" s="394" t="str">
        <f>IF(ISBLANK(INDEX('Policy Characteristics'!J:J,MATCH($C638,'Policy Characteristics'!$C:$C,0))),"",INDEX('Policy Characteristics'!J:J,MATCH($C638,'Policy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8" s="394" t="str">
        <f>IF(ISBLANK(INDEX('Policy Characteristics'!K:K,MATCH($C638,'Policy Characteristics'!$C:$C,0))),"",INDEX('Policy Characteristics'!K:K,MATCH($C638,'Policy Characteristics'!$C:$C,0)))</f>
        <v>industry-ag-main.html#fuel-switching</v>
      </c>
      <c r="R638" s="394" t="str">
        <f>IF(ISBLANK(INDEX('Policy Characteristics'!L:L,MATCH($C638,'Policy Characteristics'!$C:$C,0))),"",INDEX('Policy Characteristics'!L:L,MATCH($C638,'Policy Characteristics'!$C:$C,0)))</f>
        <v>industry-elec-and-hydrogen.html</v>
      </c>
    </row>
    <row r="639" customHeight="1" spans="1:18">
      <c r="A639" s="394" t="str">
        <f>IF(ISBLANK(INDEX('Policy Characteristics'!A:A,MATCH($C639,'Policy Characteristics'!$C:$C,0))),"",INDEX('Policy Characteristics'!A:A,MATCH($C639,'Policy Characteristics'!$C:$C,0)))</f>
        <v>Industry</v>
      </c>
      <c r="B639" s="395" t="str">
        <f>IF(ISBLANK(INDEX('Policy Characteristics'!B:B,MATCH($C639,'Policy Characteristics'!$C:$C,0))),"",INDEX('Policy Characteristics'!B:B,MATCH($C639,'Policy Characteristics'!$C:$C,0)))</f>
        <v>Electrification + Hydrogen (Med &amp; High Temp)</v>
      </c>
      <c r="C639" s="394" t="str">
        <f t="shared" si="34"/>
        <v>Fraction of Med and High Temp Industrial Heat Shifted to Other Fuels</v>
      </c>
      <c r="D639" s="399" t="s">
        <v>774</v>
      </c>
      <c r="E639" s="399" t="s">
        <v>798</v>
      </c>
      <c r="F639" t="s">
        <v>775</v>
      </c>
      <c r="G639" s="399" t="s">
        <v>799</v>
      </c>
      <c r="H639" s="377">
        <v>1391</v>
      </c>
      <c r="I639" s="396" t="s">
        <v>658</v>
      </c>
      <c r="J639" s="397" t="str">
        <f>IF(ISBLANK(INDEX('Policy Characteristics'!D:D,MATCH($C639,'Policy Characteristics'!$C:$C,0))),"",INDEX('Policy Characteristics'!D:D,MATCH($C639,'Policy Characteristics'!$C:$C,0)))</f>
        <v>Electrification + Hydrogen</v>
      </c>
      <c r="K639" s="394" t="str">
        <f>IF(ISBLANK(INDEX('Policy Characteristics'!E:E,MATCH($C639,'Policy Characteristics'!$C:$C,0))),"",INDEX('Policy Characteristics'!E:E,MATCH($C639,'Policy Characteristics'!$C:$C,0)))</f>
        <v>indst med and high temp fuel type shifting</v>
      </c>
      <c r="L639" s="398">
        <f>IF(ISBLANK(INDEX('Policy Characteristics'!F:F,MATCH($C639,'Policy Characteristics'!$C:$C,0))),"",INDEX('Policy Characteristics'!F:F,MATCH($C639,'Policy Characteristics'!$C:$C,0)))</f>
        <v>0</v>
      </c>
      <c r="M639" s="398">
        <f>IF(ISBLANK(INDEX('Policy Characteristics'!G:G,MATCH($C639,'Policy Characteristics'!$C:$C,0))),"",INDEX('Policy Characteristics'!G:G,MATCH($C639,'Policy Characteristics'!$C:$C,0)))</f>
        <v>1</v>
      </c>
      <c r="N639" s="398">
        <f>IF(ISBLANK(INDEX('Policy Characteristics'!H:H,MATCH($C639,'Policy Characteristics'!$C:$C,0))),"",INDEX('Policy Characteristics'!H:H,MATCH($C639,'Policy Characteristics'!$C:$C,0)))</f>
        <v>0.01</v>
      </c>
      <c r="O639" s="394" t="str">
        <f>IF(ISBLANK(INDEX('Policy Characteristics'!I:I,MATCH($C639,'Policy Characteristics'!$C:$C,0))),"",INDEX('Policy Characteristics'!I:I,MATCH($C639,'Policy Characteristics'!$C:$C,0)))</f>
        <v>% of fuel shifted</v>
      </c>
      <c r="P639" s="394" t="str">
        <f>IF(ISBLANK(INDEX('Policy Characteristics'!J:J,MATCH($C639,'Policy Characteristics'!$C:$C,0))),"",INDEX('Policy Characteristics'!J:J,MATCH($C639,'Policy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9" s="394" t="str">
        <f>IF(ISBLANK(INDEX('Policy Characteristics'!K:K,MATCH($C639,'Policy Characteristics'!$C:$C,0))),"",INDEX('Policy Characteristics'!K:K,MATCH($C639,'Policy Characteristics'!$C:$C,0)))</f>
        <v>industry-ag-main.html#fuel-switching</v>
      </c>
      <c r="R639" s="394" t="str">
        <f>IF(ISBLANK(INDEX('Policy Characteristics'!L:L,MATCH($C639,'Policy Characteristics'!$C:$C,0))),"",INDEX('Policy Characteristics'!L:L,MATCH($C639,'Policy Characteristics'!$C:$C,0)))</f>
        <v>industry-elec-and-hydrogen.html</v>
      </c>
    </row>
    <row r="640" customHeight="1" spans="1:18">
      <c r="A640" s="394" t="str">
        <f>IF(ISBLANK(INDEX('Policy Characteristics'!A:A,MATCH($C640,'Policy Characteristics'!$C:$C,0))),"",INDEX('Policy Characteristics'!A:A,MATCH($C640,'Policy Characteristics'!$C:$C,0)))</f>
        <v>Industry</v>
      </c>
      <c r="B640" s="395" t="str">
        <f>IF(ISBLANK(INDEX('Policy Characteristics'!B:B,MATCH($C640,'Policy Characteristics'!$C:$C,0))),"",INDEX('Policy Characteristics'!B:B,MATCH($C640,'Policy Characteristics'!$C:$C,0)))</f>
        <v>Electrification + Hydrogen (Med &amp; High Temp)</v>
      </c>
      <c r="C640" s="394" t="str">
        <f t="shared" si="34"/>
        <v>Fraction of Med and High Temp Industrial Heat Shifted to Other Fuels</v>
      </c>
      <c r="D640" s="399" t="s">
        <v>774</v>
      </c>
      <c r="E640" s="399" t="s">
        <v>800</v>
      </c>
      <c r="F640" t="s">
        <v>775</v>
      </c>
      <c r="G640" s="399" t="s">
        <v>801</v>
      </c>
      <c r="H640" s="377">
        <v>1392</v>
      </c>
      <c r="I640" s="396" t="s">
        <v>658</v>
      </c>
      <c r="J640" s="397" t="str">
        <f>IF(ISBLANK(INDEX('Policy Characteristics'!D:D,MATCH($C640,'Policy Characteristics'!$C:$C,0))),"",INDEX('Policy Characteristics'!D:D,MATCH($C640,'Policy Characteristics'!$C:$C,0)))</f>
        <v>Electrification + Hydrogen</v>
      </c>
      <c r="K640" s="394" t="str">
        <f>IF(ISBLANK(INDEX('Policy Characteristics'!E:E,MATCH($C640,'Policy Characteristics'!$C:$C,0))),"",INDEX('Policy Characteristics'!E:E,MATCH($C640,'Policy Characteristics'!$C:$C,0)))</f>
        <v>indst med and high temp fuel type shifting</v>
      </c>
      <c r="L640" s="398">
        <f>IF(ISBLANK(INDEX('Policy Characteristics'!F:F,MATCH($C640,'Policy Characteristics'!$C:$C,0))),"",INDEX('Policy Characteristics'!F:F,MATCH($C640,'Policy Characteristics'!$C:$C,0)))</f>
        <v>0</v>
      </c>
      <c r="M640" s="398">
        <f>IF(ISBLANK(INDEX('Policy Characteristics'!G:G,MATCH($C640,'Policy Characteristics'!$C:$C,0))),"",INDEX('Policy Characteristics'!G:G,MATCH($C640,'Policy Characteristics'!$C:$C,0)))</f>
        <v>1</v>
      </c>
      <c r="N640" s="398">
        <f>IF(ISBLANK(INDEX('Policy Characteristics'!H:H,MATCH($C640,'Policy Characteristics'!$C:$C,0))),"",INDEX('Policy Characteristics'!H:H,MATCH($C640,'Policy Characteristics'!$C:$C,0)))</f>
        <v>0.01</v>
      </c>
      <c r="O640" s="394" t="str">
        <f>IF(ISBLANK(INDEX('Policy Characteristics'!I:I,MATCH($C640,'Policy Characteristics'!$C:$C,0))),"",INDEX('Policy Characteristics'!I:I,MATCH($C640,'Policy Characteristics'!$C:$C,0)))</f>
        <v>% of fuel shifted</v>
      </c>
      <c r="P640" s="394" t="str">
        <f>IF(ISBLANK(INDEX('Policy Characteristics'!J:J,MATCH($C640,'Policy Characteristics'!$C:$C,0))),"",INDEX('Policy Characteristics'!J:J,MATCH($C640,'Policy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0" s="394" t="str">
        <f>IF(ISBLANK(INDEX('Policy Characteristics'!K:K,MATCH($C640,'Policy Characteristics'!$C:$C,0))),"",INDEX('Policy Characteristics'!K:K,MATCH($C640,'Policy Characteristics'!$C:$C,0)))</f>
        <v>industry-ag-main.html#fuel-switching</v>
      </c>
      <c r="R640" s="394" t="str">
        <f>IF(ISBLANK(INDEX('Policy Characteristics'!L:L,MATCH($C640,'Policy Characteristics'!$C:$C,0))),"",INDEX('Policy Characteristics'!L:L,MATCH($C640,'Policy Characteristics'!$C:$C,0)))</f>
        <v>industry-elec-and-hydrogen.html</v>
      </c>
    </row>
    <row r="641" customHeight="1" spans="1:18">
      <c r="A641" s="394" t="str">
        <f>IF(ISBLANK(INDEX('Policy Characteristics'!A:A,MATCH($C641,'Policy Characteristics'!$C:$C,0))),"",INDEX('Policy Characteristics'!A:A,MATCH($C641,'Policy Characteristics'!$C:$C,0)))</f>
        <v>Industry</v>
      </c>
      <c r="B641" s="395" t="str">
        <f>IF(ISBLANK(INDEX('Policy Characteristics'!B:B,MATCH($C641,'Policy Characteristics'!$C:$C,0))),"",INDEX('Policy Characteristics'!B:B,MATCH($C641,'Policy Characteristics'!$C:$C,0)))</f>
        <v>Electrification + Hydrogen (Med &amp; High Temp)</v>
      </c>
      <c r="C641" s="394" t="str">
        <f t="shared" si="34"/>
        <v>Fraction of Med and High Temp Industrial Heat Shifted to Other Fuels</v>
      </c>
      <c r="D641" s="399" t="s">
        <v>774</v>
      </c>
      <c r="E641" s="399" t="s">
        <v>802</v>
      </c>
      <c r="F641" t="s">
        <v>775</v>
      </c>
      <c r="G641" s="399" t="s">
        <v>803</v>
      </c>
      <c r="H641" s="377">
        <v>1393</v>
      </c>
      <c r="I641" s="396" t="s">
        <v>658</v>
      </c>
      <c r="J641" s="397" t="str">
        <f>IF(ISBLANK(INDEX('Policy Characteristics'!D:D,MATCH($C641,'Policy Characteristics'!$C:$C,0))),"",INDEX('Policy Characteristics'!D:D,MATCH($C641,'Policy Characteristics'!$C:$C,0)))</f>
        <v>Electrification + Hydrogen</v>
      </c>
      <c r="K641" s="394" t="str">
        <f>IF(ISBLANK(INDEX('Policy Characteristics'!E:E,MATCH($C641,'Policy Characteristics'!$C:$C,0))),"",INDEX('Policy Characteristics'!E:E,MATCH($C641,'Policy Characteristics'!$C:$C,0)))</f>
        <v>indst med and high temp fuel type shifting</v>
      </c>
      <c r="L641" s="398">
        <f>IF(ISBLANK(INDEX('Policy Characteristics'!F:F,MATCH($C641,'Policy Characteristics'!$C:$C,0))),"",INDEX('Policy Characteristics'!F:F,MATCH($C641,'Policy Characteristics'!$C:$C,0)))</f>
        <v>0</v>
      </c>
      <c r="M641" s="398">
        <f>IF(ISBLANK(INDEX('Policy Characteristics'!G:G,MATCH($C641,'Policy Characteristics'!$C:$C,0))),"",INDEX('Policy Characteristics'!G:G,MATCH($C641,'Policy Characteristics'!$C:$C,0)))</f>
        <v>1</v>
      </c>
      <c r="N641" s="398">
        <f>IF(ISBLANK(INDEX('Policy Characteristics'!H:H,MATCH($C641,'Policy Characteristics'!$C:$C,0))),"",INDEX('Policy Characteristics'!H:H,MATCH($C641,'Policy Characteristics'!$C:$C,0)))</f>
        <v>0.01</v>
      </c>
      <c r="O641" s="394" t="str">
        <f>IF(ISBLANK(INDEX('Policy Characteristics'!I:I,MATCH($C641,'Policy Characteristics'!$C:$C,0))),"",INDEX('Policy Characteristics'!I:I,MATCH($C641,'Policy Characteristics'!$C:$C,0)))</f>
        <v>% of fuel shifted</v>
      </c>
      <c r="P641" s="394" t="str">
        <f>IF(ISBLANK(INDEX('Policy Characteristics'!J:J,MATCH($C641,'Policy Characteristics'!$C:$C,0))),"",INDEX('Policy Characteristics'!J:J,MATCH($C641,'Policy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1" s="394" t="str">
        <f>IF(ISBLANK(INDEX('Policy Characteristics'!K:K,MATCH($C641,'Policy Characteristics'!$C:$C,0))),"",INDEX('Policy Characteristics'!K:K,MATCH($C641,'Policy Characteristics'!$C:$C,0)))</f>
        <v>industry-ag-main.html#fuel-switching</v>
      </c>
      <c r="R641" s="394" t="str">
        <f>IF(ISBLANK(INDEX('Policy Characteristics'!L:L,MATCH($C641,'Policy Characteristics'!$C:$C,0))),"",INDEX('Policy Characteristics'!L:L,MATCH($C641,'Policy Characteristics'!$C:$C,0)))</f>
        <v>industry-elec-and-hydrogen.html</v>
      </c>
    </row>
    <row r="642" customHeight="1" spans="1:18">
      <c r="A642" s="394" t="str">
        <f>IF(ISBLANK(INDEX('Policy Characteristics'!A:A,MATCH($C642,'Policy Characteristics'!$C:$C,0))),"",INDEX('Policy Characteristics'!A:A,MATCH($C642,'Policy Characteristics'!$C:$C,0)))</f>
        <v>Industry</v>
      </c>
      <c r="B642" s="395" t="str">
        <f>IF(ISBLANK(INDEX('Policy Characteristics'!B:B,MATCH($C642,'Policy Characteristics'!$C:$C,0))),"",INDEX('Policy Characteristics'!B:B,MATCH($C642,'Policy Characteristics'!$C:$C,0)))</f>
        <v>Electrification + Hydrogen (Med &amp; High Temp)</v>
      </c>
      <c r="C642" s="394" t="str">
        <f t="shared" si="34"/>
        <v>Fraction of Med and High Temp Industrial Heat Shifted to Other Fuels</v>
      </c>
      <c r="D642" s="399" t="s">
        <v>774</v>
      </c>
      <c r="E642" s="399" t="s">
        <v>804</v>
      </c>
      <c r="F642" t="s">
        <v>775</v>
      </c>
      <c r="G642" s="399" t="s">
        <v>805</v>
      </c>
      <c r="H642" s="377">
        <v>1394</v>
      </c>
      <c r="I642" s="396" t="s">
        <v>658</v>
      </c>
      <c r="J642" s="397" t="str">
        <f>IF(ISBLANK(INDEX('Policy Characteristics'!D:D,MATCH($C642,'Policy Characteristics'!$C:$C,0))),"",INDEX('Policy Characteristics'!D:D,MATCH($C642,'Policy Characteristics'!$C:$C,0)))</f>
        <v>Electrification + Hydrogen</v>
      </c>
      <c r="K642" s="394" t="str">
        <f>IF(ISBLANK(INDEX('Policy Characteristics'!E:E,MATCH($C642,'Policy Characteristics'!$C:$C,0))),"",INDEX('Policy Characteristics'!E:E,MATCH($C642,'Policy Characteristics'!$C:$C,0)))</f>
        <v>indst med and high temp fuel type shifting</v>
      </c>
      <c r="L642" s="398">
        <f>IF(ISBLANK(INDEX('Policy Characteristics'!F:F,MATCH($C642,'Policy Characteristics'!$C:$C,0))),"",INDEX('Policy Characteristics'!F:F,MATCH($C642,'Policy Characteristics'!$C:$C,0)))</f>
        <v>0</v>
      </c>
      <c r="M642" s="398">
        <f>IF(ISBLANK(INDEX('Policy Characteristics'!G:G,MATCH($C642,'Policy Characteristics'!$C:$C,0))),"",INDEX('Policy Characteristics'!G:G,MATCH($C642,'Policy Characteristics'!$C:$C,0)))</f>
        <v>1</v>
      </c>
      <c r="N642" s="398">
        <f>IF(ISBLANK(INDEX('Policy Characteristics'!H:H,MATCH($C642,'Policy Characteristics'!$C:$C,0))),"",INDEX('Policy Characteristics'!H:H,MATCH($C642,'Policy Characteristics'!$C:$C,0)))</f>
        <v>0.01</v>
      </c>
      <c r="O642" s="394" t="str">
        <f>IF(ISBLANK(INDEX('Policy Characteristics'!I:I,MATCH($C642,'Policy Characteristics'!$C:$C,0))),"",INDEX('Policy Characteristics'!I:I,MATCH($C642,'Policy Characteristics'!$C:$C,0)))</f>
        <v>% of fuel shifted</v>
      </c>
      <c r="P642" s="394" t="str">
        <f>IF(ISBLANK(INDEX('Policy Characteristics'!J:J,MATCH($C642,'Policy Characteristics'!$C:$C,0))),"",INDEX('Policy Characteristics'!J:J,MATCH($C642,'Policy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2" s="394" t="str">
        <f>IF(ISBLANK(INDEX('Policy Characteristics'!K:K,MATCH($C642,'Policy Characteristics'!$C:$C,0))),"",INDEX('Policy Characteristics'!K:K,MATCH($C642,'Policy Characteristics'!$C:$C,0)))</f>
        <v>industry-ag-main.html#fuel-switching</v>
      </c>
      <c r="R642" s="394" t="str">
        <f>IF(ISBLANK(INDEX('Policy Characteristics'!L:L,MATCH($C642,'Policy Characteristics'!$C:$C,0))),"",INDEX('Policy Characteristics'!L:L,MATCH($C642,'Policy Characteristics'!$C:$C,0)))</f>
        <v>industry-elec-and-hydrogen.html</v>
      </c>
    </row>
    <row r="643" customHeight="1" spans="1:18">
      <c r="A643" s="394" t="str">
        <f>IF(ISBLANK(INDEX('Policy Characteristics'!A:A,MATCH($C643,'Policy Characteristics'!$C:$C,0))),"",INDEX('Policy Characteristics'!A:A,MATCH($C643,'Policy Characteristics'!$C:$C,0)))</f>
        <v>Industry</v>
      </c>
      <c r="B643" s="395" t="str">
        <f>IF(ISBLANK(INDEX('Policy Characteristics'!B:B,MATCH($C643,'Policy Characteristics'!$C:$C,0))),"",INDEX('Policy Characteristics'!B:B,MATCH($C643,'Policy Characteristics'!$C:$C,0)))</f>
        <v>Electrification + Hydrogen (Med &amp; High Temp)</v>
      </c>
      <c r="C643" s="394" t="str">
        <f t="shared" si="34"/>
        <v>Fraction of Med and High Temp Industrial Heat Shifted to Other Fuels</v>
      </c>
      <c r="D643" s="399" t="s">
        <v>774</v>
      </c>
      <c r="E643" s="399" t="s">
        <v>806</v>
      </c>
      <c r="F643" t="s">
        <v>775</v>
      </c>
      <c r="G643" s="399" t="s">
        <v>807</v>
      </c>
      <c r="H643" s="377">
        <v>1395</v>
      </c>
      <c r="I643" s="396" t="s">
        <v>658</v>
      </c>
      <c r="J643" s="397" t="str">
        <f>IF(ISBLANK(INDEX('Policy Characteristics'!D:D,MATCH($C643,'Policy Characteristics'!$C:$C,0))),"",INDEX('Policy Characteristics'!D:D,MATCH($C643,'Policy Characteristics'!$C:$C,0)))</f>
        <v>Electrification + Hydrogen</v>
      </c>
      <c r="K643" s="394" t="str">
        <f>IF(ISBLANK(INDEX('Policy Characteristics'!E:E,MATCH($C643,'Policy Characteristics'!$C:$C,0))),"",INDEX('Policy Characteristics'!E:E,MATCH($C643,'Policy Characteristics'!$C:$C,0)))</f>
        <v>indst med and high temp fuel type shifting</v>
      </c>
      <c r="L643" s="398">
        <f>IF(ISBLANK(INDEX('Policy Characteristics'!F:F,MATCH($C643,'Policy Characteristics'!$C:$C,0))),"",INDEX('Policy Characteristics'!F:F,MATCH($C643,'Policy Characteristics'!$C:$C,0)))</f>
        <v>0</v>
      </c>
      <c r="M643" s="398">
        <f>IF(ISBLANK(INDEX('Policy Characteristics'!G:G,MATCH($C643,'Policy Characteristics'!$C:$C,0))),"",INDEX('Policy Characteristics'!G:G,MATCH($C643,'Policy Characteristics'!$C:$C,0)))</f>
        <v>1</v>
      </c>
      <c r="N643" s="398">
        <f>IF(ISBLANK(INDEX('Policy Characteristics'!H:H,MATCH($C643,'Policy Characteristics'!$C:$C,0))),"",INDEX('Policy Characteristics'!H:H,MATCH($C643,'Policy Characteristics'!$C:$C,0)))</f>
        <v>0.01</v>
      </c>
      <c r="O643" s="394" t="str">
        <f>IF(ISBLANK(INDEX('Policy Characteristics'!I:I,MATCH($C643,'Policy Characteristics'!$C:$C,0))),"",INDEX('Policy Characteristics'!I:I,MATCH($C643,'Policy Characteristics'!$C:$C,0)))</f>
        <v>% of fuel shifted</v>
      </c>
      <c r="P643" s="394" t="str">
        <f>IF(ISBLANK(INDEX('Policy Characteristics'!J:J,MATCH($C643,'Policy Characteristics'!$C:$C,0))),"",INDEX('Policy Characteristics'!J:J,MATCH($C643,'Policy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3" s="394" t="str">
        <f>IF(ISBLANK(INDEX('Policy Characteristics'!K:K,MATCH($C643,'Policy Characteristics'!$C:$C,0))),"",INDEX('Policy Characteristics'!K:K,MATCH($C643,'Policy Characteristics'!$C:$C,0)))</f>
        <v>industry-ag-main.html#fuel-switching</v>
      </c>
      <c r="R643" s="394" t="str">
        <f>IF(ISBLANK(INDEX('Policy Characteristics'!L:L,MATCH($C643,'Policy Characteristics'!$C:$C,0))),"",INDEX('Policy Characteristics'!L:L,MATCH($C643,'Policy Characteristics'!$C:$C,0)))</f>
        <v>industry-elec-and-hydrogen.html</v>
      </c>
    </row>
    <row r="644" customHeight="1" spans="1:18">
      <c r="A644" s="394" t="str">
        <f>IF(ISBLANK(INDEX('Policy Characteristics'!A:A,MATCH($C644,'Policy Characteristics'!$C:$C,0))),"",INDEX('Policy Characteristics'!A:A,MATCH($C644,'Policy Characteristics'!$C:$C,0)))</f>
        <v>Industry</v>
      </c>
      <c r="B644" s="395" t="str">
        <f>IF(ISBLANK(INDEX('Policy Characteristics'!B:B,MATCH($C644,'Policy Characteristics'!$C:$C,0))),"",INDEX('Policy Characteristics'!B:B,MATCH($C644,'Policy Characteristics'!$C:$C,0)))</f>
        <v>Electrification + Hydrogen (Med &amp; High Temp)</v>
      </c>
      <c r="C644" s="394" t="str">
        <f t="shared" si="34"/>
        <v>Fraction of Med and High Temp Industrial Heat Shifted to Other Fuels</v>
      </c>
      <c r="D644" s="399" t="s">
        <v>774</v>
      </c>
      <c r="E644" s="399" t="s">
        <v>808</v>
      </c>
      <c r="F644" t="s">
        <v>775</v>
      </c>
      <c r="G644" s="399" t="s">
        <v>809</v>
      </c>
      <c r="H644" s="377">
        <v>1396</v>
      </c>
      <c r="I644" s="396" t="s">
        <v>658</v>
      </c>
      <c r="J644" s="397" t="str">
        <f>IF(ISBLANK(INDEX('Policy Characteristics'!D:D,MATCH($C644,'Policy Characteristics'!$C:$C,0))),"",INDEX('Policy Characteristics'!D:D,MATCH($C644,'Policy Characteristics'!$C:$C,0)))</f>
        <v>Electrification + Hydrogen</v>
      </c>
      <c r="K644" s="394" t="str">
        <f>IF(ISBLANK(INDEX('Policy Characteristics'!E:E,MATCH($C644,'Policy Characteristics'!$C:$C,0))),"",INDEX('Policy Characteristics'!E:E,MATCH($C644,'Policy Characteristics'!$C:$C,0)))</f>
        <v>indst med and high temp fuel type shifting</v>
      </c>
      <c r="L644" s="398">
        <f>IF(ISBLANK(INDEX('Policy Characteristics'!F:F,MATCH($C644,'Policy Characteristics'!$C:$C,0))),"",INDEX('Policy Characteristics'!F:F,MATCH($C644,'Policy Characteristics'!$C:$C,0)))</f>
        <v>0</v>
      </c>
      <c r="M644" s="398">
        <f>IF(ISBLANK(INDEX('Policy Characteristics'!G:G,MATCH($C644,'Policy Characteristics'!$C:$C,0))),"",INDEX('Policy Characteristics'!G:G,MATCH($C644,'Policy Characteristics'!$C:$C,0)))</f>
        <v>1</v>
      </c>
      <c r="N644" s="398">
        <f>IF(ISBLANK(INDEX('Policy Characteristics'!H:H,MATCH($C644,'Policy Characteristics'!$C:$C,0))),"",INDEX('Policy Characteristics'!H:H,MATCH($C644,'Policy Characteristics'!$C:$C,0)))</f>
        <v>0.01</v>
      </c>
      <c r="O644" s="394" t="str">
        <f>IF(ISBLANK(INDEX('Policy Characteristics'!I:I,MATCH($C644,'Policy Characteristics'!$C:$C,0))),"",INDEX('Policy Characteristics'!I:I,MATCH($C644,'Policy Characteristics'!$C:$C,0)))</f>
        <v>% of fuel shifted</v>
      </c>
      <c r="P644" s="394" t="str">
        <f>IF(ISBLANK(INDEX('Policy Characteristics'!J:J,MATCH($C644,'Policy Characteristics'!$C:$C,0))),"",INDEX('Policy Characteristics'!J:J,MATCH($C644,'Policy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4" s="394" t="str">
        <f>IF(ISBLANK(INDEX('Policy Characteristics'!K:K,MATCH($C644,'Policy Characteristics'!$C:$C,0))),"",INDEX('Policy Characteristics'!K:K,MATCH($C644,'Policy Characteristics'!$C:$C,0)))</f>
        <v>industry-ag-main.html#fuel-switching</v>
      </c>
      <c r="R644" s="394" t="str">
        <f>IF(ISBLANK(INDEX('Policy Characteristics'!L:L,MATCH($C644,'Policy Characteristics'!$C:$C,0))),"",INDEX('Policy Characteristics'!L:L,MATCH($C644,'Policy Characteristics'!$C:$C,0)))</f>
        <v>industry-elec-and-hydrogen.html</v>
      </c>
    </row>
    <row r="645" customHeight="1" spans="1:18">
      <c r="A645" s="394" t="str">
        <f>IF(ISBLANK(INDEX('Policy Characteristics'!A:A,MATCH($C645,'Policy Characteristics'!$C:$C,0))),"",INDEX('Policy Characteristics'!A:A,MATCH($C645,'Policy Characteristics'!$C:$C,0)))</f>
        <v>Industry</v>
      </c>
      <c r="B645" s="395" t="str">
        <f>IF(ISBLANK(INDEX('Policy Characteristics'!B:B,MATCH($C645,'Policy Characteristics'!$C:$C,0))),"",INDEX('Policy Characteristics'!B:B,MATCH($C645,'Policy Characteristics'!$C:$C,0)))</f>
        <v>Electrification + Hydrogen (Med &amp; High Temp)</v>
      </c>
      <c r="C645" s="394" t="str">
        <f t="shared" si="34"/>
        <v>Fraction of Med and High Temp Industrial Heat Shifted to Other Fuels</v>
      </c>
      <c r="D645" s="399" t="s">
        <v>774</v>
      </c>
      <c r="E645" s="399" t="s">
        <v>810</v>
      </c>
      <c r="F645" t="s">
        <v>775</v>
      </c>
      <c r="G645" s="399" t="s">
        <v>811</v>
      </c>
      <c r="H645" s="377">
        <v>1397</v>
      </c>
      <c r="I645" s="396" t="s">
        <v>648</v>
      </c>
      <c r="J645" s="397" t="str">
        <f>IF(ISBLANK(INDEX('Policy Characteristics'!D:D,MATCH($C645,'Policy Characteristics'!$C:$C,0))),"",INDEX('Policy Characteristics'!D:D,MATCH($C645,'Policy Characteristics'!$C:$C,0)))</f>
        <v>Electrification + Hydrogen</v>
      </c>
      <c r="K645" s="394" t="str">
        <f>IF(ISBLANK(INDEX('Policy Characteristics'!E:E,MATCH($C645,'Policy Characteristics'!$C:$C,0))),"",INDEX('Policy Characteristics'!E:E,MATCH($C645,'Policy Characteristics'!$C:$C,0)))</f>
        <v>indst med and high temp fuel type shifting</v>
      </c>
      <c r="L645" s="398">
        <f>IF(ISBLANK(INDEX('Policy Characteristics'!F:F,MATCH($C645,'Policy Characteristics'!$C:$C,0))),"",INDEX('Policy Characteristics'!F:F,MATCH($C645,'Policy Characteristics'!$C:$C,0)))</f>
        <v>0</v>
      </c>
      <c r="M645" s="398">
        <f>IF(ISBLANK(INDEX('Policy Characteristics'!G:G,MATCH($C645,'Policy Characteristics'!$C:$C,0))),"",INDEX('Policy Characteristics'!G:G,MATCH($C645,'Policy Characteristics'!$C:$C,0)))</f>
        <v>1</v>
      </c>
      <c r="N645" s="398">
        <f>IF(ISBLANK(INDEX('Policy Characteristics'!H:H,MATCH($C645,'Policy Characteristics'!$C:$C,0))),"",INDEX('Policy Characteristics'!H:H,MATCH($C645,'Policy Characteristics'!$C:$C,0)))</f>
        <v>0.01</v>
      </c>
      <c r="O645" s="394" t="str">
        <f>IF(ISBLANK(INDEX('Policy Characteristics'!I:I,MATCH($C645,'Policy Characteristics'!$C:$C,0))),"",INDEX('Policy Characteristics'!I:I,MATCH($C645,'Policy Characteristics'!$C:$C,0)))</f>
        <v>% of fuel shifted</v>
      </c>
      <c r="P645" s="394" t="str">
        <f>IF(ISBLANK(INDEX('Policy Characteristics'!J:J,MATCH($C645,'Policy Characteristics'!$C:$C,0))),"",INDEX('Policy Characteristics'!J:J,MATCH($C645,'Policy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5" s="394" t="str">
        <f>IF(ISBLANK(INDEX('Policy Characteristics'!K:K,MATCH($C645,'Policy Characteristics'!$C:$C,0))),"",INDEX('Policy Characteristics'!K:K,MATCH($C645,'Policy Characteristics'!$C:$C,0)))</f>
        <v>industry-ag-main.html#fuel-switching</v>
      </c>
      <c r="R645" s="394" t="str">
        <f>IF(ISBLANK(INDEX('Policy Characteristics'!L:L,MATCH($C645,'Policy Characteristics'!$C:$C,0))),"",INDEX('Policy Characteristics'!L:L,MATCH($C645,'Policy Characteristics'!$C:$C,0)))</f>
        <v>industry-elec-and-hydrogen.html</v>
      </c>
    </row>
    <row r="646" customHeight="1" spans="1:18">
      <c r="A646" s="394" t="str">
        <f>IF(ISBLANK(INDEX('Policy Characteristics'!A:A,MATCH($C646,'Policy Characteristics'!$C:$C,0))),"",INDEX('Policy Characteristics'!A:A,MATCH($C646,'Policy Characteristics'!$C:$C,0)))</f>
        <v>Industry</v>
      </c>
      <c r="B646" s="395" t="str">
        <f>IF(ISBLANK(INDEX('Policy Characteristics'!B:B,MATCH($C646,'Policy Characteristics'!$C:$C,0))),"",INDEX('Policy Characteristics'!B:B,MATCH($C646,'Policy Characteristics'!$C:$C,0)))</f>
        <v>Electrification + Hydrogen (Med &amp; High Temp)</v>
      </c>
      <c r="C646" s="394" t="str">
        <f t="shared" si="34"/>
        <v>Fraction of Med and High Temp Industrial Heat Shifted to Other Fuels</v>
      </c>
      <c r="D646" s="399" t="s">
        <v>776</v>
      </c>
      <c r="E646" s="399" t="s">
        <v>792</v>
      </c>
      <c r="F646" t="s">
        <v>777</v>
      </c>
      <c r="G646" s="399" t="s">
        <v>793</v>
      </c>
      <c r="H646" s="377">
        <v>1398</v>
      </c>
      <c r="I646" s="396" t="s">
        <v>648</v>
      </c>
      <c r="J646" s="397" t="str">
        <f>IF(ISBLANK(INDEX('Policy Characteristics'!D:D,MATCH($C646,'Policy Characteristics'!$C:$C,0))),"",INDEX('Policy Characteristics'!D:D,MATCH($C646,'Policy Characteristics'!$C:$C,0)))</f>
        <v>Electrification + Hydrogen</v>
      </c>
      <c r="K646" s="394" t="str">
        <f>IF(ISBLANK(INDEX('Policy Characteristics'!E:E,MATCH($C646,'Policy Characteristics'!$C:$C,0))),"",INDEX('Policy Characteristics'!E:E,MATCH($C646,'Policy Characteristics'!$C:$C,0)))</f>
        <v>indst med and high temp fuel type shifting</v>
      </c>
      <c r="L646" s="398">
        <f>IF(ISBLANK(INDEX('Policy Characteristics'!F:F,MATCH($C646,'Policy Characteristics'!$C:$C,0))),"",INDEX('Policy Characteristics'!F:F,MATCH($C646,'Policy Characteristics'!$C:$C,0)))</f>
        <v>0</v>
      </c>
      <c r="M646" s="398">
        <f>IF(ISBLANK(INDEX('Policy Characteristics'!G:G,MATCH($C646,'Policy Characteristics'!$C:$C,0))),"",INDEX('Policy Characteristics'!G:G,MATCH($C646,'Policy Characteristics'!$C:$C,0)))</f>
        <v>1</v>
      </c>
      <c r="N646" s="398">
        <f>IF(ISBLANK(INDEX('Policy Characteristics'!H:H,MATCH($C646,'Policy Characteristics'!$C:$C,0))),"",INDEX('Policy Characteristics'!H:H,MATCH($C646,'Policy Characteristics'!$C:$C,0)))</f>
        <v>0.01</v>
      </c>
      <c r="O646" s="394" t="str">
        <f>IF(ISBLANK(INDEX('Policy Characteristics'!I:I,MATCH($C646,'Policy Characteristics'!$C:$C,0))),"",INDEX('Policy Characteristics'!I:I,MATCH($C646,'Policy Characteristics'!$C:$C,0)))</f>
        <v>% of fuel shifted</v>
      </c>
      <c r="P646" s="394" t="str">
        <f>IF(ISBLANK(INDEX('Policy Characteristics'!J:J,MATCH($C646,'Policy Characteristics'!$C:$C,0))),"",INDEX('Policy Characteristics'!J:J,MATCH($C646,'Policy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6" s="394" t="str">
        <f>IF(ISBLANK(INDEX('Policy Characteristics'!K:K,MATCH($C646,'Policy Characteristics'!$C:$C,0))),"",INDEX('Policy Characteristics'!K:K,MATCH($C646,'Policy Characteristics'!$C:$C,0)))</f>
        <v>industry-ag-main.html#fuel-switching</v>
      </c>
      <c r="R646" s="394" t="str">
        <f>IF(ISBLANK(INDEX('Policy Characteristics'!L:L,MATCH($C646,'Policy Characteristics'!$C:$C,0))),"",INDEX('Policy Characteristics'!L:L,MATCH($C646,'Policy Characteristics'!$C:$C,0)))</f>
        <v>industry-elec-and-hydrogen.html</v>
      </c>
    </row>
    <row r="647" customHeight="1" spans="1:18">
      <c r="A647" s="394" t="str">
        <f>IF(ISBLANK(INDEX('Policy Characteristics'!A:A,MATCH($C647,'Policy Characteristics'!$C:$C,0))),"",INDEX('Policy Characteristics'!A:A,MATCH($C647,'Policy Characteristics'!$C:$C,0)))</f>
        <v>Industry</v>
      </c>
      <c r="B647" s="395" t="str">
        <f>IF(ISBLANK(INDEX('Policy Characteristics'!B:B,MATCH($C647,'Policy Characteristics'!$C:$C,0))),"",INDEX('Policy Characteristics'!B:B,MATCH($C647,'Policy Characteristics'!$C:$C,0)))</f>
        <v>Electrification + Hydrogen (Med &amp; High Temp)</v>
      </c>
      <c r="C647" s="394" t="str">
        <f t="shared" si="34"/>
        <v>Fraction of Med and High Temp Industrial Heat Shifted to Other Fuels</v>
      </c>
      <c r="D647" s="399" t="s">
        <v>776</v>
      </c>
      <c r="E647" s="399" t="s">
        <v>794</v>
      </c>
      <c r="F647" t="s">
        <v>777</v>
      </c>
      <c r="G647" s="399" t="s">
        <v>795</v>
      </c>
      <c r="H647" s="377">
        <v>1399</v>
      </c>
      <c r="I647" s="396" t="s">
        <v>658</v>
      </c>
      <c r="J647" s="397" t="str">
        <f>IF(ISBLANK(INDEX('Policy Characteristics'!D:D,MATCH($C647,'Policy Characteristics'!$C:$C,0))),"",INDEX('Policy Characteristics'!D:D,MATCH($C647,'Policy Characteristics'!$C:$C,0)))</f>
        <v>Electrification + Hydrogen</v>
      </c>
      <c r="K647" s="394" t="str">
        <f>IF(ISBLANK(INDEX('Policy Characteristics'!E:E,MATCH($C647,'Policy Characteristics'!$C:$C,0))),"",INDEX('Policy Characteristics'!E:E,MATCH($C647,'Policy Characteristics'!$C:$C,0)))</f>
        <v>indst med and high temp fuel type shifting</v>
      </c>
      <c r="L647" s="398">
        <f>IF(ISBLANK(INDEX('Policy Characteristics'!F:F,MATCH($C647,'Policy Characteristics'!$C:$C,0))),"",INDEX('Policy Characteristics'!F:F,MATCH($C647,'Policy Characteristics'!$C:$C,0)))</f>
        <v>0</v>
      </c>
      <c r="M647" s="398">
        <f>IF(ISBLANK(INDEX('Policy Characteristics'!G:G,MATCH($C647,'Policy Characteristics'!$C:$C,0))),"",INDEX('Policy Characteristics'!G:G,MATCH($C647,'Policy Characteristics'!$C:$C,0)))</f>
        <v>1</v>
      </c>
      <c r="N647" s="398">
        <f>IF(ISBLANK(INDEX('Policy Characteristics'!H:H,MATCH($C647,'Policy Characteristics'!$C:$C,0))),"",INDEX('Policy Characteristics'!H:H,MATCH($C647,'Policy Characteristics'!$C:$C,0)))</f>
        <v>0.01</v>
      </c>
      <c r="O647" s="394" t="str">
        <f>IF(ISBLANK(INDEX('Policy Characteristics'!I:I,MATCH($C647,'Policy Characteristics'!$C:$C,0))),"",INDEX('Policy Characteristics'!I:I,MATCH($C647,'Policy Characteristics'!$C:$C,0)))</f>
        <v>% of fuel shifted</v>
      </c>
      <c r="P647" s="394" t="str">
        <f>IF(ISBLANK(INDEX('Policy Characteristics'!J:J,MATCH($C647,'Policy Characteristics'!$C:$C,0))),"",INDEX('Policy Characteristics'!J:J,MATCH($C647,'Policy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7" s="394" t="str">
        <f>IF(ISBLANK(INDEX('Policy Characteristics'!K:K,MATCH($C647,'Policy Characteristics'!$C:$C,0))),"",INDEX('Policy Characteristics'!K:K,MATCH($C647,'Policy Characteristics'!$C:$C,0)))</f>
        <v>industry-ag-main.html#fuel-switching</v>
      </c>
      <c r="R647" s="394" t="str">
        <f>IF(ISBLANK(INDEX('Policy Characteristics'!L:L,MATCH($C647,'Policy Characteristics'!$C:$C,0))),"",INDEX('Policy Characteristics'!L:L,MATCH($C647,'Policy Characteristics'!$C:$C,0)))</f>
        <v>industry-elec-and-hydrogen.html</v>
      </c>
    </row>
    <row r="648" customHeight="1" spans="1:18">
      <c r="A648" s="394" t="str">
        <f>IF(ISBLANK(INDEX('Policy Characteristics'!A:A,MATCH($C648,'Policy Characteristics'!$C:$C,0))),"",INDEX('Policy Characteristics'!A:A,MATCH($C648,'Policy Characteristics'!$C:$C,0)))</f>
        <v>Industry</v>
      </c>
      <c r="B648" s="395" t="str">
        <f>IF(ISBLANK(INDEX('Policy Characteristics'!B:B,MATCH($C648,'Policy Characteristics'!$C:$C,0))),"",INDEX('Policy Characteristics'!B:B,MATCH($C648,'Policy Characteristics'!$C:$C,0)))</f>
        <v>Electrification + Hydrogen (Med &amp; High Temp)</v>
      </c>
      <c r="C648" s="394" t="str">
        <f t="shared" si="34"/>
        <v>Fraction of Med and High Temp Industrial Heat Shifted to Other Fuels</v>
      </c>
      <c r="D648" s="399" t="s">
        <v>776</v>
      </c>
      <c r="E648" s="399" t="s">
        <v>796</v>
      </c>
      <c r="F648" t="s">
        <v>777</v>
      </c>
      <c r="G648" s="399" t="s">
        <v>797</v>
      </c>
      <c r="H648" s="377">
        <v>1400</v>
      </c>
      <c r="I648" s="396" t="s">
        <v>658</v>
      </c>
      <c r="J648" s="397" t="str">
        <f>IF(ISBLANK(INDEX('Policy Characteristics'!D:D,MATCH($C648,'Policy Characteristics'!$C:$C,0))),"",INDEX('Policy Characteristics'!D:D,MATCH($C648,'Policy Characteristics'!$C:$C,0)))</f>
        <v>Electrification + Hydrogen</v>
      </c>
      <c r="K648" s="394" t="str">
        <f>IF(ISBLANK(INDEX('Policy Characteristics'!E:E,MATCH($C648,'Policy Characteristics'!$C:$C,0))),"",INDEX('Policy Characteristics'!E:E,MATCH($C648,'Policy Characteristics'!$C:$C,0)))</f>
        <v>indst med and high temp fuel type shifting</v>
      </c>
      <c r="L648" s="398">
        <f>IF(ISBLANK(INDEX('Policy Characteristics'!F:F,MATCH($C648,'Policy Characteristics'!$C:$C,0))),"",INDEX('Policy Characteristics'!F:F,MATCH($C648,'Policy Characteristics'!$C:$C,0)))</f>
        <v>0</v>
      </c>
      <c r="M648" s="398">
        <f>IF(ISBLANK(INDEX('Policy Characteristics'!G:G,MATCH($C648,'Policy Characteristics'!$C:$C,0))),"",INDEX('Policy Characteristics'!G:G,MATCH($C648,'Policy Characteristics'!$C:$C,0)))</f>
        <v>1</v>
      </c>
      <c r="N648" s="398">
        <f>IF(ISBLANK(INDEX('Policy Characteristics'!H:H,MATCH($C648,'Policy Characteristics'!$C:$C,0))),"",INDEX('Policy Characteristics'!H:H,MATCH($C648,'Policy Characteristics'!$C:$C,0)))</f>
        <v>0.01</v>
      </c>
      <c r="O648" s="394" t="str">
        <f>IF(ISBLANK(INDEX('Policy Characteristics'!I:I,MATCH($C648,'Policy Characteristics'!$C:$C,0))),"",INDEX('Policy Characteristics'!I:I,MATCH($C648,'Policy Characteristics'!$C:$C,0)))</f>
        <v>% of fuel shifted</v>
      </c>
      <c r="P648" s="394" t="str">
        <f>IF(ISBLANK(INDEX('Policy Characteristics'!J:J,MATCH($C648,'Policy Characteristics'!$C:$C,0))),"",INDEX('Policy Characteristics'!J:J,MATCH($C648,'Policy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8" s="394" t="str">
        <f>IF(ISBLANK(INDEX('Policy Characteristics'!K:K,MATCH($C648,'Policy Characteristics'!$C:$C,0))),"",INDEX('Policy Characteristics'!K:K,MATCH($C648,'Policy Characteristics'!$C:$C,0)))</f>
        <v>industry-ag-main.html#fuel-switching</v>
      </c>
      <c r="R648" s="394" t="str">
        <f>IF(ISBLANK(INDEX('Policy Characteristics'!L:L,MATCH($C648,'Policy Characteristics'!$C:$C,0))),"",INDEX('Policy Characteristics'!L:L,MATCH($C648,'Policy Characteristics'!$C:$C,0)))</f>
        <v>industry-elec-and-hydrogen.html</v>
      </c>
    </row>
    <row r="649" customHeight="1" spans="1:18">
      <c r="A649" s="394" t="str">
        <f>IF(ISBLANK(INDEX('Policy Characteristics'!A:A,MATCH($C649,'Policy Characteristics'!$C:$C,0))),"",INDEX('Policy Characteristics'!A:A,MATCH($C649,'Policy Characteristics'!$C:$C,0)))</f>
        <v>Industry</v>
      </c>
      <c r="B649" s="395" t="str">
        <f>IF(ISBLANK(INDEX('Policy Characteristics'!B:B,MATCH($C649,'Policy Characteristics'!$C:$C,0))),"",INDEX('Policy Characteristics'!B:B,MATCH($C649,'Policy Characteristics'!$C:$C,0)))</f>
        <v>Electrification + Hydrogen (Med &amp; High Temp)</v>
      </c>
      <c r="C649" s="394" t="str">
        <f t="shared" si="34"/>
        <v>Fraction of Med and High Temp Industrial Heat Shifted to Other Fuels</v>
      </c>
      <c r="D649" s="399" t="s">
        <v>776</v>
      </c>
      <c r="E649" s="399" t="s">
        <v>798</v>
      </c>
      <c r="F649" t="s">
        <v>777</v>
      </c>
      <c r="G649" s="399" t="s">
        <v>799</v>
      </c>
      <c r="H649" s="377">
        <v>1401</v>
      </c>
      <c r="I649" s="396" t="s">
        <v>658</v>
      </c>
      <c r="J649" s="397" t="str">
        <f>IF(ISBLANK(INDEX('Policy Characteristics'!D:D,MATCH($C649,'Policy Characteristics'!$C:$C,0))),"",INDEX('Policy Characteristics'!D:D,MATCH($C649,'Policy Characteristics'!$C:$C,0)))</f>
        <v>Electrification + Hydrogen</v>
      </c>
      <c r="K649" s="394" t="str">
        <f>IF(ISBLANK(INDEX('Policy Characteristics'!E:E,MATCH($C649,'Policy Characteristics'!$C:$C,0))),"",INDEX('Policy Characteristics'!E:E,MATCH($C649,'Policy Characteristics'!$C:$C,0)))</f>
        <v>indst med and high temp fuel type shifting</v>
      </c>
      <c r="L649" s="398">
        <f>IF(ISBLANK(INDEX('Policy Characteristics'!F:F,MATCH($C649,'Policy Characteristics'!$C:$C,0))),"",INDEX('Policy Characteristics'!F:F,MATCH($C649,'Policy Characteristics'!$C:$C,0)))</f>
        <v>0</v>
      </c>
      <c r="M649" s="398">
        <f>IF(ISBLANK(INDEX('Policy Characteristics'!G:G,MATCH($C649,'Policy Characteristics'!$C:$C,0))),"",INDEX('Policy Characteristics'!G:G,MATCH($C649,'Policy Characteristics'!$C:$C,0)))</f>
        <v>1</v>
      </c>
      <c r="N649" s="398">
        <f>IF(ISBLANK(INDEX('Policy Characteristics'!H:H,MATCH($C649,'Policy Characteristics'!$C:$C,0))),"",INDEX('Policy Characteristics'!H:H,MATCH($C649,'Policy Characteristics'!$C:$C,0)))</f>
        <v>0.01</v>
      </c>
      <c r="O649" s="394" t="str">
        <f>IF(ISBLANK(INDEX('Policy Characteristics'!I:I,MATCH($C649,'Policy Characteristics'!$C:$C,0))),"",INDEX('Policy Characteristics'!I:I,MATCH($C649,'Policy Characteristics'!$C:$C,0)))</f>
        <v>% of fuel shifted</v>
      </c>
      <c r="P649" s="394" t="str">
        <f>IF(ISBLANK(INDEX('Policy Characteristics'!J:J,MATCH($C649,'Policy Characteristics'!$C:$C,0))),"",INDEX('Policy Characteristics'!J:J,MATCH($C649,'Policy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9" s="394" t="str">
        <f>IF(ISBLANK(INDEX('Policy Characteristics'!K:K,MATCH($C649,'Policy Characteristics'!$C:$C,0))),"",INDEX('Policy Characteristics'!K:K,MATCH($C649,'Policy Characteristics'!$C:$C,0)))</f>
        <v>industry-ag-main.html#fuel-switching</v>
      </c>
      <c r="R649" s="394" t="str">
        <f>IF(ISBLANK(INDEX('Policy Characteristics'!L:L,MATCH($C649,'Policy Characteristics'!$C:$C,0))),"",INDEX('Policy Characteristics'!L:L,MATCH($C649,'Policy Characteristics'!$C:$C,0)))</f>
        <v>industry-elec-and-hydrogen.html</v>
      </c>
    </row>
    <row r="650" customHeight="1" spans="1:18">
      <c r="A650" s="394" t="str">
        <f>IF(ISBLANK(INDEX('Policy Characteristics'!A:A,MATCH($C650,'Policy Characteristics'!$C:$C,0))),"",INDEX('Policy Characteristics'!A:A,MATCH($C650,'Policy Characteristics'!$C:$C,0)))</f>
        <v>Industry</v>
      </c>
      <c r="B650" s="395" t="str">
        <f>IF(ISBLANK(INDEX('Policy Characteristics'!B:B,MATCH($C650,'Policy Characteristics'!$C:$C,0))),"",INDEX('Policy Characteristics'!B:B,MATCH($C650,'Policy Characteristics'!$C:$C,0)))</f>
        <v>Electrification + Hydrogen (Med &amp; High Temp)</v>
      </c>
      <c r="C650" s="394" t="str">
        <f t="shared" si="34"/>
        <v>Fraction of Med and High Temp Industrial Heat Shifted to Other Fuels</v>
      </c>
      <c r="D650" s="399" t="s">
        <v>776</v>
      </c>
      <c r="E650" s="399" t="s">
        <v>800</v>
      </c>
      <c r="F650" t="s">
        <v>777</v>
      </c>
      <c r="G650" s="399" t="s">
        <v>801</v>
      </c>
      <c r="H650" s="377">
        <v>1402</v>
      </c>
      <c r="I650" s="396" t="s">
        <v>658</v>
      </c>
      <c r="J650" s="397" t="str">
        <f>IF(ISBLANK(INDEX('Policy Characteristics'!D:D,MATCH($C650,'Policy Characteristics'!$C:$C,0))),"",INDEX('Policy Characteristics'!D:D,MATCH($C650,'Policy Characteristics'!$C:$C,0)))</f>
        <v>Electrification + Hydrogen</v>
      </c>
      <c r="K650" s="394" t="str">
        <f>IF(ISBLANK(INDEX('Policy Characteristics'!E:E,MATCH($C650,'Policy Characteristics'!$C:$C,0))),"",INDEX('Policy Characteristics'!E:E,MATCH($C650,'Policy Characteristics'!$C:$C,0)))</f>
        <v>indst med and high temp fuel type shifting</v>
      </c>
      <c r="L650" s="398">
        <f>IF(ISBLANK(INDEX('Policy Characteristics'!F:F,MATCH($C650,'Policy Characteristics'!$C:$C,0))),"",INDEX('Policy Characteristics'!F:F,MATCH($C650,'Policy Characteristics'!$C:$C,0)))</f>
        <v>0</v>
      </c>
      <c r="M650" s="398">
        <f>IF(ISBLANK(INDEX('Policy Characteristics'!G:G,MATCH($C650,'Policy Characteristics'!$C:$C,0))),"",INDEX('Policy Characteristics'!G:G,MATCH($C650,'Policy Characteristics'!$C:$C,0)))</f>
        <v>1</v>
      </c>
      <c r="N650" s="398">
        <f>IF(ISBLANK(INDEX('Policy Characteristics'!H:H,MATCH($C650,'Policy Characteristics'!$C:$C,0))),"",INDEX('Policy Characteristics'!H:H,MATCH($C650,'Policy Characteristics'!$C:$C,0)))</f>
        <v>0.01</v>
      </c>
      <c r="O650" s="394" t="str">
        <f>IF(ISBLANK(INDEX('Policy Characteristics'!I:I,MATCH($C650,'Policy Characteristics'!$C:$C,0))),"",INDEX('Policy Characteristics'!I:I,MATCH($C650,'Policy Characteristics'!$C:$C,0)))</f>
        <v>% of fuel shifted</v>
      </c>
      <c r="P650" s="394" t="str">
        <f>IF(ISBLANK(INDEX('Policy Characteristics'!J:J,MATCH($C650,'Policy Characteristics'!$C:$C,0))),"",INDEX('Policy Characteristics'!J:J,MATCH($C650,'Policy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0" s="394" t="str">
        <f>IF(ISBLANK(INDEX('Policy Characteristics'!K:K,MATCH($C650,'Policy Characteristics'!$C:$C,0))),"",INDEX('Policy Characteristics'!K:K,MATCH($C650,'Policy Characteristics'!$C:$C,0)))</f>
        <v>industry-ag-main.html#fuel-switching</v>
      </c>
      <c r="R650" s="394" t="str">
        <f>IF(ISBLANK(INDEX('Policy Characteristics'!L:L,MATCH($C650,'Policy Characteristics'!$C:$C,0))),"",INDEX('Policy Characteristics'!L:L,MATCH($C650,'Policy Characteristics'!$C:$C,0)))</f>
        <v>industry-elec-and-hydrogen.html</v>
      </c>
    </row>
    <row r="651" customHeight="1" spans="1:18">
      <c r="A651" s="394" t="str">
        <f>IF(ISBLANK(INDEX('Policy Characteristics'!A:A,MATCH($C651,'Policy Characteristics'!$C:$C,0))),"",INDEX('Policy Characteristics'!A:A,MATCH($C651,'Policy Characteristics'!$C:$C,0)))</f>
        <v>Industry</v>
      </c>
      <c r="B651" s="395" t="str">
        <f>IF(ISBLANK(INDEX('Policy Characteristics'!B:B,MATCH($C651,'Policy Characteristics'!$C:$C,0))),"",INDEX('Policy Characteristics'!B:B,MATCH($C651,'Policy Characteristics'!$C:$C,0)))</f>
        <v>Electrification + Hydrogen (Med &amp; High Temp)</v>
      </c>
      <c r="C651" s="394" t="str">
        <f t="shared" si="34"/>
        <v>Fraction of Med and High Temp Industrial Heat Shifted to Other Fuels</v>
      </c>
      <c r="D651" s="399" t="s">
        <v>776</v>
      </c>
      <c r="E651" s="399" t="s">
        <v>802</v>
      </c>
      <c r="F651" t="s">
        <v>777</v>
      </c>
      <c r="G651" s="399" t="s">
        <v>803</v>
      </c>
      <c r="H651" s="377">
        <v>1403</v>
      </c>
      <c r="I651" s="396" t="s">
        <v>658</v>
      </c>
      <c r="J651" s="397" t="str">
        <f>IF(ISBLANK(INDEX('Policy Characteristics'!D:D,MATCH($C651,'Policy Characteristics'!$C:$C,0))),"",INDEX('Policy Characteristics'!D:D,MATCH($C651,'Policy Characteristics'!$C:$C,0)))</f>
        <v>Electrification + Hydrogen</v>
      </c>
      <c r="K651" s="394" t="str">
        <f>IF(ISBLANK(INDEX('Policy Characteristics'!E:E,MATCH($C651,'Policy Characteristics'!$C:$C,0))),"",INDEX('Policy Characteristics'!E:E,MATCH($C651,'Policy Characteristics'!$C:$C,0)))</f>
        <v>indst med and high temp fuel type shifting</v>
      </c>
      <c r="L651" s="398">
        <f>IF(ISBLANK(INDEX('Policy Characteristics'!F:F,MATCH($C651,'Policy Characteristics'!$C:$C,0))),"",INDEX('Policy Characteristics'!F:F,MATCH($C651,'Policy Characteristics'!$C:$C,0)))</f>
        <v>0</v>
      </c>
      <c r="M651" s="398">
        <f>IF(ISBLANK(INDEX('Policy Characteristics'!G:G,MATCH($C651,'Policy Characteristics'!$C:$C,0))),"",INDEX('Policy Characteristics'!G:G,MATCH($C651,'Policy Characteristics'!$C:$C,0)))</f>
        <v>1</v>
      </c>
      <c r="N651" s="398">
        <f>IF(ISBLANK(INDEX('Policy Characteristics'!H:H,MATCH($C651,'Policy Characteristics'!$C:$C,0))),"",INDEX('Policy Characteristics'!H:H,MATCH($C651,'Policy Characteristics'!$C:$C,0)))</f>
        <v>0.01</v>
      </c>
      <c r="O651" s="394" t="str">
        <f>IF(ISBLANK(INDEX('Policy Characteristics'!I:I,MATCH($C651,'Policy Characteristics'!$C:$C,0))),"",INDEX('Policy Characteristics'!I:I,MATCH($C651,'Policy Characteristics'!$C:$C,0)))</f>
        <v>% of fuel shifted</v>
      </c>
      <c r="P651" s="394" t="str">
        <f>IF(ISBLANK(INDEX('Policy Characteristics'!J:J,MATCH($C651,'Policy Characteristics'!$C:$C,0))),"",INDEX('Policy Characteristics'!J:J,MATCH($C651,'Policy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1" s="394" t="str">
        <f>IF(ISBLANK(INDEX('Policy Characteristics'!K:K,MATCH($C651,'Policy Characteristics'!$C:$C,0))),"",INDEX('Policy Characteristics'!K:K,MATCH($C651,'Policy Characteristics'!$C:$C,0)))</f>
        <v>industry-ag-main.html#fuel-switching</v>
      </c>
      <c r="R651" s="394" t="str">
        <f>IF(ISBLANK(INDEX('Policy Characteristics'!L:L,MATCH($C651,'Policy Characteristics'!$C:$C,0))),"",INDEX('Policy Characteristics'!L:L,MATCH($C651,'Policy Characteristics'!$C:$C,0)))</f>
        <v>industry-elec-and-hydrogen.html</v>
      </c>
    </row>
    <row r="652" customHeight="1" spans="1:18">
      <c r="A652" s="394" t="str">
        <f>IF(ISBLANK(INDEX('Policy Characteristics'!A:A,MATCH($C652,'Policy Characteristics'!$C:$C,0))),"",INDEX('Policy Characteristics'!A:A,MATCH($C652,'Policy Characteristics'!$C:$C,0)))</f>
        <v>Industry</v>
      </c>
      <c r="B652" s="395" t="str">
        <f>IF(ISBLANK(INDEX('Policy Characteristics'!B:B,MATCH($C652,'Policy Characteristics'!$C:$C,0))),"",INDEX('Policy Characteristics'!B:B,MATCH($C652,'Policy Characteristics'!$C:$C,0)))</f>
        <v>Electrification + Hydrogen (Med &amp; High Temp)</v>
      </c>
      <c r="C652" s="394" t="str">
        <f t="shared" si="34"/>
        <v>Fraction of Med and High Temp Industrial Heat Shifted to Other Fuels</v>
      </c>
      <c r="D652" s="399" t="s">
        <v>776</v>
      </c>
      <c r="E652" s="399" t="s">
        <v>804</v>
      </c>
      <c r="F652" t="s">
        <v>777</v>
      </c>
      <c r="G652" s="399" t="s">
        <v>805</v>
      </c>
      <c r="H652" s="377">
        <v>1404</v>
      </c>
      <c r="I652" s="396" t="s">
        <v>658</v>
      </c>
      <c r="J652" s="397" t="str">
        <f>IF(ISBLANK(INDEX('Policy Characteristics'!D:D,MATCH($C652,'Policy Characteristics'!$C:$C,0))),"",INDEX('Policy Characteristics'!D:D,MATCH($C652,'Policy Characteristics'!$C:$C,0)))</f>
        <v>Electrification + Hydrogen</v>
      </c>
      <c r="K652" s="394" t="str">
        <f>IF(ISBLANK(INDEX('Policy Characteristics'!E:E,MATCH($C652,'Policy Characteristics'!$C:$C,0))),"",INDEX('Policy Characteristics'!E:E,MATCH($C652,'Policy Characteristics'!$C:$C,0)))</f>
        <v>indst med and high temp fuel type shifting</v>
      </c>
      <c r="L652" s="398">
        <f>IF(ISBLANK(INDEX('Policy Characteristics'!F:F,MATCH($C652,'Policy Characteristics'!$C:$C,0))),"",INDEX('Policy Characteristics'!F:F,MATCH($C652,'Policy Characteristics'!$C:$C,0)))</f>
        <v>0</v>
      </c>
      <c r="M652" s="398">
        <f>IF(ISBLANK(INDEX('Policy Characteristics'!G:G,MATCH($C652,'Policy Characteristics'!$C:$C,0))),"",INDEX('Policy Characteristics'!G:G,MATCH($C652,'Policy Characteristics'!$C:$C,0)))</f>
        <v>1</v>
      </c>
      <c r="N652" s="398">
        <f>IF(ISBLANK(INDEX('Policy Characteristics'!H:H,MATCH($C652,'Policy Characteristics'!$C:$C,0))),"",INDEX('Policy Characteristics'!H:H,MATCH($C652,'Policy Characteristics'!$C:$C,0)))</f>
        <v>0.01</v>
      </c>
      <c r="O652" s="394" t="str">
        <f>IF(ISBLANK(INDEX('Policy Characteristics'!I:I,MATCH($C652,'Policy Characteristics'!$C:$C,0))),"",INDEX('Policy Characteristics'!I:I,MATCH($C652,'Policy Characteristics'!$C:$C,0)))</f>
        <v>% of fuel shifted</v>
      </c>
      <c r="P652" s="394" t="str">
        <f>IF(ISBLANK(INDEX('Policy Characteristics'!J:J,MATCH($C652,'Policy Characteristics'!$C:$C,0))),"",INDEX('Policy Characteristics'!J:J,MATCH($C652,'Policy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2" s="394" t="str">
        <f>IF(ISBLANK(INDEX('Policy Characteristics'!K:K,MATCH($C652,'Policy Characteristics'!$C:$C,0))),"",INDEX('Policy Characteristics'!K:K,MATCH($C652,'Policy Characteristics'!$C:$C,0)))</f>
        <v>industry-ag-main.html#fuel-switching</v>
      </c>
      <c r="R652" s="394" t="str">
        <f>IF(ISBLANK(INDEX('Policy Characteristics'!L:L,MATCH($C652,'Policy Characteristics'!$C:$C,0))),"",INDEX('Policy Characteristics'!L:L,MATCH($C652,'Policy Characteristics'!$C:$C,0)))</f>
        <v>industry-elec-and-hydrogen.html</v>
      </c>
    </row>
    <row r="653" customHeight="1" spans="1:18">
      <c r="A653" s="394" t="str">
        <f>IF(ISBLANK(INDEX('Policy Characteristics'!A:A,MATCH($C653,'Policy Characteristics'!$C:$C,0))),"",INDEX('Policy Characteristics'!A:A,MATCH($C653,'Policy Characteristics'!$C:$C,0)))</f>
        <v>Industry</v>
      </c>
      <c r="B653" s="395" t="str">
        <f>IF(ISBLANK(INDEX('Policy Characteristics'!B:B,MATCH($C653,'Policy Characteristics'!$C:$C,0))),"",INDEX('Policy Characteristics'!B:B,MATCH($C653,'Policy Characteristics'!$C:$C,0)))</f>
        <v>Electrification + Hydrogen (Med &amp; High Temp)</v>
      </c>
      <c r="C653" s="394" t="str">
        <f t="shared" si="34"/>
        <v>Fraction of Med and High Temp Industrial Heat Shifted to Other Fuels</v>
      </c>
      <c r="D653" s="399" t="s">
        <v>776</v>
      </c>
      <c r="E653" s="399" t="s">
        <v>806</v>
      </c>
      <c r="F653" t="s">
        <v>777</v>
      </c>
      <c r="G653" s="399" t="s">
        <v>807</v>
      </c>
      <c r="H653" s="377">
        <v>1405</v>
      </c>
      <c r="I653" s="396" t="s">
        <v>658</v>
      </c>
      <c r="J653" s="397" t="str">
        <f>IF(ISBLANK(INDEX('Policy Characteristics'!D:D,MATCH($C653,'Policy Characteristics'!$C:$C,0))),"",INDEX('Policy Characteristics'!D:D,MATCH($C653,'Policy Characteristics'!$C:$C,0)))</f>
        <v>Electrification + Hydrogen</v>
      </c>
      <c r="K653" s="394" t="str">
        <f>IF(ISBLANK(INDEX('Policy Characteristics'!E:E,MATCH($C653,'Policy Characteristics'!$C:$C,0))),"",INDEX('Policy Characteristics'!E:E,MATCH($C653,'Policy Characteristics'!$C:$C,0)))</f>
        <v>indst med and high temp fuel type shifting</v>
      </c>
      <c r="L653" s="398">
        <f>IF(ISBLANK(INDEX('Policy Characteristics'!F:F,MATCH($C653,'Policy Characteristics'!$C:$C,0))),"",INDEX('Policy Characteristics'!F:F,MATCH($C653,'Policy Characteristics'!$C:$C,0)))</f>
        <v>0</v>
      </c>
      <c r="M653" s="398">
        <f>IF(ISBLANK(INDEX('Policy Characteristics'!G:G,MATCH($C653,'Policy Characteristics'!$C:$C,0))),"",INDEX('Policy Characteristics'!G:G,MATCH($C653,'Policy Characteristics'!$C:$C,0)))</f>
        <v>1</v>
      </c>
      <c r="N653" s="398">
        <f>IF(ISBLANK(INDEX('Policy Characteristics'!H:H,MATCH($C653,'Policy Characteristics'!$C:$C,0))),"",INDEX('Policy Characteristics'!H:H,MATCH($C653,'Policy Characteristics'!$C:$C,0)))</f>
        <v>0.01</v>
      </c>
      <c r="O653" s="394" t="str">
        <f>IF(ISBLANK(INDEX('Policy Characteristics'!I:I,MATCH($C653,'Policy Characteristics'!$C:$C,0))),"",INDEX('Policy Characteristics'!I:I,MATCH($C653,'Policy Characteristics'!$C:$C,0)))</f>
        <v>% of fuel shifted</v>
      </c>
      <c r="P653" s="394" t="str">
        <f>IF(ISBLANK(INDEX('Policy Characteristics'!J:J,MATCH($C653,'Policy Characteristics'!$C:$C,0))),"",INDEX('Policy Characteristics'!J:J,MATCH($C653,'Policy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3" s="394" t="str">
        <f>IF(ISBLANK(INDEX('Policy Characteristics'!K:K,MATCH($C653,'Policy Characteristics'!$C:$C,0))),"",INDEX('Policy Characteristics'!K:K,MATCH($C653,'Policy Characteristics'!$C:$C,0)))</f>
        <v>industry-ag-main.html#fuel-switching</v>
      </c>
      <c r="R653" s="394" t="str">
        <f>IF(ISBLANK(INDEX('Policy Characteristics'!L:L,MATCH($C653,'Policy Characteristics'!$C:$C,0))),"",INDEX('Policy Characteristics'!L:L,MATCH($C653,'Policy Characteristics'!$C:$C,0)))</f>
        <v>industry-elec-and-hydrogen.html</v>
      </c>
    </row>
    <row r="654" customHeight="1" spans="1:18">
      <c r="A654" s="394" t="str">
        <f>IF(ISBLANK(INDEX('Policy Characteristics'!A:A,MATCH($C654,'Policy Characteristics'!$C:$C,0))),"",INDEX('Policy Characteristics'!A:A,MATCH($C654,'Policy Characteristics'!$C:$C,0)))</f>
        <v>Industry</v>
      </c>
      <c r="B654" s="395" t="str">
        <f>IF(ISBLANK(INDEX('Policy Characteristics'!B:B,MATCH($C654,'Policy Characteristics'!$C:$C,0))),"",INDEX('Policy Characteristics'!B:B,MATCH($C654,'Policy Characteristics'!$C:$C,0)))</f>
        <v>Electrification + Hydrogen (Med &amp; High Temp)</v>
      </c>
      <c r="C654" s="394" t="str">
        <f t="shared" si="34"/>
        <v>Fraction of Med and High Temp Industrial Heat Shifted to Other Fuels</v>
      </c>
      <c r="D654" s="399" t="s">
        <v>776</v>
      </c>
      <c r="E654" s="399" t="s">
        <v>808</v>
      </c>
      <c r="F654" t="s">
        <v>777</v>
      </c>
      <c r="G654" s="399" t="s">
        <v>809</v>
      </c>
      <c r="H654" s="377">
        <v>1406</v>
      </c>
      <c r="I654" s="396" t="s">
        <v>658</v>
      </c>
      <c r="J654" s="397" t="str">
        <f>IF(ISBLANK(INDEX('Policy Characteristics'!D:D,MATCH($C654,'Policy Characteristics'!$C:$C,0))),"",INDEX('Policy Characteristics'!D:D,MATCH($C654,'Policy Characteristics'!$C:$C,0)))</f>
        <v>Electrification + Hydrogen</v>
      </c>
      <c r="K654" s="394" t="str">
        <f>IF(ISBLANK(INDEX('Policy Characteristics'!E:E,MATCH($C654,'Policy Characteristics'!$C:$C,0))),"",INDEX('Policy Characteristics'!E:E,MATCH($C654,'Policy Characteristics'!$C:$C,0)))</f>
        <v>indst med and high temp fuel type shifting</v>
      </c>
      <c r="L654" s="398">
        <f>IF(ISBLANK(INDEX('Policy Characteristics'!F:F,MATCH($C654,'Policy Characteristics'!$C:$C,0))),"",INDEX('Policy Characteristics'!F:F,MATCH($C654,'Policy Characteristics'!$C:$C,0)))</f>
        <v>0</v>
      </c>
      <c r="M654" s="398">
        <f>IF(ISBLANK(INDEX('Policy Characteristics'!G:G,MATCH($C654,'Policy Characteristics'!$C:$C,0))),"",INDEX('Policy Characteristics'!G:G,MATCH($C654,'Policy Characteristics'!$C:$C,0)))</f>
        <v>1</v>
      </c>
      <c r="N654" s="398">
        <f>IF(ISBLANK(INDEX('Policy Characteristics'!H:H,MATCH($C654,'Policy Characteristics'!$C:$C,0))),"",INDEX('Policy Characteristics'!H:H,MATCH($C654,'Policy Characteristics'!$C:$C,0)))</f>
        <v>0.01</v>
      </c>
      <c r="O654" s="394" t="str">
        <f>IF(ISBLANK(INDEX('Policy Characteristics'!I:I,MATCH($C654,'Policy Characteristics'!$C:$C,0))),"",INDEX('Policy Characteristics'!I:I,MATCH($C654,'Policy Characteristics'!$C:$C,0)))</f>
        <v>% of fuel shifted</v>
      </c>
      <c r="P654" s="394" t="str">
        <f>IF(ISBLANK(INDEX('Policy Characteristics'!J:J,MATCH($C654,'Policy Characteristics'!$C:$C,0))),"",INDEX('Policy Characteristics'!J:J,MATCH($C654,'Policy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4" s="394" t="str">
        <f>IF(ISBLANK(INDEX('Policy Characteristics'!K:K,MATCH($C654,'Policy Characteristics'!$C:$C,0))),"",INDEX('Policy Characteristics'!K:K,MATCH($C654,'Policy Characteristics'!$C:$C,0)))</f>
        <v>industry-ag-main.html#fuel-switching</v>
      </c>
      <c r="R654" s="394" t="str">
        <f>IF(ISBLANK(INDEX('Policy Characteristics'!L:L,MATCH($C654,'Policy Characteristics'!$C:$C,0))),"",INDEX('Policy Characteristics'!L:L,MATCH($C654,'Policy Characteristics'!$C:$C,0)))</f>
        <v>industry-elec-and-hydrogen.html</v>
      </c>
    </row>
    <row r="655" customHeight="1" spans="1:18">
      <c r="A655" s="394" t="str">
        <f>IF(ISBLANK(INDEX('Policy Characteristics'!A:A,MATCH($C655,'Policy Characteristics'!$C:$C,0))),"",INDEX('Policy Characteristics'!A:A,MATCH($C655,'Policy Characteristics'!$C:$C,0)))</f>
        <v>Industry</v>
      </c>
      <c r="B655" s="395" t="str">
        <f>IF(ISBLANK(INDEX('Policy Characteristics'!B:B,MATCH($C655,'Policy Characteristics'!$C:$C,0))),"",INDEX('Policy Characteristics'!B:B,MATCH($C655,'Policy Characteristics'!$C:$C,0)))</f>
        <v>Electrification + Hydrogen (Med &amp; High Temp)</v>
      </c>
      <c r="C655" s="394" t="str">
        <f t="shared" si="34"/>
        <v>Fraction of Med and High Temp Industrial Heat Shifted to Other Fuels</v>
      </c>
      <c r="D655" s="399" t="s">
        <v>776</v>
      </c>
      <c r="E655" s="399" t="s">
        <v>810</v>
      </c>
      <c r="F655" t="s">
        <v>777</v>
      </c>
      <c r="G655" s="399" t="s">
        <v>811</v>
      </c>
      <c r="H655" s="377">
        <v>1407</v>
      </c>
      <c r="I655" s="396" t="s">
        <v>648</v>
      </c>
      <c r="J655" s="397" t="str">
        <f>IF(ISBLANK(INDEX('Policy Characteristics'!D:D,MATCH($C655,'Policy Characteristics'!$C:$C,0))),"",INDEX('Policy Characteristics'!D:D,MATCH($C655,'Policy Characteristics'!$C:$C,0)))</f>
        <v>Electrification + Hydrogen</v>
      </c>
      <c r="K655" s="394" t="str">
        <f>IF(ISBLANK(INDEX('Policy Characteristics'!E:E,MATCH($C655,'Policy Characteristics'!$C:$C,0))),"",INDEX('Policy Characteristics'!E:E,MATCH($C655,'Policy Characteristics'!$C:$C,0)))</f>
        <v>indst med and high temp fuel type shifting</v>
      </c>
      <c r="L655" s="398">
        <f>IF(ISBLANK(INDEX('Policy Characteristics'!F:F,MATCH($C655,'Policy Characteristics'!$C:$C,0))),"",INDEX('Policy Characteristics'!F:F,MATCH($C655,'Policy Characteristics'!$C:$C,0)))</f>
        <v>0</v>
      </c>
      <c r="M655" s="398">
        <f>IF(ISBLANK(INDEX('Policy Characteristics'!G:G,MATCH($C655,'Policy Characteristics'!$C:$C,0))),"",INDEX('Policy Characteristics'!G:G,MATCH($C655,'Policy Characteristics'!$C:$C,0)))</f>
        <v>1</v>
      </c>
      <c r="N655" s="398">
        <f>IF(ISBLANK(INDEX('Policy Characteristics'!H:H,MATCH($C655,'Policy Characteristics'!$C:$C,0))),"",INDEX('Policy Characteristics'!H:H,MATCH($C655,'Policy Characteristics'!$C:$C,0)))</f>
        <v>0.01</v>
      </c>
      <c r="O655" s="394" t="str">
        <f>IF(ISBLANK(INDEX('Policy Characteristics'!I:I,MATCH($C655,'Policy Characteristics'!$C:$C,0))),"",INDEX('Policy Characteristics'!I:I,MATCH($C655,'Policy Characteristics'!$C:$C,0)))</f>
        <v>% of fuel shifted</v>
      </c>
      <c r="P655" s="394" t="str">
        <f>IF(ISBLANK(INDEX('Policy Characteristics'!J:J,MATCH($C655,'Policy Characteristics'!$C:$C,0))),"",INDEX('Policy Characteristics'!J:J,MATCH($C655,'Policy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5" s="394" t="str">
        <f>IF(ISBLANK(INDEX('Policy Characteristics'!K:K,MATCH($C655,'Policy Characteristics'!$C:$C,0))),"",INDEX('Policy Characteristics'!K:K,MATCH($C655,'Policy Characteristics'!$C:$C,0)))</f>
        <v>industry-ag-main.html#fuel-switching</v>
      </c>
      <c r="R655" s="394" t="str">
        <f>IF(ISBLANK(INDEX('Policy Characteristics'!L:L,MATCH($C655,'Policy Characteristics'!$C:$C,0))),"",INDEX('Policy Characteristics'!L:L,MATCH($C655,'Policy Characteristics'!$C:$C,0)))</f>
        <v>industry-elec-and-hydrogen.html</v>
      </c>
    </row>
    <row r="656" customHeight="1" spans="1:18">
      <c r="A656" s="394" t="str">
        <f>IF(ISBLANK(INDEX('Policy Characteristics'!A:A,MATCH($C656,'Policy Characteristics'!$C:$C,0))),"",INDEX('Policy Characteristics'!A:A,MATCH($C656,'Policy Characteristics'!$C:$C,0)))</f>
        <v>Industry</v>
      </c>
      <c r="B656" s="395" t="str">
        <f>IF(ISBLANK(INDEX('Policy Characteristics'!B:B,MATCH($C656,'Policy Characteristics'!$C:$C,0))),"",INDEX('Policy Characteristics'!B:B,MATCH($C656,'Policy Characteristics'!$C:$C,0)))</f>
        <v>Electrification + Hydrogen (Med &amp; High Temp)</v>
      </c>
      <c r="C656" s="394" t="str">
        <f t="shared" si="34"/>
        <v>Fraction of Med and High Temp Industrial Heat Shifted to Other Fuels</v>
      </c>
      <c r="D656" s="399" t="s">
        <v>778</v>
      </c>
      <c r="E656" s="399" t="s">
        <v>792</v>
      </c>
      <c r="F656" t="s">
        <v>779</v>
      </c>
      <c r="G656" s="399" t="s">
        <v>793</v>
      </c>
      <c r="H656" s="377">
        <v>1408</v>
      </c>
      <c r="I656" s="396" t="s">
        <v>648</v>
      </c>
      <c r="J656" s="397" t="str">
        <f>IF(ISBLANK(INDEX('Policy Characteristics'!D:D,MATCH($C656,'Policy Characteristics'!$C:$C,0))),"",INDEX('Policy Characteristics'!D:D,MATCH($C656,'Policy Characteristics'!$C:$C,0)))</f>
        <v>Electrification + Hydrogen</v>
      </c>
      <c r="K656" s="394" t="str">
        <f>IF(ISBLANK(INDEX('Policy Characteristics'!E:E,MATCH($C656,'Policy Characteristics'!$C:$C,0))),"",INDEX('Policy Characteristics'!E:E,MATCH($C656,'Policy Characteristics'!$C:$C,0)))</f>
        <v>indst med and high temp fuel type shifting</v>
      </c>
      <c r="L656" s="398">
        <f>IF(ISBLANK(INDEX('Policy Characteristics'!F:F,MATCH($C656,'Policy Characteristics'!$C:$C,0))),"",INDEX('Policy Characteristics'!F:F,MATCH($C656,'Policy Characteristics'!$C:$C,0)))</f>
        <v>0</v>
      </c>
      <c r="M656" s="398">
        <f>IF(ISBLANK(INDEX('Policy Characteristics'!G:G,MATCH($C656,'Policy Characteristics'!$C:$C,0))),"",INDEX('Policy Characteristics'!G:G,MATCH($C656,'Policy Characteristics'!$C:$C,0)))</f>
        <v>1</v>
      </c>
      <c r="N656" s="398">
        <f>IF(ISBLANK(INDEX('Policy Characteristics'!H:H,MATCH($C656,'Policy Characteristics'!$C:$C,0))),"",INDEX('Policy Characteristics'!H:H,MATCH($C656,'Policy Characteristics'!$C:$C,0)))</f>
        <v>0.01</v>
      </c>
      <c r="O656" s="394" t="str">
        <f>IF(ISBLANK(INDEX('Policy Characteristics'!I:I,MATCH($C656,'Policy Characteristics'!$C:$C,0))),"",INDEX('Policy Characteristics'!I:I,MATCH($C656,'Policy Characteristics'!$C:$C,0)))</f>
        <v>% of fuel shifted</v>
      </c>
      <c r="P656" s="394" t="str">
        <f>IF(ISBLANK(INDEX('Policy Characteristics'!J:J,MATCH($C656,'Policy Characteristics'!$C:$C,0))),"",INDEX('Policy Characteristics'!J:J,MATCH($C656,'Policy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6" s="394" t="str">
        <f>IF(ISBLANK(INDEX('Policy Characteristics'!K:K,MATCH($C656,'Policy Characteristics'!$C:$C,0))),"",INDEX('Policy Characteristics'!K:K,MATCH($C656,'Policy Characteristics'!$C:$C,0)))</f>
        <v>industry-ag-main.html#fuel-switching</v>
      </c>
      <c r="R656" s="394" t="str">
        <f>IF(ISBLANK(INDEX('Policy Characteristics'!L:L,MATCH($C656,'Policy Characteristics'!$C:$C,0))),"",INDEX('Policy Characteristics'!L:L,MATCH($C656,'Policy Characteristics'!$C:$C,0)))</f>
        <v>industry-elec-and-hydrogen.html</v>
      </c>
    </row>
    <row r="657" customHeight="1" spans="1:18">
      <c r="A657" s="394" t="str">
        <f>IF(ISBLANK(INDEX('Policy Characteristics'!A:A,MATCH($C657,'Policy Characteristics'!$C:$C,0))),"",INDEX('Policy Characteristics'!A:A,MATCH($C657,'Policy Characteristics'!$C:$C,0)))</f>
        <v>Industry</v>
      </c>
      <c r="B657" s="395" t="str">
        <f>IF(ISBLANK(INDEX('Policy Characteristics'!B:B,MATCH($C657,'Policy Characteristics'!$C:$C,0))),"",INDEX('Policy Characteristics'!B:B,MATCH($C657,'Policy Characteristics'!$C:$C,0)))</f>
        <v>Electrification + Hydrogen (Med &amp; High Temp)</v>
      </c>
      <c r="C657" s="394" t="str">
        <f t="shared" si="34"/>
        <v>Fraction of Med and High Temp Industrial Heat Shifted to Other Fuels</v>
      </c>
      <c r="D657" s="399" t="s">
        <v>778</v>
      </c>
      <c r="E657" s="399" t="s">
        <v>794</v>
      </c>
      <c r="F657" t="s">
        <v>779</v>
      </c>
      <c r="G657" s="399" t="s">
        <v>795</v>
      </c>
      <c r="H657" s="377">
        <v>1409</v>
      </c>
      <c r="I657" s="396" t="s">
        <v>658</v>
      </c>
      <c r="J657" s="397" t="str">
        <f>IF(ISBLANK(INDEX('Policy Characteristics'!D:D,MATCH($C657,'Policy Characteristics'!$C:$C,0))),"",INDEX('Policy Characteristics'!D:D,MATCH($C657,'Policy Characteristics'!$C:$C,0)))</f>
        <v>Electrification + Hydrogen</v>
      </c>
      <c r="K657" s="394" t="str">
        <f>IF(ISBLANK(INDEX('Policy Characteristics'!E:E,MATCH($C657,'Policy Characteristics'!$C:$C,0))),"",INDEX('Policy Characteristics'!E:E,MATCH($C657,'Policy Characteristics'!$C:$C,0)))</f>
        <v>indst med and high temp fuel type shifting</v>
      </c>
      <c r="L657" s="398">
        <f>IF(ISBLANK(INDEX('Policy Characteristics'!F:F,MATCH($C657,'Policy Characteristics'!$C:$C,0))),"",INDEX('Policy Characteristics'!F:F,MATCH($C657,'Policy Characteristics'!$C:$C,0)))</f>
        <v>0</v>
      </c>
      <c r="M657" s="398">
        <f>IF(ISBLANK(INDEX('Policy Characteristics'!G:G,MATCH($C657,'Policy Characteristics'!$C:$C,0))),"",INDEX('Policy Characteristics'!G:G,MATCH($C657,'Policy Characteristics'!$C:$C,0)))</f>
        <v>1</v>
      </c>
      <c r="N657" s="398">
        <f>IF(ISBLANK(INDEX('Policy Characteristics'!H:H,MATCH($C657,'Policy Characteristics'!$C:$C,0))),"",INDEX('Policy Characteristics'!H:H,MATCH($C657,'Policy Characteristics'!$C:$C,0)))</f>
        <v>0.01</v>
      </c>
      <c r="O657" s="394" t="str">
        <f>IF(ISBLANK(INDEX('Policy Characteristics'!I:I,MATCH($C657,'Policy Characteristics'!$C:$C,0))),"",INDEX('Policy Characteristics'!I:I,MATCH($C657,'Policy Characteristics'!$C:$C,0)))</f>
        <v>% of fuel shifted</v>
      </c>
      <c r="P657" s="394" t="str">
        <f>IF(ISBLANK(INDEX('Policy Characteristics'!J:J,MATCH($C657,'Policy Characteristics'!$C:$C,0))),"",INDEX('Policy Characteristics'!J:J,MATCH($C657,'Policy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7" s="394" t="str">
        <f>IF(ISBLANK(INDEX('Policy Characteristics'!K:K,MATCH($C657,'Policy Characteristics'!$C:$C,0))),"",INDEX('Policy Characteristics'!K:K,MATCH($C657,'Policy Characteristics'!$C:$C,0)))</f>
        <v>industry-ag-main.html#fuel-switching</v>
      </c>
      <c r="R657" s="394" t="str">
        <f>IF(ISBLANK(INDEX('Policy Characteristics'!L:L,MATCH($C657,'Policy Characteristics'!$C:$C,0))),"",INDEX('Policy Characteristics'!L:L,MATCH($C657,'Policy Characteristics'!$C:$C,0)))</f>
        <v>industry-elec-and-hydrogen.html</v>
      </c>
    </row>
    <row r="658" customHeight="1" spans="1:18">
      <c r="A658" s="394" t="str">
        <f>IF(ISBLANK(INDEX('Policy Characteristics'!A:A,MATCH($C658,'Policy Characteristics'!$C:$C,0))),"",INDEX('Policy Characteristics'!A:A,MATCH($C658,'Policy Characteristics'!$C:$C,0)))</f>
        <v>Industry</v>
      </c>
      <c r="B658" s="395" t="str">
        <f>IF(ISBLANK(INDEX('Policy Characteristics'!B:B,MATCH($C658,'Policy Characteristics'!$C:$C,0))),"",INDEX('Policy Characteristics'!B:B,MATCH($C658,'Policy Characteristics'!$C:$C,0)))</f>
        <v>Electrification + Hydrogen (Med &amp; High Temp)</v>
      </c>
      <c r="C658" s="394" t="str">
        <f t="shared" si="34"/>
        <v>Fraction of Med and High Temp Industrial Heat Shifted to Other Fuels</v>
      </c>
      <c r="D658" s="399" t="s">
        <v>778</v>
      </c>
      <c r="E658" s="399" t="s">
        <v>796</v>
      </c>
      <c r="F658" t="s">
        <v>779</v>
      </c>
      <c r="G658" s="399" t="s">
        <v>797</v>
      </c>
      <c r="H658" s="377">
        <v>1410</v>
      </c>
      <c r="I658" s="396" t="s">
        <v>658</v>
      </c>
      <c r="J658" s="397" t="str">
        <f>IF(ISBLANK(INDEX('Policy Characteristics'!D:D,MATCH($C658,'Policy Characteristics'!$C:$C,0))),"",INDEX('Policy Characteristics'!D:D,MATCH($C658,'Policy Characteristics'!$C:$C,0)))</f>
        <v>Electrification + Hydrogen</v>
      </c>
      <c r="K658" s="394" t="str">
        <f>IF(ISBLANK(INDEX('Policy Characteristics'!E:E,MATCH($C658,'Policy Characteristics'!$C:$C,0))),"",INDEX('Policy Characteristics'!E:E,MATCH($C658,'Policy Characteristics'!$C:$C,0)))</f>
        <v>indst med and high temp fuel type shifting</v>
      </c>
      <c r="L658" s="398">
        <f>IF(ISBLANK(INDEX('Policy Characteristics'!F:F,MATCH($C658,'Policy Characteristics'!$C:$C,0))),"",INDEX('Policy Characteristics'!F:F,MATCH($C658,'Policy Characteristics'!$C:$C,0)))</f>
        <v>0</v>
      </c>
      <c r="M658" s="398">
        <f>IF(ISBLANK(INDEX('Policy Characteristics'!G:G,MATCH($C658,'Policy Characteristics'!$C:$C,0))),"",INDEX('Policy Characteristics'!G:G,MATCH($C658,'Policy Characteristics'!$C:$C,0)))</f>
        <v>1</v>
      </c>
      <c r="N658" s="398">
        <f>IF(ISBLANK(INDEX('Policy Characteristics'!H:H,MATCH($C658,'Policy Characteristics'!$C:$C,0))),"",INDEX('Policy Characteristics'!H:H,MATCH($C658,'Policy Characteristics'!$C:$C,0)))</f>
        <v>0.01</v>
      </c>
      <c r="O658" s="394" t="str">
        <f>IF(ISBLANK(INDEX('Policy Characteristics'!I:I,MATCH($C658,'Policy Characteristics'!$C:$C,0))),"",INDEX('Policy Characteristics'!I:I,MATCH($C658,'Policy Characteristics'!$C:$C,0)))</f>
        <v>% of fuel shifted</v>
      </c>
      <c r="P658" s="394" t="str">
        <f>IF(ISBLANK(INDEX('Policy Characteristics'!J:J,MATCH($C658,'Policy Characteristics'!$C:$C,0))),"",INDEX('Policy Characteristics'!J:J,MATCH($C658,'Policy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8" s="394" t="str">
        <f>IF(ISBLANK(INDEX('Policy Characteristics'!K:K,MATCH($C658,'Policy Characteristics'!$C:$C,0))),"",INDEX('Policy Characteristics'!K:K,MATCH($C658,'Policy Characteristics'!$C:$C,0)))</f>
        <v>industry-ag-main.html#fuel-switching</v>
      </c>
      <c r="R658" s="394" t="str">
        <f>IF(ISBLANK(INDEX('Policy Characteristics'!L:L,MATCH($C658,'Policy Characteristics'!$C:$C,0))),"",INDEX('Policy Characteristics'!L:L,MATCH($C658,'Policy Characteristics'!$C:$C,0)))</f>
        <v>industry-elec-and-hydrogen.html</v>
      </c>
    </row>
    <row r="659" customHeight="1" spans="1:18">
      <c r="A659" s="394" t="str">
        <f>IF(ISBLANK(INDEX('Policy Characteristics'!A:A,MATCH($C659,'Policy Characteristics'!$C:$C,0))),"",INDEX('Policy Characteristics'!A:A,MATCH($C659,'Policy Characteristics'!$C:$C,0)))</f>
        <v>Industry</v>
      </c>
      <c r="B659" s="395" t="str">
        <f>IF(ISBLANK(INDEX('Policy Characteristics'!B:B,MATCH($C659,'Policy Characteristics'!$C:$C,0))),"",INDEX('Policy Characteristics'!B:B,MATCH($C659,'Policy Characteristics'!$C:$C,0)))</f>
        <v>Electrification + Hydrogen (Med &amp; High Temp)</v>
      </c>
      <c r="C659" s="394" t="str">
        <f t="shared" si="34"/>
        <v>Fraction of Med and High Temp Industrial Heat Shifted to Other Fuels</v>
      </c>
      <c r="D659" s="399" t="s">
        <v>778</v>
      </c>
      <c r="E659" s="399" t="s">
        <v>798</v>
      </c>
      <c r="F659" t="s">
        <v>779</v>
      </c>
      <c r="G659" s="399" t="s">
        <v>799</v>
      </c>
      <c r="H659" s="377">
        <v>1411</v>
      </c>
      <c r="I659" s="396" t="s">
        <v>658</v>
      </c>
      <c r="J659" s="397" t="str">
        <f>IF(ISBLANK(INDEX('Policy Characteristics'!D:D,MATCH($C659,'Policy Characteristics'!$C:$C,0))),"",INDEX('Policy Characteristics'!D:D,MATCH($C659,'Policy Characteristics'!$C:$C,0)))</f>
        <v>Electrification + Hydrogen</v>
      </c>
      <c r="K659" s="394" t="str">
        <f>IF(ISBLANK(INDEX('Policy Characteristics'!E:E,MATCH($C659,'Policy Characteristics'!$C:$C,0))),"",INDEX('Policy Characteristics'!E:E,MATCH($C659,'Policy Characteristics'!$C:$C,0)))</f>
        <v>indst med and high temp fuel type shifting</v>
      </c>
      <c r="L659" s="398">
        <f>IF(ISBLANK(INDEX('Policy Characteristics'!F:F,MATCH($C659,'Policy Characteristics'!$C:$C,0))),"",INDEX('Policy Characteristics'!F:F,MATCH($C659,'Policy Characteristics'!$C:$C,0)))</f>
        <v>0</v>
      </c>
      <c r="M659" s="398">
        <f>IF(ISBLANK(INDEX('Policy Characteristics'!G:G,MATCH($C659,'Policy Characteristics'!$C:$C,0))),"",INDEX('Policy Characteristics'!G:G,MATCH($C659,'Policy Characteristics'!$C:$C,0)))</f>
        <v>1</v>
      </c>
      <c r="N659" s="398">
        <f>IF(ISBLANK(INDEX('Policy Characteristics'!H:H,MATCH($C659,'Policy Characteristics'!$C:$C,0))),"",INDEX('Policy Characteristics'!H:H,MATCH($C659,'Policy Characteristics'!$C:$C,0)))</f>
        <v>0.01</v>
      </c>
      <c r="O659" s="394" t="str">
        <f>IF(ISBLANK(INDEX('Policy Characteristics'!I:I,MATCH($C659,'Policy Characteristics'!$C:$C,0))),"",INDEX('Policy Characteristics'!I:I,MATCH($C659,'Policy Characteristics'!$C:$C,0)))</f>
        <v>% of fuel shifted</v>
      </c>
      <c r="P659" s="394" t="str">
        <f>IF(ISBLANK(INDEX('Policy Characteristics'!J:J,MATCH($C659,'Policy Characteristics'!$C:$C,0))),"",INDEX('Policy Characteristics'!J:J,MATCH($C659,'Policy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9" s="394" t="str">
        <f>IF(ISBLANK(INDEX('Policy Characteristics'!K:K,MATCH($C659,'Policy Characteristics'!$C:$C,0))),"",INDEX('Policy Characteristics'!K:K,MATCH($C659,'Policy Characteristics'!$C:$C,0)))</f>
        <v>industry-ag-main.html#fuel-switching</v>
      </c>
      <c r="R659" s="394" t="str">
        <f>IF(ISBLANK(INDEX('Policy Characteristics'!L:L,MATCH($C659,'Policy Characteristics'!$C:$C,0))),"",INDEX('Policy Characteristics'!L:L,MATCH($C659,'Policy Characteristics'!$C:$C,0)))</f>
        <v>industry-elec-and-hydrogen.html</v>
      </c>
    </row>
    <row r="660" customHeight="1" spans="1:18">
      <c r="A660" s="394" t="str">
        <f>IF(ISBLANK(INDEX('Policy Characteristics'!A:A,MATCH($C660,'Policy Characteristics'!$C:$C,0))),"",INDEX('Policy Characteristics'!A:A,MATCH($C660,'Policy Characteristics'!$C:$C,0)))</f>
        <v>Industry</v>
      </c>
      <c r="B660" s="395" t="str">
        <f>IF(ISBLANK(INDEX('Policy Characteristics'!B:B,MATCH($C660,'Policy Characteristics'!$C:$C,0))),"",INDEX('Policy Characteristics'!B:B,MATCH($C660,'Policy Characteristics'!$C:$C,0)))</f>
        <v>Electrification + Hydrogen (Med &amp; High Temp)</v>
      </c>
      <c r="C660" s="394" t="str">
        <f t="shared" si="34"/>
        <v>Fraction of Med and High Temp Industrial Heat Shifted to Other Fuels</v>
      </c>
      <c r="D660" s="399" t="s">
        <v>778</v>
      </c>
      <c r="E660" s="399" t="s">
        <v>800</v>
      </c>
      <c r="F660" t="s">
        <v>779</v>
      </c>
      <c r="G660" s="399" t="s">
        <v>801</v>
      </c>
      <c r="H660" s="377">
        <v>1412</v>
      </c>
      <c r="I660" s="396" t="s">
        <v>658</v>
      </c>
      <c r="J660" s="397" t="str">
        <f>IF(ISBLANK(INDEX('Policy Characteristics'!D:D,MATCH($C660,'Policy Characteristics'!$C:$C,0))),"",INDEX('Policy Characteristics'!D:D,MATCH($C660,'Policy Characteristics'!$C:$C,0)))</f>
        <v>Electrification + Hydrogen</v>
      </c>
      <c r="K660" s="394" t="str">
        <f>IF(ISBLANK(INDEX('Policy Characteristics'!E:E,MATCH($C660,'Policy Characteristics'!$C:$C,0))),"",INDEX('Policy Characteristics'!E:E,MATCH($C660,'Policy Characteristics'!$C:$C,0)))</f>
        <v>indst med and high temp fuel type shifting</v>
      </c>
      <c r="L660" s="398">
        <f>IF(ISBLANK(INDEX('Policy Characteristics'!F:F,MATCH($C660,'Policy Characteristics'!$C:$C,0))),"",INDEX('Policy Characteristics'!F:F,MATCH($C660,'Policy Characteristics'!$C:$C,0)))</f>
        <v>0</v>
      </c>
      <c r="M660" s="398">
        <f>IF(ISBLANK(INDEX('Policy Characteristics'!G:G,MATCH($C660,'Policy Characteristics'!$C:$C,0))),"",INDEX('Policy Characteristics'!G:G,MATCH($C660,'Policy Characteristics'!$C:$C,0)))</f>
        <v>1</v>
      </c>
      <c r="N660" s="398">
        <f>IF(ISBLANK(INDEX('Policy Characteristics'!H:H,MATCH($C660,'Policy Characteristics'!$C:$C,0))),"",INDEX('Policy Characteristics'!H:H,MATCH($C660,'Policy Characteristics'!$C:$C,0)))</f>
        <v>0.01</v>
      </c>
      <c r="O660" s="394" t="str">
        <f>IF(ISBLANK(INDEX('Policy Characteristics'!I:I,MATCH($C660,'Policy Characteristics'!$C:$C,0))),"",INDEX('Policy Characteristics'!I:I,MATCH($C660,'Policy Characteristics'!$C:$C,0)))</f>
        <v>% of fuel shifted</v>
      </c>
      <c r="P660" s="394" t="str">
        <f>IF(ISBLANK(INDEX('Policy Characteristics'!J:J,MATCH($C660,'Policy Characteristics'!$C:$C,0))),"",INDEX('Policy Characteristics'!J:J,MATCH($C660,'Policy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0" s="394" t="str">
        <f>IF(ISBLANK(INDEX('Policy Characteristics'!K:K,MATCH($C660,'Policy Characteristics'!$C:$C,0))),"",INDEX('Policy Characteristics'!K:K,MATCH($C660,'Policy Characteristics'!$C:$C,0)))</f>
        <v>industry-ag-main.html#fuel-switching</v>
      </c>
      <c r="R660" s="394" t="str">
        <f>IF(ISBLANK(INDEX('Policy Characteristics'!L:L,MATCH($C660,'Policy Characteristics'!$C:$C,0))),"",INDEX('Policy Characteristics'!L:L,MATCH($C660,'Policy Characteristics'!$C:$C,0)))</f>
        <v>industry-elec-and-hydrogen.html</v>
      </c>
    </row>
    <row r="661" customHeight="1" spans="1:18">
      <c r="A661" s="394" t="str">
        <f>IF(ISBLANK(INDEX('Policy Characteristics'!A:A,MATCH($C661,'Policy Characteristics'!$C:$C,0))),"",INDEX('Policy Characteristics'!A:A,MATCH($C661,'Policy Characteristics'!$C:$C,0)))</f>
        <v>Industry</v>
      </c>
      <c r="B661" s="395" t="str">
        <f>IF(ISBLANK(INDEX('Policy Characteristics'!B:B,MATCH($C661,'Policy Characteristics'!$C:$C,0))),"",INDEX('Policy Characteristics'!B:B,MATCH($C661,'Policy Characteristics'!$C:$C,0)))</f>
        <v>Electrification + Hydrogen (Med &amp; High Temp)</v>
      </c>
      <c r="C661" s="394" t="str">
        <f t="shared" si="34"/>
        <v>Fraction of Med and High Temp Industrial Heat Shifted to Other Fuels</v>
      </c>
      <c r="D661" s="399" t="s">
        <v>778</v>
      </c>
      <c r="E661" s="399" t="s">
        <v>802</v>
      </c>
      <c r="F661" t="s">
        <v>779</v>
      </c>
      <c r="G661" s="399" t="s">
        <v>803</v>
      </c>
      <c r="H661" s="377">
        <v>1413</v>
      </c>
      <c r="I661" s="396" t="s">
        <v>658</v>
      </c>
      <c r="J661" s="397" t="str">
        <f>IF(ISBLANK(INDEX('Policy Characteristics'!D:D,MATCH($C661,'Policy Characteristics'!$C:$C,0))),"",INDEX('Policy Characteristics'!D:D,MATCH($C661,'Policy Characteristics'!$C:$C,0)))</f>
        <v>Electrification + Hydrogen</v>
      </c>
      <c r="K661" s="394" t="str">
        <f>IF(ISBLANK(INDEX('Policy Characteristics'!E:E,MATCH($C661,'Policy Characteristics'!$C:$C,0))),"",INDEX('Policy Characteristics'!E:E,MATCH($C661,'Policy Characteristics'!$C:$C,0)))</f>
        <v>indst med and high temp fuel type shifting</v>
      </c>
      <c r="L661" s="398">
        <f>IF(ISBLANK(INDEX('Policy Characteristics'!F:F,MATCH($C661,'Policy Characteristics'!$C:$C,0))),"",INDEX('Policy Characteristics'!F:F,MATCH($C661,'Policy Characteristics'!$C:$C,0)))</f>
        <v>0</v>
      </c>
      <c r="M661" s="398">
        <f>IF(ISBLANK(INDEX('Policy Characteristics'!G:G,MATCH($C661,'Policy Characteristics'!$C:$C,0))),"",INDEX('Policy Characteristics'!G:G,MATCH($C661,'Policy Characteristics'!$C:$C,0)))</f>
        <v>1</v>
      </c>
      <c r="N661" s="398">
        <f>IF(ISBLANK(INDEX('Policy Characteristics'!H:H,MATCH($C661,'Policy Characteristics'!$C:$C,0))),"",INDEX('Policy Characteristics'!H:H,MATCH($C661,'Policy Characteristics'!$C:$C,0)))</f>
        <v>0.01</v>
      </c>
      <c r="O661" s="394" t="str">
        <f>IF(ISBLANK(INDEX('Policy Characteristics'!I:I,MATCH($C661,'Policy Characteristics'!$C:$C,0))),"",INDEX('Policy Characteristics'!I:I,MATCH($C661,'Policy Characteristics'!$C:$C,0)))</f>
        <v>% of fuel shifted</v>
      </c>
      <c r="P661" s="394" t="str">
        <f>IF(ISBLANK(INDEX('Policy Characteristics'!J:J,MATCH($C661,'Policy Characteristics'!$C:$C,0))),"",INDEX('Policy Characteristics'!J:J,MATCH($C661,'Policy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1" s="394" t="str">
        <f>IF(ISBLANK(INDEX('Policy Characteristics'!K:K,MATCH($C661,'Policy Characteristics'!$C:$C,0))),"",INDEX('Policy Characteristics'!K:K,MATCH($C661,'Policy Characteristics'!$C:$C,0)))</f>
        <v>industry-ag-main.html#fuel-switching</v>
      </c>
      <c r="R661" s="394" t="str">
        <f>IF(ISBLANK(INDEX('Policy Characteristics'!L:L,MATCH($C661,'Policy Characteristics'!$C:$C,0))),"",INDEX('Policy Characteristics'!L:L,MATCH($C661,'Policy Characteristics'!$C:$C,0)))</f>
        <v>industry-elec-and-hydrogen.html</v>
      </c>
    </row>
    <row r="662" customHeight="1" spans="1:18">
      <c r="A662" s="394" t="str">
        <f>IF(ISBLANK(INDEX('Policy Characteristics'!A:A,MATCH($C662,'Policy Characteristics'!$C:$C,0))),"",INDEX('Policy Characteristics'!A:A,MATCH($C662,'Policy Characteristics'!$C:$C,0)))</f>
        <v>Industry</v>
      </c>
      <c r="B662" s="395" t="str">
        <f>IF(ISBLANK(INDEX('Policy Characteristics'!B:B,MATCH($C662,'Policy Characteristics'!$C:$C,0))),"",INDEX('Policy Characteristics'!B:B,MATCH($C662,'Policy Characteristics'!$C:$C,0)))</f>
        <v>Electrification + Hydrogen (Med &amp; High Temp)</v>
      </c>
      <c r="C662" s="394" t="str">
        <f t="shared" si="34"/>
        <v>Fraction of Med and High Temp Industrial Heat Shifted to Other Fuels</v>
      </c>
      <c r="D662" s="399" t="s">
        <v>778</v>
      </c>
      <c r="E662" s="399" t="s">
        <v>804</v>
      </c>
      <c r="F662" t="s">
        <v>779</v>
      </c>
      <c r="G662" s="399" t="s">
        <v>805</v>
      </c>
      <c r="H662" s="377">
        <v>1414</v>
      </c>
      <c r="I662" s="396" t="s">
        <v>658</v>
      </c>
      <c r="J662" s="397" t="str">
        <f>IF(ISBLANK(INDEX('Policy Characteristics'!D:D,MATCH($C662,'Policy Characteristics'!$C:$C,0))),"",INDEX('Policy Characteristics'!D:D,MATCH($C662,'Policy Characteristics'!$C:$C,0)))</f>
        <v>Electrification + Hydrogen</v>
      </c>
      <c r="K662" s="394" t="str">
        <f>IF(ISBLANK(INDEX('Policy Characteristics'!E:E,MATCH($C662,'Policy Characteristics'!$C:$C,0))),"",INDEX('Policy Characteristics'!E:E,MATCH($C662,'Policy Characteristics'!$C:$C,0)))</f>
        <v>indst med and high temp fuel type shifting</v>
      </c>
      <c r="L662" s="398">
        <f>IF(ISBLANK(INDEX('Policy Characteristics'!F:F,MATCH($C662,'Policy Characteristics'!$C:$C,0))),"",INDEX('Policy Characteristics'!F:F,MATCH($C662,'Policy Characteristics'!$C:$C,0)))</f>
        <v>0</v>
      </c>
      <c r="M662" s="398">
        <f>IF(ISBLANK(INDEX('Policy Characteristics'!G:G,MATCH($C662,'Policy Characteristics'!$C:$C,0))),"",INDEX('Policy Characteristics'!G:G,MATCH($C662,'Policy Characteristics'!$C:$C,0)))</f>
        <v>1</v>
      </c>
      <c r="N662" s="398">
        <f>IF(ISBLANK(INDEX('Policy Characteristics'!H:H,MATCH($C662,'Policy Characteristics'!$C:$C,0))),"",INDEX('Policy Characteristics'!H:H,MATCH($C662,'Policy Characteristics'!$C:$C,0)))</f>
        <v>0.01</v>
      </c>
      <c r="O662" s="394" t="str">
        <f>IF(ISBLANK(INDEX('Policy Characteristics'!I:I,MATCH($C662,'Policy Characteristics'!$C:$C,0))),"",INDEX('Policy Characteristics'!I:I,MATCH($C662,'Policy Characteristics'!$C:$C,0)))</f>
        <v>% of fuel shifted</v>
      </c>
      <c r="P662" s="394" t="str">
        <f>IF(ISBLANK(INDEX('Policy Characteristics'!J:J,MATCH($C662,'Policy Characteristics'!$C:$C,0))),"",INDEX('Policy Characteristics'!J:J,MATCH($C662,'Policy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2" s="394" t="str">
        <f>IF(ISBLANK(INDEX('Policy Characteristics'!K:K,MATCH($C662,'Policy Characteristics'!$C:$C,0))),"",INDEX('Policy Characteristics'!K:K,MATCH($C662,'Policy Characteristics'!$C:$C,0)))</f>
        <v>industry-ag-main.html#fuel-switching</v>
      </c>
      <c r="R662" s="394" t="str">
        <f>IF(ISBLANK(INDEX('Policy Characteristics'!L:L,MATCH($C662,'Policy Characteristics'!$C:$C,0))),"",INDEX('Policy Characteristics'!L:L,MATCH($C662,'Policy Characteristics'!$C:$C,0)))</f>
        <v>industry-elec-and-hydrogen.html</v>
      </c>
    </row>
    <row r="663" customHeight="1" spans="1:18">
      <c r="A663" s="394" t="str">
        <f>IF(ISBLANK(INDEX('Policy Characteristics'!A:A,MATCH($C663,'Policy Characteristics'!$C:$C,0))),"",INDEX('Policy Characteristics'!A:A,MATCH($C663,'Policy Characteristics'!$C:$C,0)))</f>
        <v>Industry</v>
      </c>
      <c r="B663" s="395" t="str">
        <f>IF(ISBLANK(INDEX('Policy Characteristics'!B:B,MATCH($C663,'Policy Characteristics'!$C:$C,0))),"",INDEX('Policy Characteristics'!B:B,MATCH($C663,'Policy Characteristics'!$C:$C,0)))</f>
        <v>Electrification + Hydrogen (Med &amp; High Temp)</v>
      </c>
      <c r="C663" s="394" t="str">
        <f t="shared" si="34"/>
        <v>Fraction of Med and High Temp Industrial Heat Shifted to Other Fuels</v>
      </c>
      <c r="D663" s="399" t="s">
        <v>778</v>
      </c>
      <c r="E663" s="399" t="s">
        <v>806</v>
      </c>
      <c r="F663" t="s">
        <v>779</v>
      </c>
      <c r="G663" s="399" t="s">
        <v>807</v>
      </c>
      <c r="H663" s="377">
        <v>1415</v>
      </c>
      <c r="I663" s="396" t="s">
        <v>658</v>
      </c>
      <c r="J663" s="397" t="str">
        <f>IF(ISBLANK(INDEX('Policy Characteristics'!D:D,MATCH($C663,'Policy Characteristics'!$C:$C,0))),"",INDEX('Policy Characteristics'!D:D,MATCH($C663,'Policy Characteristics'!$C:$C,0)))</f>
        <v>Electrification + Hydrogen</v>
      </c>
      <c r="K663" s="394" t="str">
        <f>IF(ISBLANK(INDEX('Policy Characteristics'!E:E,MATCH($C663,'Policy Characteristics'!$C:$C,0))),"",INDEX('Policy Characteristics'!E:E,MATCH($C663,'Policy Characteristics'!$C:$C,0)))</f>
        <v>indst med and high temp fuel type shifting</v>
      </c>
      <c r="L663" s="398">
        <f>IF(ISBLANK(INDEX('Policy Characteristics'!F:F,MATCH($C663,'Policy Characteristics'!$C:$C,0))),"",INDEX('Policy Characteristics'!F:F,MATCH($C663,'Policy Characteristics'!$C:$C,0)))</f>
        <v>0</v>
      </c>
      <c r="M663" s="398">
        <f>IF(ISBLANK(INDEX('Policy Characteristics'!G:G,MATCH($C663,'Policy Characteristics'!$C:$C,0))),"",INDEX('Policy Characteristics'!G:G,MATCH($C663,'Policy Characteristics'!$C:$C,0)))</f>
        <v>1</v>
      </c>
      <c r="N663" s="398">
        <f>IF(ISBLANK(INDEX('Policy Characteristics'!H:H,MATCH($C663,'Policy Characteristics'!$C:$C,0))),"",INDEX('Policy Characteristics'!H:H,MATCH($C663,'Policy Characteristics'!$C:$C,0)))</f>
        <v>0.01</v>
      </c>
      <c r="O663" s="394" t="str">
        <f>IF(ISBLANK(INDEX('Policy Characteristics'!I:I,MATCH($C663,'Policy Characteristics'!$C:$C,0))),"",INDEX('Policy Characteristics'!I:I,MATCH($C663,'Policy Characteristics'!$C:$C,0)))</f>
        <v>% of fuel shifted</v>
      </c>
      <c r="P663" s="394" t="str">
        <f>IF(ISBLANK(INDEX('Policy Characteristics'!J:J,MATCH($C663,'Policy Characteristics'!$C:$C,0))),"",INDEX('Policy Characteristics'!J:J,MATCH($C663,'Policy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3" s="394" t="str">
        <f>IF(ISBLANK(INDEX('Policy Characteristics'!K:K,MATCH($C663,'Policy Characteristics'!$C:$C,0))),"",INDEX('Policy Characteristics'!K:K,MATCH($C663,'Policy Characteristics'!$C:$C,0)))</f>
        <v>industry-ag-main.html#fuel-switching</v>
      </c>
      <c r="R663" s="394" t="str">
        <f>IF(ISBLANK(INDEX('Policy Characteristics'!L:L,MATCH($C663,'Policy Characteristics'!$C:$C,0))),"",INDEX('Policy Characteristics'!L:L,MATCH($C663,'Policy Characteristics'!$C:$C,0)))</f>
        <v>industry-elec-and-hydrogen.html</v>
      </c>
    </row>
    <row r="664" customHeight="1" spans="1:18">
      <c r="A664" s="394" t="str">
        <f>IF(ISBLANK(INDEX('Policy Characteristics'!A:A,MATCH($C664,'Policy Characteristics'!$C:$C,0))),"",INDEX('Policy Characteristics'!A:A,MATCH($C664,'Policy Characteristics'!$C:$C,0)))</f>
        <v>Industry</v>
      </c>
      <c r="B664" s="395" t="str">
        <f>IF(ISBLANK(INDEX('Policy Characteristics'!B:B,MATCH($C664,'Policy Characteristics'!$C:$C,0))),"",INDEX('Policy Characteristics'!B:B,MATCH($C664,'Policy Characteristics'!$C:$C,0)))</f>
        <v>Electrification + Hydrogen (Med &amp; High Temp)</v>
      </c>
      <c r="C664" s="394" t="str">
        <f t="shared" si="34"/>
        <v>Fraction of Med and High Temp Industrial Heat Shifted to Other Fuels</v>
      </c>
      <c r="D664" s="399" t="s">
        <v>778</v>
      </c>
      <c r="E664" s="399" t="s">
        <v>808</v>
      </c>
      <c r="F664" t="s">
        <v>779</v>
      </c>
      <c r="G664" s="399" t="s">
        <v>809</v>
      </c>
      <c r="H664" s="377">
        <v>1416</v>
      </c>
      <c r="I664" s="396" t="s">
        <v>658</v>
      </c>
      <c r="J664" s="397" t="str">
        <f>IF(ISBLANK(INDEX('Policy Characteristics'!D:D,MATCH($C664,'Policy Characteristics'!$C:$C,0))),"",INDEX('Policy Characteristics'!D:D,MATCH($C664,'Policy Characteristics'!$C:$C,0)))</f>
        <v>Electrification + Hydrogen</v>
      </c>
      <c r="K664" s="394" t="str">
        <f>IF(ISBLANK(INDEX('Policy Characteristics'!E:E,MATCH($C664,'Policy Characteristics'!$C:$C,0))),"",INDEX('Policy Characteristics'!E:E,MATCH($C664,'Policy Characteristics'!$C:$C,0)))</f>
        <v>indst med and high temp fuel type shifting</v>
      </c>
      <c r="L664" s="398">
        <f>IF(ISBLANK(INDEX('Policy Characteristics'!F:F,MATCH($C664,'Policy Characteristics'!$C:$C,0))),"",INDEX('Policy Characteristics'!F:F,MATCH($C664,'Policy Characteristics'!$C:$C,0)))</f>
        <v>0</v>
      </c>
      <c r="M664" s="398">
        <f>IF(ISBLANK(INDEX('Policy Characteristics'!G:G,MATCH($C664,'Policy Characteristics'!$C:$C,0))),"",INDEX('Policy Characteristics'!G:G,MATCH($C664,'Policy Characteristics'!$C:$C,0)))</f>
        <v>1</v>
      </c>
      <c r="N664" s="398">
        <f>IF(ISBLANK(INDEX('Policy Characteristics'!H:H,MATCH($C664,'Policy Characteristics'!$C:$C,0))),"",INDEX('Policy Characteristics'!H:H,MATCH($C664,'Policy Characteristics'!$C:$C,0)))</f>
        <v>0.01</v>
      </c>
      <c r="O664" s="394" t="str">
        <f>IF(ISBLANK(INDEX('Policy Characteristics'!I:I,MATCH($C664,'Policy Characteristics'!$C:$C,0))),"",INDEX('Policy Characteristics'!I:I,MATCH($C664,'Policy Characteristics'!$C:$C,0)))</f>
        <v>% of fuel shifted</v>
      </c>
      <c r="P664" s="394" t="str">
        <f>IF(ISBLANK(INDEX('Policy Characteristics'!J:J,MATCH($C664,'Policy Characteristics'!$C:$C,0))),"",INDEX('Policy Characteristics'!J:J,MATCH($C664,'Policy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4" s="394" t="str">
        <f>IF(ISBLANK(INDEX('Policy Characteristics'!K:K,MATCH($C664,'Policy Characteristics'!$C:$C,0))),"",INDEX('Policy Characteristics'!K:K,MATCH($C664,'Policy Characteristics'!$C:$C,0)))</f>
        <v>industry-ag-main.html#fuel-switching</v>
      </c>
      <c r="R664" s="394" t="str">
        <f>IF(ISBLANK(INDEX('Policy Characteristics'!L:L,MATCH($C664,'Policy Characteristics'!$C:$C,0))),"",INDEX('Policy Characteristics'!L:L,MATCH($C664,'Policy Characteristics'!$C:$C,0)))</f>
        <v>industry-elec-and-hydrogen.html</v>
      </c>
    </row>
    <row r="665" customHeight="1" spans="1:18">
      <c r="A665" s="394" t="str">
        <f>IF(ISBLANK(INDEX('Policy Characteristics'!A:A,MATCH($C665,'Policy Characteristics'!$C:$C,0))),"",INDEX('Policy Characteristics'!A:A,MATCH($C665,'Policy Characteristics'!$C:$C,0)))</f>
        <v>Industry</v>
      </c>
      <c r="B665" s="395" t="str">
        <f>IF(ISBLANK(INDEX('Policy Characteristics'!B:B,MATCH($C665,'Policy Characteristics'!$C:$C,0))),"",INDEX('Policy Characteristics'!B:B,MATCH($C665,'Policy Characteristics'!$C:$C,0)))</f>
        <v>Electrification + Hydrogen (Med &amp; High Temp)</v>
      </c>
      <c r="C665" s="394" t="str">
        <f t="shared" ref="C665:C705" si="35">C$456</f>
        <v>Fraction of Med and High Temp Industrial Heat Shifted to Other Fuels</v>
      </c>
      <c r="D665" s="399" t="s">
        <v>778</v>
      </c>
      <c r="E665" s="399" t="s">
        <v>810</v>
      </c>
      <c r="F665" t="s">
        <v>779</v>
      </c>
      <c r="G665" s="399" t="s">
        <v>811</v>
      </c>
      <c r="H665" s="377">
        <v>1417</v>
      </c>
      <c r="I665" s="396" t="s">
        <v>648</v>
      </c>
      <c r="J665" s="397" t="str">
        <f>IF(ISBLANK(INDEX('Policy Characteristics'!D:D,MATCH($C665,'Policy Characteristics'!$C:$C,0))),"",INDEX('Policy Characteristics'!D:D,MATCH($C665,'Policy Characteristics'!$C:$C,0)))</f>
        <v>Electrification + Hydrogen</v>
      </c>
      <c r="K665" s="394" t="str">
        <f>IF(ISBLANK(INDEX('Policy Characteristics'!E:E,MATCH($C665,'Policy Characteristics'!$C:$C,0))),"",INDEX('Policy Characteristics'!E:E,MATCH($C665,'Policy Characteristics'!$C:$C,0)))</f>
        <v>indst med and high temp fuel type shifting</v>
      </c>
      <c r="L665" s="398">
        <f>IF(ISBLANK(INDEX('Policy Characteristics'!F:F,MATCH($C665,'Policy Characteristics'!$C:$C,0))),"",INDEX('Policy Characteristics'!F:F,MATCH($C665,'Policy Characteristics'!$C:$C,0)))</f>
        <v>0</v>
      </c>
      <c r="M665" s="398">
        <f>IF(ISBLANK(INDEX('Policy Characteristics'!G:G,MATCH($C665,'Policy Characteristics'!$C:$C,0))),"",INDEX('Policy Characteristics'!G:G,MATCH($C665,'Policy Characteristics'!$C:$C,0)))</f>
        <v>1</v>
      </c>
      <c r="N665" s="398">
        <f>IF(ISBLANK(INDEX('Policy Characteristics'!H:H,MATCH($C665,'Policy Characteristics'!$C:$C,0))),"",INDEX('Policy Characteristics'!H:H,MATCH($C665,'Policy Characteristics'!$C:$C,0)))</f>
        <v>0.01</v>
      </c>
      <c r="O665" s="394" t="str">
        <f>IF(ISBLANK(INDEX('Policy Characteristics'!I:I,MATCH($C665,'Policy Characteristics'!$C:$C,0))),"",INDEX('Policy Characteristics'!I:I,MATCH($C665,'Policy Characteristics'!$C:$C,0)))</f>
        <v>% of fuel shifted</v>
      </c>
      <c r="P665" s="394" t="str">
        <f>IF(ISBLANK(INDEX('Policy Characteristics'!J:J,MATCH($C665,'Policy Characteristics'!$C:$C,0))),"",INDEX('Policy Characteristics'!J:J,MATCH($C665,'Policy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5" s="394" t="str">
        <f>IF(ISBLANK(INDEX('Policy Characteristics'!K:K,MATCH($C665,'Policy Characteristics'!$C:$C,0))),"",INDEX('Policy Characteristics'!K:K,MATCH($C665,'Policy Characteristics'!$C:$C,0)))</f>
        <v>industry-ag-main.html#fuel-switching</v>
      </c>
      <c r="R665" s="394" t="str">
        <f>IF(ISBLANK(INDEX('Policy Characteristics'!L:L,MATCH($C665,'Policy Characteristics'!$C:$C,0))),"",INDEX('Policy Characteristics'!L:L,MATCH($C665,'Policy Characteristics'!$C:$C,0)))</f>
        <v>industry-elec-and-hydrogen.html</v>
      </c>
    </row>
    <row r="666" customHeight="1" spans="1:18">
      <c r="A666" s="394" t="str">
        <f>IF(ISBLANK(INDEX('Policy Characteristics'!A:A,MATCH($C666,'Policy Characteristics'!$C:$C,0))),"",INDEX('Policy Characteristics'!A:A,MATCH($C666,'Policy Characteristics'!$C:$C,0)))</f>
        <v>Industry</v>
      </c>
      <c r="B666" s="395" t="str">
        <f>IF(ISBLANK(INDEX('Policy Characteristics'!B:B,MATCH($C666,'Policy Characteristics'!$C:$C,0))),"",INDEX('Policy Characteristics'!B:B,MATCH($C666,'Policy Characteristics'!$C:$C,0)))</f>
        <v>Electrification + Hydrogen (Med &amp; High Temp)</v>
      </c>
      <c r="C666" s="394" t="str">
        <f t="shared" si="35"/>
        <v>Fraction of Med and High Temp Industrial Heat Shifted to Other Fuels</v>
      </c>
      <c r="D666" s="399" t="s">
        <v>780</v>
      </c>
      <c r="E666" s="399" t="s">
        <v>792</v>
      </c>
      <c r="F666" t="s">
        <v>781</v>
      </c>
      <c r="G666" s="399" t="s">
        <v>793</v>
      </c>
      <c r="H666" s="377">
        <v>1418</v>
      </c>
      <c r="I666" s="396" t="s">
        <v>648</v>
      </c>
      <c r="J666" s="397" t="str">
        <f>IF(ISBLANK(INDEX('Policy Characteristics'!D:D,MATCH($C666,'Policy Characteristics'!$C:$C,0))),"",INDEX('Policy Characteristics'!D:D,MATCH($C666,'Policy Characteristics'!$C:$C,0)))</f>
        <v>Electrification + Hydrogen</v>
      </c>
      <c r="K666" s="394" t="str">
        <f>IF(ISBLANK(INDEX('Policy Characteristics'!E:E,MATCH($C666,'Policy Characteristics'!$C:$C,0))),"",INDEX('Policy Characteristics'!E:E,MATCH($C666,'Policy Characteristics'!$C:$C,0)))</f>
        <v>indst med and high temp fuel type shifting</v>
      </c>
      <c r="L666" s="398">
        <f>IF(ISBLANK(INDEX('Policy Characteristics'!F:F,MATCH($C666,'Policy Characteristics'!$C:$C,0))),"",INDEX('Policy Characteristics'!F:F,MATCH($C666,'Policy Characteristics'!$C:$C,0)))</f>
        <v>0</v>
      </c>
      <c r="M666" s="398">
        <f>IF(ISBLANK(INDEX('Policy Characteristics'!G:G,MATCH($C666,'Policy Characteristics'!$C:$C,0))),"",INDEX('Policy Characteristics'!G:G,MATCH($C666,'Policy Characteristics'!$C:$C,0)))</f>
        <v>1</v>
      </c>
      <c r="N666" s="398">
        <f>IF(ISBLANK(INDEX('Policy Characteristics'!H:H,MATCH($C666,'Policy Characteristics'!$C:$C,0))),"",INDEX('Policy Characteristics'!H:H,MATCH($C666,'Policy Characteristics'!$C:$C,0)))</f>
        <v>0.01</v>
      </c>
      <c r="O666" s="394" t="str">
        <f>IF(ISBLANK(INDEX('Policy Characteristics'!I:I,MATCH($C666,'Policy Characteristics'!$C:$C,0))),"",INDEX('Policy Characteristics'!I:I,MATCH($C666,'Policy Characteristics'!$C:$C,0)))</f>
        <v>% of fuel shifted</v>
      </c>
      <c r="P666" s="394" t="str">
        <f>IF(ISBLANK(INDEX('Policy Characteristics'!J:J,MATCH($C666,'Policy Characteristics'!$C:$C,0))),"",INDEX('Policy Characteristics'!J:J,MATCH($C666,'Policy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6" s="394" t="str">
        <f>IF(ISBLANK(INDEX('Policy Characteristics'!K:K,MATCH($C666,'Policy Characteristics'!$C:$C,0))),"",INDEX('Policy Characteristics'!K:K,MATCH($C666,'Policy Characteristics'!$C:$C,0)))</f>
        <v>industry-ag-main.html#fuel-switching</v>
      </c>
      <c r="R666" s="394" t="str">
        <f>IF(ISBLANK(INDEX('Policy Characteristics'!L:L,MATCH($C666,'Policy Characteristics'!$C:$C,0))),"",INDEX('Policy Characteristics'!L:L,MATCH($C666,'Policy Characteristics'!$C:$C,0)))</f>
        <v>industry-elec-and-hydrogen.html</v>
      </c>
    </row>
    <row r="667" customHeight="1" spans="1:18">
      <c r="A667" s="394" t="str">
        <f>IF(ISBLANK(INDEX('Policy Characteristics'!A:A,MATCH($C667,'Policy Characteristics'!$C:$C,0))),"",INDEX('Policy Characteristics'!A:A,MATCH($C667,'Policy Characteristics'!$C:$C,0)))</f>
        <v>Industry</v>
      </c>
      <c r="B667" s="395" t="str">
        <f>IF(ISBLANK(INDEX('Policy Characteristics'!B:B,MATCH($C667,'Policy Characteristics'!$C:$C,0))),"",INDEX('Policy Characteristics'!B:B,MATCH($C667,'Policy Characteristics'!$C:$C,0)))</f>
        <v>Electrification + Hydrogen (Med &amp; High Temp)</v>
      </c>
      <c r="C667" s="394" t="str">
        <f t="shared" si="35"/>
        <v>Fraction of Med and High Temp Industrial Heat Shifted to Other Fuels</v>
      </c>
      <c r="D667" s="399" t="s">
        <v>780</v>
      </c>
      <c r="E667" s="399" t="s">
        <v>794</v>
      </c>
      <c r="F667" t="s">
        <v>781</v>
      </c>
      <c r="G667" s="399" t="s">
        <v>795</v>
      </c>
      <c r="H667" s="377">
        <v>1419</v>
      </c>
      <c r="I667" s="396" t="s">
        <v>658</v>
      </c>
      <c r="J667" s="397" t="str">
        <f>IF(ISBLANK(INDEX('Policy Characteristics'!D:D,MATCH($C667,'Policy Characteristics'!$C:$C,0))),"",INDEX('Policy Characteristics'!D:D,MATCH($C667,'Policy Characteristics'!$C:$C,0)))</f>
        <v>Electrification + Hydrogen</v>
      </c>
      <c r="K667" s="394" t="str">
        <f>IF(ISBLANK(INDEX('Policy Characteristics'!E:E,MATCH($C667,'Policy Characteristics'!$C:$C,0))),"",INDEX('Policy Characteristics'!E:E,MATCH($C667,'Policy Characteristics'!$C:$C,0)))</f>
        <v>indst med and high temp fuel type shifting</v>
      </c>
      <c r="L667" s="398">
        <f>IF(ISBLANK(INDEX('Policy Characteristics'!F:F,MATCH($C667,'Policy Characteristics'!$C:$C,0))),"",INDEX('Policy Characteristics'!F:F,MATCH($C667,'Policy Characteristics'!$C:$C,0)))</f>
        <v>0</v>
      </c>
      <c r="M667" s="398">
        <f>IF(ISBLANK(INDEX('Policy Characteristics'!G:G,MATCH($C667,'Policy Characteristics'!$C:$C,0))),"",INDEX('Policy Characteristics'!G:G,MATCH($C667,'Policy Characteristics'!$C:$C,0)))</f>
        <v>1</v>
      </c>
      <c r="N667" s="398">
        <f>IF(ISBLANK(INDEX('Policy Characteristics'!H:H,MATCH($C667,'Policy Characteristics'!$C:$C,0))),"",INDEX('Policy Characteristics'!H:H,MATCH($C667,'Policy Characteristics'!$C:$C,0)))</f>
        <v>0.01</v>
      </c>
      <c r="O667" s="394" t="str">
        <f>IF(ISBLANK(INDEX('Policy Characteristics'!I:I,MATCH($C667,'Policy Characteristics'!$C:$C,0))),"",INDEX('Policy Characteristics'!I:I,MATCH($C667,'Policy Characteristics'!$C:$C,0)))</f>
        <v>% of fuel shifted</v>
      </c>
      <c r="P667" s="394" t="str">
        <f>IF(ISBLANK(INDEX('Policy Characteristics'!J:J,MATCH($C667,'Policy Characteristics'!$C:$C,0))),"",INDEX('Policy Characteristics'!J:J,MATCH($C667,'Policy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7" s="394" t="str">
        <f>IF(ISBLANK(INDEX('Policy Characteristics'!K:K,MATCH($C667,'Policy Characteristics'!$C:$C,0))),"",INDEX('Policy Characteristics'!K:K,MATCH($C667,'Policy Characteristics'!$C:$C,0)))</f>
        <v>industry-ag-main.html#fuel-switching</v>
      </c>
      <c r="R667" s="394" t="str">
        <f>IF(ISBLANK(INDEX('Policy Characteristics'!L:L,MATCH($C667,'Policy Characteristics'!$C:$C,0))),"",INDEX('Policy Characteristics'!L:L,MATCH($C667,'Policy Characteristics'!$C:$C,0)))</f>
        <v>industry-elec-and-hydrogen.html</v>
      </c>
    </row>
    <row r="668" customHeight="1" spans="1:18">
      <c r="A668" s="394" t="str">
        <f>IF(ISBLANK(INDEX('Policy Characteristics'!A:A,MATCH($C668,'Policy Characteristics'!$C:$C,0))),"",INDEX('Policy Characteristics'!A:A,MATCH($C668,'Policy Characteristics'!$C:$C,0)))</f>
        <v>Industry</v>
      </c>
      <c r="B668" s="395" t="str">
        <f>IF(ISBLANK(INDEX('Policy Characteristics'!B:B,MATCH($C668,'Policy Characteristics'!$C:$C,0))),"",INDEX('Policy Characteristics'!B:B,MATCH($C668,'Policy Characteristics'!$C:$C,0)))</f>
        <v>Electrification + Hydrogen (Med &amp; High Temp)</v>
      </c>
      <c r="C668" s="394" t="str">
        <f t="shared" si="35"/>
        <v>Fraction of Med and High Temp Industrial Heat Shifted to Other Fuels</v>
      </c>
      <c r="D668" s="399" t="s">
        <v>780</v>
      </c>
      <c r="E668" s="399" t="s">
        <v>796</v>
      </c>
      <c r="F668" t="s">
        <v>781</v>
      </c>
      <c r="G668" s="399" t="s">
        <v>797</v>
      </c>
      <c r="H668" s="377">
        <v>1420</v>
      </c>
      <c r="I668" s="396" t="s">
        <v>658</v>
      </c>
      <c r="J668" s="397" t="str">
        <f>IF(ISBLANK(INDEX('Policy Characteristics'!D:D,MATCH($C668,'Policy Characteristics'!$C:$C,0))),"",INDEX('Policy Characteristics'!D:D,MATCH($C668,'Policy Characteristics'!$C:$C,0)))</f>
        <v>Electrification + Hydrogen</v>
      </c>
      <c r="K668" s="394" t="str">
        <f>IF(ISBLANK(INDEX('Policy Characteristics'!E:E,MATCH($C668,'Policy Characteristics'!$C:$C,0))),"",INDEX('Policy Characteristics'!E:E,MATCH($C668,'Policy Characteristics'!$C:$C,0)))</f>
        <v>indst med and high temp fuel type shifting</v>
      </c>
      <c r="L668" s="398">
        <f>IF(ISBLANK(INDEX('Policy Characteristics'!F:F,MATCH($C668,'Policy Characteristics'!$C:$C,0))),"",INDEX('Policy Characteristics'!F:F,MATCH($C668,'Policy Characteristics'!$C:$C,0)))</f>
        <v>0</v>
      </c>
      <c r="M668" s="398">
        <f>IF(ISBLANK(INDEX('Policy Characteristics'!G:G,MATCH($C668,'Policy Characteristics'!$C:$C,0))),"",INDEX('Policy Characteristics'!G:G,MATCH($C668,'Policy Characteristics'!$C:$C,0)))</f>
        <v>1</v>
      </c>
      <c r="N668" s="398">
        <f>IF(ISBLANK(INDEX('Policy Characteristics'!H:H,MATCH($C668,'Policy Characteristics'!$C:$C,0))),"",INDEX('Policy Characteristics'!H:H,MATCH($C668,'Policy Characteristics'!$C:$C,0)))</f>
        <v>0.01</v>
      </c>
      <c r="O668" s="394" t="str">
        <f>IF(ISBLANK(INDEX('Policy Characteristics'!I:I,MATCH($C668,'Policy Characteristics'!$C:$C,0))),"",INDEX('Policy Characteristics'!I:I,MATCH($C668,'Policy Characteristics'!$C:$C,0)))</f>
        <v>% of fuel shifted</v>
      </c>
      <c r="P668" s="394" t="str">
        <f>IF(ISBLANK(INDEX('Policy Characteristics'!J:J,MATCH($C668,'Policy Characteristics'!$C:$C,0))),"",INDEX('Policy Characteristics'!J:J,MATCH($C668,'Policy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8" s="394" t="str">
        <f>IF(ISBLANK(INDEX('Policy Characteristics'!K:K,MATCH($C668,'Policy Characteristics'!$C:$C,0))),"",INDEX('Policy Characteristics'!K:K,MATCH($C668,'Policy Characteristics'!$C:$C,0)))</f>
        <v>industry-ag-main.html#fuel-switching</v>
      </c>
      <c r="R668" s="394" t="str">
        <f>IF(ISBLANK(INDEX('Policy Characteristics'!L:L,MATCH($C668,'Policy Characteristics'!$C:$C,0))),"",INDEX('Policy Characteristics'!L:L,MATCH($C668,'Policy Characteristics'!$C:$C,0)))</f>
        <v>industry-elec-and-hydrogen.html</v>
      </c>
    </row>
    <row r="669" customHeight="1" spans="1:18">
      <c r="A669" s="394" t="str">
        <f>IF(ISBLANK(INDEX('Policy Characteristics'!A:A,MATCH($C669,'Policy Characteristics'!$C:$C,0))),"",INDEX('Policy Characteristics'!A:A,MATCH($C669,'Policy Characteristics'!$C:$C,0)))</f>
        <v>Industry</v>
      </c>
      <c r="B669" s="395" t="str">
        <f>IF(ISBLANK(INDEX('Policy Characteristics'!B:B,MATCH($C669,'Policy Characteristics'!$C:$C,0))),"",INDEX('Policy Characteristics'!B:B,MATCH($C669,'Policy Characteristics'!$C:$C,0)))</f>
        <v>Electrification + Hydrogen (Med &amp; High Temp)</v>
      </c>
      <c r="C669" s="394" t="str">
        <f t="shared" si="35"/>
        <v>Fraction of Med and High Temp Industrial Heat Shifted to Other Fuels</v>
      </c>
      <c r="D669" s="399" t="s">
        <v>780</v>
      </c>
      <c r="E669" s="399" t="s">
        <v>798</v>
      </c>
      <c r="F669" t="s">
        <v>781</v>
      </c>
      <c r="G669" s="399" t="s">
        <v>799</v>
      </c>
      <c r="H669" s="377">
        <v>1421</v>
      </c>
      <c r="I669" s="396" t="s">
        <v>658</v>
      </c>
      <c r="J669" s="397" t="str">
        <f>IF(ISBLANK(INDEX('Policy Characteristics'!D:D,MATCH($C669,'Policy Characteristics'!$C:$C,0))),"",INDEX('Policy Characteristics'!D:D,MATCH($C669,'Policy Characteristics'!$C:$C,0)))</f>
        <v>Electrification + Hydrogen</v>
      </c>
      <c r="K669" s="394" t="str">
        <f>IF(ISBLANK(INDEX('Policy Characteristics'!E:E,MATCH($C669,'Policy Characteristics'!$C:$C,0))),"",INDEX('Policy Characteristics'!E:E,MATCH($C669,'Policy Characteristics'!$C:$C,0)))</f>
        <v>indst med and high temp fuel type shifting</v>
      </c>
      <c r="L669" s="398">
        <f>IF(ISBLANK(INDEX('Policy Characteristics'!F:F,MATCH($C669,'Policy Characteristics'!$C:$C,0))),"",INDEX('Policy Characteristics'!F:F,MATCH($C669,'Policy Characteristics'!$C:$C,0)))</f>
        <v>0</v>
      </c>
      <c r="M669" s="398">
        <f>IF(ISBLANK(INDEX('Policy Characteristics'!G:G,MATCH($C669,'Policy Characteristics'!$C:$C,0))),"",INDEX('Policy Characteristics'!G:G,MATCH($C669,'Policy Characteristics'!$C:$C,0)))</f>
        <v>1</v>
      </c>
      <c r="N669" s="398">
        <f>IF(ISBLANK(INDEX('Policy Characteristics'!H:H,MATCH($C669,'Policy Characteristics'!$C:$C,0))),"",INDEX('Policy Characteristics'!H:H,MATCH($C669,'Policy Characteristics'!$C:$C,0)))</f>
        <v>0.01</v>
      </c>
      <c r="O669" s="394" t="str">
        <f>IF(ISBLANK(INDEX('Policy Characteristics'!I:I,MATCH($C669,'Policy Characteristics'!$C:$C,0))),"",INDEX('Policy Characteristics'!I:I,MATCH($C669,'Policy Characteristics'!$C:$C,0)))</f>
        <v>% of fuel shifted</v>
      </c>
      <c r="P669" s="394" t="str">
        <f>IF(ISBLANK(INDEX('Policy Characteristics'!J:J,MATCH($C669,'Policy Characteristics'!$C:$C,0))),"",INDEX('Policy Characteristics'!J:J,MATCH($C669,'Policy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9" s="394" t="str">
        <f>IF(ISBLANK(INDEX('Policy Characteristics'!K:K,MATCH($C669,'Policy Characteristics'!$C:$C,0))),"",INDEX('Policy Characteristics'!K:K,MATCH($C669,'Policy Characteristics'!$C:$C,0)))</f>
        <v>industry-ag-main.html#fuel-switching</v>
      </c>
      <c r="R669" s="394" t="str">
        <f>IF(ISBLANK(INDEX('Policy Characteristics'!L:L,MATCH($C669,'Policy Characteristics'!$C:$C,0))),"",INDEX('Policy Characteristics'!L:L,MATCH($C669,'Policy Characteristics'!$C:$C,0)))</f>
        <v>industry-elec-and-hydrogen.html</v>
      </c>
    </row>
    <row r="670" customHeight="1" spans="1:18">
      <c r="A670" s="394" t="str">
        <f>IF(ISBLANK(INDEX('Policy Characteristics'!A:A,MATCH($C670,'Policy Characteristics'!$C:$C,0))),"",INDEX('Policy Characteristics'!A:A,MATCH($C670,'Policy Characteristics'!$C:$C,0)))</f>
        <v>Industry</v>
      </c>
      <c r="B670" s="395" t="str">
        <f>IF(ISBLANK(INDEX('Policy Characteristics'!B:B,MATCH($C670,'Policy Characteristics'!$C:$C,0))),"",INDEX('Policy Characteristics'!B:B,MATCH($C670,'Policy Characteristics'!$C:$C,0)))</f>
        <v>Electrification + Hydrogen (Med &amp; High Temp)</v>
      </c>
      <c r="C670" s="394" t="str">
        <f t="shared" si="35"/>
        <v>Fraction of Med and High Temp Industrial Heat Shifted to Other Fuels</v>
      </c>
      <c r="D670" s="399" t="s">
        <v>780</v>
      </c>
      <c r="E670" s="399" t="s">
        <v>800</v>
      </c>
      <c r="F670" t="s">
        <v>781</v>
      </c>
      <c r="G670" s="399" t="s">
        <v>801</v>
      </c>
      <c r="H670" s="377">
        <v>1422</v>
      </c>
      <c r="I670" s="396" t="s">
        <v>658</v>
      </c>
      <c r="J670" s="397" t="str">
        <f>IF(ISBLANK(INDEX('Policy Characteristics'!D:D,MATCH($C670,'Policy Characteristics'!$C:$C,0))),"",INDEX('Policy Characteristics'!D:D,MATCH($C670,'Policy Characteristics'!$C:$C,0)))</f>
        <v>Electrification + Hydrogen</v>
      </c>
      <c r="K670" s="394" t="str">
        <f>IF(ISBLANK(INDEX('Policy Characteristics'!E:E,MATCH($C670,'Policy Characteristics'!$C:$C,0))),"",INDEX('Policy Characteristics'!E:E,MATCH($C670,'Policy Characteristics'!$C:$C,0)))</f>
        <v>indst med and high temp fuel type shifting</v>
      </c>
      <c r="L670" s="398">
        <f>IF(ISBLANK(INDEX('Policy Characteristics'!F:F,MATCH($C670,'Policy Characteristics'!$C:$C,0))),"",INDEX('Policy Characteristics'!F:F,MATCH($C670,'Policy Characteristics'!$C:$C,0)))</f>
        <v>0</v>
      </c>
      <c r="M670" s="398">
        <f>IF(ISBLANK(INDEX('Policy Characteristics'!G:G,MATCH($C670,'Policy Characteristics'!$C:$C,0))),"",INDEX('Policy Characteristics'!G:G,MATCH($C670,'Policy Characteristics'!$C:$C,0)))</f>
        <v>1</v>
      </c>
      <c r="N670" s="398">
        <f>IF(ISBLANK(INDEX('Policy Characteristics'!H:H,MATCH($C670,'Policy Characteristics'!$C:$C,0))),"",INDEX('Policy Characteristics'!H:H,MATCH($C670,'Policy Characteristics'!$C:$C,0)))</f>
        <v>0.01</v>
      </c>
      <c r="O670" s="394" t="str">
        <f>IF(ISBLANK(INDEX('Policy Characteristics'!I:I,MATCH($C670,'Policy Characteristics'!$C:$C,0))),"",INDEX('Policy Characteristics'!I:I,MATCH($C670,'Policy Characteristics'!$C:$C,0)))</f>
        <v>% of fuel shifted</v>
      </c>
      <c r="P670" s="394" t="str">
        <f>IF(ISBLANK(INDEX('Policy Characteristics'!J:J,MATCH($C670,'Policy Characteristics'!$C:$C,0))),"",INDEX('Policy Characteristics'!J:J,MATCH($C670,'Policy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0" s="394" t="str">
        <f>IF(ISBLANK(INDEX('Policy Characteristics'!K:K,MATCH($C670,'Policy Characteristics'!$C:$C,0))),"",INDEX('Policy Characteristics'!K:K,MATCH($C670,'Policy Characteristics'!$C:$C,0)))</f>
        <v>industry-ag-main.html#fuel-switching</v>
      </c>
      <c r="R670" s="394" t="str">
        <f>IF(ISBLANK(INDEX('Policy Characteristics'!L:L,MATCH($C670,'Policy Characteristics'!$C:$C,0))),"",INDEX('Policy Characteristics'!L:L,MATCH($C670,'Policy Characteristics'!$C:$C,0)))</f>
        <v>industry-elec-and-hydrogen.html</v>
      </c>
    </row>
    <row r="671" customHeight="1" spans="1:18">
      <c r="A671" s="394" t="str">
        <f>IF(ISBLANK(INDEX('Policy Characteristics'!A:A,MATCH($C671,'Policy Characteristics'!$C:$C,0))),"",INDEX('Policy Characteristics'!A:A,MATCH($C671,'Policy Characteristics'!$C:$C,0)))</f>
        <v>Industry</v>
      </c>
      <c r="B671" s="395" t="str">
        <f>IF(ISBLANK(INDEX('Policy Characteristics'!B:B,MATCH($C671,'Policy Characteristics'!$C:$C,0))),"",INDEX('Policy Characteristics'!B:B,MATCH($C671,'Policy Characteristics'!$C:$C,0)))</f>
        <v>Electrification + Hydrogen (Med &amp; High Temp)</v>
      </c>
      <c r="C671" s="394" t="str">
        <f t="shared" si="35"/>
        <v>Fraction of Med and High Temp Industrial Heat Shifted to Other Fuels</v>
      </c>
      <c r="D671" s="399" t="s">
        <v>780</v>
      </c>
      <c r="E671" s="399" t="s">
        <v>802</v>
      </c>
      <c r="F671" t="s">
        <v>781</v>
      </c>
      <c r="G671" s="399" t="s">
        <v>803</v>
      </c>
      <c r="H671" s="377">
        <v>1423</v>
      </c>
      <c r="I671" s="396" t="s">
        <v>658</v>
      </c>
      <c r="J671" s="397" t="str">
        <f>IF(ISBLANK(INDEX('Policy Characteristics'!D:D,MATCH($C671,'Policy Characteristics'!$C:$C,0))),"",INDEX('Policy Characteristics'!D:D,MATCH($C671,'Policy Characteristics'!$C:$C,0)))</f>
        <v>Electrification + Hydrogen</v>
      </c>
      <c r="K671" s="394" t="str">
        <f>IF(ISBLANK(INDEX('Policy Characteristics'!E:E,MATCH($C671,'Policy Characteristics'!$C:$C,0))),"",INDEX('Policy Characteristics'!E:E,MATCH($C671,'Policy Characteristics'!$C:$C,0)))</f>
        <v>indst med and high temp fuel type shifting</v>
      </c>
      <c r="L671" s="398">
        <f>IF(ISBLANK(INDEX('Policy Characteristics'!F:F,MATCH($C671,'Policy Characteristics'!$C:$C,0))),"",INDEX('Policy Characteristics'!F:F,MATCH($C671,'Policy Characteristics'!$C:$C,0)))</f>
        <v>0</v>
      </c>
      <c r="M671" s="398">
        <f>IF(ISBLANK(INDEX('Policy Characteristics'!G:G,MATCH($C671,'Policy Characteristics'!$C:$C,0))),"",INDEX('Policy Characteristics'!G:G,MATCH($C671,'Policy Characteristics'!$C:$C,0)))</f>
        <v>1</v>
      </c>
      <c r="N671" s="398">
        <f>IF(ISBLANK(INDEX('Policy Characteristics'!H:H,MATCH($C671,'Policy Characteristics'!$C:$C,0))),"",INDEX('Policy Characteristics'!H:H,MATCH($C671,'Policy Characteristics'!$C:$C,0)))</f>
        <v>0.01</v>
      </c>
      <c r="O671" s="394" t="str">
        <f>IF(ISBLANK(INDEX('Policy Characteristics'!I:I,MATCH($C671,'Policy Characteristics'!$C:$C,0))),"",INDEX('Policy Characteristics'!I:I,MATCH($C671,'Policy Characteristics'!$C:$C,0)))</f>
        <v>% of fuel shifted</v>
      </c>
      <c r="P671" s="394" t="str">
        <f>IF(ISBLANK(INDEX('Policy Characteristics'!J:J,MATCH($C671,'Policy Characteristics'!$C:$C,0))),"",INDEX('Policy Characteristics'!J:J,MATCH($C671,'Policy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1" s="394" t="str">
        <f>IF(ISBLANK(INDEX('Policy Characteristics'!K:K,MATCH($C671,'Policy Characteristics'!$C:$C,0))),"",INDEX('Policy Characteristics'!K:K,MATCH($C671,'Policy Characteristics'!$C:$C,0)))</f>
        <v>industry-ag-main.html#fuel-switching</v>
      </c>
      <c r="R671" s="394" t="str">
        <f>IF(ISBLANK(INDEX('Policy Characteristics'!L:L,MATCH($C671,'Policy Characteristics'!$C:$C,0))),"",INDEX('Policy Characteristics'!L:L,MATCH($C671,'Policy Characteristics'!$C:$C,0)))</f>
        <v>industry-elec-and-hydrogen.html</v>
      </c>
    </row>
    <row r="672" customHeight="1" spans="1:18">
      <c r="A672" s="394" t="str">
        <f>IF(ISBLANK(INDEX('Policy Characteristics'!A:A,MATCH($C672,'Policy Characteristics'!$C:$C,0))),"",INDEX('Policy Characteristics'!A:A,MATCH($C672,'Policy Characteristics'!$C:$C,0)))</f>
        <v>Industry</v>
      </c>
      <c r="B672" s="395" t="str">
        <f>IF(ISBLANK(INDEX('Policy Characteristics'!B:B,MATCH($C672,'Policy Characteristics'!$C:$C,0))),"",INDEX('Policy Characteristics'!B:B,MATCH($C672,'Policy Characteristics'!$C:$C,0)))</f>
        <v>Electrification + Hydrogen (Med &amp; High Temp)</v>
      </c>
      <c r="C672" s="394" t="str">
        <f t="shared" si="35"/>
        <v>Fraction of Med and High Temp Industrial Heat Shifted to Other Fuels</v>
      </c>
      <c r="D672" s="399" t="s">
        <v>780</v>
      </c>
      <c r="E672" s="399" t="s">
        <v>804</v>
      </c>
      <c r="F672" t="s">
        <v>781</v>
      </c>
      <c r="G672" s="399" t="s">
        <v>805</v>
      </c>
      <c r="H672" s="377">
        <v>1424</v>
      </c>
      <c r="I672" s="396" t="s">
        <v>658</v>
      </c>
      <c r="J672" s="397" t="str">
        <f>IF(ISBLANK(INDEX('Policy Characteristics'!D:D,MATCH($C672,'Policy Characteristics'!$C:$C,0))),"",INDEX('Policy Characteristics'!D:D,MATCH($C672,'Policy Characteristics'!$C:$C,0)))</f>
        <v>Electrification + Hydrogen</v>
      </c>
      <c r="K672" s="394" t="str">
        <f>IF(ISBLANK(INDEX('Policy Characteristics'!E:E,MATCH($C672,'Policy Characteristics'!$C:$C,0))),"",INDEX('Policy Characteristics'!E:E,MATCH($C672,'Policy Characteristics'!$C:$C,0)))</f>
        <v>indst med and high temp fuel type shifting</v>
      </c>
      <c r="L672" s="398">
        <f>IF(ISBLANK(INDEX('Policy Characteristics'!F:F,MATCH($C672,'Policy Characteristics'!$C:$C,0))),"",INDEX('Policy Characteristics'!F:F,MATCH($C672,'Policy Characteristics'!$C:$C,0)))</f>
        <v>0</v>
      </c>
      <c r="M672" s="398">
        <f>IF(ISBLANK(INDEX('Policy Characteristics'!G:G,MATCH($C672,'Policy Characteristics'!$C:$C,0))),"",INDEX('Policy Characteristics'!G:G,MATCH($C672,'Policy Characteristics'!$C:$C,0)))</f>
        <v>1</v>
      </c>
      <c r="N672" s="398">
        <f>IF(ISBLANK(INDEX('Policy Characteristics'!H:H,MATCH($C672,'Policy Characteristics'!$C:$C,0))),"",INDEX('Policy Characteristics'!H:H,MATCH($C672,'Policy Characteristics'!$C:$C,0)))</f>
        <v>0.01</v>
      </c>
      <c r="O672" s="394" t="str">
        <f>IF(ISBLANK(INDEX('Policy Characteristics'!I:I,MATCH($C672,'Policy Characteristics'!$C:$C,0))),"",INDEX('Policy Characteristics'!I:I,MATCH($C672,'Policy Characteristics'!$C:$C,0)))</f>
        <v>% of fuel shifted</v>
      </c>
      <c r="P672" s="394" t="str">
        <f>IF(ISBLANK(INDEX('Policy Characteristics'!J:J,MATCH($C672,'Policy Characteristics'!$C:$C,0))),"",INDEX('Policy Characteristics'!J:J,MATCH($C672,'Policy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2" s="394" t="str">
        <f>IF(ISBLANK(INDEX('Policy Characteristics'!K:K,MATCH($C672,'Policy Characteristics'!$C:$C,0))),"",INDEX('Policy Characteristics'!K:K,MATCH($C672,'Policy Characteristics'!$C:$C,0)))</f>
        <v>industry-ag-main.html#fuel-switching</v>
      </c>
      <c r="R672" s="394" t="str">
        <f>IF(ISBLANK(INDEX('Policy Characteristics'!L:L,MATCH($C672,'Policy Characteristics'!$C:$C,0))),"",INDEX('Policy Characteristics'!L:L,MATCH($C672,'Policy Characteristics'!$C:$C,0)))</f>
        <v>industry-elec-and-hydrogen.html</v>
      </c>
    </row>
    <row r="673" customHeight="1" spans="1:18">
      <c r="A673" s="394" t="str">
        <f>IF(ISBLANK(INDEX('Policy Characteristics'!A:A,MATCH($C673,'Policy Characteristics'!$C:$C,0))),"",INDEX('Policy Characteristics'!A:A,MATCH($C673,'Policy Characteristics'!$C:$C,0)))</f>
        <v>Industry</v>
      </c>
      <c r="B673" s="395" t="str">
        <f>IF(ISBLANK(INDEX('Policy Characteristics'!B:B,MATCH($C673,'Policy Characteristics'!$C:$C,0))),"",INDEX('Policy Characteristics'!B:B,MATCH($C673,'Policy Characteristics'!$C:$C,0)))</f>
        <v>Electrification + Hydrogen (Med &amp; High Temp)</v>
      </c>
      <c r="C673" s="394" t="str">
        <f t="shared" si="35"/>
        <v>Fraction of Med and High Temp Industrial Heat Shifted to Other Fuels</v>
      </c>
      <c r="D673" s="399" t="s">
        <v>780</v>
      </c>
      <c r="E673" s="399" t="s">
        <v>806</v>
      </c>
      <c r="F673" t="s">
        <v>781</v>
      </c>
      <c r="G673" s="399" t="s">
        <v>807</v>
      </c>
      <c r="H673" s="377">
        <v>1425</v>
      </c>
      <c r="I673" s="396" t="s">
        <v>658</v>
      </c>
      <c r="J673" s="397" t="str">
        <f>IF(ISBLANK(INDEX('Policy Characteristics'!D:D,MATCH($C673,'Policy Characteristics'!$C:$C,0))),"",INDEX('Policy Characteristics'!D:D,MATCH($C673,'Policy Characteristics'!$C:$C,0)))</f>
        <v>Electrification + Hydrogen</v>
      </c>
      <c r="K673" s="394" t="str">
        <f>IF(ISBLANK(INDEX('Policy Characteristics'!E:E,MATCH($C673,'Policy Characteristics'!$C:$C,0))),"",INDEX('Policy Characteristics'!E:E,MATCH($C673,'Policy Characteristics'!$C:$C,0)))</f>
        <v>indst med and high temp fuel type shifting</v>
      </c>
      <c r="L673" s="398">
        <f>IF(ISBLANK(INDEX('Policy Characteristics'!F:F,MATCH($C673,'Policy Characteristics'!$C:$C,0))),"",INDEX('Policy Characteristics'!F:F,MATCH($C673,'Policy Characteristics'!$C:$C,0)))</f>
        <v>0</v>
      </c>
      <c r="M673" s="398">
        <f>IF(ISBLANK(INDEX('Policy Characteristics'!G:G,MATCH($C673,'Policy Characteristics'!$C:$C,0))),"",INDEX('Policy Characteristics'!G:G,MATCH($C673,'Policy Characteristics'!$C:$C,0)))</f>
        <v>1</v>
      </c>
      <c r="N673" s="398">
        <f>IF(ISBLANK(INDEX('Policy Characteristics'!H:H,MATCH($C673,'Policy Characteristics'!$C:$C,0))),"",INDEX('Policy Characteristics'!H:H,MATCH($C673,'Policy Characteristics'!$C:$C,0)))</f>
        <v>0.01</v>
      </c>
      <c r="O673" s="394" t="str">
        <f>IF(ISBLANK(INDEX('Policy Characteristics'!I:I,MATCH($C673,'Policy Characteristics'!$C:$C,0))),"",INDEX('Policy Characteristics'!I:I,MATCH($C673,'Policy Characteristics'!$C:$C,0)))</f>
        <v>% of fuel shifted</v>
      </c>
      <c r="P673" s="394" t="str">
        <f>IF(ISBLANK(INDEX('Policy Characteristics'!J:J,MATCH($C673,'Policy Characteristics'!$C:$C,0))),"",INDEX('Policy Characteristics'!J:J,MATCH($C673,'Policy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3" s="394" t="str">
        <f>IF(ISBLANK(INDEX('Policy Characteristics'!K:K,MATCH($C673,'Policy Characteristics'!$C:$C,0))),"",INDEX('Policy Characteristics'!K:K,MATCH($C673,'Policy Characteristics'!$C:$C,0)))</f>
        <v>industry-ag-main.html#fuel-switching</v>
      </c>
      <c r="R673" s="394" t="str">
        <f>IF(ISBLANK(INDEX('Policy Characteristics'!L:L,MATCH($C673,'Policy Characteristics'!$C:$C,0))),"",INDEX('Policy Characteristics'!L:L,MATCH($C673,'Policy Characteristics'!$C:$C,0)))</f>
        <v>industry-elec-and-hydrogen.html</v>
      </c>
    </row>
    <row r="674" customHeight="1" spans="1:18">
      <c r="A674" s="394" t="str">
        <f>IF(ISBLANK(INDEX('Policy Characteristics'!A:A,MATCH($C674,'Policy Characteristics'!$C:$C,0))),"",INDEX('Policy Characteristics'!A:A,MATCH($C674,'Policy Characteristics'!$C:$C,0)))</f>
        <v>Industry</v>
      </c>
      <c r="B674" s="395" t="str">
        <f>IF(ISBLANK(INDEX('Policy Characteristics'!B:B,MATCH($C674,'Policy Characteristics'!$C:$C,0))),"",INDEX('Policy Characteristics'!B:B,MATCH($C674,'Policy Characteristics'!$C:$C,0)))</f>
        <v>Electrification + Hydrogen (Med &amp; High Temp)</v>
      </c>
      <c r="C674" s="394" t="str">
        <f t="shared" si="35"/>
        <v>Fraction of Med and High Temp Industrial Heat Shifted to Other Fuels</v>
      </c>
      <c r="D674" s="399" t="s">
        <v>780</v>
      </c>
      <c r="E674" s="399" t="s">
        <v>808</v>
      </c>
      <c r="F674" t="s">
        <v>781</v>
      </c>
      <c r="G674" s="399" t="s">
        <v>809</v>
      </c>
      <c r="H674" s="377">
        <v>1426</v>
      </c>
      <c r="I674" s="396" t="s">
        <v>658</v>
      </c>
      <c r="J674" s="397" t="str">
        <f>IF(ISBLANK(INDEX('Policy Characteristics'!D:D,MATCH($C674,'Policy Characteristics'!$C:$C,0))),"",INDEX('Policy Characteristics'!D:D,MATCH($C674,'Policy Characteristics'!$C:$C,0)))</f>
        <v>Electrification + Hydrogen</v>
      </c>
      <c r="K674" s="394" t="str">
        <f>IF(ISBLANK(INDEX('Policy Characteristics'!E:E,MATCH($C674,'Policy Characteristics'!$C:$C,0))),"",INDEX('Policy Characteristics'!E:E,MATCH($C674,'Policy Characteristics'!$C:$C,0)))</f>
        <v>indst med and high temp fuel type shifting</v>
      </c>
      <c r="L674" s="398">
        <f>IF(ISBLANK(INDEX('Policy Characteristics'!F:F,MATCH($C674,'Policy Characteristics'!$C:$C,0))),"",INDEX('Policy Characteristics'!F:F,MATCH($C674,'Policy Characteristics'!$C:$C,0)))</f>
        <v>0</v>
      </c>
      <c r="M674" s="398">
        <f>IF(ISBLANK(INDEX('Policy Characteristics'!G:G,MATCH($C674,'Policy Characteristics'!$C:$C,0))),"",INDEX('Policy Characteristics'!G:G,MATCH($C674,'Policy Characteristics'!$C:$C,0)))</f>
        <v>1</v>
      </c>
      <c r="N674" s="398">
        <f>IF(ISBLANK(INDEX('Policy Characteristics'!H:H,MATCH($C674,'Policy Characteristics'!$C:$C,0))),"",INDEX('Policy Characteristics'!H:H,MATCH($C674,'Policy Characteristics'!$C:$C,0)))</f>
        <v>0.01</v>
      </c>
      <c r="O674" s="394" t="str">
        <f>IF(ISBLANK(INDEX('Policy Characteristics'!I:I,MATCH($C674,'Policy Characteristics'!$C:$C,0))),"",INDEX('Policy Characteristics'!I:I,MATCH($C674,'Policy Characteristics'!$C:$C,0)))</f>
        <v>% of fuel shifted</v>
      </c>
      <c r="P674" s="394" t="str">
        <f>IF(ISBLANK(INDEX('Policy Characteristics'!J:J,MATCH($C674,'Policy Characteristics'!$C:$C,0))),"",INDEX('Policy Characteristics'!J:J,MATCH($C674,'Policy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4" s="394" t="str">
        <f>IF(ISBLANK(INDEX('Policy Characteristics'!K:K,MATCH($C674,'Policy Characteristics'!$C:$C,0))),"",INDEX('Policy Characteristics'!K:K,MATCH($C674,'Policy Characteristics'!$C:$C,0)))</f>
        <v>industry-ag-main.html#fuel-switching</v>
      </c>
      <c r="R674" s="394" t="str">
        <f>IF(ISBLANK(INDEX('Policy Characteristics'!L:L,MATCH($C674,'Policy Characteristics'!$C:$C,0))),"",INDEX('Policy Characteristics'!L:L,MATCH($C674,'Policy Characteristics'!$C:$C,0)))</f>
        <v>industry-elec-and-hydrogen.html</v>
      </c>
    </row>
    <row r="675" customHeight="1" spans="1:18">
      <c r="A675" s="394" t="str">
        <f>IF(ISBLANK(INDEX('Policy Characteristics'!A:A,MATCH($C675,'Policy Characteristics'!$C:$C,0))),"",INDEX('Policy Characteristics'!A:A,MATCH($C675,'Policy Characteristics'!$C:$C,0)))</f>
        <v>Industry</v>
      </c>
      <c r="B675" s="395" t="str">
        <f>IF(ISBLANK(INDEX('Policy Characteristics'!B:B,MATCH($C675,'Policy Characteristics'!$C:$C,0))),"",INDEX('Policy Characteristics'!B:B,MATCH($C675,'Policy Characteristics'!$C:$C,0)))</f>
        <v>Electrification + Hydrogen (Med &amp; High Temp)</v>
      </c>
      <c r="C675" s="394" t="str">
        <f t="shared" si="35"/>
        <v>Fraction of Med and High Temp Industrial Heat Shifted to Other Fuels</v>
      </c>
      <c r="D675" s="399" t="s">
        <v>780</v>
      </c>
      <c r="E675" s="399" t="s">
        <v>810</v>
      </c>
      <c r="F675" t="s">
        <v>781</v>
      </c>
      <c r="G675" s="399" t="s">
        <v>811</v>
      </c>
      <c r="H675" s="377">
        <v>1427</v>
      </c>
      <c r="I675" s="396" t="s">
        <v>648</v>
      </c>
      <c r="J675" s="397" t="str">
        <f>IF(ISBLANK(INDEX('Policy Characteristics'!D:D,MATCH($C675,'Policy Characteristics'!$C:$C,0))),"",INDEX('Policy Characteristics'!D:D,MATCH($C675,'Policy Characteristics'!$C:$C,0)))</f>
        <v>Electrification + Hydrogen</v>
      </c>
      <c r="K675" s="394" t="str">
        <f>IF(ISBLANK(INDEX('Policy Characteristics'!E:E,MATCH($C675,'Policy Characteristics'!$C:$C,0))),"",INDEX('Policy Characteristics'!E:E,MATCH($C675,'Policy Characteristics'!$C:$C,0)))</f>
        <v>indst med and high temp fuel type shifting</v>
      </c>
      <c r="L675" s="398">
        <f>IF(ISBLANK(INDEX('Policy Characteristics'!F:F,MATCH($C675,'Policy Characteristics'!$C:$C,0))),"",INDEX('Policy Characteristics'!F:F,MATCH($C675,'Policy Characteristics'!$C:$C,0)))</f>
        <v>0</v>
      </c>
      <c r="M675" s="398">
        <f>IF(ISBLANK(INDEX('Policy Characteristics'!G:G,MATCH($C675,'Policy Characteristics'!$C:$C,0))),"",INDEX('Policy Characteristics'!G:G,MATCH($C675,'Policy Characteristics'!$C:$C,0)))</f>
        <v>1</v>
      </c>
      <c r="N675" s="398">
        <f>IF(ISBLANK(INDEX('Policy Characteristics'!H:H,MATCH($C675,'Policy Characteristics'!$C:$C,0))),"",INDEX('Policy Characteristics'!H:H,MATCH($C675,'Policy Characteristics'!$C:$C,0)))</f>
        <v>0.01</v>
      </c>
      <c r="O675" s="394" t="str">
        <f>IF(ISBLANK(INDEX('Policy Characteristics'!I:I,MATCH($C675,'Policy Characteristics'!$C:$C,0))),"",INDEX('Policy Characteristics'!I:I,MATCH($C675,'Policy Characteristics'!$C:$C,0)))</f>
        <v>% of fuel shifted</v>
      </c>
      <c r="P675" s="394" t="str">
        <f>IF(ISBLANK(INDEX('Policy Characteristics'!J:J,MATCH($C675,'Policy Characteristics'!$C:$C,0))),"",INDEX('Policy Characteristics'!J:J,MATCH($C675,'Policy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5" s="394" t="str">
        <f>IF(ISBLANK(INDEX('Policy Characteristics'!K:K,MATCH($C675,'Policy Characteristics'!$C:$C,0))),"",INDEX('Policy Characteristics'!K:K,MATCH($C675,'Policy Characteristics'!$C:$C,0)))</f>
        <v>industry-ag-main.html#fuel-switching</v>
      </c>
      <c r="R675" s="394" t="str">
        <f>IF(ISBLANK(INDEX('Policy Characteristics'!L:L,MATCH($C675,'Policy Characteristics'!$C:$C,0))),"",INDEX('Policy Characteristics'!L:L,MATCH($C675,'Policy Characteristics'!$C:$C,0)))</f>
        <v>industry-elec-and-hydrogen.html</v>
      </c>
    </row>
    <row r="676" customHeight="1" spans="1:18">
      <c r="A676" s="394" t="str">
        <f>IF(ISBLANK(INDEX('Policy Characteristics'!A:A,MATCH($C676,'Policy Characteristics'!$C:$C,0))),"",INDEX('Policy Characteristics'!A:A,MATCH($C676,'Policy Characteristics'!$C:$C,0)))</f>
        <v>Industry</v>
      </c>
      <c r="B676" s="395" t="str">
        <f>IF(ISBLANK(INDEX('Policy Characteristics'!B:B,MATCH($C676,'Policy Characteristics'!$C:$C,0))),"",INDEX('Policy Characteristics'!B:B,MATCH($C676,'Policy Characteristics'!$C:$C,0)))</f>
        <v>Electrification + Hydrogen (Med &amp; High Temp)</v>
      </c>
      <c r="C676" s="394" t="str">
        <f t="shared" si="35"/>
        <v>Fraction of Med and High Temp Industrial Heat Shifted to Other Fuels</v>
      </c>
      <c r="D676" s="399" t="s">
        <v>782</v>
      </c>
      <c r="E676" s="399" t="s">
        <v>792</v>
      </c>
      <c r="F676" s="366" t="s">
        <v>783</v>
      </c>
      <c r="G676" s="399" t="s">
        <v>793</v>
      </c>
      <c r="H676" s="377">
        <v>1428</v>
      </c>
      <c r="I676" s="396" t="s">
        <v>648</v>
      </c>
      <c r="J676" s="397" t="str">
        <f>IF(ISBLANK(INDEX('Policy Characteristics'!D:D,MATCH($C676,'Policy Characteristics'!$C:$C,0))),"",INDEX('Policy Characteristics'!D:D,MATCH($C676,'Policy Characteristics'!$C:$C,0)))</f>
        <v>Electrification + Hydrogen</v>
      </c>
      <c r="K676" s="394" t="str">
        <f>IF(ISBLANK(INDEX('Policy Characteristics'!E:E,MATCH($C676,'Policy Characteristics'!$C:$C,0))),"",INDEX('Policy Characteristics'!E:E,MATCH($C676,'Policy Characteristics'!$C:$C,0)))</f>
        <v>indst med and high temp fuel type shifting</v>
      </c>
      <c r="L676" s="398">
        <f>IF(ISBLANK(INDEX('Policy Characteristics'!F:F,MATCH($C676,'Policy Characteristics'!$C:$C,0))),"",INDEX('Policy Characteristics'!F:F,MATCH($C676,'Policy Characteristics'!$C:$C,0)))</f>
        <v>0</v>
      </c>
      <c r="M676" s="398">
        <f>IF(ISBLANK(INDEX('Policy Characteristics'!G:G,MATCH($C676,'Policy Characteristics'!$C:$C,0))),"",INDEX('Policy Characteristics'!G:G,MATCH($C676,'Policy Characteristics'!$C:$C,0)))</f>
        <v>1</v>
      </c>
      <c r="N676" s="398">
        <f>IF(ISBLANK(INDEX('Policy Characteristics'!H:H,MATCH($C676,'Policy Characteristics'!$C:$C,0))),"",INDEX('Policy Characteristics'!H:H,MATCH($C676,'Policy Characteristics'!$C:$C,0)))</f>
        <v>0.01</v>
      </c>
      <c r="O676" s="394" t="str">
        <f>IF(ISBLANK(INDEX('Policy Characteristics'!I:I,MATCH($C676,'Policy Characteristics'!$C:$C,0))),"",INDEX('Policy Characteristics'!I:I,MATCH($C676,'Policy Characteristics'!$C:$C,0)))</f>
        <v>% of fuel shifted</v>
      </c>
      <c r="P676" s="394" t="str">
        <f>IF(ISBLANK(INDEX('Policy Characteristics'!J:J,MATCH($C676,'Policy Characteristics'!$C:$C,0))),"",INDEX('Policy Characteristics'!J:J,MATCH($C676,'Policy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6" s="394" t="str">
        <f>IF(ISBLANK(INDEX('Policy Characteristics'!K:K,MATCH($C676,'Policy Characteristics'!$C:$C,0))),"",INDEX('Policy Characteristics'!K:K,MATCH($C676,'Policy Characteristics'!$C:$C,0)))</f>
        <v>industry-ag-main.html#fuel-switching</v>
      </c>
      <c r="R676" s="394" t="str">
        <f>IF(ISBLANK(INDEX('Policy Characteristics'!L:L,MATCH($C676,'Policy Characteristics'!$C:$C,0))),"",INDEX('Policy Characteristics'!L:L,MATCH($C676,'Policy Characteristics'!$C:$C,0)))</f>
        <v>industry-elec-and-hydrogen.html</v>
      </c>
    </row>
    <row r="677" customHeight="1" spans="1:18">
      <c r="A677" s="394" t="str">
        <f>IF(ISBLANK(INDEX('Policy Characteristics'!A:A,MATCH($C677,'Policy Characteristics'!$C:$C,0))),"",INDEX('Policy Characteristics'!A:A,MATCH($C677,'Policy Characteristics'!$C:$C,0)))</f>
        <v>Industry</v>
      </c>
      <c r="B677" s="395" t="str">
        <f>IF(ISBLANK(INDEX('Policy Characteristics'!B:B,MATCH($C677,'Policy Characteristics'!$C:$C,0))),"",INDEX('Policy Characteristics'!B:B,MATCH($C677,'Policy Characteristics'!$C:$C,0)))</f>
        <v>Electrification + Hydrogen (Med &amp; High Temp)</v>
      </c>
      <c r="C677" s="394" t="str">
        <f t="shared" si="35"/>
        <v>Fraction of Med and High Temp Industrial Heat Shifted to Other Fuels</v>
      </c>
      <c r="D677" s="399" t="s">
        <v>782</v>
      </c>
      <c r="E677" s="399" t="s">
        <v>794</v>
      </c>
      <c r="F677" s="366" t="s">
        <v>783</v>
      </c>
      <c r="G677" s="399" t="s">
        <v>795</v>
      </c>
      <c r="H677" s="377">
        <v>1429</v>
      </c>
      <c r="I677" s="396" t="s">
        <v>658</v>
      </c>
      <c r="J677" s="397" t="str">
        <f>IF(ISBLANK(INDEX('Policy Characteristics'!D:D,MATCH($C677,'Policy Characteristics'!$C:$C,0))),"",INDEX('Policy Characteristics'!D:D,MATCH($C677,'Policy Characteristics'!$C:$C,0)))</f>
        <v>Electrification + Hydrogen</v>
      </c>
      <c r="K677" s="394" t="str">
        <f>IF(ISBLANK(INDEX('Policy Characteristics'!E:E,MATCH($C677,'Policy Characteristics'!$C:$C,0))),"",INDEX('Policy Characteristics'!E:E,MATCH($C677,'Policy Characteristics'!$C:$C,0)))</f>
        <v>indst med and high temp fuel type shifting</v>
      </c>
      <c r="L677" s="398">
        <f>IF(ISBLANK(INDEX('Policy Characteristics'!F:F,MATCH($C677,'Policy Characteristics'!$C:$C,0))),"",INDEX('Policy Characteristics'!F:F,MATCH($C677,'Policy Characteristics'!$C:$C,0)))</f>
        <v>0</v>
      </c>
      <c r="M677" s="398">
        <f>IF(ISBLANK(INDEX('Policy Characteristics'!G:G,MATCH($C677,'Policy Characteristics'!$C:$C,0))),"",INDEX('Policy Characteristics'!G:G,MATCH($C677,'Policy Characteristics'!$C:$C,0)))</f>
        <v>1</v>
      </c>
      <c r="N677" s="398">
        <f>IF(ISBLANK(INDEX('Policy Characteristics'!H:H,MATCH($C677,'Policy Characteristics'!$C:$C,0))),"",INDEX('Policy Characteristics'!H:H,MATCH($C677,'Policy Characteristics'!$C:$C,0)))</f>
        <v>0.01</v>
      </c>
      <c r="O677" s="394" t="str">
        <f>IF(ISBLANK(INDEX('Policy Characteristics'!I:I,MATCH($C677,'Policy Characteristics'!$C:$C,0))),"",INDEX('Policy Characteristics'!I:I,MATCH($C677,'Policy Characteristics'!$C:$C,0)))</f>
        <v>% of fuel shifted</v>
      </c>
      <c r="P677" s="394" t="str">
        <f>IF(ISBLANK(INDEX('Policy Characteristics'!J:J,MATCH($C677,'Policy Characteristics'!$C:$C,0))),"",INDEX('Policy Characteristics'!J:J,MATCH($C677,'Policy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7" s="394" t="str">
        <f>IF(ISBLANK(INDEX('Policy Characteristics'!K:K,MATCH($C677,'Policy Characteristics'!$C:$C,0))),"",INDEX('Policy Characteristics'!K:K,MATCH($C677,'Policy Characteristics'!$C:$C,0)))</f>
        <v>industry-ag-main.html#fuel-switching</v>
      </c>
      <c r="R677" s="394" t="str">
        <f>IF(ISBLANK(INDEX('Policy Characteristics'!L:L,MATCH($C677,'Policy Characteristics'!$C:$C,0))),"",INDEX('Policy Characteristics'!L:L,MATCH($C677,'Policy Characteristics'!$C:$C,0)))</f>
        <v>industry-elec-and-hydrogen.html</v>
      </c>
    </row>
    <row r="678" customHeight="1" spans="1:18">
      <c r="A678" s="394" t="str">
        <f>IF(ISBLANK(INDEX('Policy Characteristics'!A:A,MATCH($C678,'Policy Characteristics'!$C:$C,0))),"",INDEX('Policy Characteristics'!A:A,MATCH($C678,'Policy Characteristics'!$C:$C,0)))</f>
        <v>Industry</v>
      </c>
      <c r="B678" s="395" t="str">
        <f>IF(ISBLANK(INDEX('Policy Characteristics'!B:B,MATCH($C678,'Policy Characteristics'!$C:$C,0))),"",INDEX('Policy Characteristics'!B:B,MATCH($C678,'Policy Characteristics'!$C:$C,0)))</f>
        <v>Electrification + Hydrogen (Med &amp; High Temp)</v>
      </c>
      <c r="C678" s="394" t="str">
        <f t="shared" si="35"/>
        <v>Fraction of Med and High Temp Industrial Heat Shifted to Other Fuels</v>
      </c>
      <c r="D678" s="399" t="s">
        <v>782</v>
      </c>
      <c r="E678" s="399" t="s">
        <v>796</v>
      </c>
      <c r="F678" s="366" t="s">
        <v>783</v>
      </c>
      <c r="G678" s="399" t="s">
        <v>797</v>
      </c>
      <c r="H678" s="377">
        <v>1430</v>
      </c>
      <c r="I678" s="396" t="s">
        <v>658</v>
      </c>
      <c r="J678" s="397" t="str">
        <f>IF(ISBLANK(INDEX('Policy Characteristics'!D:D,MATCH($C678,'Policy Characteristics'!$C:$C,0))),"",INDEX('Policy Characteristics'!D:D,MATCH($C678,'Policy Characteristics'!$C:$C,0)))</f>
        <v>Electrification + Hydrogen</v>
      </c>
      <c r="K678" s="394" t="str">
        <f>IF(ISBLANK(INDEX('Policy Characteristics'!E:E,MATCH($C678,'Policy Characteristics'!$C:$C,0))),"",INDEX('Policy Characteristics'!E:E,MATCH($C678,'Policy Characteristics'!$C:$C,0)))</f>
        <v>indst med and high temp fuel type shifting</v>
      </c>
      <c r="L678" s="398">
        <f>IF(ISBLANK(INDEX('Policy Characteristics'!F:F,MATCH($C678,'Policy Characteristics'!$C:$C,0))),"",INDEX('Policy Characteristics'!F:F,MATCH($C678,'Policy Characteristics'!$C:$C,0)))</f>
        <v>0</v>
      </c>
      <c r="M678" s="398">
        <f>IF(ISBLANK(INDEX('Policy Characteristics'!G:G,MATCH($C678,'Policy Characteristics'!$C:$C,0))),"",INDEX('Policy Characteristics'!G:G,MATCH($C678,'Policy Characteristics'!$C:$C,0)))</f>
        <v>1</v>
      </c>
      <c r="N678" s="398">
        <f>IF(ISBLANK(INDEX('Policy Characteristics'!H:H,MATCH($C678,'Policy Characteristics'!$C:$C,0))),"",INDEX('Policy Characteristics'!H:H,MATCH($C678,'Policy Characteristics'!$C:$C,0)))</f>
        <v>0.01</v>
      </c>
      <c r="O678" s="394" t="str">
        <f>IF(ISBLANK(INDEX('Policy Characteristics'!I:I,MATCH($C678,'Policy Characteristics'!$C:$C,0))),"",INDEX('Policy Characteristics'!I:I,MATCH($C678,'Policy Characteristics'!$C:$C,0)))</f>
        <v>% of fuel shifted</v>
      </c>
      <c r="P678" s="394" t="str">
        <f>IF(ISBLANK(INDEX('Policy Characteristics'!J:J,MATCH($C678,'Policy Characteristics'!$C:$C,0))),"",INDEX('Policy Characteristics'!J:J,MATCH($C678,'Policy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8" s="394" t="str">
        <f>IF(ISBLANK(INDEX('Policy Characteristics'!K:K,MATCH($C678,'Policy Characteristics'!$C:$C,0))),"",INDEX('Policy Characteristics'!K:K,MATCH($C678,'Policy Characteristics'!$C:$C,0)))</f>
        <v>industry-ag-main.html#fuel-switching</v>
      </c>
      <c r="R678" s="394" t="str">
        <f>IF(ISBLANK(INDEX('Policy Characteristics'!L:L,MATCH($C678,'Policy Characteristics'!$C:$C,0))),"",INDEX('Policy Characteristics'!L:L,MATCH($C678,'Policy Characteristics'!$C:$C,0)))</f>
        <v>industry-elec-and-hydrogen.html</v>
      </c>
    </row>
    <row r="679" customHeight="1" spans="1:18">
      <c r="A679" s="394" t="str">
        <f>IF(ISBLANK(INDEX('Policy Characteristics'!A:A,MATCH($C679,'Policy Characteristics'!$C:$C,0))),"",INDEX('Policy Characteristics'!A:A,MATCH($C679,'Policy Characteristics'!$C:$C,0)))</f>
        <v>Industry</v>
      </c>
      <c r="B679" s="395" t="str">
        <f>IF(ISBLANK(INDEX('Policy Characteristics'!B:B,MATCH($C679,'Policy Characteristics'!$C:$C,0))),"",INDEX('Policy Characteristics'!B:B,MATCH($C679,'Policy Characteristics'!$C:$C,0)))</f>
        <v>Electrification + Hydrogen (Med &amp; High Temp)</v>
      </c>
      <c r="C679" s="394" t="str">
        <f t="shared" si="35"/>
        <v>Fraction of Med and High Temp Industrial Heat Shifted to Other Fuels</v>
      </c>
      <c r="D679" s="399" t="s">
        <v>782</v>
      </c>
      <c r="E679" s="399" t="s">
        <v>798</v>
      </c>
      <c r="F679" s="366" t="s">
        <v>783</v>
      </c>
      <c r="G679" s="399" t="s">
        <v>799</v>
      </c>
      <c r="H679" s="377">
        <v>1431</v>
      </c>
      <c r="I679" s="396" t="s">
        <v>658</v>
      </c>
      <c r="J679" s="397" t="str">
        <f>IF(ISBLANK(INDEX('Policy Characteristics'!D:D,MATCH($C679,'Policy Characteristics'!$C:$C,0))),"",INDEX('Policy Characteristics'!D:D,MATCH($C679,'Policy Characteristics'!$C:$C,0)))</f>
        <v>Electrification + Hydrogen</v>
      </c>
      <c r="K679" s="394" t="str">
        <f>IF(ISBLANK(INDEX('Policy Characteristics'!E:E,MATCH($C679,'Policy Characteristics'!$C:$C,0))),"",INDEX('Policy Characteristics'!E:E,MATCH($C679,'Policy Characteristics'!$C:$C,0)))</f>
        <v>indst med and high temp fuel type shifting</v>
      </c>
      <c r="L679" s="398">
        <f>IF(ISBLANK(INDEX('Policy Characteristics'!F:F,MATCH($C679,'Policy Characteristics'!$C:$C,0))),"",INDEX('Policy Characteristics'!F:F,MATCH($C679,'Policy Characteristics'!$C:$C,0)))</f>
        <v>0</v>
      </c>
      <c r="M679" s="398">
        <f>IF(ISBLANK(INDEX('Policy Characteristics'!G:G,MATCH($C679,'Policy Characteristics'!$C:$C,0))),"",INDEX('Policy Characteristics'!G:G,MATCH($C679,'Policy Characteristics'!$C:$C,0)))</f>
        <v>1</v>
      </c>
      <c r="N679" s="398">
        <f>IF(ISBLANK(INDEX('Policy Characteristics'!H:H,MATCH($C679,'Policy Characteristics'!$C:$C,0))),"",INDEX('Policy Characteristics'!H:H,MATCH($C679,'Policy Characteristics'!$C:$C,0)))</f>
        <v>0.01</v>
      </c>
      <c r="O679" s="394" t="str">
        <f>IF(ISBLANK(INDEX('Policy Characteristics'!I:I,MATCH($C679,'Policy Characteristics'!$C:$C,0))),"",INDEX('Policy Characteristics'!I:I,MATCH($C679,'Policy Characteristics'!$C:$C,0)))</f>
        <v>% of fuel shifted</v>
      </c>
      <c r="P679" s="394" t="str">
        <f>IF(ISBLANK(INDEX('Policy Characteristics'!J:J,MATCH($C679,'Policy Characteristics'!$C:$C,0))),"",INDEX('Policy Characteristics'!J:J,MATCH($C679,'Policy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9" s="394" t="str">
        <f>IF(ISBLANK(INDEX('Policy Characteristics'!K:K,MATCH($C679,'Policy Characteristics'!$C:$C,0))),"",INDEX('Policy Characteristics'!K:K,MATCH($C679,'Policy Characteristics'!$C:$C,0)))</f>
        <v>industry-ag-main.html#fuel-switching</v>
      </c>
      <c r="R679" s="394" t="str">
        <f>IF(ISBLANK(INDEX('Policy Characteristics'!L:L,MATCH($C679,'Policy Characteristics'!$C:$C,0))),"",INDEX('Policy Characteristics'!L:L,MATCH($C679,'Policy Characteristics'!$C:$C,0)))</f>
        <v>industry-elec-and-hydrogen.html</v>
      </c>
    </row>
    <row r="680" customHeight="1" spans="1:18">
      <c r="A680" s="394" t="str">
        <f>IF(ISBLANK(INDEX('Policy Characteristics'!A:A,MATCH($C680,'Policy Characteristics'!$C:$C,0))),"",INDEX('Policy Characteristics'!A:A,MATCH($C680,'Policy Characteristics'!$C:$C,0)))</f>
        <v>Industry</v>
      </c>
      <c r="B680" s="395" t="str">
        <f>IF(ISBLANK(INDEX('Policy Characteristics'!B:B,MATCH($C680,'Policy Characteristics'!$C:$C,0))),"",INDEX('Policy Characteristics'!B:B,MATCH($C680,'Policy Characteristics'!$C:$C,0)))</f>
        <v>Electrification + Hydrogen (Med &amp; High Temp)</v>
      </c>
      <c r="C680" s="394" t="str">
        <f t="shared" si="35"/>
        <v>Fraction of Med and High Temp Industrial Heat Shifted to Other Fuels</v>
      </c>
      <c r="D680" s="399" t="s">
        <v>782</v>
      </c>
      <c r="E680" s="399" t="s">
        <v>800</v>
      </c>
      <c r="F680" s="366" t="s">
        <v>783</v>
      </c>
      <c r="G680" s="399" t="s">
        <v>801</v>
      </c>
      <c r="H680" s="377">
        <v>1432</v>
      </c>
      <c r="I680" s="396" t="s">
        <v>658</v>
      </c>
      <c r="J680" s="397" t="str">
        <f>IF(ISBLANK(INDEX('Policy Characteristics'!D:D,MATCH($C680,'Policy Characteristics'!$C:$C,0))),"",INDEX('Policy Characteristics'!D:D,MATCH($C680,'Policy Characteristics'!$C:$C,0)))</f>
        <v>Electrification + Hydrogen</v>
      </c>
      <c r="K680" s="394" t="str">
        <f>IF(ISBLANK(INDEX('Policy Characteristics'!E:E,MATCH($C680,'Policy Characteristics'!$C:$C,0))),"",INDEX('Policy Characteristics'!E:E,MATCH($C680,'Policy Characteristics'!$C:$C,0)))</f>
        <v>indst med and high temp fuel type shifting</v>
      </c>
      <c r="L680" s="398">
        <f>IF(ISBLANK(INDEX('Policy Characteristics'!F:F,MATCH($C680,'Policy Characteristics'!$C:$C,0))),"",INDEX('Policy Characteristics'!F:F,MATCH($C680,'Policy Characteristics'!$C:$C,0)))</f>
        <v>0</v>
      </c>
      <c r="M680" s="398">
        <f>IF(ISBLANK(INDEX('Policy Characteristics'!G:G,MATCH($C680,'Policy Characteristics'!$C:$C,0))),"",INDEX('Policy Characteristics'!G:G,MATCH($C680,'Policy Characteristics'!$C:$C,0)))</f>
        <v>1</v>
      </c>
      <c r="N680" s="398">
        <f>IF(ISBLANK(INDEX('Policy Characteristics'!H:H,MATCH($C680,'Policy Characteristics'!$C:$C,0))),"",INDEX('Policy Characteristics'!H:H,MATCH($C680,'Policy Characteristics'!$C:$C,0)))</f>
        <v>0.01</v>
      </c>
      <c r="O680" s="394" t="str">
        <f>IF(ISBLANK(INDEX('Policy Characteristics'!I:I,MATCH($C680,'Policy Characteristics'!$C:$C,0))),"",INDEX('Policy Characteristics'!I:I,MATCH($C680,'Policy Characteristics'!$C:$C,0)))</f>
        <v>% of fuel shifted</v>
      </c>
      <c r="P680" s="394" t="str">
        <f>IF(ISBLANK(INDEX('Policy Characteristics'!J:J,MATCH($C680,'Policy Characteristics'!$C:$C,0))),"",INDEX('Policy Characteristics'!J:J,MATCH($C680,'Policy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0" s="394" t="str">
        <f>IF(ISBLANK(INDEX('Policy Characteristics'!K:K,MATCH($C680,'Policy Characteristics'!$C:$C,0))),"",INDEX('Policy Characteristics'!K:K,MATCH($C680,'Policy Characteristics'!$C:$C,0)))</f>
        <v>industry-ag-main.html#fuel-switching</v>
      </c>
      <c r="R680" s="394" t="str">
        <f>IF(ISBLANK(INDEX('Policy Characteristics'!L:L,MATCH($C680,'Policy Characteristics'!$C:$C,0))),"",INDEX('Policy Characteristics'!L:L,MATCH($C680,'Policy Characteristics'!$C:$C,0)))</f>
        <v>industry-elec-and-hydrogen.html</v>
      </c>
    </row>
    <row r="681" customHeight="1" spans="1:18">
      <c r="A681" s="394" t="str">
        <f>IF(ISBLANK(INDEX('Policy Characteristics'!A:A,MATCH($C681,'Policy Characteristics'!$C:$C,0))),"",INDEX('Policy Characteristics'!A:A,MATCH($C681,'Policy Characteristics'!$C:$C,0)))</f>
        <v>Industry</v>
      </c>
      <c r="B681" s="395" t="str">
        <f>IF(ISBLANK(INDEX('Policy Characteristics'!B:B,MATCH($C681,'Policy Characteristics'!$C:$C,0))),"",INDEX('Policy Characteristics'!B:B,MATCH($C681,'Policy Characteristics'!$C:$C,0)))</f>
        <v>Electrification + Hydrogen (Med &amp; High Temp)</v>
      </c>
      <c r="C681" s="394" t="str">
        <f t="shared" si="35"/>
        <v>Fraction of Med and High Temp Industrial Heat Shifted to Other Fuels</v>
      </c>
      <c r="D681" s="399" t="s">
        <v>782</v>
      </c>
      <c r="E681" s="399" t="s">
        <v>802</v>
      </c>
      <c r="F681" s="366" t="s">
        <v>783</v>
      </c>
      <c r="G681" s="399" t="s">
        <v>803</v>
      </c>
      <c r="H681" s="377">
        <v>1433</v>
      </c>
      <c r="I681" s="396" t="s">
        <v>658</v>
      </c>
      <c r="J681" s="397" t="str">
        <f>IF(ISBLANK(INDEX('Policy Characteristics'!D:D,MATCH($C681,'Policy Characteristics'!$C:$C,0))),"",INDEX('Policy Characteristics'!D:D,MATCH($C681,'Policy Characteristics'!$C:$C,0)))</f>
        <v>Electrification + Hydrogen</v>
      </c>
      <c r="K681" s="394" t="str">
        <f>IF(ISBLANK(INDEX('Policy Characteristics'!E:E,MATCH($C681,'Policy Characteristics'!$C:$C,0))),"",INDEX('Policy Characteristics'!E:E,MATCH($C681,'Policy Characteristics'!$C:$C,0)))</f>
        <v>indst med and high temp fuel type shifting</v>
      </c>
      <c r="L681" s="398">
        <f>IF(ISBLANK(INDEX('Policy Characteristics'!F:F,MATCH($C681,'Policy Characteristics'!$C:$C,0))),"",INDEX('Policy Characteristics'!F:F,MATCH($C681,'Policy Characteristics'!$C:$C,0)))</f>
        <v>0</v>
      </c>
      <c r="M681" s="398">
        <f>IF(ISBLANK(INDEX('Policy Characteristics'!G:G,MATCH($C681,'Policy Characteristics'!$C:$C,0))),"",INDEX('Policy Characteristics'!G:G,MATCH($C681,'Policy Characteristics'!$C:$C,0)))</f>
        <v>1</v>
      </c>
      <c r="N681" s="398">
        <f>IF(ISBLANK(INDEX('Policy Characteristics'!H:H,MATCH($C681,'Policy Characteristics'!$C:$C,0))),"",INDEX('Policy Characteristics'!H:H,MATCH($C681,'Policy Characteristics'!$C:$C,0)))</f>
        <v>0.01</v>
      </c>
      <c r="O681" s="394" t="str">
        <f>IF(ISBLANK(INDEX('Policy Characteristics'!I:I,MATCH($C681,'Policy Characteristics'!$C:$C,0))),"",INDEX('Policy Characteristics'!I:I,MATCH($C681,'Policy Characteristics'!$C:$C,0)))</f>
        <v>% of fuel shifted</v>
      </c>
      <c r="P681" s="394" t="str">
        <f>IF(ISBLANK(INDEX('Policy Characteristics'!J:J,MATCH($C681,'Policy Characteristics'!$C:$C,0))),"",INDEX('Policy Characteristics'!J:J,MATCH($C681,'Policy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1" s="394" t="str">
        <f>IF(ISBLANK(INDEX('Policy Characteristics'!K:K,MATCH($C681,'Policy Characteristics'!$C:$C,0))),"",INDEX('Policy Characteristics'!K:K,MATCH($C681,'Policy Characteristics'!$C:$C,0)))</f>
        <v>industry-ag-main.html#fuel-switching</v>
      </c>
      <c r="R681" s="394" t="str">
        <f>IF(ISBLANK(INDEX('Policy Characteristics'!L:L,MATCH($C681,'Policy Characteristics'!$C:$C,0))),"",INDEX('Policy Characteristics'!L:L,MATCH($C681,'Policy Characteristics'!$C:$C,0)))</f>
        <v>industry-elec-and-hydrogen.html</v>
      </c>
    </row>
    <row r="682" customHeight="1" spans="1:18">
      <c r="A682" s="394" t="str">
        <f>IF(ISBLANK(INDEX('Policy Characteristics'!A:A,MATCH($C682,'Policy Characteristics'!$C:$C,0))),"",INDEX('Policy Characteristics'!A:A,MATCH($C682,'Policy Characteristics'!$C:$C,0)))</f>
        <v>Industry</v>
      </c>
      <c r="B682" s="395" t="str">
        <f>IF(ISBLANK(INDEX('Policy Characteristics'!B:B,MATCH($C682,'Policy Characteristics'!$C:$C,0))),"",INDEX('Policy Characteristics'!B:B,MATCH($C682,'Policy Characteristics'!$C:$C,0)))</f>
        <v>Electrification + Hydrogen (Med &amp; High Temp)</v>
      </c>
      <c r="C682" s="394" t="str">
        <f t="shared" si="35"/>
        <v>Fraction of Med and High Temp Industrial Heat Shifted to Other Fuels</v>
      </c>
      <c r="D682" s="399" t="s">
        <v>782</v>
      </c>
      <c r="E682" s="399" t="s">
        <v>804</v>
      </c>
      <c r="F682" s="366" t="s">
        <v>783</v>
      </c>
      <c r="G682" s="399" t="s">
        <v>805</v>
      </c>
      <c r="H682" s="377">
        <v>1434</v>
      </c>
      <c r="I682" s="396" t="s">
        <v>658</v>
      </c>
      <c r="J682" s="397" t="str">
        <f>IF(ISBLANK(INDEX('Policy Characteristics'!D:D,MATCH($C682,'Policy Characteristics'!$C:$C,0))),"",INDEX('Policy Characteristics'!D:D,MATCH($C682,'Policy Characteristics'!$C:$C,0)))</f>
        <v>Electrification + Hydrogen</v>
      </c>
      <c r="K682" s="394" t="str">
        <f>IF(ISBLANK(INDEX('Policy Characteristics'!E:E,MATCH($C682,'Policy Characteristics'!$C:$C,0))),"",INDEX('Policy Characteristics'!E:E,MATCH($C682,'Policy Characteristics'!$C:$C,0)))</f>
        <v>indst med and high temp fuel type shifting</v>
      </c>
      <c r="L682" s="398">
        <f>IF(ISBLANK(INDEX('Policy Characteristics'!F:F,MATCH($C682,'Policy Characteristics'!$C:$C,0))),"",INDEX('Policy Characteristics'!F:F,MATCH($C682,'Policy Characteristics'!$C:$C,0)))</f>
        <v>0</v>
      </c>
      <c r="M682" s="398">
        <f>IF(ISBLANK(INDEX('Policy Characteristics'!G:G,MATCH($C682,'Policy Characteristics'!$C:$C,0))),"",INDEX('Policy Characteristics'!G:G,MATCH($C682,'Policy Characteristics'!$C:$C,0)))</f>
        <v>1</v>
      </c>
      <c r="N682" s="398">
        <f>IF(ISBLANK(INDEX('Policy Characteristics'!H:H,MATCH($C682,'Policy Characteristics'!$C:$C,0))),"",INDEX('Policy Characteristics'!H:H,MATCH($C682,'Policy Characteristics'!$C:$C,0)))</f>
        <v>0.01</v>
      </c>
      <c r="O682" s="394" t="str">
        <f>IF(ISBLANK(INDEX('Policy Characteristics'!I:I,MATCH($C682,'Policy Characteristics'!$C:$C,0))),"",INDEX('Policy Characteristics'!I:I,MATCH($C682,'Policy Characteristics'!$C:$C,0)))</f>
        <v>% of fuel shifted</v>
      </c>
      <c r="P682" s="394" t="str">
        <f>IF(ISBLANK(INDEX('Policy Characteristics'!J:J,MATCH($C682,'Policy Characteristics'!$C:$C,0))),"",INDEX('Policy Characteristics'!J:J,MATCH($C682,'Policy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2" s="394" t="str">
        <f>IF(ISBLANK(INDEX('Policy Characteristics'!K:K,MATCH($C682,'Policy Characteristics'!$C:$C,0))),"",INDEX('Policy Characteristics'!K:K,MATCH($C682,'Policy Characteristics'!$C:$C,0)))</f>
        <v>industry-ag-main.html#fuel-switching</v>
      </c>
      <c r="R682" s="394" t="str">
        <f>IF(ISBLANK(INDEX('Policy Characteristics'!L:L,MATCH($C682,'Policy Characteristics'!$C:$C,0))),"",INDEX('Policy Characteristics'!L:L,MATCH($C682,'Policy Characteristics'!$C:$C,0)))</f>
        <v>industry-elec-and-hydrogen.html</v>
      </c>
    </row>
    <row r="683" customHeight="1" spans="1:18">
      <c r="A683" s="394" t="str">
        <f>IF(ISBLANK(INDEX('Policy Characteristics'!A:A,MATCH($C683,'Policy Characteristics'!$C:$C,0))),"",INDEX('Policy Characteristics'!A:A,MATCH($C683,'Policy Characteristics'!$C:$C,0)))</f>
        <v>Industry</v>
      </c>
      <c r="B683" s="395" t="str">
        <f>IF(ISBLANK(INDEX('Policy Characteristics'!B:B,MATCH($C683,'Policy Characteristics'!$C:$C,0))),"",INDEX('Policy Characteristics'!B:B,MATCH($C683,'Policy Characteristics'!$C:$C,0)))</f>
        <v>Electrification + Hydrogen (Med &amp; High Temp)</v>
      </c>
      <c r="C683" s="394" t="str">
        <f t="shared" si="35"/>
        <v>Fraction of Med and High Temp Industrial Heat Shifted to Other Fuels</v>
      </c>
      <c r="D683" s="399" t="s">
        <v>782</v>
      </c>
      <c r="E683" s="399" t="s">
        <v>806</v>
      </c>
      <c r="F683" s="366" t="s">
        <v>783</v>
      </c>
      <c r="G683" s="399" t="s">
        <v>807</v>
      </c>
      <c r="H683" s="377">
        <v>1435</v>
      </c>
      <c r="I683" s="396" t="s">
        <v>658</v>
      </c>
      <c r="J683" s="397" t="str">
        <f>IF(ISBLANK(INDEX('Policy Characteristics'!D:D,MATCH($C683,'Policy Characteristics'!$C:$C,0))),"",INDEX('Policy Characteristics'!D:D,MATCH($C683,'Policy Characteristics'!$C:$C,0)))</f>
        <v>Electrification + Hydrogen</v>
      </c>
      <c r="K683" s="394" t="str">
        <f>IF(ISBLANK(INDEX('Policy Characteristics'!E:E,MATCH($C683,'Policy Characteristics'!$C:$C,0))),"",INDEX('Policy Characteristics'!E:E,MATCH($C683,'Policy Characteristics'!$C:$C,0)))</f>
        <v>indst med and high temp fuel type shifting</v>
      </c>
      <c r="L683" s="398">
        <f>IF(ISBLANK(INDEX('Policy Characteristics'!F:F,MATCH($C683,'Policy Characteristics'!$C:$C,0))),"",INDEX('Policy Characteristics'!F:F,MATCH($C683,'Policy Characteristics'!$C:$C,0)))</f>
        <v>0</v>
      </c>
      <c r="M683" s="398">
        <f>IF(ISBLANK(INDEX('Policy Characteristics'!G:G,MATCH($C683,'Policy Characteristics'!$C:$C,0))),"",INDEX('Policy Characteristics'!G:G,MATCH($C683,'Policy Characteristics'!$C:$C,0)))</f>
        <v>1</v>
      </c>
      <c r="N683" s="398">
        <f>IF(ISBLANK(INDEX('Policy Characteristics'!H:H,MATCH($C683,'Policy Characteristics'!$C:$C,0))),"",INDEX('Policy Characteristics'!H:H,MATCH($C683,'Policy Characteristics'!$C:$C,0)))</f>
        <v>0.01</v>
      </c>
      <c r="O683" s="394" t="str">
        <f>IF(ISBLANK(INDEX('Policy Characteristics'!I:I,MATCH($C683,'Policy Characteristics'!$C:$C,0))),"",INDEX('Policy Characteristics'!I:I,MATCH($C683,'Policy Characteristics'!$C:$C,0)))</f>
        <v>% of fuel shifted</v>
      </c>
      <c r="P683" s="394" t="str">
        <f>IF(ISBLANK(INDEX('Policy Characteristics'!J:J,MATCH($C683,'Policy Characteristics'!$C:$C,0))),"",INDEX('Policy Characteristics'!J:J,MATCH($C683,'Policy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3" s="394" t="str">
        <f>IF(ISBLANK(INDEX('Policy Characteristics'!K:K,MATCH($C683,'Policy Characteristics'!$C:$C,0))),"",INDEX('Policy Characteristics'!K:K,MATCH($C683,'Policy Characteristics'!$C:$C,0)))</f>
        <v>industry-ag-main.html#fuel-switching</v>
      </c>
      <c r="R683" s="394" t="str">
        <f>IF(ISBLANK(INDEX('Policy Characteristics'!L:L,MATCH($C683,'Policy Characteristics'!$C:$C,0))),"",INDEX('Policy Characteristics'!L:L,MATCH($C683,'Policy Characteristics'!$C:$C,0)))</f>
        <v>industry-elec-and-hydrogen.html</v>
      </c>
    </row>
    <row r="684" customHeight="1" spans="1:18">
      <c r="A684" s="394" t="str">
        <f>IF(ISBLANK(INDEX('Policy Characteristics'!A:A,MATCH($C684,'Policy Characteristics'!$C:$C,0))),"",INDEX('Policy Characteristics'!A:A,MATCH($C684,'Policy Characteristics'!$C:$C,0)))</f>
        <v>Industry</v>
      </c>
      <c r="B684" s="395" t="str">
        <f>IF(ISBLANK(INDEX('Policy Characteristics'!B:B,MATCH($C684,'Policy Characteristics'!$C:$C,0))),"",INDEX('Policy Characteristics'!B:B,MATCH($C684,'Policy Characteristics'!$C:$C,0)))</f>
        <v>Electrification + Hydrogen (Med &amp; High Temp)</v>
      </c>
      <c r="C684" s="394" t="str">
        <f t="shared" si="35"/>
        <v>Fraction of Med and High Temp Industrial Heat Shifted to Other Fuels</v>
      </c>
      <c r="D684" s="399" t="s">
        <v>782</v>
      </c>
      <c r="E684" s="399" t="s">
        <v>808</v>
      </c>
      <c r="F684" s="366" t="s">
        <v>783</v>
      </c>
      <c r="G684" s="399" t="s">
        <v>809</v>
      </c>
      <c r="H684" s="377">
        <v>1436</v>
      </c>
      <c r="I684" s="396" t="s">
        <v>658</v>
      </c>
      <c r="J684" s="397" t="str">
        <f>IF(ISBLANK(INDEX('Policy Characteristics'!D:D,MATCH($C684,'Policy Characteristics'!$C:$C,0))),"",INDEX('Policy Characteristics'!D:D,MATCH($C684,'Policy Characteristics'!$C:$C,0)))</f>
        <v>Electrification + Hydrogen</v>
      </c>
      <c r="K684" s="394" t="str">
        <f>IF(ISBLANK(INDEX('Policy Characteristics'!E:E,MATCH($C684,'Policy Characteristics'!$C:$C,0))),"",INDEX('Policy Characteristics'!E:E,MATCH($C684,'Policy Characteristics'!$C:$C,0)))</f>
        <v>indst med and high temp fuel type shifting</v>
      </c>
      <c r="L684" s="398">
        <f>IF(ISBLANK(INDEX('Policy Characteristics'!F:F,MATCH($C684,'Policy Characteristics'!$C:$C,0))),"",INDEX('Policy Characteristics'!F:F,MATCH($C684,'Policy Characteristics'!$C:$C,0)))</f>
        <v>0</v>
      </c>
      <c r="M684" s="398">
        <f>IF(ISBLANK(INDEX('Policy Characteristics'!G:G,MATCH($C684,'Policy Characteristics'!$C:$C,0))),"",INDEX('Policy Characteristics'!G:G,MATCH($C684,'Policy Characteristics'!$C:$C,0)))</f>
        <v>1</v>
      </c>
      <c r="N684" s="398">
        <f>IF(ISBLANK(INDEX('Policy Characteristics'!H:H,MATCH($C684,'Policy Characteristics'!$C:$C,0))),"",INDEX('Policy Characteristics'!H:H,MATCH($C684,'Policy Characteristics'!$C:$C,0)))</f>
        <v>0.01</v>
      </c>
      <c r="O684" s="394" t="str">
        <f>IF(ISBLANK(INDEX('Policy Characteristics'!I:I,MATCH($C684,'Policy Characteristics'!$C:$C,0))),"",INDEX('Policy Characteristics'!I:I,MATCH($C684,'Policy Characteristics'!$C:$C,0)))</f>
        <v>% of fuel shifted</v>
      </c>
      <c r="P684" s="394" t="str">
        <f>IF(ISBLANK(INDEX('Policy Characteristics'!J:J,MATCH($C684,'Policy Characteristics'!$C:$C,0))),"",INDEX('Policy Characteristics'!J:J,MATCH($C684,'Policy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4" s="394" t="str">
        <f>IF(ISBLANK(INDEX('Policy Characteristics'!K:K,MATCH($C684,'Policy Characteristics'!$C:$C,0))),"",INDEX('Policy Characteristics'!K:K,MATCH($C684,'Policy Characteristics'!$C:$C,0)))</f>
        <v>industry-ag-main.html#fuel-switching</v>
      </c>
      <c r="R684" s="394" t="str">
        <f>IF(ISBLANK(INDEX('Policy Characteristics'!L:L,MATCH($C684,'Policy Characteristics'!$C:$C,0))),"",INDEX('Policy Characteristics'!L:L,MATCH($C684,'Policy Characteristics'!$C:$C,0)))</f>
        <v>industry-elec-and-hydrogen.html</v>
      </c>
    </row>
    <row r="685" customHeight="1" spans="1:18">
      <c r="A685" s="394" t="str">
        <f>IF(ISBLANK(INDEX('Policy Characteristics'!A:A,MATCH($C685,'Policy Characteristics'!$C:$C,0))),"",INDEX('Policy Characteristics'!A:A,MATCH($C685,'Policy Characteristics'!$C:$C,0)))</f>
        <v>Industry</v>
      </c>
      <c r="B685" s="395" t="str">
        <f>IF(ISBLANK(INDEX('Policy Characteristics'!B:B,MATCH($C685,'Policy Characteristics'!$C:$C,0))),"",INDEX('Policy Characteristics'!B:B,MATCH($C685,'Policy Characteristics'!$C:$C,0)))</f>
        <v>Electrification + Hydrogen (Med &amp; High Temp)</v>
      </c>
      <c r="C685" s="394" t="str">
        <f t="shared" si="35"/>
        <v>Fraction of Med and High Temp Industrial Heat Shifted to Other Fuels</v>
      </c>
      <c r="D685" s="399" t="s">
        <v>782</v>
      </c>
      <c r="E685" s="399" t="s">
        <v>810</v>
      </c>
      <c r="F685" s="366" t="s">
        <v>783</v>
      </c>
      <c r="G685" s="399" t="s">
        <v>811</v>
      </c>
      <c r="H685" s="377">
        <v>1437</v>
      </c>
      <c r="I685" s="396" t="s">
        <v>648</v>
      </c>
      <c r="J685" s="397" t="str">
        <f>IF(ISBLANK(INDEX('Policy Characteristics'!D:D,MATCH($C685,'Policy Characteristics'!$C:$C,0))),"",INDEX('Policy Characteristics'!D:D,MATCH($C685,'Policy Characteristics'!$C:$C,0)))</f>
        <v>Electrification + Hydrogen</v>
      </c>
      <c r="K685" s="394" t="str">
        <f>IF(ISBLANK(INDEX('Policy Characteristics'!E:E,MATCH($C685,'Policy Characteristics'!$C:$C,0))),"",INDEX('Policy Characteristics'!E:E,MATCH($C685,'Policy Characteristics'!$C:$C,0)))</f>
        <v>indst med and high temp fuel type shifting</v>
      </c>
      <c r="L685" s="398">
        <f>IF(ISBLANK(INDEX('Policy Characteristics'!F:F,MATCH($C685,'Policy Characteristics'!$C:$C,0))),"",INDEX('Policy Characteristics'!F:F,MATCH($C685,'Policy Characteristics'!$C:$C,0)))</f>
        <v>0</v>
      </c>
      <c r="M685" s="398">
        <f>IF(ISBLANK(INDEX('Policy Characteristics'!G:G,MATCH($C685,'Policy Characteristics'!$C:$C,0))),"",INDEX('Policy Characteristics'!G:G,MATCH($C685,'Policy Characteristics'!$C:$C,0)))</f>
        <v>1</v>
      </c>
      <c r="N685" s="398">
        <f>IF(ISBLANK(INDEX('Policy Characteristics'!H:H,MATCH($C685,'Policy Characteristics'!$C:$C,0))),"",INDEX('Policy Characteristics'!H:H,MATCH($C685,'Policy Characteristics'!$C:$C,0)))</f>
        <v>0.01</v>
      </c>
      <c r="O685" s="394" t="str">
        <f>IF(ISBLANK(INDEX('Policy Characteristics'!I:I,MATCH($C685,'Policy Characteristics'!$C:$C,0))),"",INDEX('Policy Characteristics'!I:I,MATCH($C685,'Policy Characteristics'!$C:$C,0)))</f>
        <v>% of fuel shifted</v>
      </c>
      <c r="P685" s="394" t="str">
        <f>IF(ISBLANK(INDEX('Policy Characteristics'!J:J,MATCH($C685,'Policy Characteristics'!$C:$C,0))),"",INDEX('Policy Characteristics'!J:J,MATCH($C685,'Policy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5" s="394" t="str">
        <f>IF(ISBLANK(INDEX('Policy Characteristics'!K:K,MATCH($C685,'Policy Characteristics'!$C:$C,0))),"",INDEX('Policy Characteristics'!K:K,MATCH($C685,'Policy Characteristics'!$C:$C,0)))</f>
        <v>industry-ag-main.html#fuel-switching</v>
      </c>
      <c r="R685" s="394" t="str">
        <f>IF(ISBLANK(INDEX('Policy Characteristics'!L:L,MATCH($C685,'Policy Characteristics'!$C:$C,0))),"",INDEX('Policy Characteristics'!L:L,MATCH($C685,'Policy Characteristics'!$C:$C,0)))</f>
        <v>industry-elec-and-hydrogen.html</v>
      </c>
    </row>
    <row r="686" customHeight="1" spans="1:18">
      <c r="A686" s="394" t="str">
        <f>IF(ISBLANK(INDEX('Policy Characteristics'!A:A,MATCH($C686,'Policy Characteristics'!$C:$C,0))),"",INDEX('Policy Characteristics'!A:A,MATCH($C686,'Policy Characteristics'!$C:$C,0)))</f>
        <v>Industry</v>
      </c>
      <c r="B686" s="395" t="str">
        <f>IF(ISBLANK(INDEX('Policy Characteristics'!B:B,MATCH($C686,'Policy Characteristics'!$C:$C,0))),"",INDEX('Policy Characteristics'!B:B,MATCH($C686,'Policy Characteristics'!$C:$C,0)))</f>
        <v>Electrification + Hydrogen (Med &amp; High Temp)</v>
      </c>
      <c r="C686" s="394" t="str">
        <f t="shared" si="35"/>
        <v>Fraction of Med and High Temp Industrial Heat Shifted to Other Fuels</v>
      </c>
      <c r="D686" s="399" t="s">
        <v>784</v>
      </c>
      <c r="E686" s="399" t="s">
        <v>792</v>
      </c>
      <c r="F686" t="s">
        <v>785</v>
      </c>
      <c r="G686" s="399" t="s">
        <v>793</v>
      </c>
      <c r="H686" s="377">
        <v>1438</v>
      </c>
      <c r="I686" s="396" t="s">
        <v>648</v>
      </c>
      <c r="J686" s="397" t="str">
        <f>IF(ISBLANK(INDEX('Policy Characteristics'!D:D,MATCH($C686,'Policy Characteristics'!$C:$C,0))),"",INDEX('Policy Characteristics'!D:D,MATCH($C686,'Policy Characteristics'!$C:$C,0)))</f>
        <v>Electrification + Hydrogen</v>
      </c>
      <c r="K686" s="394" t="str">
        <f>IF(ISBLANK(INDEX('Policy Characteristics'!E:E,MATCH($C686,'Policy Characteristics'!$C:$C,0))),"",INDEX('Policy Characteristics'!E:E,MATCH($C686,'Policy Characteristics'!$C:$C,0)))</f>
        <v>indst med and high temp fuel type shifting</v>
      </c>
      <c r="L686" s="398">
        <f>IF(ISBLANK(INDEX('Policy Characteristics'!F:F,MATCH($C686,'Policy Characteristics'!$C:$C,0))),"",INDEX('Policy Characteristics'!F:F,MATCH($C686,'Policy Characteristics'!$C:$C,0)))</f>
        <v>0</v>
      </c>
      <c r="M686" s="398">
        <f>IF(ISBLANK(INDEX('Policy Characteristics'!G:G,MATCH($C686,'Policy Characteristics'!$C:$C,0))),"",INDEX('Policy Characteristics'!G:G,MATCH($C686,'Policy Characteristics'!$C:$C,0)))</f>
        <v>1</v>
      </c>
      <c r="N686" s="398">
        <f>IF(ISBLANK(INDEX('Policy Characteristics'!H:H,MATCH($C686,'Policy Characteristics'!$C:$C,0))),"",INDEX('Policy Characteristics'!H:H,MATCH($C686,'Policy Characteristics'!$C:$C,0)))</f>
        <v>0.01</v>
      </c>
      <c r="O686" s="394" t="str">
        <f>IF(ISBLANK(INDEX('Policy Characteristics'!I:I,MATCH($C686,'Policy Characteristics'!$C:$C,0))),"",INDEX('Policy Characteristics'!I:I,MATCH($C686,'Policy Characteristics'!$C:$C,0)))</f>
        <v>% of fuel shifted</v>
      </c>
      <c r="P686" s="394" t="str">
        <f>IF(ISBLANK(INDEX('Policy Characteristics'!J:J,MATCH($C686,'Policy Characteristics'!$C:$C,0))),"",INDEX('Policy Characteristics'!J:J,MATCH($C686,'Policy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6" s="394" t="str">
        <f>IF(ISBLANK(INDEX('Policy Characteristics'!K:K,MATCH($C686,'Policy Characteristics'!$C:$C,0))),"",INDEX('Policy Characteristics'!K:K,MATCH($C686,'Policy Characteristics'!$C:$C,0)))</f>
        <v>industry-ag-main.html#fuel-switching</v>
      </c>
      <c r="R686" s="394" t="str">
        <f>IF(ISBLANK(INDEX('Policy Characteristics'!L:L,MATCH($C686,'Policy Characteristics'!$C:$C,0))),"",INDEX('Policy Characteristics'!L:L,MATCH($C686,'Policy Characteristics'!$C:$C,0)))</f>
        <v>industry-elec-and-hydrogen.html</v>
      </c>
    </row>
    <row r="687" customHeight="1" spans="1:18">
      <c r="A687" s="394" t="str">
        <f>IF(ISBLANK(INDEX('Policy Characteristics'!A:A,MATCH($C687,'Policy Characteristics'!$C:$C,0))),"",INDEX('Policy Characteristics'!A:A,MATCH($C687,'Policy Characteristics'!$C:$C,0)))</f>
        <v>Industry</v>
      </c>
      <c r="B687" s="395" t="str">
        <f>IF(ISBLANK(INDEX('Policy Characteristics'!B:B,MATCH($C687,'Policy Characteristics'!$C:$C,0))),"",INDEX('Policy Characteristics'!B:B,MATCH($C687,'Policy Characteristics'!$C:$C,0)))</f>
        <v>Electrification + Hydrogen (Med &amp; High Temp)</v>
      </c>
      <c r="C687" s="394" t="str">
        <f t="shared" si="35"/>
        <v>Fraction of Med and High Temp Industrial Heat Shifted to Other Fuels</v>
      </c>
      <c r="D687" s="399" t="s">
        <v>784</v>
      </c>
      <c r="E687" s="399" t="s">
        <v>794</v>
      </c>
      <c r="F687" t="s">
        <v>785</v>
      </c>
      <c r="G687" s="399" t="s">
        <v>795</v>
      </c>
      <c r="H687" s="377">
        <v>1439</v>
      </c>
      <c r="I687" s="396" t="s">
        <v>658</v>
      </c>
      <c r="J687" s="397" t="str">
        <f>IF(ISBLANK(INDEX('Policy Characteristics'!D:D,MATCH($C687,'Policy Characteristics'!$C:$C,0))),"",INDEX('Policy Characteristics'!D:D,MATCH($C687,'Policy Characteristics'!$C:$C,0)))</f>
        <v>Electrification + Hydrogen</v>
      </c>
      <c r="K687" s="394" t="str">
        <f>IF(ISBLANK(INDEX('Policy Characteristics'!E:E,MATCH($C687,'Policy Characteristics'!$C:$C,0))),"",INDEX('Policy Characteristics'!E:E,MATCH($C687,'Policy Characteristics'!$C:$C,0)))</f>
        <v>indst med and high temp fuel type shifting</v>
      </c>
      <c r="L687" s="398">
        <f>IF(ISBLANK(INDEX('Policy Characteristics'!F:F,MATCH($C687,'Policy Characteristics'!$C:$C,0))),"",INDEX('Policy Characteristics'!F:F,MATCH($C687,'Policy Characteristics'!$C:$C,0)))</f>
        <v>0</v>
      </c>
      <c r="M687" s="398">
        <f>IF(ISBLANK(INDEX('Policy Characteristics'!G:G,MATCH($C687,'Policy Characteristics'!$C:$C,0))),"",INDEX('Policy Characteristics'!G:G,MATCH($C687,'Policy Characteristics'!$C:$C,0)))</f>
        <v>1</v>
      </c>
      <c r="N687" s="398">
        <f>IF(ISBLANK(INDEX('Policy Characteristics'!H:H,MATCH($C687,'Policy Characteristics'!$C:$C,0))),"",INDEX('Policy Characteristics'!H:H,MATCH($C687,'Policy Characteristics'!$C:$C,0)))</f>
        <v>0.01</v>
      </c>
      <c r="O687" s="394" t="str">
        <f>IF(ISBLANK(INDEX('Policy Characteristics'!I:I,MATCH($C687,'Policy Characteristics'!$C:$C,0))),"",INDEX('Policy Characteristics'!I:I,MATCH($C687,'Policy Characteristics'!$C:$C,0)))</f>
        <v>% of fuel shifted</v>
      </c>
      <c r="P687" s="394" t="str">
        <f>IF(ISBLANK(INDEX('Policy Characteristics'!J:J,MATCH($C687,'Policy Characteristics'!$C:$C,0))),"",INDEX('Policy Characteristics'!J:J,MATCH($C687,'Policy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7" s="394" t="str">
        <f>IF(ISBLANK(INDEX('Policy Characteristics'!K:K,MATCH($C687,'Policy Characteristics'!$C:$C,0))),"",INDEX('Policy Characteristics'!K:K,MATCH($C687,'Policy Characteristics'!$C:$C,0)))</f>
        <v>industry-ag-main.html#fuel-switching</v>
      </c>
      <c r="R687" s="394" t="str">
        <f>IF(ISBLANK(INDEX('Policy Characteristics'!L:L,MATCH($C687,'Policy Characteristics'!$C:$C,0))),"",INDEX('Policy Characteristics'!L:L,MATCH($C687,'Policy Characteristics'!$C:$C,0)))</f>
        <v>industry-elec-and-hydrogen.html</v>
      </c>
    </row>
    <row r="688" customHeight="1" spans="1:18">
      <c r="A688" s="394" t="str">
        <f>IF(ISBLANK(INDEX('Policy Characteristics'!A:A,MATCH($C688,'Policy Characteristics'!$C:$C,0))),"",INDEX('Policy Characteristics'!A:A,MATCH($C688,'Policy Characteristics'!$C:$C,0)))</f>
        <v>Industry</v>
      </c>
      <c r="B688" s="395" t="str">
        <f>IF(ISBLANK(INDEX('Policy Characteristics'!B:B,MATCH($C688,'Policy Characteristics'!$C:$C,0))),"",INDEX('Policy Characteristics'!B:B,MATCH($C688,'Policy Characteristics'!$C:$C,0)))</f>
        <v>Electrification + Hydrogen (Med &amp; High Temp)</v>
      </c>
      <c r="C688" s="394" t="str">
        <f t="shared" si="35"/>
        <v>Fraction of Med and High Temp Industrial Heat Shifted to Other Fuels</v>
      </c>
      <c r="D688" s="399" t="s">
        <v>784</v>
      </c>
      <c r="E688" s="399" t="s">
        <v>796</v>
      </c>
      <c r="F688" t="s">
        <v>785</v>
      </c>
      <c r="G688" s="399" t="s">
        <v>797</v>
      </c>
      <c r="H688" s="377">
        <v>1440</v>
      </c>
      <c r="I688" s="396" t="s">
        <v>658</v>
      </c>
      <c r="J688" s="397" t="str">
        <f>IF(ISBLANK(INDEX('Policy Characteristics'!D:D,MATCH($C688,'Policy Characteristics'!$C:$C,0))),"",INDEX('Policy Characteristics'!D:D,MATCH($C688,'Policy Characteristics'!$C:$C,0)))</f>
        <v>Electrification + Hydrogen</v>
      </c>
      <c r="K688" s="394" t="str">
        <f>IF(ISBLANK(INDEX('Policy Characteristics'!E:E,MATCH($C688,'Policy Characteristics'!$C:$C,0))),"",INDEX('Policy Characteristics'!E:E,MATCH($C688,'Policy Characteristics'!$C:$C,0)))</f>
        <v>indst med and high temp fuel type shifting</v>
      </c>
      <c r="L688" s="398">
        <f>IF(ISBLANK(INDEX('Policy Characteristics'!F:F,MATCH($C688,'Policy Characteristics'!$C:$C,0))),"",INDEX('Policy Characteristics'!F:F,MATCH($C688,'Policy Characteristics'!$C:$C,0)))</f>
        <v>0</v>
      </c>
      <c r="M688" s="398">
        <f>IF(ISBLANK(INDEX('Policy Characteristics'!G:G,MATCH($C688,'Policy Characteristics'!$C:$C,0))),"",INDEX('Policy Characteristics'!G:G,MATCH($C688,'Policy Characteristics'!$C:$C,0)))</f>
        <v>1</v>
      </c>
      <c r="N688" s="398">
        <f>IF(ISBLANK(INDEX('Policy Characteristics'!H:H,MATCH($C688,'Policy Characteristics'!$C:$C,0))),"",INDEX('Policy Characteristics'!H:H,MATCH($C688,'Policy Characteristics'!$C:$C,0)))</f>
        <v>0.01</v>
      </c>
      <c r="O688" s="394" t="str">
        <f>IF(ISBLANK(INDEX('Policy Characteristics'!I:I,MATCH($C688,'Policy Characteristics'!$C:$C,0))),"",INDEX('Policy Characteristics'!I:I,MATCH($C688,'Policy Characteristics'!$C:$C,0)))</f>
        <v>% of fuel shifted</v>
      </c>
      <c r="P688" s="394" t="str">
        <f>IF(ISBLANK(INDEX('Policy Characteristics'!J:J,MATCH($C688,'Policy Characteristics'!$C:$C,0))),"",INDEX('Policy Characteristics'!J:J,MATCH($C688,'Policy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8" s="394" t="str">
        <f>IF(ISBLANK(INDEX('Policy Characteristics'!K:K,MATCH($C688,'Policy Characteristics'!$C:$C,0))),"",INDEX('Policy Characteristics'!K:K,MATCH($C688,'Policy Characteristics'!$C:$C,0)))</f>
        <v>industry-ag-main.html#fuel-switching</v>
      </c>
      <c r="R688" s="394" t="str">
        <f>IF(ISBLANK(INDEX('Policy Characteristics'!L:L,MATCH($C688,'Policy Characteristics'!$C:$C,0))),"",INDEX('Policy Characteristics'!L:L,MATCH($C688,'Policy Characteristics'!$C:$C,0)))</f>
        <v>industry-elec-and-hydrogen.html</v>
      </c>
    </row>
    <row r="689" customHeight="1" spans="1:18">
      <c r="A689" s="394" t="str">
        <f>IF(ISBLANK(INDEX('Policy Characteristics'!A:A,MATCH($C689,'Policy Characteristics'!$C:$C,0))),"",INDEX('Policy Characteristics'!A:A,MATCH($C689,'Policy Characteristics'!$C:$C,0)))</f>
        <v>Industry</v>
      </c>
      <c r="B689" s="395" t="str">
        <f>IF(ISBLANK(INDEX('Policy Characteristics'!B:B,MATCH($C689,'Policy Characteristics'!$C:$C,0))),"",INDEX('Policy Characteristics'!B:B,MATCH($C689,'Policy Characteristics'!$C:$C,0)))</f>
        <v>Electrification + Hydrogen (Med &amp; High Temp)</v>
      </c>
      <c r="C689" s="394" t="str">
        <f t="shared" si="35"/>
        <v>Fraction of Med and High Temp Industrial Heat Shifted to Other Fuels</v>
      </c>
      <c r="D689" s="399" t="s">
        <v>784</v>
      </c>
      <c r="E689" s="399" t="s">
        <v>798</v>
      </c>
      <c r="F689" t="s">
        <v>785</v>
      </c>
      <c r="G689" s="399" t="s">
        <v>799</v>
      </c>
      <c r="H689" s="377">
        <v>1441</v>
      </c>
      <c r="I689" s="396" t="s">
        <v>658</v>
      </c>
      <c r="J689" s="397" t="str">
        <f>IF(ISBLANK(INDEX('Policy Characteristics'!D:D,MATCH($C689,'Policy Characteristics'!$C:$C,0))),"",INDEX('Policy Characteristics'!D:D,MATCH($C689,'Policy Characteristics'!$C:$C,0)))</f>
        <v>Electrification + Hydrogen</v>
      </c>
      <c r="K689" s="394" t="str">
        <f>IF(ISBLANK(INDEX('Policy Characteristics'!E:E,MATCH($C689,'Policy Characteristics'!$C:$C,0))),"",INDEX('Policy Characteristics'!E:E,MATCH($C689,'Policy Characteristics'!$C:$C,0)))</f>
        <v>indst med and high temp fuel type shifting</v>
      </c>
      <c r="L689" s="398">
        <f>IF(ISBLANK(INDEX('Policy Characteristics'!F:F,MATCH($C689,'Policy Characteristics'!$C:$C,0))),"",INDEX('Policy Characteristics'!F:F,MATCH($C689,'Policy Characteristics'!$C:$C,0)))</f>
        <v>0</v>
      </c>
      <c r="M689" s="398">
        <f>IF(ISBLANK(INDEX('Policy Characteristics'!G:G,MATCH($C689,'Policy Characteristics'!$C:$C,0))),"",INDEX('Policy Characteristics'!G:G,MATCH($C689,'Policy Characteristics'!$C:$C,0)))</f>
        <v>1</v>
      </c>
      <c r="N689" s="398">
        <f>IF(ISBLANK(INDEX('Policy Characteristics'!H:H,MATCH($C689,'Policy Characteristics'!$C:$C,0))),"",INDEX('Policy Characteristics'!H:H,MATCH($C689,'Policy Characteristics'!$C:$C,0)))</f>
        <v>0.01</v>
      </c>
      <c r="O689" s="394" t="str">
        <f>IF(ISBLANK(INDEX('Policy Characteristics'!I:I,MATCH($C689,'Policy Characteristics'!$C:$C,0))),"",INDEX('Policy Characteristics'!I:I,MATCH($C689,'Policy Characteristics'!$C:$C,0)))</f>
        <v>% of fuel shifted</v>
      </c>
      <c r="P689" s="394" t="str">
        <f>IF(ISBLANK(INDEX('Policy Characteristics'!J:J,MATCH($C689,'Policy Characteristics'!$C:$C,0))),"",INDEX('Policy Characteristics'!J:J,MATCH($C689,'Policy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9" s="394" t="str">
        <f>IF(ISBLANK(INDEX('Policy Characteristics'!K:K,MATCH($C689,'Policy Characteristics'!$C:$C,0))),"",INDEX('Policy Characteristics'!K:K,MATCH($C689,'Policy Characteristics'!$C:$C,0)))</f>
        <v>industry-ag-main.html#fuel-switching</v>
      </c>
      <c r="R689" s="394" t="str">
        <f>IF(ISBLANK(INDEX('Policy Characteristics'!L:L,MATCH($C689,'Policy Characteristics'!$C:$C,0))),"",INDEX('Policy Characteristics'!L:L,MATCH($C689,'Policy Characteristics'!$C:$C,0)))</f>
        <v>industry-elec-and-hydrogen.html</v>
      </c>
    </row>
    <row r="690" customHeight="1" spans="1:18">
      <c r="A690" s="394" t="str">
        <f>IF(ISBLANK(INDEX('Policy Characteristics'!A:A,MATCH($C690,'Policy Characteristics'!$C:$C,0))),"",INDEX('Policy Characteristics'!A:A,MATCH($C690,'Policy Characteristics'!$C:$C,0)))</f>
        <v>Industry</v>
      </c>
      <c r="B690" s="395" t="str">
        <f>IF(ISBLANK(INDEX('Policy Characteristics'!B:B,MATCH($C690,'Policy Characteristics'!$C:$C,0))),"",INDEX('Policy Characteristics'!B:B,MATCH($C690,'Policy Characteristics'!$C:$C,0)))</f>
        <v>Electrification + Hydrogen (Med &amp; High Temp)</v>
      </c>
      <c r="C690" s="394" t="str">
        <f t="shared" si="35"/>
        <v>Fraction of Med and High Temp Industrial Heat Shifted to Other Fuels</v>
      </c>
      <c r="D690" s="399" t="s">
        <v>784</v>
      </c>
      <c r="E690" s="399" t="s">
        <v>800</v>
      </c>
      <c r="F690" t="s">
        <v>785</v>
      </c>
      <c r="G690" s="399" t="s">
        <v>801</v>
      </c>
      <c r="H690" s="377">
        <v>1442</v>
      </c>
      <c r="I690" s="396" t="s">
        <v>658</v>
      </c>
      <c r="J690" s="397" t="str">
        <f>IF(ISBLANK(INDEX('Policy Characteristics'!D:D,MATCH($C690,'Policy Characteristics'!$C:$C,0))),"",INDEX('Policy Characteristics'!D:D,MATCH($C690,'Policy Characteristics'!$C:$C,0)))</f>
        <v>Electrification + Hydrogen</v>
      </c>
      <c r="K690" s="394" t="str">
        <f>IF(ISBLANK(INDEX('Policy Characteristics'!E:E,MATCH($C690,'Policy Characteristics'!$C:$C,0))),"",INDEX('Policy Characteristics'!E:E,MATCH($C690,'Policy Characteristics'!$C:$C,0)))</f>
        <v>indst med and high temp fuel type shifting</v>
      </c>
      <c r="L690" s="398">
        <f>IF(ISBLANK(INDEX('Policy Characteristics'!F:F,MATCH($C690,'Policy Characteristics'!$C:$C,0))),"",INDEX('Policy Characteristics'!F:F,MATCH($C690,'Policy Characteristics'!$C:$C,0)))</f>
        <v>0</v>
      </c>
      <c r="M690" s="398">
        <f>IF(ISBLANK(INDEX('Policy Characteristics'!G:G,MATCH($C690,'Policy Characteristics'!$C:$C,0))),"",INDEX('Policy Characteristics'!G:G,MATCH($C690,'Policy Characteristics'!$C:$C,0)))</f>
        <v>1</v>
      </c>
      <c r="N690" s="398">
        <f>IF(ISBLANK(INDEX('Policy Characteristics'!H:H,MATCH($C690,'Policy Characteristics'!$C:$C,0))),"",INDEX('Policy Characteristics'!H:H,MATCH($C690,'Policy Characteristics'!$C:$C,0)))</f>
        <v>0.01</v>
      </c>
      <c r="O690" s="394" t="str">
        <f>IF(ISBLANK(INDEX('Policy Characteristics'!I:I,MATCH($C690,'Policy Characteristics'!$C:$C,0))),"",INDEX('Policy Characteristics'!I:I,MATCH($C690,'Policy Characteristics'!$C:$C,0)))</f>
        <v>% of fuel shifted</v>
      </c>
      <c r="P690" s="394" t="str">
        <f>IF(ISBLANK(INDEX('Policy Characteristics'!J:J,MATCH($C690,'Policy Characteristics'!$C:$C,0))),"",INDEX('Policy Characteristics'!J:J,MATCH($C690,'Policy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0" s="394" t="str">
        <f>IF(ISBLANK(INDEX('Policy Characteristics'!K:K,MATCH($C690,'Policy Characteristics'!$C:$C,0))),"",INDEX('Policy Characteristics'!K:K,MATCH($C690,'Policy Characteristics'!$C:$C,0)))</f>
        <v>industry-ag-main.html#fuel-switching</v>
      </c>
      <c r="R690" s="394" t="str">
        <f>IF(ISBLANK(INDEX('Policy Characteristics'!L:L,MATCH($C690,'Policy Characteristics'!$C:$C,0))),"",INDEX('Policy Characteristics'!L:L,MATCH($C690,'Policy Characteristics'!$C:$C,0)))</f>
        <v>industry-elec-and-hydrogen.html</v>
      </c>
    </row>
    <row r="691" customHeight="1" spans="1:18">
      <c r="A691" s="394" t="str">
        <f>IF(ISBLANK(INDEX('Policy Characteristics'!A:A,MATCH($C691,'Policy Characteristics'!$C:$C,0))),"",INDEX('Policy Characteristics'!A:A,MATCH($C691,'Policy Characteristics'!$C:$C,0)))</f>
        <v>Industry</v>
      </c>
      <c r="B691" s="395" t="str">
        <f>IF(ISBLANK(INDEX('Policy Characteristics'!B:B,MATCH($C691,'Policy Characteristics'!$C:$C,0))),"",INDEX('Policy Characteristics'!B:B,MATCH($C691,'Policy Characteristics'!$C:$C,0)))</f>
        <v>Electrification + Hydrogen (Med &amp; High Temp)</v>
      </c>
      <c r="C691" s="394" t="str">
        <f t="shared" si="35"/>
        <v>Fraction of Med and High Temp Industrial Heat Shifted to Other Fuels</v>
      </c>
      <c r="D691" s="399" t="s">
        <v>784</v>
      </c>
      <c r="E691" s="399" t="s">
        <v>802</v>
      </c>
      <c r="F691" t="s">
        <v>785</v>
      </c>
      <c r="G691" s="399" t="s">
        <v>803</v>
      </c>
      <c r="H691" s="377">
        <v>1443</v>
      </c>
      <c r="I691" s="396" t="s">
        <v>658</v>
      </c>
      <c r="J691" s="397" t="str">
        <f>IF(ISBLANK(INDEX('Policy Characteristics'!D:D,MATCH($C691,'Policy Characteristics'!$C:$C,0))),"",INDEX('Policy Characteristics'!D:D,MATCH($C691,'Policy Characteristics'!$C:$C,0)))</f>
        <v>Electrification + Hydrogen</v>
      </c>
      <c r="K691" s="394" t="str">
        <f>IF(ISBLANK(INDEX('Policy Characteristics'!E:E,MATCH($C691,'Policy Characteristics'!$C:$C,0))),"",INDEX('Policy Characteristics'!E:E,MATCH($C691,'Policy Characteristics'!$C:$C,0)))</f>
        <v>indst med and high temp fuel type shifting</v>
      </c>
      <c r="L691" s="398">
        <f>IF(ISBLANK(INDEX('Policy Characteristics'!F:F,MATCH($C691,'Policy Characteristics'!$C:$C,0))),"",INDEX('Policy Characteristics'!F:F,MATCH($C691,'Policy Characteristics'!$C:$C,0)))</f>
        <v>0</v>
      </c>
      <c r="M691" s="398">
        <f>IF(ISBLANK(INDEX('Policy Characteristics'!G:G,MATCH($C691,'Policy Characteristics'!$C:$C,0))),"",INDEX('Policy Characteristics'!G:G,MATCH($C691,'Policy Characteristics'!$C:$C,0)))</f>
        <v>1</v>
      </c>
      <c r="N691" s="398">
        <f>IF(ISBLANK(INDEX('Policy Characteristics'!H:H,MATCH($C691,'Policy Characteristics'!$C:$C,0))),"",INDEX('Policy Characteristics'!H:H,MATCH($C691,'Policy Characteristics'!$C:$C,0)))</f>
        <v>0.01</v>
      </c>
      <c r="O691" s="394" t="str">
        <f>IF(ISBLANK(INDEX('Policy Characteristics'!I:I,MATCH($C691,'Policy Characteristics'!$C:$C,0))),"",INDEX('Policy Characteristics'!I:I,MATCH($C691,'Policy Characteristics'!$C:$C,0)))</f>
        <v>% of fuel shifted</v>
      </c>
      <c r="P691" s="394" t="str">
        <f>IF(ISBLANK(INDEX('Policy Characteristics'!J:J,MATCH($C691,'Policy Characteristics'!$C:$C,0))),"",INDEX('Policy Characteristics'!J:J,MATCH($C691,'Policy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1" s="394" t="str">
        <f>IF(ISBLANK(INDEX('Policy Characteristics'!K:K,MATCH($C691,'Policy Characteristics'!$C:$C,0))),"",INDEX('Policy Characteristics'!K:K,MATCH($C691,'Policy Characteristics'!$C:$C,0)))</f>
        <v>industry-ag-main.html#fuel-switching</v>
      </c>
      <c r="R691" s="394" t="str">
        <f>IF(ISBLANK(INDEX('Policy Characteristics'!L:L,MATCH($C691,'Policy Characteristics'!$C:$C,0))),"",INDEX('Policy Characteristics'!L:L,MATCH($C691,'Policy Characteristics'!$C:$C,0)))</f>
        <v>industry-elec-and-hydrogen.html</v>
      </c>
    </row>
    <row r="692" customHeight="1" spans="1:18">
      <c r="A692" s="394" t="str">
        <f>IF(ISBLANK(INDEX('Policy Characteristics'!A:A,MATCH($C692,'Policy Characteristics'!$C:$C,0))),"",INDEX('Policy Characteristics'!A:A,MATCH($C692,'Policy Characteristics'!$C:$C,0)))</f>
        <v>Industry</v>
      </c>
      <c r="B692" s="395" t="str">
        <f>IF(ISBLANK(INDEX('Policy Characteristics'!B:B,MATCH($C692,'Policy Characteristics'!$C:$C,0))),"",INDEX('Policy Characteristics'!B:B,MATCH($C692,'Policy Characteristics'!$C:$C,0)))</f>
        <v>Electrification + Hydrogen (Med &amp; High Temp)</v>
      </c>
      <c r="C692" s="394" t="str">
        <f t="shared" si="35"/>
        <v>Fraction of Med and High Temp Industrial Heat Shifted to Other Fuels</v>
      </c>
      <c r="D692" s="399" t="s">
        <v>784</v>
      </c>
      <c r="E692" s="399" t="s">
        <v>804</v>
      </c>
      <c r="F692" t="s">
        <v>785</v>
      </c>
      <c r="G692" s="399" t="s">
        <v>805</v>
      </c>
      <c r="H692" s="377">
        <v>1444</v>
      </c>
      <c r="I692" s="396" t="s">
        <v>658</v>
      </c>
      <c r="J692" s="397" t="str">
        <f>IF(ISBLANK(INDEX('Policy Characteristics'!D:D,MATCH($C692,'Policy Characteristics'!$C:$C,0))),"",INDEX('Policy Characteristics'!D:D,MATCH($C692,'Policy Characteristics'!$C:$C,0)))</f>
        <v>Electrification + Hydrogen</v>
      </c>
      <c r="K692" s="394" t="str">
        <f>IF(ISBLANK(INDEX('Policy Characteristics'!E:E,MATCH($C692,'Policy Characteristics'!$C:$C,0))),"",INDEX('Policy Characteristics'!E:E,MATCH($C692,'Policy Characteristics'!$C:$C,0)))</f>
        <v>indst med and high temp fuel type shifting</v>
      </c>
      <c r="L692" s="398">
        <f>IF(ISBLANK(INDEX('Policy Characteristics'!F:F,MATCH($C692,'Policy Characteristics'!$C:$C,0))),"",INDEX('Policy Characteristics'!F:F,MATCH($C692,'Policy Characteristics'!$C:$C,0)))</f>
        <v>0</v>
      </c>
      <c r="M692" s="398">
        <f>IF(ISBLANK(INDEX('Policy Characteristics'!G:G,MATCH($C692,'Policy Characteristics'!$C:$C,0))),"",INDEX('Policy Characteristics'!G:G,MATCH($C692,'Policy Characteristics'!$C:$C,0)))</f>
        <v>1</v>
      </c>
      <c r="N692" s="398">
        <f>IF(ISBLANK(INDEX('Policy Characteristics'!H:H,MATCH($C692,'Policy Characteristics'!$C:$C,0))),"",INDEX('Policy Characteristics'!H:H,MATCH($C692,'Policy Characteristics'!$C:$C,0)))</f>
        <v>0.01</v>
      </c>
      <c r="O692" s="394" t="str">
        <f>IF(ISBLANK(INDEX('Policy Characteristics'!I:I,MATCH($C692,'Policy Characteristics'!$C:$C,0))),"",INDEX('Policy Characteristics'!I:I,MATCH($C692,'Policy Characteristics'!$C:$C,0)))</f>
        <v>% of fuel shifted</v>
      </c>
      <c r="P692" s="394" t="str">
        <f>IF(ISBLANK(INDEX('Policy Characteristics'!J:J,MATCH($C692,'Policy Characteristics'!$C:$C,0))),"",INDEX('Policy Characteristics'!J:J,MATCH($C692,'Policy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2" s="394" t="str">
        <f>IF(ISBLANK(INDEX('Policy Characteristics'!K:K,MATCH($C692,'Policy Characteristics'!$C:$C,0))),"",INDEX('Policy Characteristics'!K:K,MATCH($C692,'Policy Characteristics'!$C:$C,0)))</f>
        <v>industry-ag-main.html#fuel-switching</v>
      </c>
      <c r="R692" s="394" t="str">
        <f>IF(ISBLANK(INDEX('Policy Characteristics'!L:L,MATCH($C692,'Policy Characteristics'!$C:$C,0))),"",INDEX('Policy Characteristics'!L:L,MATCH($C692,'Policy Characteristics'!$C:$C,0)))</f>
        <v>industry-elec-and-hydrogen.html</v>
      </c>
    </row>
    <row r="693" customHeight="1" spans="1:18">
      <c r="A693" s="394" t="str">
        <f>IF(ISBLANK(INDEX('Policy Characteristics'!A:A,MATCH($C693,'Policy Characteristics'!$C:$C,0))),"",INDEX('Policy Characteristics'!A:A,MATCH($C693,'Policy Characteristics'!$C:$C,0)))</f>
        <v>Industry</v>
      </c>
      <c r="B693" s="395" t="str">
        <f>IF(ISBLANK(INDEX('Policy Characteristics'!B:B,MATCH($C693,'Policy Characteristics'!$C:$C,0))),"",INDEX('Policy Characteristics'!B:B,MATCH($C693,'Policy Characteristics'!$C:$C,0)))</f>
        <v>Electrification + Hydrogen (Med &amp; High Temp)</v>
      </c>
      <c r="C693" s="394" t="str">
        <f t="shared" si="35"/>
        <v>Fraction of Med and High Temp Industrial Heat Shifted to Other Fuels</v>
      </c>
      <c r="D693" s="399" t="s">
        <v>784</v>
      </c>
      <c r="E693" s="399" t="s">
        <v>806</v>
      </c>
      <c r="F693" t="s">
        <v>785</v>
      </c>
      <c r="G693" s="399" t="s">
        <v>807</v>
      </c>
      <c r="H693" s="377">
        <v>1445</v>
      </c>
      <c r="I693" s="396" t="s">
        <v>658</v>
      </c>
      <c r="J693" s="397" t="str">
        <f>IF(ISBLANK(INDEX('Policy Characteristics'!D:D,MATCH($C693,'Policy Characteristics'!$C:$C,0))),"",INDEX('Policy Characteristics'!D:D,MATCH($C693,'Policy Characteristics'!$C:$C,0)))</f>
        <v>Electrification + Hydrogen</v>
      </c>
      <c r="K693" s="394" t="str">
        <f>IF(ISBLANK(INDEX('Policy Characteristics'!E:E,MATCH($C693,'Policy Characteristics'!$C:$C,0))),"",INDEX('Policy Characteristics'!E:E,MATCH($C693,'Policy Characteristics'!$C:$C,0)))</f>
        <v>indst med and high temp fuel type shifting</v>
      </c>
      <c r="L693" s="398">
        <f>IF(ISBLANK(INDEX('Policy Characteristics'!F:F,MATCH($C693,'Policy Characteristics'!$C:$C,0))),"",INDEX('Policy Characteristics'!F:F,MATCH($C693,'Policy Characteristics'!$C:$C,0)))</f>
        <v>0</v>
      </c>
      <c r="M693" s="398">
        <f>IF(ISBLANK(INDEX('Policy Characteristics'!G:G,MATCH($C693,'Policy Characteristics'!$C:$C,0))),"",INDEX('Policy Characteristics'!G:G,MATCH($C693,'Policy Characteristics'!$C:$C,0)))</f>
        <v>1</v>
      </c>
      <c r="N693" s="398">
        <f>IF(ISBLANK(INDEX('Policy Characteristics'!H:H,MATCH($C693,'Policy Characteristics'!$C:$C,0))),"",INDEX('Policy Characteristics'!H:H,MATCH($C693,'Policy Characteristics'!$C:$C,0)))</f>
        <v>0.01</v>
      </c>
      <c r="O693" s="394" t="str">
        <f>IF(ISBLANK(INDEX('Policy Characteristics'!I:I,MATCH($C693,'Policy Characteristics'!$C:$C,0))),"",INDEX('Policy Characteristics'!I:I,MATCH($C693,'Policy Characteristics'!$C:$C,0)))</f>
        <v>% of fuel shifted</v>
      </c>
      <c r="P693" s="394" t="str">
        <f>IF(ISBLANK(INDEX('Policy Characteristics'!J:J,MATCH($C693,'Policy Characteristics'!$C:$C,0))),"",INDEX('Policy Characteristics'!J:J,MATCH($C693,'Policy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3" s="394" t="str">
        <f>IF(ISBLANK(INDEX('Policy Characteristics'!K:K,MATCH($C693,'Policy Characteristics'!$C:$C,0))),"",INDEX('Policy Characteristics'!K:K,MATCH($C693,'Policy Characteristics'!$C:$C,0)))</f>
        <v>industry-ag-main.html#fuel-switching</v>
      </c>
      <c r="R693" s="394" t="str">
        <f>IF(ISBLANK(INDEX('Policy Characteristics'!L:L,MATCH($C693,'Policy Characteristics'!$C:$C,0))),"",INDEX('Policy Characteristics'!L:L,MATCH($C693,'Policy Characteristics'!$C:$C,0)))</f>
        <v>industry-elec-and-hydrogen.html</v>
      </c>
    </row>
    <row r="694" customHeight="1" spans="1:18">
      <c r="A694" s="394" t="str">
        <f>IF(ISBLANK(INDEX('Policy Characteristics'!A:A,MATCH($C694,'Policy Characteristics'!$C:$C,0))),"",INDEX('Policy Characteristics'!A:A,MATCH($C694,'Policy Characteristics'!$C:$C,0)))</f>
        <v>Industry</v>
      </c>
      <c r="B694" s="395" t="str">
        <f>IF(ISBLANK(INDEX('Policy Characteristics'!B:B,MATCH($C694,'Policy Characteristics'!$C:$C,0))),"",INDEX('Policy Characteristics'!B:B,MATCH($C694,'Policy Characteristics'!$C:$C,0)))</f>
        <v>Electrification + Hydrogen (Med &amp; High Temp)</v>
      </c>
      <c r="C694" s="394" t="str">
        <f t="shared" si="35"/>
        <v>Fraction of Med and High Temp Industrial Heat Shifted to Other Fuels</v>
      </c>
      <c r="D694" s="399" t="s">
        <v>784</v>
      </c>
      <c r="E694" s="399" t="s">
        <v>808</v>
      </c>
      <c r="F694" t="s">
        <v>785</v>
      </c>
      <c r="G694" s="399" t="s">
        <v>809</v>
      </c>
      <c r="H694" s="377">
        <v>1446</v>
      </c>
      <c r="I694" s="396" t="s">
        <v>658</v>
      </c>
      <c r="J694" s="397" t="str">
        <f>IF(ISBLANK(INDEX('Policy Characteristics'!D:D,MATCH($C694,'Policy Characteristics'!$C:$C,0))),"",INDEX('Policy Characteristics'!D:D,MATCH($C694,'Policy Characteristics'!$C:$C,0)))</f>
        <v>Electrification + Hydrogen</v>
      </c>
      <c r="K694" s="394" t="str">
        <f>IF(ISBLANK(INDEX('Policy Characteristics'!E:E,MATCH($C694,'Policy Characteristics'!$C:$C,0))),"",INDEX('Policy Characteristics'!E:E,MATCH($C694,'Policy Characteristics'!$C:$C,0)))</f>
        <v>indst med and high temp fuel type shifting</v>
      </c>
      <c r="L694" s="398">
        <f>IF(ISBLANK(INDEX('Policy Characteristics'!F:F,MATCH($C694,'Policy Characteristics'!$C:$C,0))),"",INDEX('Policy Characteristics'!F:F,MATCH($C694,'Policy Characteristics'!$C:$C,0)))</f>
        <v>0</v>
      </c>
      <c r="M694" s="398">
        <f>IF(ISBLANK(INDEX('Policy Characteristics'!G:G,MATCH($C694,'Policy Characteristics'!$C:$C,0))),"",INDEX('Policy Characteristics'!G:G,MATCH($C694,'Policy Characteristics'!$C:$C,0)))</f>
        <v>1</v>
      </c>
      <c r="N694" s="398">
        <f>IF(ISBLANK(INDEX('Policy Characteristics'!H:H,MATCH($C694,'Policy Characteristics'!$C:$C,0))),"",INDEX('Policy Characteristics'!H:H,MATCH($C694,'Policy Characteristics'!$C:$C,0)))</f>
        <v>0.01</v>
      </c>
      <c r="O694" s="394" t="str">
        <f>IF(ISBLANK(INDEX('Policy Characteristics'!I:I,MATCH($C694,'Policy Characteristics'!$C:$C,0))),"",INDEX('Policy Characteristics'!I:I,MATCH($C694,'Policy Characteristics'!$C:$C,0)))</f>
        <v>% of fuel shifted</v>
      </c>
      <c r="P694" s="394" t="str">
        <f>IF(ISBLANK(INDEX('Policy Characteristics'!J:J,MATCH($C694,'Policy Characteristics'!$C:$C,0))),"",INDEX('Policy Characteristics'!J:J,MATCH($C694,'Policy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4" s="394" t="str">
        <f>IF(ISBLANK(INDEX('Policy Characteristics'!K:K,MATCH($C694,'Policy Characteristics'!$C:$C,0))),"",INDEX('Policy Characteristics'!K:K,MATCH($C694,'Policy Characteristics'!$C:$C,0)))</f>
        <v>industry-ag-main.html#fuel-switching</v>
      </c>
      <c r="R694" s="394" t="str">
        <f>IF(ISBLANK(INDEX('Policy Characteristics'!L:L,MATCH($C694,'Policy Characteristics'!$C:$C,0))),"",INDEX('Policy Characteristics'!L:L,MATCH($C694,'Policy Characteristics'!$C:$C,0)))</f>
        <v>industry-elec-and-hydrogen.html</v>
      </c>
    </row>
    <row r="695" customHeight="1" spans="1:18">
      <c r="A695" s="394" t="str">
        <f>IF(ISBLANK(INDEX('Policy Characteristics'!A:A,MATCH($C695,'Policy Characteristics'!$C:$C,0))),"",INDEX('Policy Characteristics'!A:A,MATCH($C695,'Policy Characteristics'!$C:$C,0)))</f>
        <v>Industry</v>
      </c>
      <c r="B695" s="395" t="str">
        <f>IF(ISBLANK(INDEX('Policy Characteristics'!B:B,MATCH($C695,'Policy Characteristics'!$C:$C,0))),"",INDEX('Policy Characteristics'!B:B,MATCH($C695,'Policy Characteristics'!$C:$C,0)))</f>
        <v>Electrification + Hydrogen (Med &amp; High Temp)</v>
      </c>
      <c r="C695" s="394" t="str">
        <f t="shared" si="35"/>
        <v>Fraction of Med and High Temp Industrial Heat Shifted to Other Fuels</v>
      </c>
      <c r="D695" s="399" t="s">
        <v>784</v>
      </c>
      <c r="E695" s="399" t="s">
        <v>810</v>
      </c>
      <c r="F695" t="s">
        <v>785</v>
      </c>
      <c r="G695" s="399" t="s">
        <v>811</v>
      </c>
      <c r="H695" s="377">
        <v>1447</v>
      </c>
      <c r="I695" s="396" t="s">
        <v>648</v>
      </c>
      <c r="J695" s="397" t="str">
        <f>IF(ISBLANK(INDEX('Policy Characteristics'!D:D,MATCH($C695,'Policy Characteristics'!$C:$C,0))),"",INDEX('Policy Characteristics'!D:D,MATCH($C695,'Policy Characteristics'!$C:$C,0)))</f>
        <v>Electrification + Hydrogen</v>
      </c>
      <c r="K695" s="394" t="str">
        <f>IF(ISBLANK(INDEX('Policy Characteristics'!E:E,MATCH($C695,'Policy Characteristics'!$C:$C,0))),"",INDEX('Policy Characteristics'!E:E,MATCH($C695,'Policy Characteristics'!$C:$C,0)))</f>
        <v>indst med and high temp fuel type shifting</v>
      </c>
      <c r="L695" s="398">
        <f>IF(ISBLANK(INDEX('Policy Characteristics'!F:F,MATCH($C695,'Policy Characteristics'!$C:$C,0))),"",INDEX('Policy Characteristics'!F:F,MATCH($C695,'Policy Characteristics'!$C:$C,0)))</f>
        <v>0</v>
      </c>
      <c r="M695" s="398">
        <f>IF(ISBLANK(INDEX('Policy Characteristics'!G:G,MATCH($C695,'Policy Characteristics'!$C:$C,0))),"",INDEX('Policy Characteristics'!G:G,MATCH($C695,'Policy Characteristics'!$C:$C,0)))</f>
        <v>1</v>
      </c>
      <c r="N695" s="398">
        <f>IF(ISBLANK(INDEX('Policy Characteristics'!H:H,MATCH($C695,'Policy Characteristics'!$C:$C,0))),"",INDEX('Policy Characteristics'!H:H,MATCH($C695,'Policy Characteristics'!$C:$C,0)))</f>
        <v>0.01</v>
      </c>
      <c r="O695" s="394" t="str">
        <f>IF(ISBLANK(INDEX('Policy Characteristics'!I:I,MATCH($C695,'Policy Characteristics'!$C:$C,0))),"",INDEX('Policy Characteristics'!I:I,MATCH($C695,'Policy Characteristics'!$C:$C,0)))</f>
        <v>% of fuel shifted</v>
      </c>
      <c r="P695" s="394" t="str">
        <f>IF(ISBLANK(INDEX('Policy Characteristics'!J:J,MATCH($C695,'Policy Characteristics'!$C:$C,0))),"",INDEX('Policy Characteristics'!J:J,MATCH($C695,'Policy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5" s="394" t="str">
        <f>IF(ISBLANK(INDEX('Policy Characteristics'!K:K,MATCH($C695,'Policy Characteristics'!$C:$C,0))),"",INDEX('Policy Characteristics'!K:K,MATCH($C695,'Policy Characteristics'!$C:$C,0)))</f>
        <v>industry-ag-main.html#fuel-switching</v>
      </c>
      <c r="R695" s="394" t="str">
        <f>IF(ISBLANK(INDEX('Policy Characteristics'!L:L,MATCH($C695,'Policy Characteristics'!$C:$C,0))),"",INDEX('Policy Characteristics'!L:L,MATCH($C695,'Policy Characteristics'!$C:$C,0)))</f>
        <v>industry-elec-and-hydrogen.html</v>
      </c>
    </row>
    <row r="696" customHeight="1" spans="1:18">
      <c r="A696" s="394" t="str">
        <f>IF(ISBLANK(INDEX('Policy Characteristics'!A:A,MATCH($C696,'Policy Characteristics'!$C:$C,0))),"",INDEX('Policy Characteristics'!A:A,MATCH($C696,'Policy Characteristics'!$C:$C,0)))</f>
        <v>Industry</v>
      </c>
      <c r="B696" s="395" t="str">
        <f>IF(ISBLANK(INDEX('Policy Characteristics'!B:B,MATCH($C696,'Policy Characteristics'!$C:$C,0))),"",INDEX('Policy Characteristics'!B:B,MATCH($C696,'Policy Characteristics'!$C:$C,0)))</f>
        <v>Electrification + Hydrogen (Med &amp; High Temp)</v>
      </c>
      <c r="C696" s="394" t="str">
        <f t="shared" si="35"/>
        <v>Fraction of Med and High Temp Industrial Heat Shifted to Other Fuels</v>
      </c>
      <c r="D696" s="399" t="s">
        <v>786</v>
      </c>
      <c r="E696" s="399" t="s">
        <v>792</v>
      </c>
      <c r="F696" t="s">
        <v>787</v>
      </c>
      <c r="G696" s="399" t="s">
        <v>793</v>
      </c>
      <c r="H696" s="377">
        <v>1448</v>
      </c>
      <c r="I696" s="396" t="s">
        <v>648</v>
      </c>
      <c r="J696" s="397" t="str">
        <f>IF(ISBLANK(INDEX('Policy Characteristics'!D:D,MATCH($C696,'Policy Characteristics'!$C:$C,0))),"",INDEX('Policy Characteristics'!D:D,MATCH($C696,'Policy Characteristics'!$C:$C,0)))</f>
        <v>Electrification + Hydrogen</v>
      </c>
      <c r="K696" s="394" t="str">
        <f>IF(ISBLANK(INDEX('Policy Characteristics'!E:E,MATCH($C696,'Policy Characteristics'!$C:$C,0))),"",INDEX('Policy Characteristics'!E:E,MATCH($C696,'Policy Characteristics'!$C:$C,0)))</f>
        <v>indst med and high temp fuel type shifting</v>
      </c>
      <c r="L696" s="398">
        <f>IF(ISBLANK(INDEX('Policy Characteristics'!F:F,MATCH($C696,'Policy Characteristics'!$C:$C,0))),"",INDEX('Policy Characteristics'!F:F,MATCH($C696,'Policy Characteristics'!$C:$C,0)))</f>
        <v>0</v>
      </c>
      <c r="M696" s="398">
        <f>IF(ISBLANK(INDEX('Policy Characteristics'!G:G,MATCH($C696,'Policy Characteristics'!$C:$C,0))),"",INDEX('Policy Characteristics'!G:G,MATCH($C696,'Policy Characteristics'!$C:$C,0)))</f>
        <v>1</v>
      </c>
      <c r="N696" s="398">
        <f>IF(ISBLANK(INDEX('Policy Characteristics'!H:H,MATCH($C696,'Policy Characteristics'!$C:$C,0))),"",INDEX('Policy Characteristics'!H:H,MATCH($C696,'Policy Characteristics'!$C:$C,0)))</f>
        <v>0.01</v>
      </c>
      <c r="O696" s="394" t="str">
        <f>IF(ISBLANK(INDEX('Policy Characteristics'!I:I,MATCH($C696,'Policy Characteristics'!$C:$C,0))),"",INDEX('Policy Characteristics'!I:I,MATCH($C696,'Policy Characteristics'!$C:$C,0)))</f>
        <v>% of fuel shifted</v>
      </c>
      <c r="P696" s="394" t="str">
        <f>IF(ISBLANK(INDEX('Policy Characteristics'!J:J,MATCH($C696,'Policy Characteristics'!$C:$C,0))),"",INDEX('Policy Characteristics'!J:J,MATCH($C696,'Policy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6" s="394" t="str">
        <f>IF(ISBLANK(INDEX('Policy Characteristics'!K:K,MATCH($C696,'Policy Characteristics'!$C:$C,0))),"",INDEX('Policy Characteristics'!K:K,MATCH($C696,'Policy Characteristics'!$C:$C,0)))</f>
        <v>industry-ag-main.html#fuel-switching</v>
      </c>
      <c r="R696" s="394" t="str">
        <f>IF(ISBLANK(INDEX('Policy Characteristics'!L:L,MATCH($C696,'Policy Characteristics'!$C:$C,0))),"",INDEX('Policy Characteristics'!L:L,MATCH($C696,'Policy Characteristics'!$C:$C,0)))</f>
        <v>industry-elec-and-hydrogen.html</v>
      </c>
    </row>
    <row r="697" customHeight="1" spans="1:18">
      <c r="A697" s="394" t="str">
        <f>IF(ISBLANK(INDEX('Policy Characteristics'!A:A,MATCH($C697,'Policy Characteristics'!$C:$C,0))),"",INDEX('Policy Characteristics'!A:A,MATCH($C697,'Policy Characteristics'!$C:$C,0)))</f>
        <v>Industry</v>
      </c>
      <c r="B697" s="395" t="str">
        <f>IF(ISBLANK(INDEX('Policy Characteristics'!B:B,MATCH($C697,'Policy Characteristics'!$C:$C,0))),"",INDEX('Policy Characteristics'!B:B,MATCH($C697,'Policy Characteristics'!$C:$C,0)))</f>
        <v>Electrification + Hydrogen (Med &amp; High Temp)</v>
      </c>
      <c r="C697" s="394" t="str">
        <f t="shared" si="35"/>
        <v>Fraction of Med and High Temp Industrial Heat Shifted to Other Fuels</v>
      </c>
      <c r="D697" s="399" t="s">
        <v>786</v>
      </c>
      <c r="E697" s="399" t="s">
        <v>794</v>
      </c>
      <c r="F697" t="s">
        <v>787</v>
      </c>
      <c r="G697" s="399" t="s">
        <v>795</v>
      </c>
      <c r="H697" s="377">
        <v>1449</v>
      </c>
      <c r="I697" s="396" t="s">
        <v>658</v>
      </c>
      <c r="J697" s="397" t="str">
        <f>IF(ISBLANK(INDEX('Policy Characteristics'!D:D,MATCH($C697,'Policy Characteristics'!$C:$C,0))),"",INDEX('Policy Characteristics'!D:D,MATCH($C697,'Policy Characteristics'!$C:$C,0)))</f>
        <v>Electrification + Hydrogen</v>
      </c>
      <c r="K697" s="394" t="str">
        <f>IF(ISBLANK(INDEX('Policy Characteristics'!E:E,MATCH($C697,'Policy Characteristics'!$C:$C,0))),"",INDEX('Policy Characteristics'!E:E,MATCH($C697,'Policy Characteristics'!$C:$C,0)))</f>
        <v>indst med and high temp fuel type shifting</v>
      </c>
      <c r="L697" s="398">
        <f>IF(ISBLANK(INDEX('Policy Characteristics'!F:F,MATCH($C697,'Policy Characteristics'!$C:$C,0))),"",INDEX('Policy Characteristics'!F:F,MATCH($C697,'Policy Characteristics'!$C:$C,0)))</f>
        <v>0</v>
      </c>
      <c r="M697" s="398">
        <f>IF(ISBLANK(INDEX('Policy Characteristics'!G:G,MATCH($C697,'Policy Characteristics'!$C:$C,0))),"",INDEX('Policy Characteristics'!G:G,MATCH($C697,'Policy Characteristics'!$C:$C,0)))</f>
        <v>1</v>
      </c>
      <c r="N697" s="398">
        <f>IF(ISBLANK(INDEX('Policy Characteristics'!H:H,MATCH($C697,'Policy Characteristics'!$C:$C,0))),"",INDEX('Policy Characteristics'!H:H,MATCH($C697,'Policy Characteristics'!$C:$C,0)))</f>
        <v>0.01</v>
      </c>
      <c r="O697" s="394" t="str">
        <f>IF(ISBLANK(INDEX('Policy Characteristics'!I:I,MATCH($C697,'Policy Characteristics'!$C:$C,0))),"",INDEX('Policy Characteristics'!I:I,MATCH($C697,'Policy Characteristics'!$C:$C,0)))</f>
        <v>% of fuel shifted</v>
      </c>
      <c r="P697" s="394" t="str">
        <f>IF(ISBLANK(INDEX('Policy Characteristics'!J:J,MATCH($C697,'Policy Characteristics'!$C:$C,0))),"",INDEX('Policy Characteristics'!J:J,MATCH($C697,'Policy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7" s="394" t="str">
        <f>IF(ISBLANK(INDEX('Policy Characteristics'!K:K,MATCH($C697,'Policy Characteristics'!$C:$C,0))),"",INDEX('Policy Characteristics'!K:K,MATCH($C697,'Policy Characteristics'!$C:$C,0)))</f>
        <v>industry-ag-main.html#fuel-switching</v>
      </c>
      <c r="R697" s="394" t="str">
        <f>IF(ISBLANK(INDEX('Policy Characteristics'!L:L,MATCH($C697,'Policy Characteristics'!$C:$C,0))),"",INDEX('Policy Characteristics'!L:L,MATCH($C697,'Policy Characteristics'!$C:$C,0)))</f>
        <v>industry-elec-and-hydrogen.html</v>
      </c>
    </row>
    <row r="698" customHeight="1" spans="1:18">
      <c r="A698" s="394" t="str">
        <f>IF(ISBLANK(INDEX('Policy Characteristics'!A:A,MATCH($C698,'Policy Characteristics'!$C:$C,0))),"",INDEX('Policy Characteristics'!A:A,MATCH($C698,'Policy Characteristics'!$C:$C,0)))</f>
        <v>Industry</v>
      </c>
      <c r="B698" s="395" t="str">
        <f>IF(ISBLANK(INDEX('Policy Characteristics'!B:B,MATCH($C698,'Policy Characteristics'!$C:$C,0))),"",INDEX('Policy Characteristics'!B:B,MATCH($C698,'Policy Characteristics'!$C:$C,0)))</f>
        <v>Electrification + Hydrogen (Med &amp; High Temp)</v>
      </c>
      <c r="C698" s="394" t="str">
        <f t="shared" si="35"/>
        <v>Fraction of Med and High Temp Industrial Heat Shifted to Other Fuels</v>
      </c>
      <c r="D698" s="399" t="s">
        <v>786</v>
      </c>
      <c r="E698" s="399" t="s">
        <v>796</v>
      </c>
      <c r="F698" t="s">
        <v>787</v>
      </c>
      <c r="G698" s="399" t="s">
        <v>797</v>
      </c>
      <c r="H698" s="377">
        <v>1450</v>
      </c>
      <c r="I698" s="396" t="s">
        <v>658</v>
      </c>
      <c r="J698" s="397" t="str">
        <f>IF(ISBLANK(INDEX('Policy Characteristics'!D:D,MATCH($C698,'Policy Characteristics'!$C:$C,0))),"",INDEX('Policy Characteristics'!D:D,MATCH($C698,'Policy Characteristics'!$C:$C,0)))</f>
        <v>Electrification + Hydrogen</v>
      </c>
      <c r="K698" s="394" t="str">
        <f>IF(ISBLANK(INDEX('Policy Characteristics'!E:E,MATCH($C698,'Policy Characteristics'!$C:$C,0))),"",INDEX('Policy Characteristics'!E:E,MATCH($C698,'Policy Characteristics'!$C:$C,0)))</f>
        <v>indst med and high temp fuel type shifting</v>
      </c>
      <c r="L698" s="398">
        <f>IF(ISBLANK(INDEX('Policy Characteristics'!F:F,MATCH($C698,'Policy Characteristics'!$C:$C,0))),"",INDEX('Policy Characteristics'!F:F,MATCH($C698,'Policy Characteristics'!$C:$C,0)))</f>
        <v>0</v>
      </c>
      <c r="M698" s="398">
        <f>IF(ISBLANK(INDEX('Policy Characteristics'!G:G,MATCH($C698,'Policy Characteristics'!$C:$C,0))),"",INDEX('Policy Characteristics'!G:G,MATCH($C698,'Policy Characteristics'!$C:$C,0)))</f>
        <v>1</v>
      </c>
      <c r="N698" s="398">
        <f>IF(ISBLANK(INDEX('Policy Characteristics'!H:H,MATCH($C698,'Policy Characteristics'!$C:$C,0))),"",INDEX('Policy Characteristics'!H:H,MATCH($C698,'Policy Characteristics'!$C:$C,0)))</f>
        <v>0.01</v>
      </c>
      <c r="O698" s="394" t="str">
        <f>IF(ISBLANK(INDEX('Policy Characteristics'!I:I,MATCH($C698,'Policy Characteristics'!$C:$C,0))),"",INDEX('Policy Characteristics'!I:I,MATCH($C698,'Policy Characteristics'!$C:$C,0)))</f>
        <v>% of fuel shifted</v>
      </c>
      <c r="P698" s="394" t="str">
        <f>IF(ISBLANK(INDEX('Policy Characteristics'!J:J,MATCH($C698,'Policy Characteristics'!$C:$C,0))),"",INDEX('Policy Characteristics'!J:J,MATCH($C698,'Policy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8" s="394" t="str">
        <f>IF(ISBLANK(INDEX('Policy Characteristics'!K:K,MATCH($C698,'Policy Characteristics'!$C:$C,0))),"",INDEX('Policy Characteristics'!K:K,MATCH($C698,'Policy Characteristics'!$C:$C,0)))</f>
        <v>industry-ag-main.html#fuel-switching</v>
      </c>
      <c r="R698" s="394" t="str">
        <f>IF(ISBLANK(INDEX('Policy Characteristics'!L:L,MATCH($C698,'Policy Characteristics'!$C:$C,0))),"",INDEX('Policy Characteristics'!L:L,MATCH($C698,'Policy Characteristics'!$C:$C,0)))</f>
        <v>industry-elec-and-hydrogen.html</v>
      </c>
    </row>
    <row r="699" customHeight="1" spans="1:18">
      <c r="A699" s="394" t="str">
        <f>IF(ISBLANK(INDEX('Policy Characteristics'!A:A,MATCH($C699,'Policy Characteristics'!$C:$C,0))),"",INDEX('Policy Characteristics'!A:A,MATCH($C699,'Policy Characteristics'!$C:$C,0)))</f>
        <v>Industry</v>
      </c>
      <c r="B699" s="395" t="str">
        <f>IF(ISBLANK(INDEX('Policy Characteristics'!B:B,MATCH($C699,'Policy Characteristics'!$C:$C,0))),"",INDEX('Policy Characteristics'!B:B,MATCH($C699,'Policy Characteristics'!$C:$C,0)))</f>
        <v>Electrification + Hydrogen (Med &amp; High Temp)</v>
      </c>
      <c r="C699" s="394" t="str">
        <f t="shared" si="35"/>
        <v>Fraction of Med and High Temp Industrial Heat Shifted to Other Fuels</v>
      </c>
      <c r="D699" s="399" t="s">
        <v>786</v>
      </c>
      <c r="E699" s="399" t="s">
        <v>798</v>
      </c>
      <c r="F699" t="s">
        <v>787</v>
      </c>
      <c r="G699" s="399" t="s">
        <v>799</v>
      </c>
      <c r="H699" s="377">
        <v>1451</v>
      </c>
      <c r="I699" s="396" t="s">
        <v>658</v>
      </c>
      <c r="J699" s="397" t="str">
        <f>IF(ISBLANK(INDEX('Policy Characteristics'!D:D,MATCH($C699,'Policy Characteristics'!$C:$C,0))),"",INDEX('Policy Characteristics'!D:D,MATCH($C699,'Policy Characteristics'!$C:$C,0)))</f>
        <v>Electrification + Hydrogen</v>
      </c>
      <c r="K699" s="394" t="str">
        <f>IF(ISBLANK(INDEX('Policy Characteristics'!E:E,MATCH($C699,'Policy Characteristics'!$C:$C,0))),"",INDEX('Policy Characteristics'!E:E,MATCH($C699,'Policy Characteristics'!$C:$C,0)))</f>
        <v>indst med and high temp fuel type shifting</v>
      </c>
      <c r="L699" s="398">
        <f>IF(ISBLANK(INDEX('Policy Characteristics'!F:F,MATCH($C699,'Policy Characteristics'!$C:$C,0))),"",INDEX('Policy Characteristics'!F:F,MATCH($C699,'Policy Characteristics'!$C:$C,0)))</f>
        <v>0</v>
      </c>
      <c r="M699" s="398">
        <f>IF(ISBLANK(INDEX('Policy Characteristics'!G:G,MATCH($C699,'Policy Characteristics'!$C:$C,0))),"",INDEX('Policy Characteristics'!G:G,MATCH($C699,'Policy Characteristics'!$C:$C,0)))</f>
        <v>1</v>
      </c>
      <c r="N699" s="398">
        <f>IF(ISBLANK(INDEX('Policy Characteristics'!H:H,MATCH($C699,'Policy Characteristics'!$C:$C,0))),"",INDEX('Policy Characteristics'!H:H,MATCH($C699,'Policy Characteristics'!$C:$C,0)))</f>
        <v>0.01</v>
      </c>
      <c r="O699" s="394" t="str">
        <f>IF(ISBLANK(INDEX('Policy Characteristics'!I:I,MATCH($C699,'Policy Characteristics'!$C:$C,0))),"",INDEX('Policy Characteristics'!I:I,MATCH($C699,'Policy Characteristics'!$C:$C,0)))</f>
        <v>% of fuel shifted</v>
      </c>
      <c r="P699" s="394" t="str">
        <f>IF(ISBLANK(INDEX('Policy Characteristics'!J:J,MATCH($C699,'Policy Characteristics'!$C:$C,0))),"",INDEX('Policy Characteristics'!J:J,MATCH($C699,'Policy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9" s="394" t="str">
        <f>IF(ISBLANK(INDEX('Policy Characteristics'!K:K,MATCH($C699,'Policy Characteristics'!$C:$C,0))),"",INDEX('Policy Characteristics'!K:K,MATCH($C699,'Policy Characteristics'!$C:$C,0)))</f>
        <v>industry-ag-main.html#fuel-switching</v>
      </c>
      <c r="R699" s="394" t="str">
        <f>IF(ISBLANK(INDEX('Policy Characteristics'!L:L,MATCH($C699,'Policy Characteristics'!$C:$C,0))),"",INDEX('Policy Characteristics'!L:L,MATCH($C699,'Policy Characteristics'!$C:$C,0)))</f>
        <v>industry-elec-and-hydrogen.html</v>
      </c>
    </row>
    <row r="700" customHeight="1" spans="1:18">
      <c r="A700" s="394" t="str">
        <f>IF(ISBLANK(INDEX('Policy Characteristics'!A:A,MATCH($C700,'Policy Characteristics'!$C:$C,0))),"",INDEX('Policy Characteristics'!A:A,MATCH($C700,'Policy Characteristics'!$C:$C,0)))</f>
        <v>Industry</v>
      </c>
      <c r="B700" s="395" t="str">
        <f>IF(ISBLANK(INDEX('Policy Characteristics'!B:B,MATCH($C700,'Policy Characteristics'!$C:$C,0))),"",INDEX('Policy Characteristics'!B:B,MATCH($C700,'Policy Characteristics'!$C:$C,0)))</f>
        <v>Electrification + Hydrogen (Med &amp; High Temp)</v>
      </c>
      <c r="C700" s="394" t="str">
        <f t="shared" si="35"/>
        <v>Fraction of Med and High Temp Industrial Heat Shifted to Other Fuels</v>
      </c>
      <c r="D700" s="399" t="s">
        <v>786</v>
      </c>
      <c r="E700" s="399" t="s">
        <v>800</v>
      </c>
      <c r="F700" t="s">
        <v>787</v>
      </c>
      <c r="G700" s="399" t="s">
        <v>801</v>
      </c>
      <c r="H700" s="377">
        <v>1452</v>
      </c>
      <c r="I700" s="396" t="s">
        <v>658</v>
      </c>
      <c r="J700" s="397" t="str">
        <f>IF(ISBLANK(INDEX('Policy Characteristics'!D:D,MATCH($C700,'Policy Characteristics'!$C:$C,0))),"",INDEX('Policy Characteristics'!D:D,MATCH($C700,'Policy Characteristics'!$C:$C,0)))</f>
        <v>Electrification + Hydrogen</v>
      </c>
      <c r="K700" s="394" t="str">
        <f>IF(ISBLANK(INDEX('Policy Characteristics'!E:E,MATCH($C700,'Policy Characteristics'!$C:$C,0))),"",INDEX('Policy Characteristics'!E:E,MATCH($C700,'Policy Characteristics'!$C:$C,0)))</f>
        <v>indst med and high temp fuel type shifting</v>
      </c>
      <c r="L700" s="398">
        <f>IF(ISBLANK(INDEX('Policy Characteristics'!F:F,MATCH($C700,'Policy Characteristics'!$C:$C,0))),"",INDEX('Policy Characteristics'!F:F,MATCH($C700,'Policy Characteristics'!$C:$C,0)))</f>
        <v>0</v>
      </c>
      <c r="M700" s="398">
        <f>IF(ISBLANK(INDEX('Policy Characteristics'!G:G,MATCH($C700,'Policy Characteristics'!$C:$C,0))),"",INDEX('Policy Characteristics'!G:G,MATCH($C700,'Policy Characteristics'!$C:$C,0)))</f>
        <v>1</v>
      </c>
      <c r="N700" s="398">
        <f>IF(ISBLANK(INDEX('Policy Characteristics'!H:H,MATCH($C700,'Policy Characteristics'!$C:$C,0))),"",INDEX('Policy Characteristics'!H:H,MATCH($C700,'Policy Characteristics'!$C:$C,0)))</f>
        <v>0.01</v>
      </c>
      <c r="O700" s="394" t="str">
        <f>IF(ISBLANK(INDEX('Policy Characteristics'!I:I,MATCH($C700,'Policy Characteristics'!$C:$C,0))),"",INDEX('Policy Characteristics'!I:I,MATCH($C700,'Policy Characteristics'!$C:$C,0)))</f>
        <v>% of fuel shifted</v>
      </c>
      <c r="P700" s="394" t="str">
        <f>IF(ISBLANK(INDEX('Policy Characteristics'!J:J,MATCH($C700,'Policy Characteristics'!$C:$C,0))),"",INDEX('Policy Characteristics'!J:J,MATCH($C700,'Policy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0" s="394" t="str">
        <f>IF(ISBLANK(INDEX('Policy Characteristics'!K:K,MATCH($C700,'Policy Characteristics'!$C:$C,0))),"",INDEX('Policy Characteristics'!K:K,MATCH($C700,'Policy Characteristics'!$C:$C,0)))</f>
        <v>industry-ag-main.html#fuel-switching</v>
      </c>
      <c r="R700" s="394" t="str">
        <f>IF(ISBLANK(INDEX('Policy Characteristics'!L:L,MATCH($C700,'Policy Characteristics'!$C:$C,0))),"",INDEX('Policy Characteristics'!L:L,MATCH($C700,'Policy Characteristics'!$C:$C,0)))</f>
        <v>industry-elec-and-hydrogen.html</v>
      </c>
    </row>
    <row r="701" customHeight="1" spans="1:18">
      <c r="A701" s="394" t="str">
        <f>IF(ISBLANK(INDEX('Policy Characteristics'!A:A,MATCH($C701,'Policy Characteristics'!$C:$C,0))),"",INDEX('Policy Characteristics'!A:A,MATCH($C701,'Policy Characteristics'!$C:$C,0)))</f>
        <v>Industry</v>
      </c>
      <c r="B701" s="395" t="str">
        <f>IF(ISBLANK(INDEX('Policy Characteristics'!B:B,MATCH($C701,'Policy Characteristics'!$C:$C,0))),"",INDEX('Policy Characteristics'!B:B,MATCH($C701,'Policy Characteristics'!$C:$C,0)))</f>
        <v>Electrification + Hydrogen (Med &amp; High Temp)</v>
      </c>
      <c r="C701" s="394" t="str">
        <f t="shared" si="35"/>
        <v>Fraction of Med and High Temp Industrial Heat Shifted to Other Fuels</v>
      </c>
      <c r="D701" s="399" t="s">
        <v>786</v>
      </c>
      <c r="E701" s="399" t="s">
        <v>802</v>
      </c>
      <c r="F701" t="s">
        <v>787</v>
      </c>
      <c r="G701" s="399" t="s">
        <v>803</v>
      </c>
      <c r="H701" s="377">
        <v>1453</v>
      </c>
      <c r="I701" s="396" t="s">
        <v>658</v>
      </c>
      <c r="J701" s="397" t="str">
        <f>IF(ISBLANK(INDEX('Policy Characteristics'!D:D,MATCH($C701,'Policy Characteristics'!$C:$C,0))),"",INDEX('Policy Characteristics'!D:D,MATCH($C701,'Policy Characteristics'!$C:$C,0)))</f>
        <v>Electrification + Hydrogen</v>
      </c>
      <c r="K701" s="394" t="str">
        <f>IF(ISBLANK(INDEX('Policy Characteristics'!E:E,MATCH($C701,'Policy Characteristics'!$C:$C,0))),"",INDEX('Policy Characteristics'!E:E,MATCH($C701,'Policy Characteristics'!$C:$C,0)))</f>
        <v>indst med and high temp fuel type shifting</v>
      </c>
      <c r="L701" s="398">
        <f>IF(ISBLANK(INDEX('Policy Characteristics'!F:F,MATCH($C701,'Policy Characteristics'!$C:$C,0))),"",INDEX('Policy Characteristics'!F:F,MATCH($C701,'Policy Characteristics'!$C:$C,0)))</f>
        <v>0</v>
      </c>
      <c r="M701" s="398">
        <f>IF(ISBLANK(INDEX('Policy Characteristics'!G:G,MATCH($C701,'Policy Characteristics'!$C:$C,0))),"",INDEX('Policy Characteristics'!G:G,MATCH($C701,'Policy Characteristics'!$C:$C,0)))</f>
        <v>1</v>
      </c>
      <c r="N701" s="398">
        <f>IF(ISBLANK(INDEX('Policy Characteristics'!H:H,MATCH($C701,'Policy Characteristics'!$C:$C,0))),"",INDEX('Policy Characteristics'!H:H,MATCH($C701,'Policy Characteristics'!$C:$C,0)))</f>
        <v>0.01</v>
      </c>
      <c r="O701" s="394" t="str">
        <f>IF(ISBLANK(INDEX('Policy Characteristics'!I:I,MATCH($C701,'Policy Characteristics'!$C:$C,0))),"",INDEX('Policy Characteristics'!I:I,MATCH($C701,'Policy Characteristics'!$C:$C,0)))</f>
        <v>% of fuel shifted</v>
      </c>
      <c r="P701" s="394" t="str">
        <f>IF(ISBLANK(INDEX('Policy Characteristics'!J:J,MATCH($C701,'Policy Characteristics'!$C:$C,0))),"",INDEX('Policy Characteristics'!J:J,MATCH($C701,'Policy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1" s="394" t="str">
        <f>IF(ISBLANK(INDEX('Policy Characteristics'!K:K,MATCH($C701,'Policy Characteristics'!$C:$C,0))),"",INDEX('Policy Characteristics'!K:K,MATCH($C701,'Policy Characteristics'!$C:$C,0)))</f>
        <v>industry-ag-main.html#fuel-switching</v>
      </c>
      <c r="R701" s="394" t="str">
        <f>IF(ISBLANK(INDEX('Policy Characteristics'!L:L,MATCH($C701,'Policy Characteristics'!$C:$C,0))),"",INDEX('Policy Characteristics'!L:L,MATCH($C701,'Policy Characteristics'!$C:$C,0)))</f>
        <v>industry-elec-and-hydrogen.html</v>
      </c>
    </row>
    <row r="702" customHeight="1" spans="1:18">
      <c r="A702" s="394" t="str">
        <f>IF(ISBLANK(INDEX('Policy Characteristics'!A:A,MATCH($C702,'Policy Characteristics'!$C:$C,0))),"",INDEX('Policy Characteristics'!A:A,MATCH($C702,'Policy Characteristics'!$C:$C,0)))</f>
        <v>Industry</v>
      </c>
      <c r="B702" s="395" t="str">
        <f>IF(ISBLANK(INDEX('Policy Characteristics'!B:B,MATCH($C702,'Policy Characteristics'!$C:$C,0))),"",INDEX('Policy Characteristics'!B:B,MATCH($C702,'Policy Characteristics'!$C:$C,0)))</f>
        <v>Electrification + Hydrogen (Med &amp; High Temp)</v>
      </c>
      <c r="C702" s="394" t="str">
        <f t="shared" si="35"/>
        <v>Fraction of Med and High Temp Industrial Heat Shifted to Other Fuels</v>
      </c>
      <c r="D702" s="399" t="s">
        <v>786</v>
      </c>
      <c r="E702" s="399" t="s">
        <v>804</v>
      </c>
      <c r="F702" t="s">
        <v>787</v>
      </c>
      <c r="G702" s="399" t="s">
        <v>805</v>
      </c>
      <c r="H702" s="377">
        <v>1454</v>
      </c>
      <c r="I702" s="396" t="s">
        <v>658</v>
      </c>
      <c r="J702" s="397" t="str">
        <f>IF(ISBLANK(INDEX('Policy Characteristics'!D:D,MATCH($C702,'Policy Characteristics'!$C:$C,0))),"",INDEX('Policy Characteristics'!D:D,MATCH($C702,'Policy Characteristics'!$C:$C,0)))</f>
        <v>Electrification + Hydrogen</v>
      </c>
      <c r="K702" s="394" t="str">
        <f>IF(ISBLANK(INDEX('Policy Characteristics'!E:E,MATCH($C702,'Policy Characteristics'!$C:$C,0))),"",INDEX('Policy Characteristics'!E:E,MATCH($C702,'Policy Characteristics'!$C:$C,0)))</f>
        <v>indst med and high temp fuel type shifting</v>
      </c>
      <c r="L702" s="398">
        <f>IF(ISBLANK(INDEX('Policy Characteristics'!F:F,MATCH($C702,'Policy Characteristics'!$C:$C,0))),"",INDEX('Policy Characteristics'!F:F,MATCH($C702,'Policy Characteristics'!$C:$C,0)))</f>
        <v>0</v>
      </c>
      <c r="M702" s="398">
        <f>IF(ISBLANK(INDEX('Policy Characteristics'!G:G,MATCH($C702,'Policy Characteristics'!$C:$C,0))),"",INDEX('Policy Characteristics'!G:G,MATCH($C702,'Policy Characteristics'!$C:$C,0)))</f>
        <v>1</v>
      </c>
      <c r="N702" s="398">
        <f>IF(ISBLANK(INDEX('Policy Characteristics'!H:H,MATCH($C702,'Policy Characteristics'!$C:$C,0))),"",INDEX('Policy Characteristics'!H:H,MATCH($C702,'Policy Characteristics'!$C:$C,0)))</f>
        <v>0.01</v>
      </c>
      <c r="O702" s="394" t="str">
        <f>IF(ISBLANK(INDEX('Policy Characteristics'!I:I,MATCH($C702,'Policy Characteristics'!$C:$C,0))),"",INDEX('Policy Characteristics'!I:I,MATCH($C702,'Policy Characteristics'!$C:$C,0)))</f>
        <v>% of fuel shifted</v>
      </c>
      <c r="P702" s="394" t="str">
        <f>IF(ISBLANK(INDEX('Policy Characteristics'!J:J,MATCH($C702,'Policy Characteristics'!$C:$C,0))),"",INDEX('Policy Characteristics'!J:J,MATCH($C702,'Policy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2" s="394" t="str">
        <f>IF(ISBLANK(INDEX('Policy Characteristics'!K:K,MATCH($C702,'Policy Characteristics'!$C:$C,0))),"",INDEX('Policy Characteristics'!K:K,MATCH($C702,'Policy Characteristics'!$C:$C,0)))</f>
        <v>industry-ag-main.html#fuel-switching</v>
      </c>
      <c r="R702" s="394" t="str">
        <f>IF(ISBLANK(INDEX('Policy Characteristics'!L:L,MATCH($C702,'Policy Characteristics'!$C:$C,0))),"",INDEX('Policy Characteristics'!L:L,MATCH($C702,'Policy Characteristics'!$C:$C,0)))</f>
        <v>industry-elec-and-hydrogen.html</v>
      </c>
    </row>
    <row r="703" customHeight="1" spans="1:18">
      <c r="A703" s="394" t="str">
        <f>IF(ISBLANK(INDEX('Policy Characteristics'!A:A,MATCH($C703,'Policy Characteristics'!$C:$C,0))),"",INDEX('Policy Characteristics'!A:A,MATCH($C703,'Policy Characteristics'!$C:$C,0)))</f>
        <v>Industry</v>
      </c>
      <c r="B703" s="395" t="str">
        <f>IF(ISBLANK(INDEX('Policy Characteristics'!B:B,MATCH($C703,'Policy Characteristics'!$C:$C,0))),"",INDEX('Policy Characteristics'!B:B,MATCH($C703,'Policy Characteristics'!$C:$C,0)))</f>
        <v>Electrification + Hydrogen (Med &amp; High Temp)</v>
      </c>
      <c r="C703" s="394" t="str">
        <f t="shared" si="35"/>
        <v>Fraction of Med and High Temp Industrial Heat Shifted to Other Fuels</v>
      </c>
      <c r="D703" s="399" t="s">
        <v>786</v>
      </c>
      <c r="E703" s="399" t="s">
        <v>806</v>
      </c>
      <c r="F703" t="s">
        <v>787</v>
      </c>
      <c r="G703" s="399" t="s">
        <v>807</v>
      </c>
      <c r="H703" s="377">
        <v>1455</v>
      </c>
      <c r="I703" s="396" t="s">
        <v>658</v>
      </c>
      <c r="J703" s="397" t="str">
        <f>IF(ISBLANK(INDEX('Policy Characteristics'!D:D,MATCH($C703,'Policy Characteristics'!$C:$C,0))),"",INDEX('Policy Characteristics'!D:D,MATCH($C703,'Policy Characteristics'!$C:$C,0)))</f>
        <v>Electrification + Hydrogen</v>
      </c>
      <c r="K703" s="394" t="str">
        <f>IF(ISBLANK(INDEX('Policy Characteristics'!E:E,MATCH($C703,'Policy Characteristics'!$C:$C,0))),"",INDEX('Policy Characteristics'!E:E,MATCH($C703,'Policy Characteristics'!$C:$C,0)))</f>
        <v>indst med and high temp fuel type shifting</v>
      </c>
      <c r="L703" s="398">
        <f>IF(ISBLANK(INDEX('Policy Characteristics'!F:F,MATCH($C703,'Policy Characteristics'!$C:$C,0))),"",INDEX('Policy Characteristics'!F:F,MATCH($C703,'Policy Characteristics'!$C:$C,0)))</f>
        <v>0</v>
      </c>
      <c r="M703" s="398">
        <f>IF(ISBLANK(INDEX('Policy Characteristics'!G:G,MATCH($C703,'Policy Characteristics'!$C:$C,0))),"",INDEX('Policy Characteristics'!G:G,MATCH($C703,'Policy Characteristics'!$C:$C,0)))</f>
        <v>1</v>
      </c>
      <c r="N703" s="398">
        <f>IF(ISBLANK(INDEX('Policy Characteristics'!H:H,MATCH($C703,'Policy Characteristics'!$C:$C,0))),"",INDEX('Policy Characteristics'!H:H,MATCH($C703,'Policy Characteristics'!$C:$C,0)))</f>
        <v>0.01</v>
      </c>
      <c r="O703" s="394" t="str">
        <f>IF(ISBLANK(INDEX('Policy Characteristics'!I:I,MATCH($C703,'Policy Characteristics'!$C:$C,0))),"",INDEX('Policy Characteristics'!I:I,MATCH($C703,'Policy Characteristics'!$C:$C,0)))</f>
        <v>% of fuel shifted</v>
      </c>
      <c r="P703" s="394" t="str">
        <f>IF(ISBLANK(INDEX('Policy Characteristics'!J:J,MATCH($C703,'Policy Characteristics'!$C:$C,0))),"",INDEX('Policy Characteristics'!J:J,MATCH($C703,'Policy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3" s="394" t="str">
        <f>IF(ISBLANK(INDEX('Policy Characteristics'!K:K,MATCH($C703,'Policy Characteristics'!$C:$C,0))),"",INDEX('Policy Characteristics'!K:K,MATCH($C703,'Policy Characteristics'!$C:$C,0)))</f>
        <v>industry-ag-main.html#fuel-switching</v>
      </c>
      <c r="R703" s="394" t="str">
        <f>IF(ISBLANK(INDEX('Policy Characteristics'!L:L,MATCH($C703,'Policy Characteristics'!$C:$C,0))),"",INDEX('Policy Characteristics'!L:L,MATCH($C703,'Policy Characteristics'!$C:$C,0)))</f>
        <v>industry-elec-and-hydrogen.html</v>
      </c>
    </row>
    <row r="704" customHeight="1" spans="1:18">
      <c r="A704" s="394" t="str">
        <f>IF(ISBLANK(INDEX('Policy Characteristics'!A:A,MATCH($C704,'Policy Characteristics'!$C:$C,0))),"",INDEX('Policy Characteristics'!A:A,MATCH($C704,'Policy Characteristics'!$C:$C,0)))</f>
        <v>Industry</v>
      </c>
      <c r="B704" s="395" t="str">
        <f>IF(ISBLANK(INDEX('Policy Characteristics'!B:B,MATCH($C704,'Policy Characteristics'!$C:$C,0))),"",INDEX('Policy Characteristics'!B:B,MATCH($C704,'Policy Characteristics'!$C:$C,0)))</f>
        <v>Electrification + Hydrogen (Med &amp; High Temp)</v>
      </c>
      <c r="C704" s="394" t="str">
        <f t="shared" si="35"/>
        <v>Fraction of Med and High Temp Industrial Heat Shifted to Other Fuels</v>
      </c>
      <c r="D704" s="399" t="s">
        <v>786</v>
      </c>
      <c r="E704" s="399" t="s">
        <v>808</v>
      </c>
      <c r="F704" t="s">
        <v>787</v>
      </c>
      <c r="G704" s="399" t="s">
        <v>809</v>
      </c>
      <c r="H704" s="377">
        <v>1456</v>
      </c>
      <c r="I704" s="396" t="s">
        <v>658</v>
      </c>
      <c r="J704" s="397" t="str">
        <f>IF(ISBLANK(INDEX('Policy Characteristics'!D:D,MATCH($C704,'Policy Characteristics'!$C:$C,0))),"",INDEX('Policy Characteristics'!D:D,MATCH($C704,'Policy Characteristics'!$C:$C,0)))</f>
        <v>Electrification + Hydrogen</v>
      </c>
      <c r="K704" s="394" t="str">
        <f>IF(ISBLANK(INDEX('Policy Characteristics'!E:E,MATCH($C704,'Policy Characteristics'!$C:$C,0))),"",INDEX('Policy Characteristics'!E:E,MATCH($C704,'Policy Characteristics'!$C:$C,0)))</f>
        <v>indst med and high temp fuel type shifting</v>
      </c>
      <c r="L704" s="398">
        <f>IF(ISBLANK(INDEX('Policy Characteristics'!F:F,MATCH($C704,'Policy Characteristics'!$C:$C,0))),"",INDEX('Policy Characteristics'!F:F,MATCH($C704,'Policy Characteristics'!$C:$C,0)))</f>
        <v>0</v>
      </c>
      <c r="M704" s="398">
        <f>IF(ISBLANK(INDEX('Policy Characteristics'!G:G,MATCH($C704,'Policy Characteristics'!$C:$C,0))),"",INDEX('Policy Characteristics'!G:G,MATCH($C704,'Policy Characteristics'!$C:$C,0)))</f>
        <v>1</v>
      </c>
      <c r="N704" s="398">
        <f>IF(ISBLANK(INDEX('Policy Characteristics'!H:H,MATCH($C704,'Policy Characteristics'!$C:$C,0))),"",INDEX('Policy Characteristics'!H:H,MATCH($C704,'Policy Characteristics'!$C:$C,0)))</f>
        <v>0.01</v>
      </c>
      <c r="O704" s="394" t="str">
        <f>IF(ISBLANK(INDEX('Policy Characteristics'!I:I,MATCH($C704,'Policy Characteristics'!$C:$C,0))),"",INDEX('Policy Characteristics'!I:I,MATCH($C704,'Policy Characteristics'!$C:$C,0)))</f>
        <v>% of fuel shifted</v>
      </c>
      <c r="P704" s="394" t="str">
        <f>IF(ISBLANK(INDEX('Policy Characteristics'!J:J,MATCH($C704,'Policy Characteristics'!$C:$C,0))),"",INDEX('Policy Characteristics'!J:J,MATCH($C704,'Policy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4" s="394" t="str">
        <f>IF(ISBLANK(INDEX('Policy Characteristics'!K:K,MATCH($C704,'Policy Characteristics'!$C:$C,0))),"",INDEX('Policy Characteristics'!K:K,MATCH($C704,'Policy Characteristics'!$C:$C,0)))</f>
        <v>industry-ag-main.html#fuel-switching</v>
      </c>
      <c r="R704" s="394" t="str">
        <f>IF(ISBLANK(INDEX('Policy Characteristics'!L:L,MATCH($C704,'Policy Characteristics'!$C:$C,0))),"",INDEX('Policy Characteristics'!L:L,MATCH($C704,'Policy Characteristics'!$C:$C,0)))</f>
        <v>industry-elec-and-hydrogen.html</v>
      </c>
    </row>
    <row r="705" customHeight="1" spans="1:18">
      <c r="A705" s="394" t="str">
        <f>IF(ISBLANK(INDEX('Policy Characteristics'!A:A,MATCH($C705,'Policy Characteristics'!$C:$C,0))),"",INDEX('Policy Characteristics'!A:A,MATCH($C705,'Policy Characteristics'!$C:$C,0)))</f>
        <v>Industry</v>
      </c>
      <c r="B705" s="395" t="str">
        <f>IF(ISBLANK(INDEX('Policy Characteristics'!B:B,MATCH($C705,'Policy Characteristics'!$C:$C,0))),"",INDEX('Policy Characteristics'!B:B,MATCH($C705,'Policy Characteristics'!$C:$C,0)))</f>
        <v>Electrification + Hydrogen (Med &amp; High Temp)</v>
      </c>
      <c r="C705" s="394" t="str">
        <f t="shared" si="35"/>
        <v>Fraction of Med and High Temp Industrial Heat Shifted to Other Fuels</v>
      </c>
      <c r="D705" s="399" t="s">
        <v>786</v>
      </c>
      <c r="E705" s="399" t="s">
        <v>810</v>
      </c>
      <c r="F705" t="s">
        <v>787</v>
      </c>
      <c r="G705" s="399" t="s">
        <v>811</v>
      </c>
      <c r="H705" s="377">
        <v>1457</v>
      </c>
      <c r="I705" s="396" t="s">
        <v>648</v>
      </c>
      <c r="J705" s="397" t="str">
        <f>IF(ISBLANK(INDEX('Policy Characteristics'!D:D,MATCH($C705,'Policy Characteristics'!$C:$C,0))),"",INDEX('Policy Characteristics'!D:D,MATCH($C705,'Policy Characteristics'!$C:$C,0)))</f>
        <v>Electrification + Hydrogen</v>
      </c>
      <c r="K705" s="394" t="str">
        <f>IF(ISBLANK(INDEX('Policy Characteristics'!E:E,MATCH($C705,'Policy Characteristics'!$C:$C,0))),"",INDEX('Policy Characteristics'!E:E,MATCH($C705,'Policy Characteristics'!$C:$C,0)))</f>
        <v>indst med and high temp fuel type shifting</v>
      </c>
      <c r="L705" s="398">
        <f>IF(ISBLANK(INDEX('Policy Characteristics'!F:F,MATCH($C705,'Policy Characteristics'!$C:$C,0))),"",INDEX('Policy Characteristics'!F:F,MATCH($C705,'Policy Characteristics'!$C:$C,0)))</f>
        <v>0</v>
      </c>
      <c r="M705" s="398">
        <f>IF(ISBLANK(INDEX('Policy Characteristics'!G:G,MATCH($C705,'Policy Characteristics'!$C:$C,0))),"",INDEX('Policy Characteristics'!G:G,MATCH($C705,'Policy Characteristics'!$C:$C,0)))</f>
        <v>1</v>
      </c>
      <c r="N705" s="398">
        <f>IF(ISBLANK(INDEX('Policy Characteristics'!H:H,MATCH($C705,'Policy Characteristics'!$C:$C,0))),"",INDEX('Policy Characteristics'!H:H,MATCH($C705,'Policy Characteristics'!$C:$C,0)))</f>
        <v>0.01</v>
      </c>
      <c r="O705" s="394" t="str">
        <f>IF(ISBLANK(INDEX('Policy Characteristics'!I:I,MATCH($C705,'Policy Characteristics'!$C:$C,0))),"",INDEX('Policy Characteristics'!I:I,MATCH($C705,'Policy Characteristics'!$C:$C,0)))</f>
        <v>% of fuel shifted</v>
      </c>
      <c r="P705" s="394" t="str">
        <f>IF(ISBLANK(INDEX('Policy Characteristics'!J:J,MATCH($C705,'Policy Characteristics'!$C:$C,0))),"",INDEX('Policy Characteristics'!J:J,MATCH($C705,'Policy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5" s="394" t="str">
        <f>IF(ISBLANK(INDEX('Policy Characteristics'!K:K,MATCH($C705,'Policy Characteristics'!$C:$C,0))),"",INDEX('Policy Characteristics'!K:K,MATCH($C705,'Policy Characteristics'!$C:$C,0)))</f>
        <v>industry-ag-main.html#fuel-switching</v>
      </c>
      <c r="R705" s="394" t="str">
        <f>IF(ISBLANK(INDEX('Policy Characteristics'!L:L,MATCH($C705,'Policy Characteristics'!$C:$C,0))),"",INDEX('Policy Characteristics'!L:L,MATCH($C705,'Policy Characteristics'!$C:$C,0)))</f>
        <v>industry-elec-and-hydrogen.html</v>
      </c>
    </row>
    <row r="706" customHeight="1" spans="1:18">
      <c r="A706" s="394" t="str">
        <f>IF(ISBLANK(INDEX('Policy Characteristics'!A:A,MATCH($C706,'Policy Characteristics'!$C:$C,0))),"",INDEX('Policy Characteristics'!A:A,MATCH($C706,'Policy Characteristics'!$C:$C,0)))</f>
        <v>Industry</v>
      </c>
      <c r="B706" s="395" t="str">
        <f>IF(ISBLANK(INDEX('Policy Characteristics'!B:B,MATCH($C706,'Policy Characteristics'!$C:$C,0))),"",INDEX('Policy Characteristics'!B:B,MATCH($C706,'Policy Characteristics'!$C:$C,0)))</f>
        <v>Electrification (Low Temp)</v>
      </c>
      <c r="C706" t="s">
        <v>383</v>
      </c>
      <c r="D706" s="399" t="s">
        <v>738</v>
      </c>
      <c r="E706" s="399"/>
      <c r="F706" t="s">
        <v>739</v>
      </c>
      <c r="G706" s="399"/>
      <c r="H706" s="377">
        <v>1602</v>
      </c>
      <c r="I706" s="396" t="s">
        <v>648</v>
      </c>
      <c r="J706" s="397" t="str">
        <f>IF(ISBLANK(INDEX('Policy Characteristics'!D:D,MATCH($C706,'Policy Characteristics'!$C:$C,0))),"",INDEX('Policy Characteristics'!D:D,MATCH($C706,'Policy Characteristics'!$C:$C,0)))</f>
        <v>Electrification + Hydrogen</v>
      </c>
      <c r="K706" s="394" t="str">
        <f>IF(ISBLANK(INDEX('Policy Characteristics'!E:E,MATCH($C706,'Policy Characteristics'!$C:$C,0))),"",INDEX('Policy Characteristics'!E:E,MATCH($C706,'Policy Characteristics'!$C:$C,0)))</f>
        <v>indst low temp fuel type shifting</v>
      </c>
      <c r="L706" s="398">
        <f>IF(ISBLANK(INDEX('Policy Characteristics'!F:F,MATCH($C706,'Policy Characteristics'!$C:$C,0))),"",INDEX('Policy Characteristics'!F:F,MATCH($C706,'Policy Characteristics'!$C:$C,0)))</f>
        <v>0</v>
      </c>
      <c r="M706" s="398">
        <f>IF(ISBLANK(INDEX('Policy Characteristics'!G:G,MATCH($C706,'Policy Characteristics'!$C:$C,0))),"",INDEX('Policy Characteristics'!G:G,MATCH($C706,'Policy Characteristics'!$C:$C,0)))</f>
        <v>1</v>
      </c>
      <c r="N706" s="398">
        <f>IF(ISBLANK(INDEX('Policy Characteristics'!H:H,MATCH($C706,'Policy Characteristics'!$C:$C,0))),"",INDEX('Policy Characteristics'!H:H,MATCH($C706,'Policy Characteristics'!$C:$C,0)))</f>
        <v>0.01</v>
      </c>
      <c r="O706" s="394" t="str">
        <f>IF(ISBLANK(INDEX('Policy Characteristics'!I:I,MATCH($C706,'Policy Characteristics'!$C:$C,0))),"",INDEX('Policy Characteristics'!I:I,MATCH($C706,'Policy Characteristics'!$C:$C,0)))</f>
        <v>% of fuel shifted</v>
      </c>
      <c r="P706" s="394" t="str">
        <f>IF(ISBLANK(INDEX('Policy Characteristics'!J:J,MATCH($C706,'Policy Characteristics'!$C:$C,0))),"",INDEX('Policy Characteristics'!J:J,MATCH($C706,'Policy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6" s="394" t="str">
        <f>IF(ISBLANK(INDEX('Policy Characteristics'!K:K,MATCH($C706,'Policy Characteristics'!$C:$C,0))),"",INDEX('Policy Characteristics'!K:K,MATCH($C706,'Policy Characteristics'!$C:$C,0)))</f>
        <v>industry-ag-main.html#fuel-switching</v>
      </c>
      <c r="R706" s="394" t="str">
        <f>IF(ISBLANK(INDEX('Policy Characteristics'!L:L,MATCH($C706,'Policy Characteristics'!$C:$C,0))),"",INDEX('Policy Characteristics'!L:L,MATCH($C706,'Policy Characteristics'!$C:$C,0)))</f>
        <v>industry-elec-and-hydrogen.html</v>
      </c>
    </row>
    <row r="707" customHeight="1" spans="1:18">
      <c r="A707" s="394" t="str">
        <f>IF(ISBLANK(INDEX('Policy Characteristics'!A:A,MATCH($C707,'Policy Characteristics'!$C:$C,0))),"",INDEX('Policy Characteristics'!A:A,MATCH($C707,'Policy Characteristics'!$C:$C,0)))</f>
        <v>Industry</v>
      </c>
      <c r="B707" s="395" t="str">
        <f>IF(ISBLANK(INDEX('Policy Characteristics'!B:B,MATCH($C707,'Policy Characteristics'!$C:$C,0))),"",INDEX('Policy Characteristics'!B:B,MATCH($C707,'Policy Characteristics'!$C:$C,0)))</f>
        <v>Electrification (Low Temp)</v>
      </c>
      <c r="C707" s="394" t="str">
        <f>C$706</f>
        <v>Fraction of Low Temp Industrial Heat Shifted to Other Fuels</v>
      </c>
      <c r="D707" s="399" t="s">
        <v>740</v>
      </c>
      <c r="E707" s="399"/>
      <c r="F707" t="s">
        <v>741</v>
      </c>
      <c r="G707" s="401"/>
      <c r="H707" s="377">
        <v>1603</v>
      </c>
      <c r="I707" s="396" t="s">
        <v>648</v>
      </c>
      <c r="J707" s="397" t="str">
        <f>IF(ISBLANK(INDEX('Policy Characteristics'!D:D,MATCH($C707,'Policy Characteristics'!$C:$C,0))),"",INDEX('Policy Characteristics'!D:D,MATCH($C707,'Policy Characteristics'!$C:$C,0)))</f>
        <v>Electrification + Hydrogen</v>
      </c>
      <c r="K707" s="394" t="str">
        <f>IF(ISBLANK(INDEX('Policy Characteristics'!E:E,MATCH($C707,'Policy Characteristics'!$C:$C,0))),"",INDEX('Policy Characteristics'!E:E,MATCH($C707,'Policy Characteristics'!$C:$C,0)))</f>
        <v>indst low temp fuel type shifting</v>
      </c>
      <c r="L707" s="398">
        <f>IF(ISBLANK(INDEX('Policy Characteristics'!F:F,MATCH($C707,'Policy Characteristics'!$C:$C,0))),"",INDEX('Policy Characteristics'!F:F,MATCH($C707,'Policy Characteristics'!$C:$C,0)))</f>
        <v>0</v>
      </c>
      <c r="M707" s="398">
        <f>IF(ISBLANK(INDEX('Policy Characteristics'!G:G,MATCH($C707,'Policy Characteristics'!$C:$C,0))),"",INDEX('Policy Characteristics'!G:G,MATCH($C707,'Policy Characteristics'!$C:$C,0)))</f>
        <v>1</v>
      </c>
      <c r="N707" s="398">
        <f>IF(ISBLANK(INDEX('Policy Characteristics'!H:H,MATCH($C707,'Policy Characteristics'!$C:$C,0))),"",INDEX('Policy Characteristics'!H:H,MATCH($C707,'Policy Characteristics'!$C:$C,0)))</f>
        <v>0.01</v>
      </c>
      <c r="O707" s="394" t="str">
        <f>IF(ISBLANK(INDEX('Policy Characteristics'!I:I,MATCH($C707,'Policy Characteristics'!$C:$C,0))),"",INDEX('Policy Characteristics'!I:I,MATCH($C707,'Policy Characteristics'!$C:$C,0)))</f>
        <v>% of fuel shifted</v>
      </c>
      <c r="P707" s="394" t="str">
        <f>IF(ISBLANK(INDEX('Policy Characteristics'!J:J,MATCH($C707,'Policy Characteristics'!$C:$C,0))),"",INDEX('Policy Characteristics'!J:J,MATCH($C707,'Policy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7" s="394" t="str">
        <f>IF(ISBLANK(INDEX('Policy Characteristics'!K:K,MATCH($C707,'Policy Characteristics'!$C:$C,0))),"",INDEX('Policy Characteristics'!K:K,MATCH($C707,'Policy Characteristics'!$C:$C,0)))</f>
        <v>industry-ag-main.html#fuel-switching</v>
      </c>
      <c r="R707" s="394" t="str">
        <f>IF(ISBLANK(INDEX('Policy Characteristics'!L:L,MATCH($C707,'Policy Characteristics'!$C:$C,0))),"",INDEX('Policy Characteristics'!L:L,MATCH($C707,'Policy Characteristics'!$C:$C,0)))</f>
        <v>industry-elec-and-hydrogen.html</v>
      </c>
    </row>
    <row r="708" customHeight="1" spans="1:18">
      <c r="A708" s="394" t="str">
        <f>IF(ISBLANK(INDEX('Policy Characteristics'!A:A,MATCH($C708,'Policy Characteristics'!$C:$C,0))),"",INDEX('Policy Characteristics'!A:A,MATCH($C708,'Policy Characteristics'!$C:$C,0)))</f>
        <v>Industry</v>
      </c>
      <c r="B708" s="395" t="str">
        <f>IF(ISBLANK(INDEX('Policy Characteristics'!B:B,MATCH($C708,'Policy Characteristics'!$C:$C,0))),"",INDEX('Policy Characteristics'!B:B,MATCH($C708,'Policy Characteristics'!$C:$C,0)))</f>
        <v>Electrification (Low Temp)</v>
      </c>
      <c r="C708" s="394" t="str">
        <f t="shared" ref="C708:C730" si="36">C$706</f>
        <v>Fraction of Low Temp Industrial Heat Shifted to Other Fuels</v>
      </c>
      <c r="D708" s="399" t="s">
        <v>742</v>
      </c>
      <c r="E708" s="399"/>
      <c r="F708" t="s">
        <v>743</v>
      </c>
      <c r="G708" s="401"/>
      <c r="H708" s="377">
        <v>1604</v>
      </c>
      <c r="I708" s="396" t="s">
        <v>648</v>
      </c>
      <c r="J708" s="397" t="str">
        <f>IF(ISBLANK(INDEX('Policy Characteristics'!D:D,MATCH($C708,'Policy Characteristics'!$C:$C,0))),"",INDEX('Policy Characteristics'!D:D,MATCH($C708,'Policy Characteristics'!$C:$C,0)))</f>
        <v>Electrification + Hydrogen</v>
      </c>
      <c r="K708" s="394" t="str">
        <f>IF(ISBLANK(INDEX('Policy Characteristics'!E:E,MATCH($C708,'Policy Characteristics'!$C:$C,0))),"",INDEX('Policy Characteristics'!E:E,MATCH($C708,'Policy Characteristics'!$C:$C,0)))</f>
        <v>indst low temp fuel type shifting</v>
      </c>
      <c r="L708" s="398">
        <f>IF(ISBLANK(INDEX('Policy Characteristics'!F:F,MATCH($C708,'Policy Characteristics'!$C:$C,0))),"",INDEX('Policy Characteristics'!F:F,MATCH($C708,'Policy Characteristics'!$C:$C,0)))</f>
        <v>0</v>
      </c>
      <c r="M708" s="398">
        <f>IF(ISBLANK(INDEX('Policy Characteristics'!G:G,MATCH($C708,'Policy Characteristics'!$C:$C,0))),"",INDEX('Policy Characteristics'!G:G,MATCH($C708,'Policy Characteristics'!$C:$C,0)))</f>
        <v>1</v>
      </c>
      <c r="N708" s="398">
        <f>IF(ISBLANK(INDEX('Policy Characteristics'!H:H,MATCH($C708,'Policy Characteristics'!$C:$C,0))),"",INDEX('Policy Characteristics'!H:H,MATCH($C708,'Policy Characteristics'!$C:$C,0)))</f>
        <v>0.01</v>
      </c>
      <c r="O708" s="394" t="str">
        <f>IF(ISBLANK(INDEX('Policy Characteristics'!I:I,MATCH($C708,'Policy Characteristics'!$C:$C,0))),"",INDEX('Policy Characteristics'!I:I,MATCH($C708,'Policy Characteristics'!$C:$C,0)))</f>
        <v>% of fuel shifted</v>
      </c>
      <c r="P708" s="394" t="str">
        <f>IF(ISBLANK(INDEX('Policy Characteristics'!J:J,MATCH($C708,'Policy Characteristics'!$C:$C,0))),"",INDEX('Policy Characteristics'!J:J,MATCH($C708,'Policy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8" s="394" t="str">
        <f>IF(ISBLANK(INDEX('Policy Characteristics'!K:K,MATCH($C708,'Policy Characteristics'!$C:$C,0))),"",INDEX('Policy Characteristics'!K:K,MATCH($C708,'Policy Characteristics'!$C:$C,0)))</f>
        <v>industry-ag-main.html#fuel-switching</v>
      </c>
      <c r="R708" s="394" t="str">
        <f>IF(ISBLANK(INDEX('Policy Characteristics'!L:L,MATCH($C708,'Policy Characteristics'!$C:$C,0))),"",INDEX('Policy Characteristics'!L:L,MATCH($C708,'Policy Characteristics'!$C:$C,0)))</f>
        <v>industry-elec-and-hydrogen.html</v>
      </c>
    </row>
    <row r="709" customHeight="1" spans="1:18">
      <c r="A709" s="394" t="str">
        <f>IF(ISBLANK(INDEX('Policy Characteristics'!A:A,MATCH($C709,'Policy Characteristics'!$C:$C,0))),"",INDEX('Policy Characteristics'!A:A,MATCH($C709,'Policy Characteristics'!$C:$C,0)))</f>
        <v>Industry</v>
      </c>
      <c r="B709" s="395" t="str">
        <f>IF(ISBLANK(INDEX('Policy Characteristics'!B:B,MATCH($C709,'Policy Characteristics'!$C:$C,0))),"",INDEX('Policy Characteristics'!B:B,MATCH($C709,'Policy Characteristics'!$C:$C,0)))</f>
        <v>Electrification (Low Temp)</v>
      </c>
      <c r="C709" s="394" t="str">
        <f t="shared" si="36"/>
        <v>Fraction of Low Temp Industrial Heat Shifted to Other Fuels</v>
      </c>
      <c r="D709" s="399" t="s">
        <v>744</v>
      </c>
      <c r="E709" s="399"/>
      <c r="F709" t="s">
        <v>745</v>
      </c>
      <c r="G709" s="401"/>
      <c r="H709" s="377">
        <v>1605</v>
      </c>
      <c r="I709" s="396" t="s">
        <v>648</v>
      </c>
      <c r="J709" s="397" t="str">
        <f>IF(ISBLANK(INDEX('Policy Characteristics'!D:D,MATCH($C709,'Policy Characteristics'!$C:$C,0))),"",INDEX('Policy Characteristics'!D:D,MATCH($C709,'Policy Characteristics'!$C:$C,0)))</f>
        <v>Electrification + Hydrogen</v>
      </c>
      <c r="K709" s="394" t="str">
        <f>IF(ISBLANK(INDEX('Policy Characteristics'!E:E,MATCH($C709,'Policy Characteristics'!$C:$C,0))),"",INDEX('Policy Characteristics'!E:E,MATCH($C709,'Policy Characteristics'!$C:$C,0)))</f>
        <v>indst low temp fuel type shifting</v>
      </c>
      <c r="L709" s="398">
        <f>IF(ISBLANK(INDEX('Policy Characteristics'!F:F,MATCH($C709,'Policy Characteristics'!$C:$C,0))),"",INDEX('Policy Characteristics'!F:F,MATCH($C709,'Policy Characteristics'!$C:$C,0)))</f>
        <v>0</v>
      </c>
      <c r="M709" s="398">
        <f>IF(ISBLANK(INDEX('Policy Characteristics'!G:G,MATCH($C709,'Policy Characteristics'!$C:$C,0))),"",INDEX('Policy Characteristics'!G:G,MATCH($C709,'Policy Characteristics'!$C:$C,0)))</f>
        <v>1</v>
      </c>
      <c r="N709" s="398">
        <f>IF(ISBLANK(INDEX('Policy Characteristics'!H:H,MATCH($C709,'Policy Characteristics'!$C:$C,0))),"",INDEX('Policy Characteristics'!H:H,MATCH($C709,'Policy Characteristics'!$C:$C,0)))</f>
        <v>0.01</v>
      </c>
      <c r="O709" s="394" t="str">
        <f>IF(ISBLANK(INDEX('Policy Characteristics'!I:I,MATCH($C709,'Policy Characteristics'!$C:$C,0))),"",INDEX('Policy Characteristics'!I:I,MATCH($C709,'Policy Characteristics'!$C:$C,0)))</f>
        <v>% of fuel shifted</v>
      </c>
      <c r="P709" s="394" t="str">
        <f>IF(ISBLANK(INDEX('Policy Characteristics'!J:J,MATCH($C709,'Policy Characteristics'!$C:$C,0))),"",INDEX('Policy Characteristics'!J:J,MATCH($C709,'Policy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9" s="394" t="str">
        <f>IF(ISBLANK(INDEX('Policy Characteristics'!K:K,MATCH($C709,'Policy Characteristics'!$C:$C,0))),"",INDEX('Policy Characteristics'!K:K,MATCH($C709,'Policy Characteristics'!$C:$C,0)))</f>
        <v>industry-ag-main.html#fuel-switching</v>
      </c>
      <c r="R709" s="394" t="str">
        <f>IF(ISBLANK(INDEX('Policy Characteristics'!L:L,MATCH($C709,'Policy Characteristics'!$C:$C,0))),"",INDEX('Policy Characteristics'!L:L,MATCH($C709,'Policy Characteristics'!$C:$C,0)))</f>
        <v>industry-elec-and-hydrogen.html</v>
      </c>
    </row>
    <row r="710" customHeight="1" spans="1:18">
      <c r="A710" s="394" t="str">
        <f>IF(ISBLANK(INDEX('Policy Characteristics'!A:A,MATCH($C710,'Policy Characteristics'!$C:$C,0))),"",INDEX('Policy Characteristics'!A:A,MATCH($C710,'Policy Characteristics'!$C:$C,0)))</f>
        <v>Industry</v>
      </c>
      <c r="B710" s="395" t="str">
        <f>IF(ISBLANK(INDEX('Policy Characteristics'!B:B,MATCH($C710,'Policy Characteristics'!$C:$C,0))),"",INDEX('Policy Characteristics'!B:B,MATCH($C710,'Policy Characteristics'!$C:$C,0)))</f>
        <v>Electrification (Low Temp)</v>
      </c>
      <c r="C710" s="394" t="str">
        <f t="shared" si="36"/>
        <v>Fraction of Low Temp Industrial Heat Shifted to Other Fuels</v>
      </c>
      <c r="D710" s="399" t="s">
        <v>746</v>
      </c>
      <c r="E710" s="399"/>
      <c r="F710" t="s">
        <v>747</v>
      </c>
      <c r="G710" s="401"/>
      <c r="H710" s="377">
        <v>1606</v>
      </c>
      <c r="I710" s="396" t="s">
        <v>648</v>
      </c>
      <c r="J710" s="397" t="str">
        <f>IF(ISBLANK(INDEX('Policy Characteristics'!D:D,MATCH($C710,'Policy Characteristics'!$C:$C,0))),"",INDEX('Policy Characteristics'!D:D,MATCH($C710,'Policy Characteristics'!$C:$C,0)))</f>
        <v>Electrification + Hydrogen</v>
      </c>
      <c r="K710" s="394" t="str">
        <f>IF(ISBLANK(INDEX('Policy Characteristics'!E:E,MATCH($C710,'Policy Characteristics'!$C:$C,0))),"",INDEX('Policy Characteristics'!E:E,MATCH($C710,'Policy Characteristics'!$C:$C,0)))</f>
        <v>indst low temp fuel type shifting</v>
      </c>
      <c r="L710" s="398">
        <f>IF(ISBLANK(INDEX('Policy Characteristics'!F:F,MATCH($C710,'Policy Characteristics'!$C:$C,0))),"",INDEX('Policy Characteristics'!F:F,MATCH($C710,'Policy Characteristics'!$C:$C,0)))</f>
        <v>0</v>
      </c>
      <c r="M710" s="398">
        <f>IF(ISBLANK(INDEX('Policy Characteristics'!G:G,MATCH($C710,'Policy Characteristics'!$C:$C,0))),"",INDEX('Policy Characteristics'!G:G,MATCH($C710,'Policy Characteristics'!$C:$C,0)))</f>
        <v>1</v>
      </c>
      <c r="N710" s="398">
        <f>IF(ISBLANK(INDEX('Policy Characteristics'!H:H,MATCH($C710,'Policy Characteristics'!$C:$C,0))),"",INDEX('Policy Characteristics'!H:H,MATCH($C710,'Policy Characteristics'!$C:$C,0)))</f>
        <v>0.01</v>
      </c>
      <c r="O710" s="394" t="str">
        <f>IF(ISBLANK(INDEX('Policy Characteristics'!I:I,MATCH($C710,'Policy Characteristics'!$C:$C,0))),"",INDEX('Policy Characteristics'!I:I,MATCH($C710,'Policy Characteristics'!$C:$C,0)))</f>
        <v>% of fuel shifted</v>
      </c>
      <c r="P710" s="394" t="str">
        <f>IF(ISBLANK(INDEX('Policy Characteristics'!J:J,MATCH($C710,'Policy Characteristics'!$C:$C,0))),"",INDEX('Policy Characteristics'!J:J,MATCH($C710,'Policy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0" s="394" t="str">
        <f>IF(ISBLANK(INDEX('Policy Characteristics'!K:K,MATCH($C710,'Policy Characteristics'!$C:$C,0))),"",INDEX('Policy Characteristics'!K:K,MATCH($C710,'Policy Characteristics'!$C:$C,0)))</f>
        <v>industry-ag-main.html#fuel-switching</v>
      </c>
      <c r="R710" s="394" t="str">
        <f>IF(ISBLANK(INDEX('Policy Characteristics'!L:L,MATCH($C710,'Policy Characteristics'!$C:$C,0))),"",INDEX('Policy Characteristics'!L:L,MATCH($C710,'Policy Characteristics'!$C:$C,0)))</f>
        <v>industry-elec-and-hydrogen.html</v>
      </c>
    </row>
    <row r="711" customHeight="1" spans="1:18">
      <c r="A711" s="394" t="str">
        <f>IF(ISBLANK(INDEX('Policy Characteristics'!A:A,MATCH($C711,'Policy Characteristics'!$C:$C,0))),"",INDEX('Policy Characteristics'!A:A,MATCH($C711,'Policy Characteristics'!$C:$C,0)))</f>
        <v>Industry</v>
      </c>
      <c r="B711" s="395" t="str">
        <f>IF(ISBLANK(INDEX('Policy Characteristics'!B:B,MATCH($C711,'Policy Characteristics'!$C:$C,0))),"",INDEX('Policy Characteristics'!B:B,MATCH($C711,'Policy Characteristics'!$C:$C,0)))</f>
        <v>Electrification (Low Temp)</v>
      </c>
      <c r="C711" s="394" t="str">
        <f t="shared" si="36"/>
        <v>Fraction of Low Temp Industrial Heat Shifted to Other Fuels</v>
      </c>
      <c r="D711" s="399" t="s">
        <v>748</v>
      </c>
      <c r="E711" s="399"/>
      <c r="F711" t="s">
        <v>749</v>
      </c>
      <c r="G711" s="401"/>
      <c r="H711" s="377">
        <v>1607</v>
      </c>
      <c r="I711" s="396" t="s">
        <v>648</v>
      </c>
      <c r="J711" s="397" t="str">
        <f>IF(ISBLANK(INDEX('Policy Characteristics'!D:D,MATCH($C711,'Policy Characteristics'!$C:$C,0))),"",INDEX('Policy Characteristics'!D:D,MATCH($C711,'Policy Characteristics'!$C:$C,0)))</f>
        <v>Electrification + Hydrogen</v>
      </c>
      <c r="K711" s="394" t="str">
        <f>IF(ISBLANK(INDEX('Policy Characteristics'!E:E,MATCH($C711,'Policy Characteristics'!$C:$C,0))),"",INDEX('Policy Characteristics'!E:E,MATCH($C711,'Policy Characteristics'!$C:$C,0)))</f>
        <v>indst low temp fuel type shifting</v>
      </c>
      <c r="L711" s="398">
        <f>IF(ISBLANK(INDEX('Policy Characteristics'!F:F,MATCH($C711,'Policy Characteristics'!$C:$C,0))),"",INDEX('Policy Characteristics'!F:F,MATCH($C711,'Policy Characteristics'!$C:$C,0)))</f>
        <v>0</v>
      </c>
      <c r="M711" s="398">
        <f>IF(ISBLANK(INDEX('Policy Characteristics'!G:G,MATCH($C711,'Policy Characteristics'!$C:$C,0))),"",INDEX('Policy Characteristics'!G:G,MATCH($C711,'Policy Characteristics'!$C:$C,0)))</f>
        <v>1</v>
      </c>
      <c r="N711" s="398">
        <f>IF(ISBLANK(INDEX('Policy Characteristics'!H:H,MATCH($C711,'Policy Characteristics'!$C:$C,0))),"",INDEX('Policy Characteristics'!H:H,MATCH($C711,'Policy Characteristics'!$C:$C,0)))</f>
        <v>0.01</v>
      </c>
      <c r="O711" s="394" t="str">
        <f>IF(ISBLANK(INDEX('Policy Characteristics'!I:I,MATCH($C711,'Policy Characteristics'!$C:$C,0))),"",INDEX('Policy Characteristics'!I:I,MATCH($C711,'Policy Characteristics'!$C:$C,0)))</f>
        <v>% of fuel shifted</v>
      </c>
      <c r="P711" s="394" t="str">
        <f>IF(ISBLANK(INDEX('Policy Characteristics'!J:J,MATCH($C711,'Policy Characteristics'!$C:$C,0))),"",INDEX('Policy Characteristics'!J:J,MATCH($C711,'Policy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1" s="394" t="str">
        <f>IF(ISBLANK(INDEX('Policy Characteristics'!K:K,MATCH($C711,'Policy Characteristics'!$C:$C,0))),"",INDEX('Policy Characteristics'!K:K,MATCH($C711,'Policy Characteristics'!$C:$C,0)))</f>
        <v>industry-ag-main.html#fuel-switching</v>
      </c>
      <c r="R711" s="394" t="str">
        <f>IF(ISBLANK(INDEX('Policy Characteristics'!L:L,MATCH($C711,'Policy Characteristics'!$C:$C,0))),"",INDEX('Policy Characteristics'!L:L,MATCH($C711,'Policy Characteristics'!$C:$C,0)))</f>
        <v>industry-elec-and-hydrogen.html</v>
      </c>
    </row>
    <row r="712" customHeight="1" spans="1:18">
      <c r="A712" s="394" t="str">
        <f>IF(ISBLANK(INDEX('Policy Characteristics'!A:A,MATCH($C712,'Policy Characteristics'!$C:$C,0))),"",INDEX('Policy Characteristics'!A:A,MATCH($C712,'Policy Characteristics'!$C:$C,0)))</f>
        <v>Industry</v>
      </c>
      <c r="B712" s="395" t="str">
        <f>IF(ISBLANK(INDEX('Policy Characteristics'!B:B,MATCH($C712,'Policy Characteristics'!$C:$C,0))),"",INDEX('Policy Characteristics'!B:B,MATCH($C712,'Policy Characteristics'!$C:$C,0)))</f>
        <v>Electrification (Low Temp)</v>
      </c>
      <c r="C712" s="394" t="str">
        <f t="shared" si="36"/>
        <v>Fraction of Low Temp Industrial Heat Shifted to Other Fuels</v>
      </c>
      <c r="D712" s="399" t="s">
        <v>750</v>
      </c>
      <c r="E712" s="399"/>
      <c r="F712" s="366" t="s">
        <v>751</v>
      </c>
      <c r="G712" s="401"/>
      <c r="H712" s="377">
        <v>1608</v>
      </c>
      <c r="I712" s="396" t="s">
        <v>648</v>
      </c>
      <c r="J712" s="397" t="str">
        <f>IF(ISBLANK(INDEX('Policy Characteristics'!D:D,MATCH($C712,'Policy Characteristics'!$C:$C,0))),"",INDEX('Policy Characteristics'!D:D,MATCH($C712,'Policy Characteristics'!$C:$C,0)))</f>
        <v>Electrification + Hydrogen</v>
      </c>
      <c r="K712" s="394" t="str">
        <f>IF(ISBLANK(INDEX('Policy Characteristics'!E:E,MATCH($C712,'Policy Characteristics'!$C:$C,0))),"",INDEX('Policy Characteristics'!E:E,MATCH($C712,'Policy Characteristics'!$C:$C,0)))</f>
        <v>indst low temp fuel type shifting</v>
      </c>
      <c r="L712" s="398">
        <f>IF(ISBLANK(INDEX('Policy Characteristics'!F:F,MATCH($C712,'Policy Characteristics'!$C:$C,0))),"",INDEX('Policy Characteristics'!F:F,MATCH($C712,'Policy Characteristics'!$C:$C,0)))</f>
        <v>0</v>
      </c>
      <c r="M712" s="398">
        <f>IF(ISBLANK(INDEX('Policy Characteristics'!G:G,MATCH($C712,'Policy Characteristics'!$C:$C,0))),"",INDEX('Policy Characteristics'!G:G,MATCH($C712,'Policy Characteristics'!$C:$C,0)))</f>
        <v>1</v>
      </c>
      <c r="N712" s="398">
        <f>IF(ISBLANK(INDEX('Policy Characteristics'!H:H,MATCH($C712,'Policy Characteristics'!$C:$C,0))),"",INDEX('Policy Characteristics'!H:H,MATCH($C712,'Policy Characteristics'!$C:$C,0)))</f>
        <v>0.01</v>
      </c>
      <c r="O712" s="394" t="str">
        <f>IF(ISBLANK(INDEX('Policy Characteristics'!I:I,MATCH($C712,'Policy Characteristics'!$C:$C,0))),"",INDEX('Policy Characteristics'!I:I,MATCH($C712,'Policy Characteristics'!$C:$C,0)))</f>
        <v>% of fuel shifted</v>
      </c>
      <c r="P712" s="394" t="str">
        <f>IF(ISBLANK(INDEX('Policy Characteristics'!J:J,MATCH($C712,'Policy Characteristics'!$C:$C,0))),"",INDEX('Policy Characteristics'!J:J,MATCH($C712,'Policy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2" s="394" t="str">
        <f>IF(ISBLANK(INDEX('Policy Characteristics'!K:K,MATCH($C712,'Policy Characteristics'!$C:$C,0))),"",INDEX('Policy Characteristics'!K:K,MATCH($C712,'Policy Characteristics'!$C:$C,0)))</f>
        <v>industry-ag-main.html#fuel-switching</v>
      </c>
      <c r="R712" s="394" t="str">
        <f>IF(ISBLANK(INDEX('Policy Characteristics'!L:L,MATCH($C712,'Policy Characteristics'!$C:$C,0))),"",INDEX('Policy Characteristics'!L:L,MATCH($C712,'Policy Characteristics'!$C:$C,0)))</f>
        <v>industry-elec-and-hydrogen.html</v>
      </c>
    </row>
    <row r="713" customHeight="1" spans="1:18">
      <c r="A713" s="394" t="str">
        <f>IF(ISBLANK(INDEX('Policy Characteristics'!A:A,MATCH($C713,'Policy Characteristics'!$C:$C,0))),"",INDEX('Policy Characteristics'!A:A,MATCH($C713,'Policy Characteristics'!$C:$C,0)))</f>
        <v>Industry</v>
      </c>
      <c r="B713" s="395" t="str">
        <f>IF(ISBLANK(INDEX('Policy Characteristics'!B:B,MATCH($C713,'Policy Characteristics'!$C:$C,0))),"",INDEX('Policy Characteristics'!B:B,MATCH($C713,'Policy Characteristics'!$C:$C,0)))</f>
        <v>Electrification (Low Temp)</v>
      </c>
      <c r="C713" s="394" t="str">
        <f t="shared" si="36"/>
        <v>Fraction of Low Temp Industrial Heat Shifted to Other Fuels</v>
      </c>
      <c r="D713" s="399" t="s">
        <v>752</v>
      </c>
      <c r="E713" s="399"/>
      <c r="F713" t="s">
        <v>753</v>
      </c>
      <c r="G713" s="401"/>
      <c r="H713" s="377">
        <v>1609</v>
      </c>
      <c r="I713" s="396" t="s">
        <v>648</v>
      </c>
      <c r="J713" s="397" t="str">
        <f>IF(ISBLANK(INDEX('Policy Characteristics'!D:D,MATCH($C713,'Policy Characteristics'!$C:$C,0))),"",INDEX('Policy Characteristics'!D:D,MATCH($C713,'Policy Characteristics'!$C:$C,0)))</f>
        <v>Electrification + Hydrogen</v>
      </c>
      <c r="K713" s="394" t="str">
        <f>IF(ISBLANK(INDEX('Policy Characteristics'!E:E,MATCH($C713,'Policy Characteristics'!$C:$C,0))),"",INDEX('Policy Characteristics'!E:E,MATCH($C713,'Policy Characteristics'!$C:$C,0)))</f>
        <v>indst low temp fuel type shifting</v>
      </c>
      <c r="L713" s="398">
        <f>IF(ISBLANK(INDEX('Policy Characteristics'!F:F,MATCH($C713,'Policy Characteristics'!$C:$C,0))),"",INDEX('Policy Characteristics'!F:F,MATCH($C713,'Policy Characteristics'!$C:$C,0)))</f>
        <v>0</v>
      </c>
      <c r="M713" s="398">
        <f>IF(ISBLANK(INDEX('Policy Characteristics'!G:G,MATCH($C713,'Policy Characteristics'!$C:$C,0))),"",INDEX('Policy Characteristics'!G:G,MATCH($C713,'Policy Characteristics'!$C:$C,0)))</f>
        <v>1</v>
      </c>
      <c r="N713" s="398">
        <f>IF(ISBLANK(INDEX('Policy Characteristics'!H:H,MATCH($C713,'Policy Characteristics'!$C:$C,0))),"",INDEX('Policy Characteristics'!H:H,MATCH($C713,'Policy Characteristics'!$C:$C,0)))</f>
        <v>0.01</v>
      </c>
      <c r="O713" s="394" t="str">
        <f>IF(ISBLANK(INDEX('Policy Characteristics'!I:I,MATCH($C713,'Policy Characteristics'!$C:$C,0))),"",INDEX('Policy Characteristics'!I:I,MATCH($C713,'Policy Characteristics'!$C:$C,0)))</f>
        <v>% of fuel shifted</v>
      </c>
      <c r="P713" s="394" t="str">
        <f>IF(ISBLANK(INDEX('Policy Characteristics'!J:J,MATCH($C713,'Policy Characteristics'!$C:$C,0))),"",INDEX('Policy Characteristics'!J:J,MATCH($C713,'Policy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3" s="394" t="str">
        <f>IF(ISBLANK(INDEX('Policy Characteristics'!K:K,MATCH($C713,'Policy Characteristics'!$C:$C,0))),"",INDEX('Policy Characteristics'!K:K,MATCH($C713,'Policy Characteristics'!$C:$C,0)))</f>
        <v>industry-ag-main.html#fuel-switching</v>
      </c>
      <c r="R713" s="394" t="str">
        <f>IF(ISBLANK(INDEX('Policy Characteristics'!L:L,MATCH($C713,'Policy Characteristics'!$C:$C,0))),"",INDEX('Policy Characteristics'!L:L,MATCH($C713,'Policy Characteristics'!$C:$C,0)))</f>
        <v>industry-elec-and-hydrogen.html</v>
      </c>
    </row>
    <row r="714" customHeight="1" spans="1:18">
      <c r="A714" s="394" t="str">
        <f>IF(ISBLANK(INDEX('Policy Characteristics'!A:A,MATCH($C714,'Policy Characteristics'!$C:$C,0))),"",INDEX('Policy Characteristics'!A:A,MATCH($C714,'Policy Characteristics'!$C:$C,0)))</f>
        <v>Industry</v>
      </c>
      <c r="B714" s="395" t="str">
        <f>IF(ISBLANK(INDEX('Policy Characteristics'!B:B,MATCH($C714,'Policy Characteristics'!$C:$C,0))),"",INDEX('Policy Characteristics'!B:B,MATCH($C714,'Policy Characteristics'!$C:$C,0)))</f>
        <v>Electrification (Low Temp)</v>
      </c>
      <c r="C714" s="394" t="str">
        <f t="shared" si="36"/>
        <v>Fraction of Low Temp Industrial Heat Shifted to Other Fuels</v>
      </c>
      <c r="D714" s="399" t="s">
        <v>754</v>
      </c>
      <c r="E714" s="399"/>
      <c r="F714" t="s">
        <v>755</v>
      </c>
      <c r="G714" s="401"/>
      <c r="H714" s="377">
        <v>1610</v>
      </c>
      <c r="I714" s="396" t="s">
        <v>648</v>
      </c>
      <c r="J714" s="397" t="str">
        <f>IF(ISBLANK(INDEX('Policy Characteristics'!D:D,MATCH($C714,'Policy Characteristics'!$C:$C,0))),"",INDEX('Policy Characteristics'!D:D,MATCH($C714,'Policy Characteristics'!$C:$C,0)))</f>
        <v>Electrification + Hydrogen</v>
      </c>
      <c r="K714" s="394" t="str">
        <f>IF(ISBLANK(INDEX('Policy Characteristics'!E:E,MATCH($C714,'Policy Characteristics'!$C:$C,0))),"",INDEX('Policy Characteristics'!E:E,MATCH($C714,'Policy Characteristics'!$C:$C,0)))</f>
        <v>indst low temp fuel type shifting</v>
      </c>
      <c r="L714" s="398">
        <f>IF(ISBLANK(INDEX('Policy Characteristics'!F:F,MATCH($C714,'Policy Characteristics'!$C:$C,0))),"",INDEX('Policy Characteristics'!F:F,MATCH($C714,'Policy Characteristics'!$C:$C,0)))</f>
        <v>0</v>
      </c>
      <c r="M714" s="398">
        <f>IF(ISBLANK(INDEX('Policy Characteristics'!G:G,MATCH($C714,'Policy Characteristics'!$C:$C,0))),"",INDEX('Policy Characteristics'!G:G,MATCH($C714,'Policy Characteristics'!$C:$C,0)))</f>
        <v>1</v>
      </c>
      <c r="N714" s="398">
        <f>IF(ISBLANK(INDEX('Policy Characteristics'!H:H,MATCH($C714,'Policy Characteristics'!$C:$C,0))),"",INDEX('Policy Characteristics'!H:H,MATCH($C714,'Policy Characteristics'!$C:$C,0)))</f>
        <v>0.01</v>
      </c>
      <c r="O714" s="394" t="str">
        <f>IF(ISBLANK(INDEX('Policy Characteristics'!I:I,MATCH($C714,'Policy Characteristics'!$C:$C,0))),"",INDEX('Policy Characteristics'!I:I,MATCH($C714,'Policy Characteristics'!$C:$C,0)))</f>
        <v>% of fuel shifted</v>
      </c>
      <c r="P714" s="394" t="str">
        <f>IF(ISBLANK(INDEX('Policy Characteristics'!J:J,MATCH($C714,'Policy Characteristics'!$C:$C,0))),"",INDEX('Policy Characteristics'!J:J,MATCH($C714,'Policy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4" s="394" t="str">
        <f>IF(ISBLANK(INDEX('Policy Characteristics'!K:K,MATCH($C714,'Policy Characteristics'!$C:$C,0))),"",INDEX('Policy Characteristics'!K:K,MATCH($C714,'Policy Characteristics'!$C:$C,0)))</f>
        <v>industry-ag-main.html#fuel-switching</v>
      </c>
      <c r="R714" s="394" t="str">
        <f>IF(ISBLANK(INDEX('Policy Characteristics'!L:L,MATCH($C714,'Policy Characteristics'!$C:$C,0))),"",INDEX('Policy Characteristics'!L:L,MATCH($C714,'Policy Characteristics'!$C:$C,0)))</f>
        <v>industry-elec-and-hydrogen.html</v>
      </c>
    </row>
    <row r="715" customHeight="1" spans="1:18">
      <c r="A715" s="394" t="str">
        <f>IF(ISBLANK(INDEX('Policy Characteristics'!A:A,MATCH($C715,'Policy Characteristics'!$C:$C,0))),"",INDEX('Policy Characteristics'!A:A,MATCH($C715,'Policy Characteristics'!$C:$C,0)))</f>
        <v>Industry</v>
      </c>
      <c r="B715" s="395" t="str">
        <f>IF(ISBLANK(INDEX('Policy Characteristics'!B:B,MATCH($C715,'Policy Characteristics'!$C:$C,0))),"",INDEX('Policy Characteristics'!B:B,MATCH($C715,'Policy Characteristics'!$C:$C,0)))</f>
        <v>Electrification (Low Temp)</v>
      </c>
      <c r="C715" s="394" t="str">
        <f t="shared" si="36"/>
        <v>Fraction of Low Temp Industrial Heat Shifted to Other Fuels</v>
      </c>
      <c r="D715" s="399" t="s">
        <v>756</v>
      </c>
      <c r="E715" s="399"/>
      <c r="F715" t="s">
        <v>757</v>
      </c>
      <c r="G715" s="401"/>
      <c r="H715" s="377">
        <v>1611</v>
      </c>
      <c r="I715" s="396" t="s">
        <v>648</v>
      </c>
      <c r="J715" s="397" t="str">
        <f>IF(ISBLANK(INDEX('Policy Characteristics'!D:D,MATCH($C715,'Policy Characteristics'!$C:$C,0))),"",INDEX('Policy Characteristics'!D:D,MATCH($C715,'Policy Characteristics'!$C:$C,0)))</f>
        <v>Electrification + Hydrogen</v>
      </c>
      <c r="K715" s="394" t="str">
        <f>IF(ISBLANK(INDEX('Policy Characteristics'!E:E,MATCH($C715,'Policy Characteristics'!$C:$C,0))),"",INDEX('Policy Characteristics'!E:E,MATCH($C715,'Policy Characteristics'!$C:$C,0)))</f>
        <v>indst low temp fuel type shifting</v>
      </c>
      <c r="L715" s="398">
        <f>IF(ISBLANK(INDEX('Policy Characteristics'!F:F,MATCH($C715,'Policy Characteristics'!$C:$C,0))),"",INDEX('Policy Characteristics'!F:F,MATCH($C715,'Policy Characteristics'!$C:$C,0)))</f>
        <v>0</v>
      </c>
      <c r="M715" s="398">
        <f>IF(ISBLANK(INDEX('Policy Characteristics'!G:G,MATCH($C715,'Policy Characteristics'!$C:$C,0))),"",INDEX('Policy Characteristics'!G:G,MATCH($C715,'Policy Characteristics'!$C:$C,0)))</f>
        <v>1</v>
      </c>
      <c r="N715" s="398">
        <f>IF(ISBLANK(INDEX('Policy Characteristics'!H:H,MATCH($C715,'Policy Characteristics'!$C:$C,0))),"",INDEX('Policy Characteristics'!H:H,MATCH($C715,'Policy Characteristics'!$C:$C,0)))</f>
        <v>0.01</v>
      </c>
      <c r="O715" s="394" t="str">
        <f>IF(ISBLANK(INDEX('Policy Characteristics'!I:I,MATCH($C715,'Policy Characteristics'!$C:$C,0))),"",INDEX('Policy Characteristics'!I:I,MATCH($C715,'Policy Characteristics'!$C:$C,0)))</f>
        <v>% of fuel shifted</v>
      </c>
      <c r="P715" s="394" t="str">
        <f>IF(ISBLANK(INDEX('Policy Characteristics'!J:J,MATCH($C715,'Policy Characteristics'!$C:$C,0))),"",INDEX('Policy Characteristics'!J:J,MATCH($C715,'Policy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5" s="394" t="str">
        <f>IF(ISBLANK(INDEX('Policy Characteristics'!K:K,MATCH($C715,'Policy Characteristics'!$C:$C,0))),"",INDEX('Policy Characteristics'!K:K,MATCH($C715,'Policy Characteristics'!$C:$C,0)))</f>
        <v>industry-ag-main.html#fuel-switching</v>
      </c>
      <c r="R715" s="394" t="str">
        <f>IF(ISBLANK(INDEX('Policy Characteristics'!L:L,MATCH($C715,'Policy Characteristics'!$C:$C,0))),"",INDEX('Policy Characteristics'!L:L,MATCH($C715,'Policy Characteristics'!$C:$C,0)))</f>
        <v>industry-elec-and-hydrogen.html</v>
      </c>
    </row>
    <row r="716" customHeight="1" spans="1:18">
      <c r="A716" s="394" t="str">
        <f>IF(ISBLANK(INDEX('Policy Characteristics'!A:A,MATCH($C716,'Policy Characteristics'!$C:$C,0))),"",INDEX('Policy Characteristics'!A:A,MATCH($C716,'Policy Characteristics'!$C:$C,0)))</f>
        <v>Industry</v>
      </c>
      <c r="B716" s="395" t="str">
        <f>IF(ISBLANK(INDEX('Policy Characteristics'!B:B,MATCH($C716,'Policy Characteristics'!$C:$C,0))),"",INDEX('Policy Characteristics'!B:B,MATCH($C716,'Policy Characteristics'!$C:$C,0)))</f>
        <v>Electrification (Low Temp)</v>
      </c>
      <c r="C716" s="394" t="str">
        <f t="shared" si="36"/>
        <v>Fraction of Low Temp Industrial Heat Shifted to Other Fuels</v>
      </c>
      <c r="D716" s="399" t="s">
        <v>758</v>
      </c>
      <c r="E716" s="399"/>
      <c r="F716" t="s">
        <v>759</v>
      </c>
      <c r="G716" s="401"/>
      <c r="H716" s="377">
        <v>1612</v>
      </c>
      <c r="I716" s="396" t="s">
        <v>648</v>
      </c>
      <c r="J716" s="397" t="str">
        <f>IF(ISBLANK(INDEX('Policy Characteristics'!D:D,MATCH($C716,'Policy Characteristics'!$C:$C,0))),"",INDEX('Policy Characteristics'!D:D,MATCH($C716,'Policy Characteristics'!$C:$C,0)))</f>
        <v>Electrification + Hydrogen</v>
      </c>
      <c r="K716" s="394" t="str">
        <f>IF(ISBLANK(INDEX('Policy Characteristics'!E:E,MATCH($C716,'Policy Characteristics'!$C:$C,0))),"",INDEX('Policy Characteristics'!E:E,MATCH($C716,'Policy Characteristics'!$C:$C,0)))</f>
        <v>indst low temp fuel type shifting</v>
      </c>
      <c r="L716" s="398">
        <f>IF(ISBLANK(INDEX('Policy Characteristics'!F:F,MATCH($C716,'Policy Characteristics'!$C:$C,0))),"",INDEX('Policy Characteristics'!F:F,MATCH($C716,'Policy Characteristics'!$C:$C,0)))</f>
        <v>0</v>
      </c>
      <c r="M716" s="398">
        <f>IF(ISBLANK(INDEX('Policy Characteristics'!G:G,MATCH($C716,'Policy Characteristics'!$C:$C,0))),"",INDEX('Policy Characteristics'!G:G,MATCH($C716,'Policy Characteristics'!$C:$C,0)))</f>
        <v>1</v>
      </c>
      <c r="N716" s="398">
        <f>IF(ISBLANK(INDEX('Policy Characteristics'!H:H,MATCH($C716,'Policy Characteristics'!$C:$C,0))),"",INDEX('Policy Characteristics'!H:H,MATCH($C716,'Policy Characteristics'!$C:$C,0)))</f>
        <v>0.01</v>
      </c>
      <c r="O716" s="394" t="str">
        <f>IF(ISBLANK(INDEX('Policy Characteristics'!I:I,MATCH($C716,'Policy Characteristics'!$C:$C,0))),"",INDEX('Policy Characteristics'!I:I,MATCH($C716,'Policy Characteristics'!$C:$C,0)))</f>
        <v>% of fuel shifted</v>
      </c>
      <c r="P716" s="394" t="str">
        <f>IF(ISBLANK(INDEX('Policy Characteristics'!J:J,MATCH($C716,'Policy Characteristics'!$C:$C,0))),"",INDEX('Policy Characteristics'!J:J,MATCH($C716,'Policy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6" s="394" t="str">
        <f>IF(ISBLANK(INDEX('Policy Characteristics'!K:K,MATCH($C716,'Policy Characteristics'!$C:$C,0))),"",INDEX('Policy Characteristics'!K:K,MATCH($C716,'Policy Characteristics'!$C:$C,0)))</f>
        <v>industry-ag-main.html#fuel-switching</v>
      </c>
      <c r="R716" s="394" t="str">
        <f>IF(ISBLANK(INDEX('Policy Characteristics'!L:L,MATCH($C716,'Policy Characteristics'!$C:$C,0))),"",INDEX('Policy Characteristics'!L:L,MATCH($C716,'Policy Characteristics'!$C:$C,0)))</f>
        <v>industry-elec-and-hydrogen.html</v>
      </c>
    </row>
    <row r="717" customHeight="1" spans="1:18">
      <c r="A717" s="394" t="str">
        <f>IF(ISBLANK(INDEX('Policy Characteristics'!A:A,MATCH($C717,'Policy Characteristics'!$C:$C,0))),"",INDEX('Policy Characteristics'!A:A,MATCH($C717,'Policy Characteristics'!$C:$C,0)))</f>
        <v>Industry</v>
      </c>
      <c r="B717" s="395" t="str">
        <f>IF(ISBLANK(INDEX('Policy Characteristics'!B:B,MATCH($C717,'Policy Characteristics'!$C:$C,0))),"",INDEX('Policy Characteristics'!B:B,MATCH($C717,'Policy Characteristics'!$C:$C,0)))</f>
        <v>Electrification (Low Temp)</v>
      </c>
      <c r="C717" s="394" t="str">
        <f t="shared" si="36"/>
        <v>Fraction of Low Temp Industrial Heat Shifted to Other Fuels</v>
      </c>
      <c r="D717" s="399" t="s">
        <v>760</v>
      </c>
      <c r="E717" s="399"/>
      <c r="F717" s="366" t="s">
        <v>761</v>
      </c>
      <c r="G717" s="401"/>
      <c r="H717" s="377">
        <v>1613</v>
      </c>
      <c r="I717" s="396" t="s">
        <v>648</v>
      </c>
      <c r="J717" s="397" t="str">
        <f>IF(ISBLANK(INDEX('Policy Characteristics'!D:D,MATCH($C717,'Policy Characteristics'!$C:$C,0))),"",INDEX('Policy Characteristics'!D:D,MATCH($C717,'Policy Characteristics'!$C:$C,0)))</f>
        <v>Electrification + Hydrogen</v>
      </c>
      <c r="K717" s="394" t="str">
        <f>IF(ISBLANK(INDEX('Policy Characteristics'!E:E,MATCH($C717,'Policy Characteristics'!$C:$C,0))),"",INDEX('Policy Characteristics'!E:E,MATCH($C717,'Policy Characteristics'!$C:$C,0)))</f>
        <v>indst low temp fuel type shifting</v>
      </c>
      <c r="L717" s="398">
        <f>IF(ISBLANK(INDEX('Policy Characteristics'!F:F,MATCH($C717,'Policy Characteristics'!$C:$C,0))),"",INDEX('Policy Characteristics'!F:F,MATCH($C717,'Policy Characteristics'!$C:$C,0)))</f>
        <v>0</v>
      </c>
      <c r="M717" s="398">
        <f>IF(ISBLANK(INDEX('Policy Characteristics'!G:G,MATCH($C717,'Policy Characteristics'!$C:$C,0))),"",INDEX('Policy Characteristics'!G:G,MATCH($C717,'Policy Characteristics'!$C:$C,0)))</f>
        <v>1</v>
      </c>
      <c r="N717" s="398">
        <f>IF(ISBLANK(INDEX('Policy Characteristics'!H:H,MATCH($C717,'Policy Characteristics'!$C:$C,0))),"",INDEX('Policy Characteristics'!H:H,MATCH($C717,'Policy Characteristics'!$C:$C,0)))</f>
        <v>0.01</v>
      </c>
      <c r="O717" s="394" t="str">
        <f>IF(ISBLANK(INDEX('Policy Characteristics'!I:I,MATCH($C717,'Policy Characteristics'!$C:$C,0))),"",INDEX('Policy Characteristics'!I:I,MATCH($C717,'Policy Characteristics'!$C:$C,0)))</f>
        <v>% of fuel shifted</v>
      </c>
      <c r="P717" s="394" t="str">
        <f>IF(ISBLANK(INDEX('Policy Characteristics'!J:J,MATCH($C717,'Policy Characteristics'!$C:$C,0))),"",INDEX('Policy Characteristics'!J:J,MATCH($C717,'Policy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7" s="394" t="str">
        <f>IF(ISBLANK(INDEX('Policy Characteristics'!K:K,MATCH($C717,'Policy Characteristics'!$C:$C,0))),"",INDEX('Policy Characteristics'!K:K,MATCH($C717,'Policy Characteristics'!$C:$C,0)))</f>
        <v>industry-ag-main.html#fuel-switching</v>
      </c>
      <c r="R717" s="394" t="str">
        <f>IF(ISBLANK(INDEX('Policy Characteristics'!L:L,MATCH($C717,'Policy Characteristics'!$C:$C,0))),"",INDEX('Policy Characteristics'!L:L,MATCH($C717,'Policy Characteristics'!$C:$C,0)))</f>
        <v>industry-elec-and-hydrogen.html</v>
      </c>
    </row>
    <row r="718" customHeight="1" spans="1:18">
      <c r="A718" s="394" t="str">
        <f>IF(ISBLANK(INDEX('Policy Characteristics'!A:A,MATCH($C718,'Policy Characteristics'!$C:$C,0))),"",INDEX('Policy Characteristics'!A:A,MATCH($C718,'Policy Characteristics'!$C:$C,0)))</f>
        <v>Industry</v>
      </c>
      <c r="B718" s="395" t="str">
        <f>IF(ISBLANK(INDEX('Policy Characteristics'!B:B,MATCH($C718,'Policy Characteristics'!$C:$C,0))),"",INDEX('Policy Characteristics'!B:B,MATCH($C718,'Policy Characteristics'!$C:$C,0)))</f>
        <v>Electrification (Low Temp)</v>
      </c>
      <c r="C718" s="394" t="str">
        <f t="shared" si="36"/>
        <v>Fraction of Low Temp Industrial Heat Shifted to Other Fuels</v>
      </c>
      <c r="D718" s="399" t="s">
        <v>762</v>
      </c>
      <c r="E718" s="399"/>
      <c r="F718" s="366" t="s">
        <v>763</v>
      </c>
      <c r="G718" s="401"/>
      <c r="H718" s="377">
        <v>1614</v>
      </c>
      <c r="I718" s="396" t="s">
        <v>648</v>
      </c>
      <c r="J718" s="397" t="str">
        <f>IF(ISBLANK(INDEX('Policy Characteristics'!D:D,MATCH($C718,'Policy Characteristics'!$C:$C,0))),"",INDEX('Policy Characteristics'!D:D,MATCH($C718,'Policy Characteristics'!$C:$C,0)))</f>
        <v>Electrification + Hydrogen</v>
      </c>
      <c r="K718" s="394" t="str">
        <f>IF(ISBLANK(INDEX('Policy Characteristics'!E:E,MATCH($C718,'Policy Characteristics'!$C:$C,0))),"",INDEX('Policy Characteristics'!E:E,MATCH($C718,'Policy Characteristics'!$C:$C,0)))</f>
        <v>indst low temp fuel type shifting</v>
      </c>
      <c r="L718" s="398">
        <f>IF(ISBLANK(INDEX('Policy Characteristics'!F:F,MATCH($C718,'Policy Characteristics'!$C:$C,0))),"",INDEX('Policy Characteristics'!F:F,MATCH($C718,'Policy Characteristics'!$C:$C,0)))</f>
        <v>0</v>
      </c>
      <c r="M718" s="398">
        <f>IF(ISBLANK(INDEX('Policy Characteristics'!G:G,MATCH($C718,'Policy Characteristics'!$C:$C,0))),"",INDEX('Policy Characteristics'!G:G,MATCH($C718,'Policy Characteristics'!$C:$C,0)))</f>
        <v>1</v>
      </c>
      <c r="N718" s="398">
        <f>IF(ISBLANK(INDEX('Policy Characteristics'!H:H,MATCH($C718,'Policy Characteristics'!$C:$C,0))),"",INDEX('Policy Characteristics'!H:H,MATCH($C718,'Policy Characteristics'!$C:$C,0)))</f>
        <v>0.01</v>
      </c>
      <c r="O718" s="394" t="str">
        <f>IF(ISBLANK(INDEX('Policy Characteristics'!I:I,MATCH($C718,'Policy Characteristics'!$C:$C,0))),"",INDEX('Policy Characteristics'!I:I,MATCH($C718,'Policy Characteristics'!$C:$C,0)))</f>
        <v>% of fuel shifted</v>
      </c>
      <c r="P718" s="394" t="str">
        <f>IF(ISBLANK(INDEX('Policy Characteristics'!J:J,MATCH($C718,'Policy Characteristics'!$C:$C,0))),"",INDEX('Policy Characteristics'!J:J,MATCH($C718,'Policy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8" s="394" t="str">
        <f>IF(ISBLANK(INDEX('Policy Characteristics'!K:K,MATCH($C718,'Policy Characteristics'!$C:$C,0))),"",INDEX('Policy Characteristics'!K:K,MATCH($C718,'Policy Characteristics'!$C:$C,0)))</f>
        <v>industry-ag-main.html#fuel-switching</v>
      </c>
      <c r="R718" s="394" t="str">
        <f>IF(ISBLANK(INDEX('Policy Characteristics'!L:L,MATCH($C718,'Policy Characteristics'!$C:$C,0))),"",INDEX('Policy Characteristics'!L:L,MATCH($C718,'Policy Characteristics'!$C:$C,0)))</f>
        <v>industry-elec-and-hydrogen.html</v>
      </c>
    </row>
    <row r="719" customHeight="1" spans="1:18">
      <c r="A719" s="394" t="str">
        <f>IF(ISBLANK(INDEX('Policy Characteristics'!A:A,MATCH($C719,'Policy Characteristics'!$C:$C,0))),"",INDEX('Policy Characteristics'!A:A,MATCH($C719,'Policy Characteristics'!$C:$C,0)))</f>
        <v>Industry</v>
      </c>
      <c r="B719" s="395" t="str">
        <f>IF(ISBLANK(INDEX('Policy Characteristics'!B:B,MATCH($C719,'Policy Characteristics'!$C:$C,0))),"",INDEX('Policy Characteristics'!B:B,MATCH($C719,'Policy Characteristics'!$C:$C,0)))</f>
        <v>Electrification (Low Temp)</v>
      </c>
      <c r="C719" s="394" t="str">
        <f t="shared" si="36"/>
        <v>Fraction of Low Temp Industrial Heat Shifted to Other Fuels</v>
      </c>
      <c r="D719" s="399" t="s">
        <v>764</v>
      </c>
      <c r="E719" s="399"/>
      <c r="F719" t="s">
        <v>765</v>
      </c>
      <c r="G719" s="401"/>
      <c r="H719" s="377">
        <v>1615</v>
      </c>
      <c r="I719" s="396" t="s">
        <v>648</v>
      </c>
      <c r="J719" s="397" t="str">
        <f>IF(ISBLANK(INDEX('Policy Characteristics'!D:D,MATCH($C719,'Policy Characteristics'!$C:$C,0))),"",INDEX('Policy Characteristics'!D:D,MATCH($C719,'Policy Characteristics'!$C:$C,0)))</f>
        <v>Electrification + Hydrogen</v>
      </c>
      <c r="K719" s="394" t="str">
        <f>IF(ISBLANK(INDEX('Policy Characteristics'!E:E,MATCH($C719,'Policy Characteristics'!$C:$C,0))),"",INDEX('Policy Characteristics'!E:E,MATCH($C719,'Policy Characteristics'!$C:$C,0)))</f>
        <v>indst low temp fuel type shifting</v>
      </c>
      <c r="L719" s="398">
        <f>IF(ISBLANK(INDEX('Policy Characteristics'!F:F,MATCH($C719,'Policy Characteristics'!$C:$C,0))),"",INDEX('Policy Characteristics'!F:F,MATCH($C719,'Policy Characteristics'!$C:$C,0)))</f>
        <v>0</v>
      </c>
      <c r="M719" s="398">
        <f>IF(ISBLANK(INDEX('Policy Characteristics'!G:G,MATCH($C719,'Policy Characteristics'!$C:$C,0))),"",INDEX('Policy Characteristics'!G:G,MATCH($C719,'Policy Characteristics'!$C:$C,0)))</f>
        <v>1</v>
      </c>
      <c r="N719" s="398">
        <f>IF(ISBLANK(INDEX('Policy Characteristics'!H:H,MATCH($C719,'Policy Characteristics'!$C:$C,0))),"",INDEX('Policy Characteristics'!H:H,MATCH($C719,'Policy Characteristics'!$C:$C,0)))</f>
        <v>0.01</v>
      </c>
      <c r="O719" s="394" t="str">
        <f>IF(ISBLANK(INDEX('Policy Characteristics'!I:I,MATCH($C719,'Policy Characteristics'!$C:$C,0))),"",INDEX('Policy Characteristics'!I:I,MATCH($C719,'Policy Characteristics'!$C:$C,0)))</f>
        <v>% of fuel shifted</v>
      </c>
      <c r="P719" s="394" t="str">
        <f>IF(ISBLANK(INDEX('Policy Characteristics'!J:J,MATCH($C719,'Policy Characteristics'!$C:$C,0))),"",INDEX('Policy Characteristics'!J:J,MATCH($C719,'Policy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9" s="394" t="str">
        <f>IF(ISBLANK(INDEX('Policy Characteristics'!K:K,MATCH($C719,'Policy Characteristics'!$C:$C,0))),"",INDEX('Policy Characteristics'!K:K,MATCH($C719,'Policy Characteristics'!$C:$C,0)))</f>
        <v>industry-ag-main.html#fuel-switching</v>
      </c>
      <c r="R719" s="394" t="str">
        <f>IF(ISBLANK(INDEX('Policy Characteristics'!L:L,MATCH($C719,'Policy Characteristics'!$C:$C,0))),"",INDEX('Policy Characteristics'!L:L,MATCH($C719,'Policy Characteristics'!$C:$C,0)))</f>
        <v>industry-elec-and-hydrogen.html</v>
      </c>
    </row>
    <row r="720" customHeight="1" spans="1:18">
      <c r="A720" s="394" t="str">
        <f>IF(ISBLANK(INDEX('Policy Characteristics'!A:A,MATCH($C720,'Policy Characteristics'!$C:$C,0))),"",INDEX('Policy Characteristics'!A:A,MATCH($C720,'Policy Characteristics'!$C:$C,0)))</f>
        <v>Industry</v>
      </c>
      <c r="B720" s="395" t="str">
        <f>IF(ISBLANK(INDEX('Policy Characteristics'!B:B,MATCH($C720,'Policy Characteristics'!$C:$C,0))),"",INDEX('Policy Characteristics'!B:B,MATCH($C720,'Policy Characteristics'!$C:$C,0)))</f>
        <v>Electrification (Low Temp)</v>
      </c>
      <c r="C720" s="394" t="str">
        <f t="shared" si="36"/>
        <v>Fraction of Low Temp Industrial Heat Shifted to Other Fuels</v>
      </c>
      <c r="D720" s="399" t="s">
        <v>766</v>
      </c>
      <c r="E720" s="399"/>
      <c r="F720" t="s">
        <v>767</v>
      </c>
      <c r="G720" s="401"/>
      <c r="H720" s="377">
        <v>1616</v>
      </c>
      <c r="I720" s="396" t="s">
        <v>648</v>
      </c>
      <c r="J720" s="397" t="str">
        <f>IF(ISBLANK(INDEX('Policy Characteristics'!D:D,MATCH($C720,'Policy Characteristics'!$C:$C,0))),"",INDEX('Policy Characteristics'!D:D,MATCH($C720,'Policy Characteristics'!$C:$C,0)))</f>
        <v>Electrification + Hydrogen</v>
      </c>
      <c r="K720" s="394" t="str">
        <f>IF(ISBLANK(INDEX('Policy Characteristics'!E:E,MATCH($C720,'Policy Characteristics'!$C:$C,0))),"",INDEX('Policy Characteristics'!E:E,MATCH($C720,'Policy Characteristics'!$C:$C,0)))</f>
        <v>indst low temp fuel type shifting</v>
      </c>
      <c r="L720" s="398">
        <f>IF(ISBLANK(INDEX('Policy Characteristics'!F:F,MATCH($C720,'Policy Characteristics'!$C:$C,0))),"",INDEX('Policy Characteristics'!F:F,MATCH($C720,'Policy Characteristics'!$C:$C,0)))</f>
        <v>0</v>
      </c>
      <c r="M720" s="398">
        <f>IF(ISBLANK(INDEX('Policy Characteristics'!G:G,MATCH($C720,'Policy Characteristics'!$C:$C,0))),"",INDEX('Policy Characteristics'!G:G,MATCH($C720,'Policy Characteristics'!$C:$C,0)))</f>
        <v>1</v>
      </c>
      <c r="N720" s="398">
        <f>IF(ISBLANK(INDEX('Policy Characteristics'!H:H,MATCH($C720,'Policy Characteristics'!$C:$C,0))),"",INDEX('Policy Characteristics'!H:H,MATCH($C720,'Policy Characteristics'!$C:$C,0)))</f>
        <v>0.01</v>
      </c>
      <c r="O720" s="394" t="str">
        <f>IF(ISBLANK(INDEX('Policy Characteristics'!I:I,MATCH($C720,'Policy Characteristics'!$C:$C,0))),"",INDEX('Policy Characteristics'!I:I,MATCH($C720,'Policy Characteristics'!$C:$C,0)))</f>
        <v>% of fuel shifted</v>
      </c>
      <c r="P720" s="394" t="str">
        <f>IF(ISBLANK(INDEX('Policy Characteristics'!J:J,MATCH($C720,'Policy Characteristics'!$C:$C,0))),"",INDEX('Policy Characteristics'!J:J,MATCH($C720,'Policy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0" s="394" t="str">
        <f>IF(ISBLANK(INDEX('Policy Characteristics'!K:K,MATCH($C720,'Policy Characteristics'!$C:$C,0))),"",INDEX('Policy Characteristics'!K:K,MATCH($C720,'Policy Characteristics'!$C:$C,0)))</f>
        <v>industry-ag-main.html#fuel-switching</v>
      </c>
      <c r="R720" s="394" t="str">
        <f>IF(ISBLANK(INDEX('Policy Characteristics'!L:L,MATCH($C720,'Policy Characteristics'!$C:$C,0))),"",INDEX('Policy Characteristics'!L:L,MATCH($C720,'Policy Characteristics'!$C:$C,0)))</f>
        <v>industry-elec-and-hydrogen.html</v>
      </c>
    </row>
    <row r="721" customHeight="1" spans="1:18">
      <c r="A721" s="394" t="str">
        <f>IF(ISBLANK(INDEX('Policy Characteristics'!A:A,MATCH($C721,'Policy Characteristics'!$C:$C,0))),"",INDEX('Policy Characteristics'!A:A,MATCH($C721,'Policy Characteristics'!$C:$C,0)))</f>
        <v>Industry</v>
      </c>
      <c r="B721" s="395" t="str">
        <f>IF(ISBLANK(INDEX('Policy Characteristics'!B:B,MATCH($C721,'Policy Characteristics'!$C:$C,0))),"",INDEX('Policy Characteristics'!B:B,MATCH($C721,'Policy Characteristics'!$C:$C,0)))</f>
        <v>Electrification (Low Temp)</v>
      </c>
      <c r="C721" s="394" t="str">
        <f t="shared" si="36"/>
        <v>Fraction of Low Temp Industrial Heat Shifted to Other Fuels</v>
      </c>
      <c r="D721" s="399" t="s">
        <v>768</v>
      </c>
      <c r="E721" s="399"/>
      <c r="F721" t="s">
        <v>769</v>
      </c>
      <c r="G721" s="401"/>
      <c r="H721" s="377">
        <v>1617</v>
      </c>
      <c r="I721" s="396" t="s">
        <v>648</v>
      </c>
      <c r="J721" s="397" t="str">
        <f>IF(ISBLANK(INDEX('Policy Characteristics'!D:D,MATCH($C721,'Policy Characteristics'!$C:$C,0))),"",INDEX('Policy Characteristics'!D:D,MATCH($C721,'Policy Characteristics'!$C:$C,0)))</f>
        <v>Electrification + Hydrogen</v>
      </c>
      <c r="K721" s="394" t="str">
        <f>IF(ISBLANK(INDEX('Policy Characteristics'!E:E,MATCH($C721,'Policy Characteristics'!$C:$C,0))),"",INDEX('Policy Characteristics'!E:E,MATCH($C721,'Policy Characteristics'!$C:$C,0)))</f>
        <v>indst low temp fuel type shifting</v>
      </c>
      <c r="L721" s="398">
        <f>IF(ISBLANK(INDEX('Policy Characteristics'!F:F,MATCH($C721,'Policy Characteristics'!$C:$C,0))),"",INDEX('Policy Characteristics'!F:F,MATCH($C721,'Policy Characteristics'!$C:$C,0)))</f>
        <v>0</v>
      </c>
      <c r="M721" s="398">
        <f>IF(ISBLANK(INDEX('Policy Characteristics'!G:G,MATCH($C721,'Policy Characteristics'!$C:$C,0))),"",INDEX('Policy Characteristics'!G:G,MATCH($C721,'Policy Characteristics'!$C:$C,0)))</f>
        <v>1</v>
      </c>
      <c r="N721" s="398">
        <f>IF(ISBLANK(INDEX('Policy Characteristics'!H:H,MATCH($C721,'Policy Characteristics'!$C:$C,0))),"",INDEX('Policy Characteristics'!H:H,MATCH($C721,'Policy Characteristics'!$C:$C,0)))</f>
        <v>0.01</v>
      </c>
      <c r="O721" s="394" t="str">
        <f>IF(ISBLANK(INDEX('Policy Characteristics'!I:I,MATCH($C721,'Policy Characteristics'!$C:$C,0))),"",INDEX('Policy Characteristics'!I:I,MATCH($C721,'Policy Characteristics'!$C:$C,0)))</f>
        <v>% of fuel shifted</v>
      </c>
      <c r="P721" s="394" t="str">
        <f>IF(ISBLANK(INDEX('Policy Characteristics'!J:J,MATCH($C721,'Policy Characteristics'!$C:$C,0))),"",INDEX('Policy Characteristics'!J:J,MATCH($C721,'Policy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1" s="394" t="str">
        <f>IF(ISBLANK(INDEX('Policy Characteristics'!K:K,MATCH($C721,'Policy Characteristics'!$C:$C,0))),"",INDEX('Policy Characteristics'!K:K,MATCH($C721,'Policy Characteristics'!$C:$C,0)))</f>
        <v>industry-ag-main.html#fuel-switching</v>
      </c>
      <c r="R721" s="394" t="str">
        <f>IF(ISBLANK(INDEX('Policy Characteristics'!L:L,MATCH($C721,'Policy Characteristics'!$C:$C,0))),"",INDEX('Policy Characteristics'!L:L,MATCH($C721,'Policy Characteristics'!$C:$C,0)))</f>
        <v>industry-elec-and-hydrogen.html</v>
      </c>
    </row>
    <row r="722" customHeight="1" spans="1:18">
      <c r="A722" s="394" t="str">
        <f>IF(ISBLANK(INDEX('Policy Characteristics'!A:A,MATCH($C722,'Policy Characteristics'!$C:$C,0))),"",INDEX('Policy Characteristics'!A:A,MATCH($C722,'Policy Characteristics'!$C:$C,0)))</f>
        <v>Industry</v>
      </c>
      <c r="B722" s="395" t="str">
        <f>IF(ISBLANK(INDEX('Policy Characteristics'!B:B,MATCH($C722,'Policy Characteristics'!$C:$C,0))),"",INDEX('Policy Characteristics'!B:B,MATCH($C722,'Policy Characteristics'!$C:$C,0)))</f>
        <v>Electrification (Low Temp)</v>
      </c>
      <c r="C722" s="394" t="str">
        <f t="shared" si="36"/>
        <v>Fraction of Low Temp Industrial Heat Shifted to Other Fuels</v>
      </c>
      <c r="D722" s="399" t="s">
        <v>770</v>
      </c>
      <c r="E722" s="399"/>
      <c r="F722" t="s">
        <v>771</v>
      </c>
      <c r="G722" s="401"/>
      <c r="H722" s="377">
        <v>1618</v>
      </c>
      <c r="I722" s="396" t="s">
        <v>648</v>
      </c>
      <c r="J722" s="397" t="str">
        <f>IF(ISBLANK(INDEX('Policy Characteristics'!D:D,MATCH($C722,'Policy Characteristics'!$C:$C,0))),"",INDEX('Policy Characteristics'!D:D,MATCH($C722,'Policy Characteristics'!$C:$C,0)))</f>
        <v>Electrification + Hydrogen</v>
      </c>
      <c r="K722" s="394" t="str">
        <f>IF(ISBLANK(INDEX('Policy Characteristics'!E:E,MATCH($C722,'Policy Characteristics'!$C:$C,0))),"",INDEX('Policy Characteristics'!E:E,MATCH($C722,'Policy Characteristics'!$C:$C,0)))</f>
        <v>indst low temp fuel type shifting</v>
      </c>
      <c r="L722" s="398">
        <f>IF(ISBLANK(INDEX('Policy Characteristics'!F:F,MATCH($C722,'Policy Characteristics'!$C:$C,0))),"",INDEX('Policy Characteristics'!F:F,MATCH($C722,'Policy Characteristics'!$C:$C,0)))</f>
        <v>0</v>
      </c>
      <c r="M722" s="398">
        <f>IF(ISBLANK(INDEX('Policy Characteristics'!G:G,MATCH($C722,'Policy Characteristics'!$C:$C,0))),"",INDEX('Policy Characteristics'!G:G,MATCH($C722,'Policy Characteristics'!$C:$C,0)))</f>
        <v>1</v>
      </c>
      <c r="N722" s="398">
        <f>IF(ISBLANK(INDEX('Policy Characteristics'!H:H,MATCH($C722,'Policy Characteristics'!$C:$C,0))),"",INDEX('Policy Characteristics'!H:H,MATCH($C722,'Policy Characteristics'!$C:$C,0)))</f>
        <v>0.01</v>
      </c>
      <c r="O722" s="394" t="str">
        <f>IF(ISBLANK(INDEX('Policy Characteristics'!I:I,MATCH($C722,'Policy Characteristics'!$C:$C,0))),"",INDEX('Policy Characteristics'!I:I,MATCH($C722,'Policy Characteristics'!$C:$C,0)))</f>
        <v>% of fuel shifted</v>
      </c>
      <c r="P722" s="394" t="str">
        <f>IF(ISBLANK(INDEX('Policy Characteristics'!J:J,MATCH($C722,'Policy Characteristics'!$C:$C,0))),"",INDEX('Policy Characteristics'!J:J,MATCH($C722,'Policy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2" s="394" t="str">
        <f>IF(ISBLANK(INDEX('Policy Characteristics'!K:K,MATCH($C722,'Policy Characteristics'!$C:$C,0))),"",INDEX('Policy Characteristics'!K:K,MATCH($C722,'Policy Characteristics'!$C:$C,0)))</f>
        <v>industry-ag-main.html#fuel-switching</v>
      </c>
      <c r="R722" s="394" t="str">
        <f>IF(ISBLANK(INDEX('Policy Characteristics'!L:L,MATCH($C722,'Policy Characteristics'!$C:$C,0))),"",INDEX('Policy Characteristics'!L:L,MATCH($C722,'Policy Characteristics'!$C:$C,0)))</f>
        <v>industry-elec-and-hydrogen.html</v>
      </c>
    </row>
    <row r="723" customHeight="1" spans="1:18">
      <c r="A723" s="394" t="str">
        <f>IF(ISBLANK(INDEX('Policy Characteristics'!A:A,MATCH($C723,'Policy Characteristics'!$C:$C,0))),"",INDEX('Policy Characteristics'!A:A,MATCH($C723,'Policy Characteristics'!$C:$C,0)))</f>
        <v>Industry</v>
      </c>
      <c r="B723" s="395" t="str">
        <f>IF(ISBLANK(INDEX('Policy Characteristics'!B:B,MATCH($C723,'Policy Characteristics'!$C:$C,0))),"",INDEX('Policy Characteristics'!B:B,MATCH($C723,'Policy Characteristics'!$C:$C,0)))</f>
        <v>Electrification (Low Temp)</v>
      </c>
      <c r="C723" s="394" t="str">
        <f t="shared" si="36"/>
        <v>Fraction of Low Temp Industrial Heat Shifted to Other Fuels</v>
      </c>
      <c r="D723" s="399" t="s">
        <v>772</v>
      </c>
      <c r="E723" s="399"/>
      <c r="F723" t="s">
        <v>773</v>
      </c>
      <c r="G723" s="401"/>
      <c r="H723" s="377">
        <v>1619</v>
      </c>
      <c r="I723" s="396" t="s">
        <v>648</v>
      </c>
      <c r="J723" s="397" t="str">
        <f>IF(ISBLANK(INDEX('Policy Characteristics'!D:D,MATCH($C723,'Policy Characteristics'!$C:$C,0))),"",INDEX('Policy Characteristics'!D:D,MATCH($C723,'Policy Characteristics'!$C:$C,0)))</f>
        <v>Electrification + Hydrogen</v>
      </c>
      <c r="K723" s="394" t="str">
        <f>IF(ISBLANK(INDEX('Policy Characteristics'!E:E,MATCH($C723,'Policy Characteristics'!$C:$C,0))),"",INDEX('Policy Characteristics'!E:E,MATCH($C723,'Policy Characteristics'!$C:$C,0)))</f>
        <v>indst low temp fuel type shifting</v>
      </c>
      <c r="L723" s="398">
        <f>IF(ISBLANK(INDEX('Policy Characteristics'!F:F,MATCH($C723,'Policy Characteristics'!$C:$C,0))),"",INDEX('Policy Characteristics'!F:F,MATCH($C723,'Policy Characteristics'!$C:$C,0)))</f>
        <v>0</v>
      </c>
      <c r="M723" s="398">
        <f>IF(ISBLANK(INDEX('Policy Characteristics'!G:G,MATCH($C723,'Policy Characteristics'!$C:$C,0))),"",INDEX('Policy Characteristics'!G:G,MATCH($C723,'Policy Characteristics'!$C:$C,0)))</f>
        <v>1</v>
      </c>
      <c r="N723" s="398">
        <f>IF(ISBLANK(INDEX('Policy Characteristics'!H:H,MATCH($C723,'Policy Characteristics'!$C:$C,0))),"",INDEX('Policy Characteristics'!H:H,MATCH($C723,'Policy Characteristics'!$C:$C,0)))</f>
        <v>0.01</v>
      </c>
      <c r="O723" s="394" t="str">
        <f>IF(ISBLANK(INDEX('Policy Characteristics'!I:I,MATCH($C723,'Policy Characteristics'!$C:$C,0))),"",INDEX('Policy Characteristics'!I:I,MATCH($C723,'Policy Characteristics'!$C:$C,0)))</f>
        <v>% of fuel shifted</v>
      </c>
      <c r="P723" s="394" t="str">
        <f>IF(ISBLANK(INDEX('Policy Characteristics'!J:J,MATCH($C723,'Policy Characteristics'!$C:$C,0))),"",INDEX('Policy Characteristics'!J:J,MATCH($C723,'Policy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3" s="394" t="str">
        <f>IF(ISBLANK(INDEX('Policy Characteristics'!K:K,MATCH($C723,'Policy Characteristics'!$C:$C,0))),"",INDEX('Policy Characteristics'!K:K,MATCH($C723,'Policy Characteristics'!$C:$C,0)))</f>
        <v>industry-ag-main.html#fuel-switching</v>
      </c>
      <c r="R723" s="394" t="str">
        <f>IF(ISBLANK(INDEX('Policy Characteristics'!L:L,MATCH($C723,'Policy Characteristics'!$C:$C,0))),"",INDEX('Policy Characteristics'!L:L,MATCH($C723,'Policy Characteristics'!$C:$C,0)))</f>
        <v>industry-elec-and-hydrogen.html</v>
      </c>
    </row>
    <row r="724" customHeight="1" spans="1:18">
      <c r="A724" s="394" t="str">
        <f>IF(ISBLANK(INDEX('Policy Characteristics'!A:A,MATCH($C724,'Policy Characteristics'!$C:$C,0))),"",INDEX('Policy Characteristics'!A:A,MATCH($C724,'Policy Characteristics'!$C:$C,0)))</f>
        <v>Industry</v>
      </c>
      <c r="B724" s="395" t="str">
        <f>IF(ISBLANK(INDEX('Policy Characteristics'!B:B,MATCH($C724,'Policy Characteristics'!$C:$C,0))),"",INDEX('Policy Characteristics'!B:B,MATCH($C724,'Policy Characteristics'!$C:$C,0)))</f>
        <v>Electrification (Low Temp)</v>
      </c>
      <c r="C724" s="394" t="str">
        <f t="shared" si="36"/>
        <v>Fraction of Low Temp Industrial Heat Shifted to Other Fuels</v>
      </c>
      <c r="D724" s="399" t="s">
        <v>774</v>
      </c>
      <c r="E724" s="399"/>
      <c r="F724" t="s">
        <v>775</v>
      </c>
      <c r="G724" s="401"/>
      <c r="H724" s="377">
        <v>1620</v>
      </c>
      <c r="I724" s="396" t="s">
        <v>648</v>
      </c>
      <c r="J724" s="397" t="str">
        <f>IF(ISBLANK(INDEX('Policy Characteristics'!D:D,MATCH($C724,'Policy Characteristics'!$C:$C,0))),"",INDEX('Policy Characteristics'!D:D,MATCH($C724,'Policy Characteristics'!$C:$C,0)))</f>
        <v>Electrification + Hydrogen</v>
      </c>
      <c r="K724" s="394" t="str">
        <f>IF(ISBLANK(INDEX('Policy Characteristics'!E:E,MATCH($C724,'Policy Characteristics'!$C:$C,0))),"",INDEX('Policy Characteristics'!E:E,MATCH($C724,'Policy Characteristics'!$C:$C,0)))</f>
        <v>indst low temp fuel type shifting</v>
      </c>
      <c r="L724" s="398">
        <f>IF(ISBLANK(INDEX('Policy Characteristics'!F:F,MATCH($C724,'Policy Characteristics'!$C:$C,0))),"",INDEX('Policy Characteristics'!F:F,MATCH($C724,'Policy Characteristics'!$C:$C,0)))</f>
        <v>0</v>
      </c>
      <c r="M724" s="398">
        <f>IF(ISBLANK(INDEX('Policy Characteristics'!G:G,MATCH($C724,'Policy Characteristics'!$C:$C,0))),"",INDEX('Policy Characteristics'!G:G,MATCH($C724,'Policy Characteristics'!$C:$C,0)))</f>
        <v>1</v>
      </c>
      <c r="N724" s="398">
        <f>IF(ISBLANK(INDEX('Policy Characteristics'!H:H,MATCH($C724,'Policy Characteristics'!$C:$C,0))),"",INDEX('Policy Characteristics'!H:H,MATCH($C724,'Policy Characteristics'!$C:$C,0)))</f>
        <v>0.01</v>
      </c>
      <c r="O724" s="394" t="str">
        <f>IF(ISBLANK(INDEX('Policy Characteristics'!I:I,MATCH($C724,'Policy Characteristics'!$C:$C,0))),"",INDEX('Policy Characteristics'!I:I,MATCH($C724,'Policy Characteristics'!$C:$C,0)))</f>
        <v>% of fuel shifted</v>
      </c>
      <c r="P724" s="394" t="str">
        <f>IF(ISBLANK(INDEX('Policy Characteristics'!J:J,MATCH($C724,'Policy Characteristics'!$C:$C,0))),"",INDEX('Policy Characteristics'!J:J,MATCH($C724,'Policy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4" s="394" t="str">
        <f>IF(ISBLANK(INDEX('Policy Characteristics'!K:K,MATCH($C724,'Policy Characteristics'!$C:$C,0))),"",INDEX('Policy Characteristics'!K:K,MATCH($C724,'Policy Characteristics'!$C:$C,0)))</f>
        <v>industry-ag-main.html#fuel-switching</v>
      </c>
      <c r="R724" s="394" t="str">
        <f>IF(ISBLANK(INDEX('Policy Characteristics'!L:L,MATCH($C724,'Policy Characteristics'!$C:$C,0))),"",INDEX('Policy Characteristics'!L:L,MATCH($C724,'Policy Characteristics'!$C:$C,0)))</f>
        <v>industry-elec-and-hydrogen.html</v>
      </c>
    </row>
    <row r="725" customHeight="1" spans="1:18">
      <c r="A725" s="394" t="str">
        <f>IF(ISBLANK(INDEX('Policy Characteristics'!A:A,MATCH($C725,'Policy Characteristics'!$C:$C,0))),"",INDEX('Policy Characteristics'!A:A,MATCH($C725,'Policy Characteristics'!$C:$C,0)))</f>
        <v>Industry</v>
      </c>
      <c r="B725" s="395" t="str">
        <f>IF(ISBLANK(INDEX('Policy Characteristics'!B:B,MATCH($C725,'Policy Characteristics'!$C:$C,0))),"",INDEX('Policy Characteristics'!B:B,MATCH($C725,'Policy Characteristics'!$C:$C,0)))</f>
        <v>Electrification (Low Temp)</v>
      </c>
      <c r="C725" s="394" t="str">
        <f t="shared" si="36"/>
        <v>Fraction of Low Temp Industrial Heat Shifted to Other Fuels</v>
      </c>
      <c r="D725" s="399" t="s">
        <v>776</v>
      </c>
      <c r="E725" s="399"/>
      <c r="F725" t="s">
        <v>777</v>
      </c>
      <c r="G725" s="401"/>
      <c r="H725" s="377">
        <v>1621</v>
      </c>
      <c r="I725" s="396" t="s">
        <v>648</v>
      </c>
      <c r="J725" s="397" t="str">
        <f>IF(ISBLANK(INDEX('Policy Characteristics'!D:D,MATCH($C725,'Policy Characteristics'!$C:$C,0))),"",INDEX('Policy Characteristics'!D:D,MATCH($C725,'Policy Characteristics'!$C:$C,0)))</f>
        <v>Electrification + Hydrogen</v>
      </c>
      <c r="K725" s="394" t="str">
        <f>IF(ISBLANK(INDEX('Policy Characteristics'!E:E,MATCH($C725,'Policy Characteristics'!$C:$C,0))),"",INDEX('Policy Characteristics'!E:E,MATCH($C725,'Policy Characteristics'!$C:$C,0)))</f>
        <v>indst low temp fuel type shifting</v>
      </c>
      <c r="L725" s="398">
        <f>IF(ISBLANK(INDEX('Policy Characteristics'!F:F,MATCH($C725,'Policy Characteristics'!$C:$C,0))),"",INDEX('Policy Characteristics'!F:F,MATCH($C725,'Policy Characteristics'!$C:$C,0)))</f>
        <v>0</v>
      </c>
      <c r="M725" s="398">
        <f>IF(ISBLANK(INDEX('Policy Characteristics'!G:G,MATCH($C725,'Policy Characteristics'!$C:$C,0))),"",INDEX('Policy Characteristics'!G:G,MATCH($C725,'Policy Characteristics'!$C:$C,0)))</f>
        <v>1</v>
      </c>
      <c r="N725" s="398">
        <f>IF(ISBLANK(INDEX('Policy Characteristics'!H:H,MATCH($C725,'Policy Characteristics'!$C:$C,0))),"",INDEX('Policy Characteristics'!H:H,MATCH($C725,'Policy Characteristics'!$C:$C,0)))</f>
        <v>0.01</v>
      </c>
      <c r="O725" s="394" t="str">
        <f>IF(ISBLANK(INDEX('Policy Characteristics'!I:I,MATCH($C725,'Policy Characteristics'!$C:$C,0))),"",INDEX('Policy Characteristics'!I:I,MATCH($C725,'Policy Characteristics'!$C:$C,0)))</f>
        <v>% of fuel shifted</v>
      </c>
      <c r="P725" s="394" t="str">
        <f>IF(ISBLANK(INDEX('Policy Characteristics'!J:J,MATCH($C725,'Policy Characteristics'!$C:$C,0))),"",INDEX('Policy Characteristics'!J:J,MATCH($C725,'Policy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5" s="394" t="str">
        <f>IF(ISBLANK(INDEX('Policy Characteristics'!K:K,MATCH($C725,'Policy Characteristics'!$C:$C,0))),"",INDEX('Policy Characteristics'!K:K,MATCH($C725,'Policy Characteristics'!$C:$C,0)))</f>
        <v>industry-ag-main.html#fuel-switching</v>
      </c>
      <c r="R725" s="394" t="str">
        <f>IF(ISBLANK(INDEX('Policy Characteristics'!L:L,MATCH($C725,'Policy Characteristics'!$C:$C,0))),"",INDEX('Policy Characteristics'!L:L,MATCH($C725,'Policy Characteristics'!$C:$C,0)))</f>
        <v>industry-elec-and-hydrogen.html</v>
      </c>
    </row>
    <row r="726" customHeight="1" spans="1:18">
      <c r="A726" s="394" t="str">
        <f>IF(ISBLANK(INDEX('Policy Characteristics'!A:A,MATCH($C726,'Policy Characteristics'!$C:$C,0))),"",INDEX('Policy Characteristics'!A:A,MATCH($C726,'Policy Characteristics'!$C:$C,0)))</f>
        <v>Industry</v>
      </c>
      <c r="B726" s="395" t="str">
        <f>IF(ISBLANK(INDEX('Policy Characteristics'!B:B,MATCH($C726,'Policy Characteristics'!$C:$C,0))),"",INDEX('Policy Characteristics'!B:B,MATCH($C726,'Policy Characteristics'!$C:$C,0)))</f>
        <v>Electrification (Low Temp)</v>
      </c>
      <c r="C726" s="394" t="str">
        <f t="shared" si="36"/>
        <v>Fraction of Low Temp Industrial Heat Shifted to Other Fuels</v>
      </c>
      <c r="D726" s="399" t="s">
        <v>778</v>
      </c>
      <c r="E726" s="399"/>
      <c r="F726" t="s">
        <v>779</v>
      </c>
      <c r="G726" s="401"/>
      <c r="H726" s="377">
        <v>1622</v>
      </c>
      <c r="I726" s="396" t="s">
        <v>648</v>
      </c>
      <c r="J726" s="397" t="str">
        <f>IF(ISBLANK(INDEX('Policy Characteristics'!D:D,MATCH($C726,'Policy Characteristics'!$C:$C,0))),"",INDEX('Policy Characteristics'!D:D,MATCH($C726,'Policy Characteristics'!$C:$C,0)))</f>
        <v>Electrification + Hydrogen</v>
      </c>
      <c r="K726" s="394" t="str">
        <f>IF(ISBLANK(INDEX('Policy Characteristics'!E:E,MATCH($C726,'Policy Characteristics'!$C:$C,0))),"",INDEX('Policy Characteristics'!E:E,MATCH($C726,'Policy Characteristics'!$C:$C,0)))</f>
        <v>indst low temp fuel type shifting</v>
      </c>
      <c r="L726" s="398">
        <f>IF(ISBLANK(INDEX('Policy Characteristics'!F:F,MATCH($C726,'Policy Characteristics'!$C:$C,0))),"",INDEX('Policy Characteristics'!F:F,MATCH($C726,'Policy Characteristics'!$C:$C,0)))</f>
        <v>0</v>
      </c>
      <c r="M726" s="398">
        <f>IF(ISBLANK(INDEX('Policy Characteristics'!G:G,MATCH($C726,'Policy Characteristics'!$C:$C,0))),"",INDEX('Policy Characteristics'!G:G,MATCH($C726,'Policy Characteristics'!$C:$C,0)))</f>
        <v>1</v>
      </c>
      <c r="N726" s="398">
        <f>IF(ISBLANK(INDEX('Policy Characteristics'!H:H,MATCH($C726,'Policy Characteristics'!$C:$C,0))),"",INDEX('Policy Characteristics'!H:H,MATCH($C726,'Policy Characteristics'!$C:$C,0)))</f>
        <v>0.01</v>
      </c>
      <c r="O726" s="394" t="str">
        <f>IF(ISBLANK(INDEX('Policy Characteristics'!I:I,MATCH($C726,'Policy Characteristics'!$C:$C,0))),"",INDEX('Policy Characteristics'!I:I,MATCH($C726,'Policy Characteristics'!$C:$C,0)))</f>
        <v>% of fuel shifted</v>
      </c>
      <c r="P726" s="394" t="str">
        <f>IF(ISBLANK(INDEX('Policy Characteristics'!J:J,MATCH($C726,'Policy Characteristics'!$C:$C,0))),"",INDEX('Policy Characteristics'!J:J,MATCH($C726,'Policy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6" s="394" t="str">
        <f>IF(ISBLANK(INDEX('Policy Characteristics'!K:K,MATCH($C726,'Policy Characteristics'!$C:$C,0))),"",INDEX('Policy Characteristics'!K:K,MATCH($C726,'Policy Characteristics'!$C:$C,0)))</f>
        <v>industry-ag-main.html#fuel-switching</v>
      </c>
      <c r="R726" s="394" t="str">
        <f>IF(ISBLANK(INDEX('Policy Characteristics'!L:L,MATCH($C726,'Policy Characteristics'!$C:$C,0))),"",INDEX('Policy Characteristics'!L:L,MATCH($C726,'Policy Characteristics'!$C:$C,0)))</f>
        <v>industry-elec-and-hydrogen.html</v>
      </c>
    </row>
    <row r="727" customHeight="1" spans="1:18">
      <c r="A727" s="394" t="str">
        <f>IF(ISBLANK(INDEX('Policy Characteristics'!A:A,MATCH($C727,'Policy Characteristics'!$C:$C,0))),"",INDEX('Policy Characteristics'!A:A,MATCH($C727,'Policy Characteristics'!$C:$C,0)))</f>
        <v>Industry</v>
      </c>
      <c r="B727" s="395" t="str">
        <f>IF(ISBLANK(INDEX('Policy Characteristics'!B:B,MATCH($C727,'Policy Characteristics'!$C:$C,0))),"",INDEX('Policy Characteristics'!B:B,MATCH($C727,'Policy Characteristics'!$C:$C,0)))</f>
        <v>Electrification (Low Temp)</v>
      </c>
      <c r="C727" s="394" t="str">
        <f t="shared" si="36"/>
        <v>Fraction of Low Temp Industrial Heat Shifted to Other Fuels</v>
      </c>
      <c r="D727" s="399" t="s">
        <v>780</v>
      </c>
      <c r="E727" s="399"/>
      <c r="F727" t="s">
        <v>781</v>
      </c>
      <c r="G727" s="401"/>
      <c r="H727" s="377">
        <v>1623</v>
      </c>
      <c r="I727" s="396" t="s">
        <v>648</v>
      </c>
      <c r="J727" s="397" t="str">
        <f>IF(ISBLANK(INDEX('Policy Characteristics'!D:D,MATCH($C727,'Policy Characteristics'!$C:$C,0))),"",INDEX('Policy Characteristics'!D:D,MATCH($C727,'Policy Characteristics'!$C:$C,0)))</f>
        <v>Electrification + Hydrogen</v>
      </c>
      <c r="K727" s="394" t="str">
        <f>IF(ISBLANK(INDEX('Policy Characteristics'!E:E,MATCH($C727,'Policy Characteristics'!$C:$C,0))),"",INDEX('Policy Characteristics'!E:E,MATCH($C727,'Policy Characteristics'!$C:$C,0)))</f>
        <v>indst low temp fuel type shifting</v>
      </c>
      <c r="L727" s="398">
        <f>IF(ISBLANK(INDEX('Policy Characteristics'!F:F,MATCH($C727,'Policy Characteristics'!$C:$C,0))),"",INDEX('Policy Characteristics'!F:F,MATCH($C727,'Policy Characteristics'!$C:$C,0)))</f>
        <v>0</v>
      </c>
      <c r="M727" s="398">
        <f>IF(ISBLANK(INDEX('Policy Characteristics'!G:G,MATCH($C727,'Policy Characteristics'!$C:$C,0))),"",INDEX('Policy Characteristics'!G:G,MATCH($C727,'Policy Characteristics'!$C:$C,0)))</f>
        <v>1</v>
      </c>
      <c r="N727" s="398">
        <f>IF(ISBLANK(INDEX('Policy Characteristics'!H:H,MATCH($C727,'Policy Characteristics'!$C:$C,0))),"",INDEX('Policy Characteristics'!H:H,MATCH($C727,'Policy Characteristics'!$C:$C,0)))</f>
        <v>0.01</v>
      </c>
      <c r="O727" s="394" t="str">
        <f>IF(ISBLANK(INDEX('Policy Characteristics'!I:I,MATCH($C727,'Policy Characteristics'!$C:$C,0))),"",INDEX('Policy Characteristics'!I:I,MATCH($C727,'Policy Characteristics'!$C:$C,0)))</f>
        <v>% of fuel shifted</v>
      </c>
      <c r="P727" s="394" t="str">
        <f>IF(ISBLANK(INDEX('Policy Characteristics'!J:J,MATCH($C727,'Policy Characteristics'!$C:$C,0))),"",INDEX('Policy Characteristics'!J:J,MATCH($C727,'Policy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7" s="394" t="str">
        <f>IF(ISBLANK(INDEX('Policy Characteristics'!K:K,MATCH($C727,'Policy Characteristics'!$C:$C,0))),"",INDEX('Policy Characteristics'!K:K,MATCH($C727,'Policy Characteristics'!$C:$C,0)))</f>
        <v>industry-ag-main.html#fuel-switching</v>
      </c>
      <c r="R727" s="394" t="str">
        <f>IF(ISBLANK(INDEX('Policy Characteristics'!L:L,MATCH($C727,'Policy Characteristics'!$C:$C,0))),"",INDEX('Policy Characteristics'!L:L,MATCH($C727,'Policy Characteristics'!$C:$C,0)))</f>
        <v>industry-elec-and-hydrogen.html</v>
      </c>
    </row>
    <row r="728" customHeight="1" spans="1:18">
      <c r="A728" s="394" t="str">
        <f>IF(ISBLANK(INDEX('Policy Characteristics'!A:A,MATCH($C728,'Policy Characteristics'!$C:$C,0))),"",INDEX('Policy Characteristics'!A:A,MATCH($C728,'Policy Characteristics'!$C:$C,0)))</f>
        <v>Industry</v>
      </c>
      <c r="B728" s="395" t="str">
        <f>IF(ISBLANK(INDEX('Policy Characteristics'!B:B,MATCH($C728,'Policy Characteristics'!$C:$C,0))),"",INDEX('Policy Characteristics'!B:B,MATCH($C728,'Policy Characteristics'!$C:$C,0)))</f>
        <v>Electrification (Low Temp)</v>
      </c>
      <c r="C728" s="394" t="str">
        <f t="shared" si="36"/>
        <v>Fraction of Low Temp Industrial Heat Shifted to Other Fuels</v>
      </c>
      <c r="D728" s="399" t="s">
        <v>782</v>
      </c>
      <c r="E728" s="399"/>
      <c r="F728" s="366" t="s">
        <v>783</v>
      </c>
      <c r="G728" s="401"/>
      <c r="H728" s="377">
        <v>1624</v>
      </c>
      <c r="I728" s="396" t="s">
        <v>648</v>
      </c>
      <c r="J728" s="397" t="str">
        <f>IF(ISBLANK(INDEX('Policy Characteristics'!D:D,MATCH($C728,'Policy Characteristics'!$C:$C,0))),"",INDEX('Policy Characteristics'!D:D,MATCH($C728,'Policy Characteristics'!$C:$C,0)))</f>
        <v>Electrification + Hydrogen</v>
      </c>
      <c r="K728" s="394" t="str">
        <f>IF(ISBLANK(INDEX('Policy Characteristics'!E:E,MATCH($C728,'Policy Characteristics'!$C:$C,0))),"",INDEX('Policy Characteristics'!E:E,MATCH($C728,'Policy Characteristics'!$C:$C,0)))</f>
        <v>indst low temp fuel type shifting</v>
      </c>
      <c r="L728" s="398">
        <f>IF(ISBLANK(INDEX('Policy Characteristics'!F:F,MATCH($C728,'Policy Characteristics'!$C:$C,0))),"",INDEX('Policy Characteristics'!F:F,MATCH($C728,'Policy Characteristics'!$C:$C,0)))</f>
        <v>0</v>
      </c>
      <c r="M728" s="398">
        <f>IF(ISBLANK(INDEX('Policy Characteristics'!G:G,MATCH($C728,'Policy Characteristics'!$C:$C,0))),"",INDEX('Policy Characteristics'!G:G,MATCH($C728,'Policy Characteristics'!$C:$C,0)))</f>
        <v>1</v>
      </c>
      <c r="N728" s="398">
        <f>IF(ISBLANK(INDEX('Policy Characteristics'!H:H,MATCH($C728,'Policy Characteristics'!$C:$C,0))),"",INDEX('Policy Characteristics'!H:H,MATCH($C728,'Policy Characteristics'!$C:$C,0)))</f>
        <v>0.01</v>
      </c>
      <c r="O728" s="394" t="str">
        <f>IF(ISBLANK(INDEX('Policy Characteristics'!I:I,MATCH($C728,'Policy Characteristics'!$C:$C,0))),"",INDEX('Policy Characteristics'!I:I,MATCH($C728,'Policy Characteristics'!$C:$C,0)))</f>
        <v>% of fuel shifted</v>
      </c>
      <c r="P728" s="394" t="str">
        <f>IF(ISBLANK(INDEX('Policy Characteristics'!J:J,MATCH($C728,'Policy Characteristics'!$C:$C,0))),"",INDEX('Policy Characteristics'!J:J,MATCH($C728,'Policy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8" s="394" t="str">
        <f>IF(ISBLANK(INDEX('Policy Characteristics'!K:K,MATCH($C728,'Policy Characteristics'!$C:$C,0))),"",INDEX('Policy Characteristics'!K:K,MATCH($C728,'Policy Characteristics'!$C:$C,0)))</f>
        <v>industry-ag-main.html#fuel-switching</v>
      </c>
      <c r="R728" s="394" t="str">
        <f>IF(ISBLANK(INDEX('Policy Characteristics'!L:L,MATCH($C728,'Policy Characteristics'!$C:$C,0))),"",INDEX('Policy Characteristics'!L:L,MATCH($C728,'Policy Characteristics'!$C:$C,0)))</f>
        <v>industry-elec-and-hydrogen.html</v>
      </c>
    </row>
    <row r="729" customHeight="1" spans="1:18">
      <c r="A729" s="394" t="str">
        <f>IF(ISBLANK(INDEX('Policy Characteristics'!A:A,MATCH($C729,'Policy Characteristics'!$C:$C,0))),"",INDEX('Policy Characteristics'!A:A,MATCH($C729,'Policy Characteristics'!$C:$C,0)))</f>
        <v>Industry</v>
      </c>
      <c r="B729" s="395" t="str">
        <f>IF(ISBLANK(INDEX('Policy Characteristics'!B:B,MATCH($C729,'Policy Characteristics'!$C:$C,0))),"",INDEX('Policy Characteristics'!B:B,MATCH($C729,'Policy Characteristics'!$C:$C,0)))</f>
        <v>Electrification (Low Temp)</v>
      </c>
      <c r="C729" s="394" t="str">
        <f t="shared" si="36"/>
        <v>Fraction of Low Temp Industrial Heat Shifted to Other Fuels</v>
      </c>
      <c r="D729" s="399" t="s">
        <v>784</v>
      </c>
      <c r="E729" s="399"/>
      <c r="F729" t="s">
        <v>785</v>
      </c>
      <c r="G729" s="401"/>
      <c r="H729" s="377">
        <v>1625</v>
      </c>
      <c r="I729" s="396" t="s">
        <v>648</v>
      </c>
      <c r="J729" s="397" t="str">
        <f>IF(ISBLANK(INDEX('Policy Characteristics'!D:D,MATCH($C729,'Policy Characteristics'!$C:$C,0))),"",INDEX('Policy Characteristics'!D:D,MATCH($C729,'Policy Characteristics'!$C:$C,0)))</f>
        <v>Electrification + Hydrogen</v>
      </c>
      <c r="K729" s="394" t="str">
        <f>IF(ISBLANK(INDEX('Policy Characteristics'!E:E,MATCH($C729,'Policy Characteristics'!$C:$C,0))),"",INDEX('Policy Characteristics'!E:E,MATCH($C729,'Policy Characteristics'!$C:$C,0)))</f>
        <v>indst low temp fuel type shifting</v>
      </c>
      <c r="L729" s="398">
        <f>IF(ISBLANK(INDEX('Policy Characteristics'!F:F,MATCH($C729,'Policy Characteristics'!$C:$C,0))),"",INDEX('Policy Characteristics'!F:F,MATCH($C729,'Policy Characteristics'!$C:$C,0)))</f>
        <v>0</v>
      </c>
      <c r="M729" s="398">
        <f>IF(ISBLANK(INDEX('Policy Characteristics'!G:G,MATCH($C729,'Policy Characteristics'!$C:$C,0))),"",INDEX('Policy Characteristics'!G:G,MATCH($C729,'Policy Characteristics'!$C:$C,0)))</f>
        <v>1</v>
      </c>
      <c r="N729" s="398">
        <f>IF(ISBLANK(INDEX('Policy Characteristics'!H:H,MATCH($C729,'Policy Characteristics'!$C:$C,0))),"",INDEX('Policy Characteristics'!H:H,MATCH($C729,'Policy Characteristics'!$C:$C,0)))</f>
        <v>0.01</v>
      </c>
      <c r="O729" s="394" t="str">
        <f>IF(ISBLANK(INDEX('Policy Characteristics'!I:I,MATCH($C729,'Policy Characteristics'!$C:$C,0))),"",INDEX('Policy Characteristics'!I:I,MATCH($C729,'Policy Characteristics'!$C:$C,0)))</f>
        <v>% of fuel shifted</v>
      </c>
      <c r="P729" s="394" t="str">
        <f>IF(ISBLANK(INDEX('Policy Characteristics'!J:J,MATCH($C729,'Policy Characteristics'!$C:$C,0))),"",INDEX('Policy Characteristics'!J:J,MATCH($C729,'Policy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9" s="394" t="str">
        <f>IF(ISBLANK(INDEX('Policy Characteristics'!K:K,MATCH($C729,'Policy Characteristics'!$C:$C,0))),"",INDEX('Policy Characteristics'!K:K,MATCH($C729,'Policy Characteristics'!$C:$C,0)))</f>
        <v>industry-ag-main.html#fuel-switching</v>
      </c>
      <c r="R729" s="394" t="str">
        <f>IF(ISBLANK(INDEX('Policy Characteristics'!L:L,MATCH($C729,'Policy Characteristics'!$C:$C,0))),"",INDEX('Policy Characteristics'!L:L,MATCH($C729,'Policy Characteristics'!$C:$C,0)))</f>
        <v>industry-elec-and-hydrogen.html</v>
      </c>
    </row>
    <row r="730" customHeight="1" spans="1:18">
      <c r="A730" s="394" t="str">
        <f>IF(ISBLANK(INDEX('Policy Characteristics'!A:A,MATCH($C730,'Policy Characteristics'!$C:$C,0))),"",INDEX('Policy Characteristics'!A:A,MATCH($C730,'Policy Characteristics'!$C:$C,0)))</f>
        <v>Industry</v>
      </c>
      <c r="B730" s="395" t="str">
        <f>IF(ISBLANK(INDEX('Policy Characteristics'!B:B,MATCH($C730,'Policy Characteristics'!$C:$C,0))),"",INDEX('Policy Characteristics'!B:B,MATCH($C730,'Policy Characteristics'!$C:$C,0)))</f>
        <v>Electrification (Low Temp)</v>
      </c>
      <c r="C730" s="394" t="str">
        <f t="shared" si="36"/>
        <v>Fraction of Low Temp Industrial Heat Shifted to Other Fuels</v>
      </c>
      <c r="D730" s="399" t="s">
        <v>786</v>
      </c>
      <c r="E730" s="399"/>
      <c r="F730" t="s">
        <v>787</v>
      </c>
      <c r="G730" s="401"/>
      <c r="H730" s="377">
        <v>1626</v>
      </c>
      <c r="I730" s="396" t="s">
        <v>648</v>
      </c>
      <c r="J730" s="397" t="str">
        <f>IF(ISBLANK(INDEX('Policy Characteristics'!D:D,MATCH($C730,'Policy Characteristics'!$C:$C,0))),"",INDEX('Policy Characteristics'!D:D,MATCH($C730,'Policy Characteristics'!$C:$C,0)))</f>
        <v>Electrification + Hydrogen</v>
      </c>
      <c r="K730" s="394" t="str">
        <f>IF(ISBLANK(INDEX('Policy Characteristics'!E:E,MATCH($C730,'Policy Characteristics'!$C:$C,0))),"",INDEX('Policy Characteristics'!E:E,MATCH($C730,'Policy Characteristics'!$C:$C,0)))</f>
        <v>indst low temp fuel type shifting</v>
      </c>
      <c r="L730" s="398">
        <f>IF(ISBLANK(INDEX('Policy Characteristics'!F:F,MATCH($C730,'Policy Characteristics'!$C:$C,0))),"",INDEX('Policy Characteristics'!F:F,MATCH($C730,'Policy Characteristics'!$C:$C,0)))</f>
        <v>0</v>
      </c>
      <c r="M730" s="398">
        <f>IF(ISBLANK(INDEX('Policy Characteristics'!G:G,MATCH($C730,'Policy Characteristics'!$C:$C,0))),"",INDEX('Policy Characteristics'!G:G,MATCH($C730,'Policy Characteristics'!$C:$C,0)))</f>
        <v>1</v>
      </c>
      <c r="N730" s="398">
        <f>IF(ISBLANK(INDEX('Policy Characteristics'!H:H,MATCH($C730,'Policy Characteristics'!$C:$C,0))),"",INDEX('Policy Characteristics'!H:H,MATCH($C730,'Policy Characteristics'!$C:$C,0)))</f>
        <v>0.01</v>
      </c>
      <c r="O730" s="394" t="str">
        <f>IF(ISBLANK(INDEX('Policy Characteristics'!I:I,MATCH($C730,'Policy Characteristics'!$C:$C,0))),"",INDEX('Policy Characteristics'!I:I,MATCH($C730,'Policy Characteristics'!$C:$C,0)))</f>
        <v>% of fuel shifted</v>
      </c>
      <c r="P730" s="394" t="str">
        <f>IF(ISBLANK(INDEX('Policy Characteristics'!J:J,MATCH($C730,'Policy Characteristics'!$C:$C,0))),"",INDEX('Policy Characteristics'!J:J,MATCH($C730,'Policy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30" s="394" t="str">
        <f>IF(ISBLANK(INDEX('Policy Characteristics'!K:K,MATCH($C730,'Policy Characteristics'!$C:$C,0))),"",INDEX('Policy Characteristics'!K:K,MATCH($C730,'Policy Characteristics'!$C:$C,0)))</f>
        <v>industry-ag-main.html#fuel-switching</v>
      </c>
      <c r="R730" s="394" t="str">
        <f>IF(ISBLANK(INDEX('Policy Characteristics'!L:L,MATCH($C730,'Policy Characteristics'!$C:$C,0))),"",INDEX('Policy Characteristics'!L:L,MATCH($C730,'Policy Characteristics'!$C:$C,0)))</f>
        <v>industry-elec-and-hydrogen.html</v>
      </c>
    </row>
    <row r="731" customHeight="1" spans="1:18">
      <c r="A731" s="394" t="str">
        <f>IF(ISBLANK(INDEX('Policy Characteristics'!A:A,MATCH($C731,'Policy Characteristics'!$C:$C,0))),"",INDEX('Policy Characteristics'!A:A,MATCH($C731,'Policy Characteristics'!$C:$C,0)))</f>
        <v>Industry</v>
      </c>
      <c r="B731" s="395" t="str">
        <f>IF(ISBLANK(INDEX('Policy Characteristics'!B:B,MATCH($C731,'Policy Characteristics'!$C:$C,0))),"",INDEX('Policy Characteristics'!B:B,MATCH($C731,'Policy Characteristics'!$C:$C,0)))</f>
        <v>F-Gas Substitution</v>
      </c>
      <c r="C731" t="s">
        <v>387</v>
      </c>
      <c r="D731" s="399"/>
      <c r="E731" s="399"/>
      <c r="F731" s="399"/>
      <c r="G731" s="399"/>
      <c r="H731" s="377">
        <v>58</v>
      </c>
      <c r="I731" s="396" t="s">
        <v>648</v>
      </c>
      <c r="J731" s="397" t="str">
        <f>IF(ISBLANK(INDEX('Policy Characteristics'!D:D,MATCH($C731,'Policy Characteristics'!$C:$C,0))),"",INDEX('Policy Characteristics'!D:D,MATCH($C731,'Policy Characteristics'!$C:$C,0)))</f>
        <v>F-gas Measures</v>
      </c>
      <c r="K731" s="394" t="str">
        <f>IF(ISBLANK(INDEX('Policy Characteristics'!E:E,MATCH($C731,'Policy Characteristics'!$C:$C,0))),"",INDEX('Policy Characteristics'!E:E,MATCH($C731,'Policy Characteristics'!$C:$C,0)))</f>
        <v>indst f gas substitution</v>
      </c>
      <c r="L731" s="398">
        <f>IF(ISBLANK(INDEX('Policy Characteristics'!F:F,MATCH($C731,'Policy Characteristics'!$C:$C,0))),"",INDEX('Policy Characteristics'!F:F,MATCH($C731,'Policy Characteristics'!$C:$C,0)))</f>
        <v>0</v>
      </c>
      <c r="M731" s="398">
        <f>IF(ISBLANK(INDEX('Policy Characteristics'!G:G,MATCH($C731,'Policy Characteristics'!$C:$C,0))),"",INDEX('Policy Characteristics'!G:G,MATCH($C731,'Policy Characteristics'!$C:$C,0)))</f>
        <v>1</v>
      </c>
      <c r="N731" s="398">
        <f>IF(ISBLANK(INDEX('Policy Characteristics'!H:H,MATCH($C731,'Policy Characteristics'!$C:$C,0))),"",INDEX('Policy Characteristics'!H:H,MATCH($C731,'Policy Characteristics'!$C:$C,0)))</f>
        <v>0.01</v>
      </c>
      <c r="O731" s="394" t="str">
        <f>IF(ISBLANK(INDEX('Policy Characteristics'!I:I,MATCH($C731,'Policy Characteristics'!$C:$C,0))),"",INDEX('Policy Characteristics'!I:I,MATCH($C731,'Policy Characteristics'!$C:$C,0)))</f>
        <v>% of potential achieved</v>
      </c>
      <c r="P731" s="394" t="str">
        <f>IF(ISBLANK(INDEX('Policy Characteristics'!J:J,MATCH($C731,'Policy Characteristics'!$C:$C,0))),"",INDEX('Policy Characteristics'!J:J,MATCH($C731,'Policy Characteristics'!$C:$C,0)))</f>
        <v>**Description:** This policy reduces emissions of high-GWP, fluorinated gases (F-gases) from the industry sector by substituting less-harmful chemicals. // **Guidance for setting values:** If this policy is fully implemented, its emission reduction potential in that year would be that of all cost-effective measures based on the level of the carbon price in that year.</v>
      </c>
      <c r="Q731" s="394" t="str">
        <f>IF(ISBLANK(INDEX('Policy Characteristics'!K:K,MATCH($C731,'Policy Characteristics'!$C:$C,0))),"",INDEX('Policy Characteristics'!K:K,MATCH($C731,'Policy Characteristics'!$C:$C,0)))</f>
        <v>industry-ag-main.html#avoid-f-gases</v>
      </c>
      <c r="R731" s="394" t="str">
        <f>IF(ISBLANK(INDEX('Policy Characteristics'!L:L,MATCH($C731,'Policy Characteristics'!$C:$C,0))),"",INDEX('Policy Characteristics'!L:L,MATCH($C731,'Policy Characteristics'!$C:$C,0)))</f>
        <v>avoid-f-gases.html</v>
      </c>
    </row>
    <row r="732" customHeight="1" spans="1:18">
      <c r="A732" s="394" t="str">
        <f>IF(ISBLANK(INDEX('Policy Characteristics'!A:A,MATCH($C732,'Policy Characteristics'!$C:$C,0))),"",INDEX('Policy Characteristics'!A:A,MATCH($C732,'Policy Characteristics'!$C:$C,0)))</f>
        <v>Industry</v>
      </c>
      <c r="B732" s="395" t="str">
        <f>IF(ISBLANK(INDEX('Policy Characteristics'!B:B,MATCH($C732,'Policy Characteristics'!$C:$C,0))),"",INDEX('Policy Characteristics'!B:B,MATCH($C732,'Policy Characteristics'!$C:$C,0)))</f>
        <v>F-Gas Destruction</v>
      </c>
      <c r="C732" t="s">
        <v>394</v>
      </c>
      <c r="D732" s="399"/>
      <c r="E732" s="399"/>
      <c r="F732" s="399"/>
      <c r="G732" s="399"/>
      <c r="H732" s="377">
        <v>510</v>
      </c>
      <c r="I732" s="396" t="s">
        <v>648</v>
      </c>
      <c r="J732" s="397" t="str">
        <f>IF(ISBLANK(INDEX('Policy Characteristics'!D:D,MATCH($C732,'Policy Characteristics'!$C:$C,0))),"",INDEX('Policy Characteristics'!D:D,MATCH($C732,'Policy Characteristics'!$C:$C,0)))</f>
        <v>F-gas Measures</v>
      </c>
      <c r="K732" s="394" t="str">
        <f>IF(ISBLANK(INDEX('Policy Characteristics'!E:E,MATCH($C732,'Policy Characteristics'!$C:$C,0))),"",INDEX('Policy Characteristics'!E:E,MATCH($C732,'Policy Characteristics'!$C:$C,0)))</f>
        <v>indst f gas destruction</v>
      </c>
      <c r="L732" s="398">
        <f>IF(ISBLANK(INDEX('Policy Characteristics'!F:F,MATCH($C732,'Policy Characteristics'!$C:$C,0))),"",INDEX('Policy Characteristics'!F:F,MATCH($C732,'Policy Characteristics'!$C:$C,0)))</f>
        <v>0</v>
      </c>
      <c r="M732" s="398">
        <f>IF(ISBLANK(INDEX('Policy Characteristics'!G:G,MATCH($C732,'Policy Characteristics'!$C:$C,0))),"",INDEX('Policy Characteristics'!G:G,MATCH($C732,'Policy Characteristics'!$C:$C,0)))</f>
        <v>1</v>
      </c>
      <c r="N732" s="398">
        <f>IF(ISBLANK(INDEX('Policy Characteristics'!H:H,MATCH($C732,'Policy Characteristics'!$C:$C,0))),"",INDEX('Policy Characteristics'!H:H,MATCH($C732,'Policy Characteristics'!$C:$C,0)))</f>
        <v>0.01</v>
      </c>
      <c r="O732" s="394" t="str">
        <f>IF(ISBLANK(INDEX('Policy Characteristics'!I:I,MATCH($C732,'Policy Characteristics'!$C:$C,0))),"",INDEX('Policy Characteristics'!I:I,MATCH($C732,'Policy Characteristics'!$C:$C,0)))</f>
        <v>% of potential achieved</v>
      </c>
      <c r="P732" s="394" t="str">
        <f>IF(ISBLANK(INDEX('Policy Characteristics'!J:J,MATCH($C732,'Policy Characteristics'!$C:$C,0))),"",INDEX('Policy Characteristics'!J:J,MATCH($C732,'Policy Characteristics'!$C:$C,0)))</f>
        <v>**Description:** This policy reduces emissions of high-GWP, fluorinated gases (F-gases) from the industry sector by destroying F-gases created as byproducts during the creation of desired products. // **Guidance for setting values:** If this policy is fully implemented, its emission reduction potential in that year would be that of all cost-effective measures based on the level of the carbon price in that year.</v>
      </c>
      <c r="Q732" s="394" t="str">
        <f>IF(ISBLANK(INDEX('Policy Characteristics'!K:K,MATCH($C732,'Policy Characteristics'!$C:$C,0))),"",INDEX('Policy Characteristics'!K:K,MATCH($C732,'Policy Characteristics'!$C:$C,0)))</f>
        <v>industry-ag-main.html#avoid-f-gases</v>
      </c>
      <c r="R732" s="394" t="str">
        <f>IF(ISBLANK(INDEX('Policy Characteristics'!L:L,MATCH($C732,'Policy Characteristics'!$C:$C,0))),"",INDEX('Policy Characteristics'!L:L,MATCH($C732,'Policy Characteristics'!$C:$C,0)))</f>
        <v>avoid-f-gases.html</v>
      </c>
    </row>
    <row r="733" customHeight="1" spans="1:18">
      <c r="A733" s="394" t="str">
        <f>IF(ISBLANK(INDEX('Policy Characteristics'!A:A,MATCH($C733,'Policy Characteristics'!$C:$C,0))),"",INDEX('Policy Characteristics'!A:A,MATCH($C733,'Policy Characteristics'!$C:$C,0)))</f>
        <v>Industry</v>
      </c>
      <c r="B733" s="395" t="str">
        <f>IF(ISBLANK(INDEX('Policy Characteristics'!B:B,MATCH($C733,'Policy Characteristics'!$C:$C,0))),"",INDEX('Policy Characteristics'!B:B,MATCH($C733,'Policy Characteristics'!$C:$C,0)))</f>
        <v>F-Gas Recovery</v>
      </c>
      <c r="C733" t="s">
        <v>398</v>
      </c>
      <c r="D733" s="399"/>
      <c r="E733" s="399"/>
      <c r="F733" s="399"/>
      <c r="G733" s="399"/>
      <c r="H733" s="377">
        <v>511</v>
      </c>
      <c r="I733" s="396" t="s">
        <v>648</v>
      </c>
      <c r="J733" s="397" t="str">
        <f>IF(ISBLANK(INDEX('Policy Characteristics'!D:D,MATCH($C733,'Policy Characteristics'!$C:$C,0))),"",INDEX('Policy Characteristics'!D:D,MATCH($C733,'Policy Characteristics'!$C:$C,0)))</f>
        <v>F-gas Measures</v>
      </c>
      <c r="K733" s="394" t="str">
        <f>IF(ISBLANK(INDEX('Policy Characteristics'!E:E,MATCH($C733,'Policy Characteristics'!$C:$C,0))),"",INDEX('Policy Characteristics'!E:E,MATCH($C733,'Policy Characteristics'!$C:$C,0)))</f>
        <v>indst f gas recovery</v>
      </c>
      <c r="L733" s="398">
        <f>IF(ISBLANK(INDEX('Policy Characteristics'!F:F,MATCH($C733,'Policy Characteristics'!$C:$C,0))),"",INDEX('Policy Characteristics'!F:F,MATCH($C733,'Policy Characteristics'!$C:$C,0)))</f>
        <v>0</v>
      </c>
      <c r="M733" s="398">
        <f>IF(ISBLANK(INDEX('Policy Characteristics'!G:G,MATCH($C733,'Policy Characteristics'!$C:$C,0))),"",INDEX('Policy Characteristics'!G:G,MATCH($C733,'Policy Characteristics'!$C:$C,0)))</f>
        <v>1</v>
      </c>
      <c r="N733" s="398">
        <f>IF(ISBLANK(INDEX('Policy Characteristics'!H:H,MATCH($C733,'Policy Characteristics'!$C:$C,0))),"",INDEX('Policy Characteristics'!H:H,MATCH($C733,'Policy Characteristics'!$C:$C,0)))</f>
        <v>0.01</v>
      </c>
      <c r="O733" s="394" t="str">
        <f>IF(ISBLANK(INDEX('Policy Characteristics'!I:I,MATCH($C733,'Policy Characteristics'!$C:$C,0))),"",INDEX('Policy Characteristics'!I:I,MATCH($C733,'Policy Characteristics'!$C:$C,0)))</f>
        <v>% of potential achieved</v>
      </c>
      <c r="P733" s="394" t="str">
        <f>IF(ISBLANK(INDEX('Policy Characteristics'!J:J,MATCH($C733,'Policy Characteristics'!$C:$C,0))),"",INDEX('Policy Characteristics'!J:J,MATCH($C733,'Policy Characteristics'!$C:$C,0)))</f>
        <v>**Description:**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v>
      </c>
      <c r="Q733" s="394" t="str">
        <f>IF(ISBLANK(INDEX('Policy Characteristics'!K:K,MATCH($C733,'Policy Characteristics'!$C:$C,0))),"",INDEX('Policy Characteristics'!K:K,MATCH($C733,'Policy Characteristics'!$C:$C,0)))</f>
        <v>industry-ag-main.html#avoid-f-gases</v>
      </c>
      <c r="R733" s="394" t="str">
        <f>IF(ISBLANK(INDEX('Policy Characteristics'!L:L,MATCH($C733,'Policy Characteristics'!$C:$C,0))),"",INDEX('Policy Characteristics'!L:L,MATCH($C733,'Policy Characteristics'!$C:$C,0)))</f>
        <v>avoid-f-gases.html</v>
      </c>
    </row>
    <row r="734" customHeight="1" spans="1:18">
      <c r="A734" s="394" t="str">
        <f>IF(ISBLANK(INDEX('Policy Characteristics'!A:A,MATCH($C734,'Policy Characteristics'!$C:$C,0))),"",INDEX('Policy Characteristics'!A:A,MATCH($C734,'Policy Characteristics'!$C:$C,0)))</f>
        <v>Industry</v>
      </c>
      <c r="B734" s="395" t="str">
        <f>IF(ISBLANK(INDEX('Policy Characteristics'!B:B,MATCH($C734,'Policy Characteristics'!$C:$C,0))),"",INDEX('Policy Characteristics'!B:B,MATCH($C734,'Policy Characteristics'!$C:$C,0)))</f>
        <v>F-Gas Eqpt. Maintenance &amp; Retrofits</v>
      </c>
      <c r="C734" t="s">
        <v>402</v>
      </c>
      <c r="D734" s="399" t="s">
        <v>756</v>
      </c>
      <c r="E734" s="399"/>
      <c r="F734" t="s">
        <v>757</v>
      </c>
      <c r="G734" s="399"/>
      <c r="H734" s="377">
        <v>512</v>
      </c>
      <c r="I734" s="396" t="s">
        <v>648</v>
      </c>
      <c r="J734" s="397" t="str">
        <f>IF(ISBLANK(INDEX('Policy Characteristics'!D:D,MATCH($C734,'Policy Characteristics'!$C:$C,0))),"",INDEX('Policy Characteristics'!D:D,MATCH($C734,'Policy Characteristics'!$C:$C,0)))</f>
        <v>F-gas Measures</v>
      </c>
      <c r="K734" s="394" t="str">
        <f>IF(ISBLANK(INDEX('Policy Characteristics'!E:E,MATCH($C734,'Policy Characteristics'!$C:$C,0))),"",INDEX('Policy Characteristics'!E:E,MATCH($C734,'Policy Characteristics'!$C:$C,0)))</f>
        <v>indst f gas inspct maint retrofit</v>
      </c>
      <c r="L734" s="398">
        <f>IF(ISBLANK(INDEX('Policy Characteristics'!F:F,MATCH($C734,'Policy Characteristics'!$C:$C,0))),"",INDEX('Policy Characteristics'!F:F,MATCH($C734,'Policy Characteristics'!$C:$C,0)))</f>
        <v>0</v>
      </c>
      <c r="M734" s="398">
        <f>IF(ISBLANK(INDEX('Policy Characteristics'!G:G,MATCH($C734,'Policy Characteristics'!$C:$C,0))),"",INDEX('Policy Characteristics'!G:G,MATCH($C734,'Policy Characteristics'!$C:$C,0)))</f>
        <v>1</v>
      </c>
      <c r="N734" s="398">
        <f>IF(ISBLANK(INDEX('Policy Characteristics'!H:H,MATCH($C734,'Policy Characteristics'!$C:$C,0))),"",INDEX('Policy Characteristics'!H:H,MATCH($C734,'Policy Characteristics'!$C:$C,0)))</f>
        <v>0.01</v>
      </c>
      <c r="O734" s="394" t="str">
        <f>IF(ISBLANK(INDEX('Policy Characteristics'!I:I,MATCH($C734,'Policy Characteristics'!$C:$C,0))),"",INDEX('Policy Characteristics'!I:I,MATCH($C734,'Policy Characteristics'!$C:$C,0)))</f>
        <v>% of potential achieved</v>
      </c>
      <c r="P734" s="394" t="str">
        <f>IF(ISBLANK(INDEX('Policy Characteristics'!J:J,MATCH($C734,'Policy Characteristics'!$C:$C,0))),"",INDEX('Policy Characteristics'!J:J,MATCH($C734,'Policy Characteristics'!$C:$C,0)))</f>
        <v>**Description:**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v>
      </c>
      <c r="Q734" s="394" t="str">
        <f>IF(ISBLANK(INDEX('Policy Characteristics'!K:K,MATCH($C734,'Policy Characteristics'!$C:$C,0))),"",INDEX('Policy Characteristics'!K:K,MATCH($C734,'Policy Characteristics'!$C:$C,0)))</f>
        <v>industry-ag-main.html#avoid-f-gases</v>
      </c>
      <c r="R734" s="394" t="str">
        <f>IF(ISBLANK(INDEX('Policy Characteristics'!L:L,MATCH($C734,'Policy Characteristics'!$C:$C,0))),"",INDEX('Policy Characteristics'!L:L,MATCH($C734,'Policy Characteristics'!$C:$C,0)))</f>
        <v>avoid-f-gases.html</v>
      </c>
    </row>
    <row r="735" customHeight="1" spans="1:18">
      <c r="A735" s="394" t="str">
        <f>IF(ISBLANK(INDEX('Policy Characteristics'!A:A,MATCH($C735,'Policy Characteristics'!$C:$C,0))),"",INDEX('Policy Characteristics'!A:A,MATCH($C735,'Policy Characteristics'!$C:$C,0)))</f>
        <v>Industry</v>
      </c>
      <c r="B735" s="395" t="str">
        <f>IF(ISBLANK(INDEX('Policy Characteristics'!B:B,MATCH($C735,'Policy Characteristics'!$C:$C,0))),"",INDEX('Policy Characteristics'!B:B,MATCH($C735,'Policy Characteristics'!$C:$C,0)))</f>
        <v>F-Gas Eqpt. Maintenance &amp; Retrofits</v>
      </c>
      <c r="C735" t="s">
        <v>402</v>
      </c>
      <c r="D735" s="399" t="s">
        <v>766</v>
      </c>
      <c r="E735" s="399"/>
      <c r="F735" t="s">
        <v>767</v>
      </c>
      <c r="G735" s="399"/>
      <c r="H735" s="377">
        <v>1653</v>
      </c>
      <c r="I735" s="396" t="s">
        <v>648</v>
      </c>
      <c r="J735" s="397" t="str">
        <f>IF(ISBLANK(INDEX('Policy Characteristics'!D:D,MATCH($C735,'Policy Characteristics'!$C:$C,0))),"",INDEX('Policy Characteristics'!D:D,MATCH($C735,'Policy Characteristics'!$C:$C,0)))</f>
        <v>F-gas Measures</v>
      </c>
      <c r="K735" s="394" t="str">
        <f>IF(ISBLANK(INDEX('Policy Characteristics'!E:E,MATCH($C735,'Policy Characteristics'!$C:$C,0))),"",INDEX('Policy Characteristics'!E:E,MATCH($C735,'Policy Characteristics'!$C:$C,0)))</f>
        <v>indst f gas inspct maint retrofit</v>
      </c>
      <c r="L735" s="398">
        <f>IF(ISBLANK(INDEX('Policy Characteristics'!F:F,MATCH($C735,'Policy Characteristics'!$C:$C,0))),"",INDEX('Policy Characteristics'!F:F,MATCH($C735,'Policy Characteristics'!$C:$C,0)))</f>
        <v>0</v>
      </c>
      <c r="M735" s="398">
        <f>IF(ISBLANK(INDEX('Policy Characteristics'!G:G,MATCH($C735,'Policy Characteristics'!$C:$C,0))),"",INDEX('Policy Characteristics'!G:G,MATCH($C735,'Policy Characteristics'!$C:$C,0)))</f>
        <v>1</v>
      </c>
      <c r="N735" s="398">
        <f>IF(ISBLANK(INDEX('Policy Characteristics'!H:H,MATCH($C735,'Policy Characteristics'!$C:$C,0))),"",INDEX('Policy Characteristics'!H:H,MATCH($C735,'Policy Characteristics'!$C:$C,0)))</f>
        <v>0.01</v>
      </c>
      <c r="O735" s="394" t="str">
        <f>IF(ISBLANK(INDEX('Policy Characteristics'!I:I,MATCH($C735,'Policy Characteristics'!$C:$C,0))),"",INDEX('Policy Characteristics'!I:I,MATCH($C735,'Policy Characteristics'!$C:$C,0)))</f>
        <v>% of potential achieved</v>
      </c>
      <c r="P735" s="394" t="str">
        <f>IF(ISBLANK(INDEX('Policy Characteristics'!J:J,MATCH($C735,'Policy Characteristics'!$C:$C,0))),"",INDEX('Policy Characteristics'!J:J,MATCH($C735,'Policy Characteristics'!$C:$C,0)))</f>
        <v>**Description:**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v>
      </c>
      <c r="Q735" s="394" t="str">
        <f>IF(ISBLANK(INDEX('Policy Characteristics'!K:K,MATCH($C735,'Policy Characteristics'!$C:$C,0))),"",INDEX('Policy Characteristics'!K:K,MATCH($C735,'Policy Characteristics'!$C:$C,0)))</f>
        <v>industry-ag-main.html#avoid-f-gases</v>
      </c>
      <c r="R735" s="394" t="str">
        <f>IF(ISBLANK(INDEX('Policy Characteristics'!L:L,MATCH($C735,'Policy Characteristics'!$C:$C,0))),"",INDEX('Policy Characteristics'!L:L,MATCH($C735,'Policy Characteristics'!$C:$C,0)))</f>
        <v>avoid-f-gases.html</v>
      </c>
    </row>
    <row r="736" s="384" customFormat="1" customHeight="1" spans="1:18">
      <c r="A736" s="394" t="str">
        <f>IF(ISBLANK(INDEX('Policy Characteristics'!A:A,MATCH($C736,'Policy Characteristics'!$C:$C,0))),"",INDEX('Policy Characteristics'!A:A,MATCH($C736,'Policy Characteristics'!$C:$C,0)))</f>
        <v>Industry</v>
      </c>
      <c r="B736" s="395" t="str">
        <f>IF(ISBLANK(INDEX('Policy Characteristics'!B:B,MATCH($C736,'Policy Characteristics'!$C:$C,0))),"",INDEX('Policy Characteristics'!B:B,MATCH($C736,'Policy Characteristics'!$C:$C,0)))</f>
        <v>Improved System Design</v>
      </c>
      <c r="C736" t="s">
        <v>369</v>
      </c>
      <c r="D736" s="399"/>
      <c r="E736" s="399"/>
      <c r="F736" s="399"/>
      <c r="G736" s="399"/>
      <c r="H736" s="377">
        <v>54</v>
      </c>
      <c r="I736" s="396" t="s">
        <v>648</v>
      </c>
      <c r="J736" s="397" t="str">
        <f>IF(ISBLANK(INDEX('Policy Characteristics'!D:D,MATCH($C736,'Policy Characteristics'!$C:$C,0))),"",INDEX('Policy Characteristics'!D:D,MATCH($C736,'Policy Characteristics'!$C:$C,0)))</f>
        <v>Improved System Design</v>
      </c>
      <c r="K736" s="394" t="str">
        <f>IF(ISBLANK(INDEX('Policy Characteristics'!E:E,MATCH($C736,'Policy Characteristics'!$C:$C,0))),"",INDEX('Policy Characteristics'!E:E,MATCH($C736,'Policy Characteristics'!$C:$C,0)))</f>
        <v>indst system integration</v>
      </c>
      <c r="L736" s="398">
        <f>IF(ISBLANK(INDEX('Policy Characteristics'!F:F,MATCH($C736,'Policy Characteristics'!$C:$C,0))),"",INDEX('Policy Characteristics'!F:F,MATCH($C736,'Policy Characteristics'!$C:$C,0)))</f>
        <v>0</v>
      </c>
      <c r="M736" s="398">
        <f>IF(ISBLANK(INDEX('Policy Characteristics'!G:G,MATCH($C736,'Policy Characteristics'!$C:$C,0))),"",INDEX('Policy Characteristics'!G:G,MATCH($C736,'Policy Characteristics'!$C:$C,0)))</f>
        <v>1</v>
      </c>
      <c r="N736" s="398">
        <f>IF(ISBLANK(INDEX('Policy Characteristics'!H:H,MATCH($C736,'Policy Characteristics'!$C:$C,0))),"",INDEX('Policy Characteristics'!H:H,MATCH($C736,'Policy Characteristics'!$C:$C,0)))</f>
        <v>0.01</v>
      </c>
      <c r="O736" s="394" t="str">
        <f>IF(ISBLANK(INDEX('Policy Characteristics'!I:I,MATCH($C736,'Policy Characteristics'!$C:$C,0))),"",INDEX('Policy Characteristics'!I:I,MATCH($C736,'Policy Characteristics'!$C:$C,0)))</f>
        <v>% of potential achieved</v>
      </c>
      <c r="P736" s="394" t="str">
        <f>IF(ISBLANK(INDEX('Policy Characteristics'!J:J,MATCH($C736,'Policy Characteristics'!$C:$C,0))),"",INDEX('Policy Characteristics'!J:J,MATCH($C736,'Policy Characteristics'!$C:$C,0)))</f>
        <v>**Description:** This policy reduces fuel consumption in the industry sector by improving the way components are put together and the way material or energy flows between them.</v>
      </c>
      <c r="Q736" s="394" t="str">
        <f>IF(ISBLANK(INDEX('Policy Characteristics'!K:K,MATCH($C736,'Policy Characteristics'!$C:$C,0))),"",INDEX('Policy Characteristics'!K:K,MATCH($C736,'Policy Characteristics'!$C:$C,0)))</f>
        <v>industry-ag-main.html#system-integ</v>
      </c>
      <c r="R736" s="394" t="str">
        <f>IF(ISBLANK(INDEX('Policy Characteristics'!L:L,MATCH($C736,'Policy Characteristics'!$C:$C,0))),"",INDEX('Policy Characteristics'!L:L,MATCH($C736,'Policy Characteristics'!$C:$C,0)))</f>
        <v>improved-system-design.html</v>
      </c>
    </row>
    <row r="737" s="384" customFormat="1" customHeight="1" spans="1:18">
      <c r="A737" s="394" t="str">
        <f>IF(ISBLANK(INDEX('Policy Characteristics'!A:A,MATCH($C737,'Policy Characteristics'!$C:$C,0))),"",INDEX('Policy Characteristics'!A:A,MATCH($C737,'Policy Characteristics'!$C:$C,0)))</f>
        <v>Industry</v>
      </c>
      <c r="B737" s="395" t="str">
        <f>IF(ISBLANK(INDEX('Policy Characteristics'!B:B,MATCH($C737,'Policy Characteristics'!$C:$C,0))),"",INDEX('Policy Characteristics'!B:B,MATCH($C737,'Policy Characteristics'!$C:$C,0)))</f>
        <v>Industry Energy Efficiency Standards</v>
      </c>
      <c r="C737" t="s">
        <v>362</v>
      </c>
      <c r="D737" s="399" t="s">
        <v>738</v>
      </c>
      <c r="E737" s="399" t="s">
        <v>792</v>
      </c>
      <c r="F737" t="s">
        <v>739</v>
      </c>
      <c r="G737" s="399" t="s">
        <v>812</v>
      </c>
      <c r="H737" s="377">
        <v>958</v>
      </c>
      <c r="I737" s="396" t="s">
        <v>648</v>
      </c>
      <c r="J737" s="397" t="str">
        <f>IF(ISBLANK(INDEX('Policy Characteristics'!D:D,MATCH($C737,'Policy Characteristics'!$C:$C,0))),"",INDEX('Policy Characteristics'!D:D,MATCH($C737,'Policy Characteristics'!$C:$C,0)))</f>
        <v>Industry Energy Efficiency Standards</v>
      </c>
      <c r="K737" s="394" t="str">
        <f>IF(ISBLANK(INDEX('Policy Characteristics'!E:E,MATCH($C737,'Policy Characteristics'!$C:$C,0))),"",INDEX('Policy Characteristics'!E:E,MATCH($C737,'Policy Characteristics'!$C:$C,0)))</f>
        <v>indst efficiency standards</v>
      </c>
      <c r="L737" s="398">
        <f>IF(ISBLANK(INDEX('Policy Characteristics'!F:F,MATCH($C737,'Policy Characteristics'!$C:$C,0))),"",INDEX('Policy Characteristics'!F:F,MATCH($C737,'Policy Characteristics'!$C:$C,0)))</f>
        <v>0</v>
      </c>
      <c r="M737" s="398">
        <f>IF(ISBLANK(INDEX('Policy Characteristics'!G:G,MATCH($C737,'Policy Characteristics'!$C:$C,0))),"",INDEX('Policy Characteristics'!G:G,MATCH($C737,'Policy Characteristics'!$C:$C,0)))</f>
        <v>0.25</v>
      </c>
      <c r="N737" s="398">
        <f>IF(ISBLANK(INDEX('Policy Characteristics'!H:H,MATCH($C737,'Policy Characteristics'!$C:$C,0))),"",INDEX('Policy Characteristics'!H:H,MATCH($C737,'Policy Characteristics'!$C:$C,0)))</f>
        <v>0.01</v>
      </c>
      <c r="O737" s="394" t="str">
        <f>IF(ISBLANK(INDEX('Policy Characteristics'!I:I,MATCH($C737,'Policy Characteristics'!$C:$C,0))),"",INDEX('Policy Characteristics'!I:I,MATCH($C737,'Policy Characteristics'!$C:$C,0)))</f>
        <v>% reduction in energy use</v>
      </c>
      <c r="P737" s="394" t="str">
        <f>IF(ISBLANK(INDEX('Policy Characteristics'!J:J,MATCH($C737,'Policy Characteristics'!$C:$C,0))),"",INDEX('Policy Characteristics'!J:J,MATCH($C737,'Policy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37" s="394" t="str">
        <f>IF(ISBLANK(INDEX('Policy Characteristics'!K:K,MATCH($C737,'Policy Characteristics'!$C:$C,0))),"",INDEX('Policy Characteristics'!K:K,MATCH($C737,'Policy Characteristics'!$C:$C,0)))</f>
        <v>industry-ag-main.html#eff-stds</v>
      </c>
      <c r="R737" s="394" t="str">
        <f>IF(ISBLANK(INDEX('Policy Characteristics'!L:L,MATCH($C737,'Policy Characteristics'!$C:$C,0))),"",INDEX('Policy Characteristics'!L:L,MATCH($C737,'Policy Characteristics'!$C:$C,0)))</f>
        <v>industry-energy-efficiency-standards.html</v>
      </c>
    </row>
    <row r="738" s="384" customFormat="1" customHeight="1" spans="1:18">
      <c r="A738" s="394" t="str">
        <f>IF(ISBLANK(INDEX('Policy Characteristics'!A:A,MATCH($C738,'Policy Characteristics'!$C:$C,0))),"",INDEX('Policy Characteristics'!A:A,MATCH($C738,'Policy Characteristics'!$C:$C,0)))</f>
        <v>Industry</v>
      </c>
      <c r="B738" s="395" t="str">
        <f>IF(ISBLANK(INDEX('Policy Characteristics'!B:B,MATCH($C738,'Policy Characteristics'!$C:$C,0))),"",INDEX('Policy Characteristics'!B:B,MATCH($C738,'Policy Characteristics'!$C:$C,0)))</f>
        <v>Industry Energy Efficiency Standards</v>
      </c>
      <c r="C738" s="394" t="str">
        <f t="shared" ref="C738:C801" si="37">C$737</f>
        <v>Percentage Improvement in Eqpt Efficiency Standards above BAU</v>
      </c>
      <c r="D738" s="399" t="s">
        <v>738</v>
      </c>
      <c r="E738" s="399" t="s">
        <v>794</v>
      </c>
      <c r="F738" t="s">
        <v>739</v>
      </c>
      <c r="G738" s="399" t="s">
        <v>813</v>
      </c>
      <c r="H738" s="377">
        <v>959</v>
      </c>
      <c r="I738" s="396" t="s">
        <v>648</v>
      </c>
      <c r="J738" s="397" t="str">
        <f>IF(ISBLANK(INDEX('Policy Characteristics'!D:D,MATCH($C738,'Policy Characteristics'!$C:$C,0))),"",INDEX('Policy Characteristics'!D:D,MATCH($C738,'Policy Characteristics'!$C:$C,0)))</f>
        <v>Industry Energy Efficiency Standards</v>
      </c>
      <c r="K738" s="394" t="str">
        <f>IF(ISBLANK(INDEX('Policy Characteristics'!E:E,MATCH($C738,'Policy Characteristics'!$C:$C,0))),"",INDEX('Policy Characteristics'!E:E,MATCH($C738,'Policy Characteristics'!$C:$C,0)))</f>
        <v>indst efficiency standards</v>
      </c>
      <c r="L738" s="398">
        <f>IF(ISBLANK(INDEX('Policy Characteristics'!F:F,MATCH($C738,'Policy Characteristics'!$C:$C,0))),"",INDEX('Policy Characteristics'!F:F,MATCH($C738,'Policy Characteristics'!$C:$C,0)))</f>
        <v>0</v>
      </c>
      <c r="M738" s="398">
        <f>IF(ISBLANK(INDEX('Policy Characteristics'!G:G,MATCH($C738,'Policy Characteristics'!$C:$C,0))),"",INDEX('Policy Characteristics'!G:G,MATCH($C738,'Policy Characteristics'!$C:$C,0)))</f>
        <v>0.25</v>
      </c>
      <c r="N738" s="398">
        <f>IF(ISBLANK(INDEX('Policy Characteristics'!H:H,MATCH($C738,'Policy Characteristics'!$C:$C,0))),"",INDEX('Policy Characteristics'!H:H,MATCH($C738,'Policy Characteristics'!$C:$C,0)))</f>
        <v>0.01</v>
      </c>
      <c r="O738" s="394" t="str">
        <f>IF(ISBLANK(INDEX('Policy Characteristics'!I:I,MATCH($C738,'Policy Characteristics'!$C:$C,0))),"",INDEX('Policy Characteristics'!I:I,MATCH($C738,'Policy Characteristics'!$C:$C,0)))</f>
        <v>% reduction in energy use</v>
      </c>
      <c r="P738" s="394" t="str">
        <f>IF(ISBLANK(INDEX('Policy Characteristics'!J:J,MATCH($C738,'Policy Characteristics'!$C:$C,0))),"",INDEX('Policy Characteristics'!J:J,MATCH($C738,'Policy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38" s="394" t="str">
        <f>IF(ISBLANK(INDEX('Policy Characteristics'!K:K,MATCH($C738,'Policy Characteristics'!$C:$C,0))),"",INDEX('Policy Characteristics'!K:K,MATCH($C738,'Policy Characteristics'!$C:$C,0)))</f>
        <v>industry-ag-main.html#eff-stds</v>
      </c>
      <c r="R738" s="394" t="str">
        <f>IF(ISBLANK(INDEX('Policy Characteristics'!L:L,MATCH($C738,'Policy Characteristics'!$C:$C,0))),"",INDEX('Policy Characteristics'!L:L,MATCH($C738,'Policy Characteristics'!$C:$C,0)))</f>
        <v>industry-energy-efficiency-standards.html</v>
      </c>
    </row>
    <row r="739" s="384" customFormat="1" customHeight="1" spans="1:18">
      <c r="A739" s="394" t="str">
        <f>IF(ISBLANK(INDEX('Policy Characteristics'!A:A,MATCH($C739,'Policy Characteristics'!$C:$C,0))),"",INDEX('Policy Characteristics'!A:A,MATCH($C739,'Policy Characteristics'!$C:$C,0)))</f>
        <v>Industry</v>
      </c>
      <c r="B739" s="395" t="str">
        <f>IF(ISBLANK(INDEX('Policy Characteristics'!B:B,MATCH($C739,'Policy Characteristics'!$C:$C,0))),"",INDEX('Policy Characteristics'!B:B,MATCH($C739,'Policy Characteristics'!$C:$C,0)))</f>
        <v>Industry Energy Efficiency Standards</v>
      </c>
      <c r="C739" s="394" t="str">
        <f t="shared" si="37"/>
        <v>Percentage Improvement in Eqpt Efficiency Standards above BAU</v>
      </c>
      <c r="D739" s="399" t="s">
        <v>738</v>
      </c>
      <c r="E739" s="399" t="s">
        <v>796</v>
      </c>
      <c r="F739" t="s">
        <v>739</v>
      </c>
      <c r="G739" s="399" t="s">
        <v>814</v>
      </c>
      <c r="H739" s="377">
        <v>960</v>
      </c>
      <c r="I739" s="396" t="s">
        <v>648</v>
      </c>
      <c r="J739" s="397" t="str">
        <f>IF(ISBLANK(INDEX('Policy Characteristics'!D:D,MATCH($C739,'Policy Characteristics'!$C:$C,0))),"",INDEX('Policy Characteristics'!D:D,MATCH($C739,'Policy Characteristics'!$C:$C,0)))</f>
        <v>Industry Energy Efficiency Standards</v>
      </c>
      <c r="K739" s="394" t="str">
        <f>IF(ISBLANK(INDEX('Policy Characteristics'!E:E,MATCH($C739,'Policy Characteristics'!$C:$C,0))),"",INDEX('Policy Characteristics'!E:E,MATCH($C739,'Policy Characteristics'!$C:$C,0)))</f>
        <v>indst efficiency standards</v>
      </c>
      <c r="L739" s="398">
        <f>IF(ISBLANK(INDEX('Policy Characteristics'!F:F,MATCH($C739,'Policy Characteristics'!$C:$C,0))),"",INDEX('Policy Characteristics'!F:F,MATCH($C739,'Policy Characteristics'!$C:$C,0)))</f>
        <v>0</v>
      </c>
      <c r="M739" s="398">
        <f>IF(ISBLANK(INDEX('Policy Characteristics'!G:G,MATCH($C739,'Policy Characteristics'!$C:$C,0))),"",INDEX('Policy Characteristics'!G:G,MATCH($C739,'Policy Characteristics'!$C:$C,0)))</f>
        <v>0.25</v>
      </c>
      <c r="N739" s="398">
        <f>IF(ISBLANK(INDEX('Policy Characteristics'!H:H,MATCH($C739,'Policy Characteristics'!$C:$C,0))),"",INDEX('Policy Characteristics'!H:H,MATCH($C739,'Policy Characteristics'!$C:$C,0)))</f>
        <v>0.01</v>
      </c>
      <c r="O739" s="394" t="str">
        <f>IF(ISBLANK(INDEX('Policy Characteristics'!I:I,MATCH($C739,'Policy Characteristics'!$C:$C,0))),"",INDEX('Policy Characteristics'!I:I,MATCH($C739,'Policy Characteristics'!$C:$C,0)))</f>
        <v>% reduction in energy use</v>
      </c>
      <c r="P739" s="394" t="str">
        <f>IF(ISBLANK(INDEX('Policy Characteristics'!J:J,MATCH($C739,'Policy Characteristics'!$C:$C,0))),"",INDEX('Policy Characteristics'!J:J,MATCH($C739,'Policy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39" s="394" t="str">
        <f>IF(ISBLANK(INDEX('Policy Characteristics'!K:K,MATCH($C739,'Policy Characteristics'!$C:$C,0))),"",INDEX('Policy Characteristics'!K:K,MATCH($C739,'Policy Characteristics'!$C:$C,0)))</f>
        <v>industry-ag-main.html#eff-stds</v>
      </c>
      <c r="R739" s="394" t="str">
        <f>IF(ISBLANK(INDEX('Policy Characteristics'!L:L,MATCH($C739,'Policy Characteristics'!$C:$C,0))),"",INDEX('Policy Characteristics'!L:L,MATCH($C739,'Policy Characteristics'!$C:$C,0)))</f>
        <v>industry-energy-efficiency-standards.html</v>
      </c>
    </row>
    <row r="740" s="384" customFormat="1" customHeight="1" spans="1:18">
      <c r="A740" s="394" t="str">
        <f>IF(ISBLANK(INDEX('Policy Characteristics'!A:A,MATCH($C740,'Policy Characteristics'!$C:$C,0))),"",INDEX('Policy Characteristics'!A:A,MATCH($C740,'Policy Characteristics'!$C:$C,0)))</f>
        <v>Industry</v>
      </c>
      <c r="B740" s="395" t="str">
        <f>IF(ISBLANK(INDEX('Policy Characteristics'!B:B,MATCH($C740,'Policy Characteristics'!$C:$C,0))),"",INDEX('Policy Characteristics'!B:B,MATCH($C740,'Policy Characteristics'!$C:$C,0)))</f>
        <v>Industry Energy Efficiency Standards</v>
      </c>
      <c r="C740" s="394" t="str">
        <f t="shared" si="37"/>
        <v>Percentage Improvement in Eqpt Efficiency Standards above BAU</v>
      </c>
      <c r="D740" s="399" t="s">
        <v>738</v>
      </c>
      <c r="E740" s="399" t="s">
        <v>798</v>
      </c>
      <c r="F740" t="s">
        <v>739</v>
      </c>
      <c r="G740" s="399" t="s">
        <v>815</v>
      </c>
      <c r="H740" s="377">
        <v>961</v>
      </c>
      <c r="I740" s="396" t="s">
        <v>648</v>
      </c>
      <c r="J740" s="397" t="str">
        <f>IF(ISBLANK(INDEX('Policy Characteristics'!D:D,MATCH($C740,'Policy Characteristics'!$C:$C,0))),"",INDEX('Policy Characteristics'!D:D,MATCH($C740,'Policy Characteristics'!$C:$C,0)))</f>
        <v>Industry Energy Efficiency Standards</v>
      </c>
      <c r="K740" s="394" t="str">
        <f>IF(ISBLANK(INDEX('Policy Characteristics'!E:E,MATCH($C740,'Policy Characteristics'!$C:$C,0))),"",INDEX('Policy Characteristics'!E:E,MATCH($C740,'Policy Characteristics'!$C:$C,0)))</f>
        <v>indst efficiency standards</v>
      </c>
      <c r="L740" s="398">
        <f>IF(ISBLANK(INDEX('Policy Characteristics'!F:F,MATCH($C740,'Policy Characteristics'!$C:$C,0))),"",INDEX('Policy Characteristics'!F:F,MATCH($C740,'Policy Characteristics'!$C:$C,0)))</f>
        <v>0</v>
      </c>
      <c r="M740" s="398">
        <f>IF(ISBLANK(INDEX('Policy Characteristics'!G:G,MATCH($C740,'Policy Characteristics'!$C:$C,0))),"",INDEX('Policy Characteristics'!G:G,MATCH($C740,'Policy Characteristics'!$C:$C,0)))</f>
        <v>0.25</v>
      </c>
      <c r="N740" s="398">
        <f>IF(ISBLANK(INDEX('Policy Characteristics'!H:H,MATCH($C740,'Policy Characteristics'!$C:$C,0))),"",INDEX('Policy Characteristics'!H:H,MATCH($C740,'Policy Characteristics'!$C:$C,0)))</f>
        <v>0.01</v>
      </c>
      <c r="O740" s="394" t="str">
        <f>IF(ISBLANK(INDEX('Policy Characteristics'!I:I,MATCH($C740,'Policy Characteristics'!$C:$C,0))),"",INDEX('Policy Characteristics'!I:I,MATCH($C740,'Policy Characteristics'!$C:$C,0)))</f>
        <v>% reduction in energy use</v>
      </c>
      <c r="P740" s="394" t="str">
        <f>IF(ISBLANK(INDEX('Policy Characteristics'!J:J,MATCH($C740,'Policy Characteristics'!$C:$C,0))),"",INDEX('Policy Characteristics'!J:J,MATCH($C740,'Policy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0" s="394" t="str">
        <f>IF(ISBLANK(INDEX('Policy Characteristics'!K:K,MATCH($C740,'Policy Characteristics'!$C:$C,0))),"",INDEX('Policy Characteristics'!K:K,MATCH($C740,'Policy Characteristics'!$C:$C,0)))</f>
        <v>industry-ag-main.html#eff-stds</v>
      </c>
      <c r="R740" s="394" t="str">
        <f>IF(ISBLANK(INDEX('Policy Characteristics'!L:L,MATCH($C740,'Policy Characteristics'!$C:$C,0))),"",INDEX('Policy Characteristics'!L:L,MATCH($C740,'Policy Characteristics'!$C:$C,0)))</f>
        <v>industry-energy-efficiency-standards.html</v>
      </c>
    </row>
    <row r="741" s="384" customFormat="1" customHeight="1" spans="1:18">
      <c r="A741" s="394" t="str">
        <f>IF(ISBLANK(INDEX('Policy Characteristics'!A:A,MATCH($C741,'Policy Characteristics'!$C:$C,0))),"",INDEX('Policy Characteristics'!A:A,MATCH($C741,'Policy Characteristics'!$C:$C,0)))</f>
        <v>Industry</v>
      </c>
      <c r="B741" s="395" t="str">
        <f>IF(ISBLANK(INDEX('Policy Characteristics'!B:B,MATCH($C741,'Policy Characteristics'!$C:$C,0))),"",INDEX('Policy Characteristics'!B:B,MATCH($C741,'Policy Characteristics'!$C:$C,0)))</f>
        <v>Industry Energy Efficiency Standards</v>
      </c>
      <c r="C741" s="394" t="str">
        <f t="shared" si="37"/>
        <v>Percentage Improvement in Eqpt Efficiency Standards above BAU</v>
      </c>
      <c r="D741" s="399" t="s">
        <v>738</v>
      </c>
      <c r="E741" s="399" t="s">
        <v>800</v>
      </c>
      <c r="F741" t="s">
        <v>739</v>
      </c>
      <c r="G741" s="399" t="s">
        <v>816</v>
      </c>
      <c r="H741" s="377">
        <v>962</v>
      </c>
      <c r="I741" s="396" t="s">
        <v>648</v>
      </c>
      <c r="J741" s="397" t="str">
        <f>IF(ISBLANK(INDEX('Policy Characteristics'!D:D,MATCH($C741,'Policy Characteristics'!$C:$C,0))),"",INDEX('Policy Characteristics'!D:D,MATCH($C741,'Policy Characteristics'!$C:$C,0)))</f>
        <v>Industry Energy Efficiency Standards</v>
      </c>
      <c r="K741" s="394" t="str">
        <f>IF(ISBLANK(INDEX('Policy Characteristics'!E:E,MATCH($C741,'Policy Characteristics'!$C:$C,0))),"",INDEX('Policy Characteristics'!E:E,MATCH($C741,'Policy Characteristics'!$C:$C,0)))</f>
        <v>indst efficiency standards</v>
      </c>
      <c r="L741" s="398">
        <f>IF(ISBLANK(INDEX('Policy Characteristics'!F:F,MATCH($C741,'Policy Characteristics'!$C:$C,0))),"",INDEX('Policy Characteristics'!F:F,MATCH($C741,'Policy Characteristics'!$C:$C,0)))</f>
        <v>0</v>
      </c>
      <c r="M741" s="398">
        <f>IF(ISBLANK(INDEX('Policy Characteristics'!G:G,MATCH($C741,'Policy Characteristics'!$C:$C,0))),"",INDEX('Policy Characteristics'!G:G,MATCH($C741,'Policy Characteristics'!$C:$C,0)))</f>
        <v>0.25</v>
      </c>
      <c r="N741" s="398">
        <f>IF(ISBLANK(INDEX('Policy Characteristics'!H:H,MATCH($C741,'Policy Characteristics'!$C:$C,0))),"",INDEX('Policy Characteristics'!H:H,MATCH($C741,'Policy Characteristics'!$C:$C,0)))</f>
        <v>0.01</v>
      </c>
      <c r="O741" s="394" t="str">
        <f>IF(ISBLANK(INDEX('Policy Characteristics'!I:I,MATCH($C741,'Policy Characteristics'!$C:$C,0))),"",INDEX('Policy Characteristics'!I:I,MATCH($C741,'Policy Characteristics'!$C:$C,0)))</f>
        <v>% reduction in energy use</v>
      </c>
      <c r="P741" s="394" t="str">
        <f>IF(ISBLANK(INDEX('Policy Characteristics'!J:J,MATCH($C741,'Policy Characteristics'!$C:$C,0))),"",INDEX('Policy Characteristics'!J:J,MATCH($C741,'Policy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1" s="394" t="str">
        <f>IF(ISBLANK(INDEX('Policy Characteristics'!K:K,MATCH($C741,'Policy Characteristics'!$C:$C,0))),"",INDEX('Policy Characteristics'!K:K,MATCH($C741,'Policy Characteristics'!$C:$C,0)))</f>
        <v>industry-ag-main.html#eff-stds</v>
      </c>
      <c r="R741" s="394" t="str">
        <f>IF(ISBLANK(INDEX('Policy Characteristics'!L:L,MATCH($C741,'Policy Characteristics'!$C:$C,0))),"",INDEX('Policy Characteristics'!L:L,MATCH($C741,'Policy Characteristics'!$C:$C,0)))</f>
        <v>industry-energy-efficiency-standards.html</v>
      </c>
    </row>
    <row r="742" s="384" customFormat="1" customHeight="1" spans="1:18">
      <c r="A742" s="394" t="str">
        <f>IF(ISBLANK(INDEX('Policy Characteristics'!A:A,MATCH($C742,'Policy Characteristics'!$C:$C,0))),"",INDEX('Policy Characteristics'!A:A,MATCH($C742,'Policy Characteristics'!$C:$C,0)))</f>
        <v>Industry</v>
      </c>
      <c r="B742" s="395" t="str">
        <f>IF(ISBLANK(INDEX('Policy Characteristics'!B:B,MATCH($C742,'Policy Characteristics'!$C:$C,0))),"",INDEX('Policy Characteristics'!B:B,MATCH($C742,'Policy Characteristics'!$C:$C,0)))</f>
        <v>Industry Energy Efficiency Standards</v>
      </c>
      <c r="C742" s="394" t="str">
        <f t="shared" si="37"/>
        <v>Percentage Improvement in Eqpt Efficiency Standards above BAU</v>
      </c>
      <c r="D742" s="399" t="s">
        <v>738</v>
      </c>
      <c r="E742" s="399" t="s">
        <v>802</v>
      </c>
      <c r="F742" t="s">
        <v>739</v>
      </c>
      <c r="G742" s="399" t="s">
        <v>817</v>
      </c>
      <c r="H742" s="377">
        <v>963</v>
      </c>
      <c r="I742" s="396" t="s">
        <v>648</v>
      </c>
      <c r="J742" s="397" t="str">
        <f>IF(ISBLANK(INDEX('Policy Characteristics'!D:D,MATCH($C742,'Policy Characteristics'!$C:$C,0))),"",INDEX('Policy Characteristics'!D:D,MATCH($C742,'Policy Characteristics'!$C:$C,0)))</f>
        <v>Industry Energy Efficiency Standards</v>
      </c>
      <c r="K742" s="394" t="str">
        <f>IF(ISBLANK(INDEX('Policy Characteristics'!E:E,MATCH($C742,'Policy Characteristics'!$C:$C,0))),"",INDEX('Policy Characteristics'!E:E,MATCH($C742,'Policy Characteristics'!$C:$C,0)))</f>
        <v>indst efficiency standards</v>
      </c>
      <c r="L742" s="398">
        <f>IF(ISBLANK(INDEX('Policy Characteristics'!F:F,MATCH($C742,'Policy Characteristics'!$C:$C,0))),"",INDEX('Policy Characteristics'!F:F,MATCH($C742,'Policy Characteristics'!$C:$C,0)))</f>
        <v>0</v>
      </c>
      <c r="M742" s="398">
        <f>IF(ISBLANK(INDEX('Policy Characteristics'!G:G,MATCH($C742,'Policy Characteristics'!$C:$C,0))),"",INDEX('Policy Characteristics'!G:G,MATCH($C742,'Policy Characteristics'!$C:$C,0)))</f>
        <v>0.25</v>
      </c>
      <c r="N742" s="398">
        <f>IF(ISBLANK(INDEX('Policy Characteristics'!H:H,MATCH($C742,'Policy Characteristics'!$C:$C,0))),"",INDEX('Policy Characteristics'!H:H,MATCH($C742,'Policy Characteristics'!$C:$C,0)))</f>
        <v>0.01</v>
      </c>
      <c r="O742" s="394" t="str">
        <f>IF(ISBLANK(INDEX('Policy Characteristics'!I:I,MATCH($C742,'Policy Characteristics'!$C:$C,0))),"",INDEX('Policy Characteristics'!I:I,MATCH($C742,'Policy Characteristics'!$C:$C,0)))</f>
        <v>% reduction in energy use</v>
      </c>
      <c r="P742" s="394" t="str">
        <f>IF(ISBLANK(INDEX('Policy Characteristics'!J:J,MATCH($C742,'Policy Characteristics'!$C:$C,0))),"",INDEX('Policy Characteristics'!J:J,MATCH($C742,'Policy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2" s="394" t="str">
        <f>IF(ISBLANK(INDEX('Policy Characteristics'!K:K,MATCH($C742,'Policy Characteristics'!$C:$C,0))),"",INDEX('Policy Characteristics'!K:K,MATCH($C742,'Policy Characteristics'!$C:$C,0)))</f>
        <v>industry-ag-main.html#eff-stds</v>
      </c>
      <c r="R742" s="394" t="str">
        <f>IF(ISBLANK(INDEX('Policy Characteristics'!L:L,MATCH($C742,'Policy Characteristics'!$C:$C,0))),"",INDEX('Policy Characteristics'!L:L,MATCH($C742,'Policy Characteristics'!$C:$C,0)))</f>
        <v>industry-energy-efficiency-standards.html</v>
      </c>
    </row>
    <row r="743" customHeight="1" spans="1:18">
      <c r="A743" s="394" t="str">
        <f>IF(ISBLANK(INDEX('Policy Characteristics'!A:A,MATCH($C743,'Policy Characteristics'!$C:$C,0))),"",INDEX('Policy Characteristics'!A:A,MATCH($C743,'Policy Characteristics'!$C:$C,0)))</f>
        <v>Industry</v>
      </c>
      <c r="B743" s="395" t="str">
        <f>IF(ISBLANK(INDEX('Policy Characteristics'!B:B,MATCH($C743,'Policy Characteristics'!$C:$C,0))),"",INDEX('Policy Characteristics'!B:B,MATCH($C743,'Policy Characteristics'!$C:$C,0)))</f>
        <v>Industry Energy Efficiency Standards</v>
      </c>
      <c r="C743" s="394" t="str">
        <f t="shared" si="37"/>
        <v>Percentage Improvement in Eqpt Efficiency Standards above BAU</v>
      </c>
      <c r="D743" s="399" t="s">
        <v>738</v>
      </c>
      <c r="E743" s="399" t="s">
        <v>804</v>
      </c>
      <c r="F743" t="s">
        <v>739</v>
      </c>
      <c r="G743" s="399" t="s">
        <v>818</v>
      </c>
      <c r="H743" s="377">
        <v>964</v>
      </c>
      <c r="I743" s="396" t="s">
        <v>648</v>
      </c>
      <c r="J743" s="397" t="str">
        <f>IF(ISBLANK(INDEX('Policy Characteristics'!D:D,MATCH($C743,'Policy Characteristics'!$C:$C,0))),"",INDEX('Policy Characteristics'!D:D,MATCH($C743,'Policy Characteristics'!$C:$C,0)))</f>
        <v>Industry Energy Efficiency Standards</v>
      </c>
      <c r="K743" s="394" t="str">
        <f>IF(ISBLANK(INDEX('Policy Characteristics'!E:E,MATCH($C743,'Policy Characteristics'!$C:$C,0))),"",INDEX('Policy Characteristics'!E:E,MATCH($C743,'Policy Characteristics'!$C:$C,0)))</f>
        <v>indst efficiency standards</v>
      </c>
      <c r="L743" s="398">
        <f>IF(ISBLANK(INDEX('Policy Characteristics'!F:F,MATCH($C743,'Policy Characteristics'!$C:$C,0))),"",INDEX('Policy Characteristics'!F:F,MATCH($C743,'Policy Characteristics'!$C:$C,0)))</f>
        <v>0</v>
      </c>
      <c r="M743" s="398">
        <f>IF(ISBLANK(INDEX('Policy Characteristics'!G:G,MATCH($C743,'Policy Characteristics'!$C:$C,0))),"",INDEX('Policy Characteristics'!G:G,MATCH($C743,'Policy Characteristics'!$C:$C,0)))</f>
        <v>0.25</v>
      </c>
      <c r="N743" s="398">
        <f>IF(ISBLANK(INDEX('Policy Characteristics'!H:H,MATCH($C743,'Policy Characteristics'!$C:$C,0))),"",INDEX('Policy Characteristics'!H:H,MATCH($C743,'Policy Characteristics'!$C:$C,0)))</f>
        <v>0.01</v>
      </c>
      <c r="O743" s="394" t="str">
        <f>IF(ISBLANK(INDEX('Policy Characteristics'!I:I,MATCH($C743,'Policy Characteristics'!$C:$C,0))),"",INDEX('Policy Characteristics'!I:I,MATCH($C743,'Policy Characteristics'!$C:$C,0)))</f>
        <v>% reduction in energy use</v>
      </c>
      <c r="P743" s="394" t="str">
        <f>IF(ISBLANK(INDEX('Policy Characteristics'!J:J,MATCH($C743,'Policy Characteristics'!$C:$C,0))),"",INDEX('Policy Characteristics'!J:J,MATCH($C743,'Policy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3" s="394" t="str">
        <f>IF(ISBLANK(INDEX('Policy Characteristics'!K:K,MATCH($C743,'Policy Characteristics'!$C:$C,0))),"",INDEX('Policy Characteristics'!K:K,MATCH($C743,'Policy Characteristics'!$C:$C,0)))</f>
        <v>industry-ag-main.html#eff-stds</v>
      </c>
      <c r="R743" s="394" t="str">
        <f>IF(ISBLANK(INDEX('Policy Characteristics'!L:L,MATCH($C743,'Policy Characteristics'!$C:$C,0))),"",INDEX('Policy Characteristics'!L:L,MATCH($C743,'Policy Characteristics'!$C:$C,0)))</f>
        <v>industry-energy-efficiency-standards.html</v>
      </c>
    </row>
    <row r="744" s="384" customFormat="1" customHeight="1" spans="1:18">
      <c r="A744" s="394" t="str">
        <f>IF(ISBLANK(INDEX('Policy Characteristics'!A:A,MATCH($C744,'Policy Characteristics'!$C:$C,0))),"",INDEX('Policy Characteristics'!A:A,MATCH($C744,'Policy Characteristics'!$C:$C,0)))</f>
        <v>Industry</v>
      </c>
      <c r="B744" s="395" t="str">
        <f>IF(ISBLANK(INDEX('Policy Characteristics'!B:B,MATCH($C744,'Policy Characteristics'!$C:$C,0))),"",INDEX('Policy Characteristics'!B:B,MATCH($C744,'Policy Characteristics'!$C:$C,0)))</f>
        <v>Industry Energy Efficiency Standards</v>
      </c>
      <c r="C744" s="394" t="str">
        <f t="shared" si="37"/>
        <v>Percentage Improvement in Eqpt Efficiency Standards above BAU</v>
      </c>
      <c r="D744" s="399" t="s">
        <v>738</v>
      </c>
      <c r="E744" s="399" t="s">
        <v>806</v>
      </c>
      <c r="F744" t="s">
        <v>739</v>
      </c>
      <c r="G744" s="399" t="s">
        <v>819</v>
      </c>
      <c r="H744" s="377">
        <v>965</v>
      </c>
      <c r="I744" s="396" t="s">
        <v>648</v>
      </c>
      <c r="J744" s="397" t="str">
        <f>IF(ISBLANK(INDEX('Policy Characteristics'!D:D,MATCH($C744,'Policy Characteristics'!$C:$C,0))),"",INDEX('Policy Characteristics'!D:D,MATCH($C744,'Policy Characteristics'!$C:$C,0)))</f>
        <v>Industry Energy Efficiency Standards</v>
      </c>
      <c r="K744" s="394" t="str">
        <f>IF(ISBLANK(INDEX('Policy Characteristics'!E:E,MATCH($C744,'Policy Characteristics'!$C:$C,0))),"",INDEX('Policy Characteristics'!E:E,MATCH($C744,'Policy Characteristics'!$C:$C,0)))</f>
        <v>indst efficiency standards</v>
      </c>
      <c r="L744" s="398">
        <f>IF(ISBLANK(INDEX('Policy Characteristics'!F:F,MATCH($C744,'Policy Characteristics'!$C:$C,0))),"",INDEX('Policy Characteristics'!F:F,MATCH($C744,'Policy Characteristics'!$C:$C,0)))</f>
        <v>0</v>
      </c>
      <c r="M744" s="398">
        <f>IF(ISBLANK(INDEX('Policy Characteristics'!G:G,MATCH($C744,'Policy Characteristics'!$C:$C,0))),"",INDEX('Policy Characteristics'!G:G,MATCH($C744,'Policy Characteristics'!$C:$C,0)))</f>
        <v>0.25</v>
      </c>
      <c r="N744" s="398">
        <f>IF(ISBLANK(INDEX('Policy Characteristics'!H:H,MATCH($C744,'Policy Characteristics'!$C:$C,0))),"",INDEX('Policy Characteristics'!H:H,MATCH($C744,'Policy Characteristics'!$C:$C,0)))</f>
        <v>0.01</v>
      </c>
      <c r="O744" s="394" t="str">
        <f>IF(ISBLANK(INDEX('Policy Characteristics'!I:I,MATCH($C744,'Policy Characteristics'!$C:$C,0))),"",INDEX('Policy Characteristics'!I:I,MATCH($C744,'Policy Characteristics'!$C:$C,0)))</f>
        <v>% reduction in energy use</v>
      </c>
      <c r="P744" s="394" t="str">
        <f>IF(ISBLANK(INDEX('Policy Characteristics'!J:J,MATCH($C744,'Policy Characteristics'!$C:$C,0))),"",INDEX('Policy Characteristics'!J:J,MATCH($C744,'Policy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4" s="394" t="str">
        <f>IF(ISBLANK(INDEX('Policy Characteristics'!K:K,MATCH($C744,'Policy Characteristics'!$C:$C,0))),"",INDEX('Policy Characteristics'!K:K,MATCH($C744,'Policy Characteristics'!$C:$C,0)))</f>
        <v>industry-ag-main.html#eff-stds</v>
      </c>
      <c r="R744" s="394" t="str">
        <f>IF(ISBLANK(INDEX('Policy Characteristics'!L:L,MATCH($C744,'Policy Characteristics'!$C:$C,0))),"",INDEX('Policy Characteristics'!L:L,MATCH($C744,'Policy Characteristics'!$C:$C,0)))</f>
        <v>industry-energy-efficiency-standards.html</v>
      </c>
    </row>
    <row r="745" s="384" customFormat="1" customHeight="1" spans="1:18">
      <c r="A745" s="394" t="str">
        <f>IF(ISBLANK(INDEX('Policy Characteristics'!A:A,MATCH($C745,'Policy Characteristics'!$C:$C,0))),"",INDEX('Policy Characteristics'!A:A,MATCH($C745,'Policy Characteristics'!$C:$C,0)))</f>
        <v>Industry</v>
      </c>
      <c r="B745" s="395" t="str">
        <f>IF(ISBLANK(INDEX('Policy Characteristics'!B:B,MATCH($C745,'Policy Characteristics'!$C:$C,0))),"",INDEX('Policy Characteristics'!B:B,MATCH($C745,'Policy Characteristics'!$C:$C,0)))</f>
        <v>Industry Energy Efficiency Standards</v>
      </c>
      <c r="C745" s="394" t="str">
        <f t="shared" si="37"/>
        <v>Percentage Improvement in Eqpt Efficiency Standards above BAU</v>
      </c>
      <c r="D745" s="399" t="s">
        <v>738</v>
      </c>
      <c r="E745" s="399" t="s">
        <v>808</v>
      </c>
      <c r="F745" t="s">
        <v>739</v>
      </c>
      <c r="G745" s="399" t="s">
        <v>820</v>
      </c>
      <c r="H745" s="377">
        <v>966</v>
      </c>
      <c r="I745" s="396" t="s">
        <v>648</v>
      </c>
      <c r="J745" s="397" t="str">
        <f>IF(ISBLANK(INDEX('Policy Characteristics'!D:D,MATCH($C745,'Policy Characteristics'!$C:$C,0))),"",INDEX('Policy Characteristics'!D:D,MATCH($C745,'Policy Characteristics'!$C:$C,0)))</f>
        <v>Industry Energy Efficiency Standards</v>
      </c>
      <c r="K745" s="394" t="str">
        <f>IF(ISBLANK(INDEX('Policy Characteristics'!E:E,MATCH($C745,'Policy Characteristics'!$C:$C,0))),"",INDEX('Policy Characteristics'!E:E,MATCH($C745,'Policy Characteristics'!$C:$C,0)))</f>
        <v>indst efficiency standards</v>
      </c>
      <c r="L745" s="398">
        <f>IF(ISBLANK(INDEX('Policy Characteristics'!F:F,MATCH($C745,'Policy Characteristics'!$C:$C,0))),"",INDEX('Policy Characteristics'!F:F,MATCH($C745,'Policy Characteristics'!$C:$C,0)))</f>
        <v>0</v>
      </c>
      <c r="M745" s="398">
        <f>IF(ISBLANK(INDEX('Policy Characteristics'!G:G,MATCH($C745,'Policy Characteristics'!$C:$C,0))),"",INDEX('Policy Characteristics'!G:G,MATCH($C745,'Policy Characteristics'!$C:$C,0)))</f>
        <v>0.25</v>
      </c>
      <c r="N745" s="398">
        <f>IF(ISBLANK(INDEX('Policy Characteristics'!H:H,MATCH($C745,'Policy Characteristics'!$C:$C,0))),"",INDEX('Policy Characteristics'!H:H,MATCH($C745,'Policy Characteristics'!$C:$C,0)))</f>
        <v>0.01</v>
      </c>
      <c r="O745" s="394" t="str">
        <f>IF(ISBLANK(INDEX('Policy Characteristics'!I:I,MATCH($C745,'Policy Characteristics'!$C:$C,0))),"",INDEX('Policy Characteristics'!I:I,MATCH($C745,'Policy Characteristics'!$C:$C,0)))</f>
        <v>% reduction in energy use</v>
      </c>
      <c r="P745" s="394" t="str">
        <f>IF(ISBLANK(INDEX('Policy Characteristics'!J:J,MATCH($C745,'Policy Characteristics'!$C:$C,0))),"",INDEX('Policy Characteristics'!J:J,MATCH($C745,'Policy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5" s="394" t="str">
        <f>IF(ISBLANK(INDEX('Policy Characteristics'!K:K,MATCH($C745,'Policy Characteristics'!$C:$C,0))),"",INDEX('Policy Characteristics'!K:K,MATCH($C745,'Policy Characteristics'!$C:$C,0)))</f>
        <v>industry-ag-main.html#eff-stds</v>
      </c>
      <c r="R745" s="394" t="str">
        <f>IF(ISBLANK(INDEX('Policy Characteristics'!L:L,MATCH($C745,'Policy Characteristics'!$C:$C,0))),"",INDEX('Policy Characteristics'!L:L,MATCH($C745,'Policy Characteristics'!$C:$C,0)))</f>
        <v>industry-energy-efficiency-standards.html</v>
      </c>
    </row>
    <row r="746" s="384" customFormat="1" customHeight="1" spans="1:18">
      <c r="A746" s="394" t="str">
        <f>IF(ISBLANK(INDEX('Policy Characteristics'!A:A,MATCH($C746,'Policy Characteristics'!$C:$C,0))),"",INDEX('Policy Characteristics'!A:A,MATCH($C746,'Policy Characteristics'!$C:$C,0)))</f>
        <v>Industry</v>
      </c>
      <c r="B746" s="395" t="str">
        <f>IF(ISBLANK(INDEX('Policy Characteristics'!B:B,MATCH($C746,'Policy Characteristics'!$C:$C,0))),"",INDEX('Policy Characteristics'!B:B,MATCH($C746,'Policy Characteristics'!$C:$C,0)))</f>
        <v>Industry Energy Efficiency Standards</v>
      </c>
      <c r="C746" s="394" t="str">
        <f t="shared" si="37"/>
        <v>Percentage Improvement in Eqpt Efficiency Standards above BAU</v>
      </c>
      <c r="D746" s="399" t="s">
        <v>738</v>
      </c>
      <c r="E746" s="399" t="s">
        <v>810</v>
      </c>
      <c r="F746" t="s">
        <v>739</v>
      </c>
      <c r="G746" s="399" t="s">
        <v>821</v>
      </c>
      <c r="H746" s="377">
        <v>967</v>
      </c>
      <c r="I746" s="396" t="s">
        <v>648</v>
      </c>
      <c r="J746" s="397" t="str">
        <f>IF(ISBLANK(INDEX('Policy Characteristics'!D:D,MATCH($C746,'Policy Characteristics'!$C:$C,0))),"",INDEX('Policy Characteristics'!D:D,MATCH($C746,'Policy Characteristics'!$C:$C,0)))</f>
        <v>Industry Energy Efficiency Standards</v>
      </c>
      <c r="K746" s="394" t="str">
        <f>IF(ISBLANK(INDEX('Policy Characteristics'!E:E,MATCH($C746,'Policy Characteristics'!$C:$C,0))),"",INDEX('Policy Characteristics'!E:E,MATCH($C746,'Policy Characteristics'!$C:$C,0)))</f>
        <v>indst efficiency standards</v>
      </c>
      <c r="L746" s="398">
        <f>IF(ISBLANK(INDEX('Policy Characteristics'!F:F,MATCH($C746,'Policy Characteristics'!$C:$C,0))),"",INDEX('Policy Characteristics'!F:F,MATCH($C746,'Policy Characteristics'!$C:$C,0)))</f>
        <v>0</v>
      </c>
      <c r="M746" s="398">
        <f>IF(ISBLANK(INDEX('Policy Characteristics'!G:G,MATCH($C746,'Policy Characteristics'!$C:$C,0))),"",INDEX('Policy Characteristics'!G:G,MATCH($C746,'Policy Characteristics'!$C:$C,0)))</f>
        <v>0.25</v>
      </c>
      <c r="N746" s="398">
        <f>IF(ISBLANK(INDEX('Policy Characteristics'!H:H,MATCH($C746,'Policy Characteristics'!$C:$C,0))),"",INDEX('Policy Characteristics'!H:H,MATCH($C746,'Policy Characteristics'!$C:$C,0)))</f>
        <v>0.01</v>
      </c>
      <c r="O746" s="394" t="str">
        <f>IF(ISBLANK(INDEX('Policy Characteristics'!I:I,MATCH($C746,'Policy Characteristics'!$C:$C,0))),"",INDEX('Policy Characteristics'!I:I,MATCH($C746,'Policy Characteristics'!$C:$C,0)))</f>
        <v>% reduction in energy use</v>
      </c>
      <c r="P746" s="394" t="str">
        <f>IF(ISBLANK(INDEX('Policy Characteristics'!J:J,MATCH($C746,'Policy Characteristics'!$C:$C,0))),"",INDEX('Policy Characteristics'!J:J,MATCH($C746,'Policy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6" s="394" t="str">
        <f>IF(ISBLANK(INDEX('Policy Characteristics'!K:K,MATCH($C746,'Policy Characteristics'!$C:$C,0))),"",INDEX('Policy Characteristics'!K:K,MATCH($C746,'Policy Characteristics'!$C:$C,0)))</f>
        <v>industry-ag-main.html#eff-stds</v>
      </c>
      <c r="R746" s="394" t="str">
        <f>IF(ISBLANK(INDEX('Policy Characteristics'!L:L,MATCH($C746,'Policy Characteristics'!$C:$C,0))),"",INDEX('Policy Characteristics'!L:L,MATCH($C746,'Policy Characteristics'!$C:$C,0)))</f>
        <v>industry-energy-efficiency-standards.html</v>
      </c>
    </row>
    <row r="747" s="384" customFormat="1" customHeight="1" spans="1:18">
      <c r="A747" s="394" t="str">
        <f>IF(ISBLANK(INDEX('Policy Characteristics'!A:A,MATCH($C747,'Policy Characteristics'!$C:$C,0))),"",INDEX('Policy Characteristics'!A:A,MATCH($C747,'Policy Characteristics'!$C:$C,0)))</f>
        <v>Industry</v>
      </c>
      <c r="B747" s="395" t="str">
        <f>IF(ISBLANK(INDEX('Policy Characteristics'!B:B,MATCH($C747,'Policy Characteristics'!$C:$C,0))),"",INDEX('Policy Characteristics'!B:B,MATCH($C747,'Policy Characteristics'!$C:$C,0)))</f>
        <v>Industry Energy Efficiency Standards</v>
      </c>
      <c r="C747" s="394" t="str">
        <f t="shared" si="37"/>
        <v>Percentage Improvement in Eqpt Efficiency Standards above BAU</v>
      </c>
      <c r="D747" s="399" t="s">
        <v>740</v>
      </c>
      <c r="E747" s="399" t="s">
        <v>792</v>
      </c>
      <c r="F747" t="s">
        <v>741</v>
      </c>
      <c r="G747" s="399" t="s">
        <v>812</v>
      </c>
      <c r="H747" s="377">
        <v>968</v>
      </c>
      <c r="I747" s="396" t="s">
        <v>648</v>
      </c>
      <c r="J747" s="397" t="str">
        <f>IF(ISBLANK(INDEX('Policy Characteristics'!D:D,MATCH($C747,'Policy Characteristics'!$C:$C,0))),"",INDEX('Policy Characteristics'!D:D,MATCH($C747,'Policy Characteristics'!$C:$C,0)))</f>
        <v>Industry Energy Efficiency Standards</v>
      </c>
      <c r="K747" s="394" t="str">
        <f>IF(ISBLANK(INDEX('Policy Characteristics'!E:E,MATCH($C747,'Policy Characteristics'!$C:$C,0))),"",INDEX('Policy Characteristics'!E:E,MATCH($C747,'Policy Characteristics'!$C:$C,0)))</f>
        <v>indst efficiency standards</v>
      </c>
      <c r="L747" s="398">
        <f>IF(ISBLANK(INDEX('Policy Characteristics'!F:F,MATCH($C747,'Policy Characteristics'!$C:$C,0))),"",INDEX('Policy Characteristics'!F:F,MATCH($C747,'Policy Characteristics'!$C:$C,0)))</f>
        <v>0</v>
      </c>
      <c r="M747" s="398">
        <f>IF(ISBLANK(INDEX('Policy Characteristics'!G:G,MATCH($C747,'Policy Characteristics'!$C:$C,0))),"",INDEX('Policy Characteristics'!G:G,MATCH($C747,'Policy Characteristics'!$C:$C,0)))</f>
        <v>0.25</v>
      </c>
      <c r="N747" s="398">
        <f>IF(ISBLANK(INDEX('Policy Characteristics'!H:H,MATCH($C747,'Policy Characteristics'!$C:$C,0))),"",INDEX('Policy Characteristics'!H:H,MATCH($C747,'Policy Characteristics'!$C:$C,0)))</f>
        <v>0.01</v>
      </c>
      <c r="O747" s="394" t="str">
        <f>IF(ISBLANK(INDEX('Policy Characteristics'!I:I,MATCH($C747,'Policy Characteristics'!$C:$C,0))),"",INDEX('Policy Characteristics'!I:I,MATCH($C747,'Policy Characteristics'!$C:$C,0)))</f>
        <v>% reduction in energy use</v>
      </c>
      <c r="P747" s="394" t="str">
        <f>IF(ISBLANK(INDEX('Policy Characteristics'!J:J,MATCH($C747,'Policy Characteristics'!$C:$C,0))),"",INDEX('Policy Characteristics'!J:J,MATCH($C747,'Policy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7" s="394" t="str">
        <f>IF(ISBLANK(INDEX('Policy Characteristics'!K:K,MATCH($C747,'Policy Characteristics'!$C:$C,0))),"",INDEX('Policy Characteristics'!K:K,MATCH($C747,'Policy Characteristics'!$C:$C,0)))</f>
        <v>industry-ag-main.html#eff-stds</v>
      </c>
      <c r="R747" s="394" t="str">
        <f>IF(ISBLANK(INDEX('Policy Characteristics'!L:L,MATCH($C747,'Policy Characteristics'!$C:$C,0))),"",INDEX('Policy Characteristics'!L:L,MATCH($C747,'Policy Characteristics'!$C:$C,0)))</f>
        <v>industry-energy-efficiency-standards.html</v>
      </c>
    </row>
    <row r="748" s="384" customFormat="1" customHeight="1" spans="1:18">
      <c r="A748" s="394" t="str">
        <f>IF(ISBLANK(INDEX('Policy Characteristics'!A:A,MATCH($C748,'Policy Characteristics'!$C:$C,0))),"",INDEX('Policy Characteristics'!A:A,MATCH($C748,'Policy Characteristics'!$C:$C,0)))</f>
        <v>Industry</v>
      </c>
      <c r="B748" s="395" t="str">
        <f>IF(ISBLANK(INDEX('Policy Characteristics'!B:B,MATCH($C748,'Policy Characteristics'!$C:$C,0))),"",INDEX('Policy Characteristics'!B:B,MATCH($C748,'Policy Characteristics'!$C:$C,0)))</f>
        <v>Industry Energy Efficiency Standards</v>
      </c>
      <c r="C748" s="394" t="str">
        <f t="shared" si="37"/>
        <v>Percentage Improvement in Eqpt Efficiency Standards above BAU</v>
      </c>
      <c r="D748" s="399" t="s">
        <v>740</v>
      </c>
      <c r="E748" s="399" t="s">
        <v>794</v>
      </c>
      <c r="F748" t="s">
        <v>741</v>
      </c>
      <c r="G748" s="399" t="s">
        <v>813</v>
      </c>
      <c r="H748" s="377">
        <v>969</v>
      </c>
      <c r="I748" s="396" t="s">
        <v>648</v>
      </c>
      <c r="J748" s="397" t="str">
        <f>IF(ISBLANK(INDEX('Policy Characteristics'!D:D,MATCH($C748,'Policy Characteristics'!$C:$C,0))),"",INDEX('Policy Characteristics'!D:D,MATCH($C748,'Policy Characteristics'!$C:$C,0)))</f>
        <v>Industry Energy Efficiency Standards</v>
      </c>
      <c r="K748" s="394" t="str">
        <f>IF(ISBLANK(INDEX('Policy Characteristics'!E:E,MATCH($C748,'Policy Characteristics'!$C:$C,0))),"",INDEX('Policy Characteristics'!E:E,MATCH($C748,'Policy Characteristics'!$C:$C,0)))</f>
        <v>indst efficiency standards</v>
      </c>
      <c r="L748" s="398">
        <f>IF(ISBLANK(INDEX('Policy Characteristics'!F:F,MATCH($C748,'Policy Characteristics'!$C:$C,0))),"",INDEX('Policy Characteristics'!F:F,MATCH($C748,'Policy Characteristics'!$C:$C,0)))</f>
        <v>0</v>
      </c>
      <c r="M748" s="398">
        <f>IF(ISBLANK(INDEX('Policy Characteristics'!G:G,MATCH($C748,'Policy Characteristics'!$C:$C,0))),"",INDEX('Policy Characteristics'!G:G,MATCH($C748,'Policy Characteristics'!$C:$C,0)))</f>
        <v>0.25</v>
      </c>
      <c r="N748" s="398">
        <f>IF(ISBLANK(INDEX('Policy Characteristics'!H:H,MATCH($C748,'Policy Characteristics'!$C:$C,0))),"",INDEX('Policy Characteristics'!H:H,MATCH($C748,'Policy Characteristics'!$C:$C,0)))</f>
        <v>0.01</v>
      </c>
      <c r="O748" s="394" t="str">
        <f>IF(ISBLANK(INDEX('Policy Characteristics'!I:I,MATCH($C748,'Policy Characteristics'!$C:$C,0))),"",INDEX('Policy Characteristics'!I:I,MATCH($C748,'Policy Characteristics'!$C:$C,0)))</f>
        <v>% reduction in energy use</v>
      </c>
      <c r="P748" s="394" t="str">
        <f>IF(ISBLANK(INDEX('Policy Characteristics'!J:J,MATCH($C748,'Policy Characteristics'!$C:$C,0))),"",INDEX('Policy Characteristics'!J:J,MATCH($C748,'Policy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8" s="394" t="str">
        <f>IF(ISBLANK(INDEX('Policy Characteristics'!K:K,MATCH($C748,'Policy Characteristics'!$C:$C,0))),"",INDEX('Policy Characteristics'!K:K,MATCH($C748,'Policy Characteristics'!$C:$C,0)))</f>
        <v>industry-ag-main.html#eff-stds</v>
      </c>
      <c r="R748" s="394" t="str">
        <f>IF(ISBLANK(INDEX('Policy Characteristics'!L:L,MATCH($C748,'Policy Characteristics'!$C:$C,0))),"",INDEX('Policy Characteristics'!L:L,MATCH($C748,'Policy Characteristics'!$C:$C,0)))</f>
        <v>industry-energy-efficiency-standards.html</v>
      </c>
    </row>
    <row r="749" s="384" customFormat="1" customHeight="1" spans="1:18">
      <c r="A749" s="394" t="str">
        <f>IF(ISBLANK(INDEX('Policy Characteristics'!A:A,MATCH($C749,'Policy Characteristics'!$C:$C,0))),"",INDEX('Policy Characteristics'!A:A,MATCH($C749,'Policy Characteristics'!$C:$C,0)))</f>
        <v>Industry</v>
      </c>
      <c r="B749" s="395" t="str">
        <f>IF(ISBLANK(INDEX('Policy Characteristics'!B:B,MATCH($C749,'Policy Characteristics'!$C:$C,0))),"",INDEX('Policy Characteristics'!B:B,MATCH($C749,'Policy Characteristics'!$C:$C,0)))</f>
        <v>Industry Energy Efficiency Standards</v>
      </c>
      <c r="C749" s="394" t="str">
        <f t="shared" si="37"/>
        <v>Percentage Improvement in Eqpt Efficiency Standards above BAU</v>
      </c>
      <c r="D749" s="399" t="s">
        <v>740</v>
      </c>
      <c r="E749" s="399" t="s">
        <v>796</v>
      </c>
      <c r="F749" t="s">
        <v>741</v>
      </c>
      <c r="G749" s="399" t="s">
        <v>814</v>
      </c>
      <c r="H749" s="377">
        <v>970</v>
      </c>
      <c r="I749" s="396" t="s">
        <v>648</v>
      </c>
      <c r="J749" s="397" t="str">
        <f>IF(ISBLANK(INDEX('Policy Characteristics'!D:D,MATCH($C749,'Policy Characteristics'!$C:$C,0))),"",INDEX('Policy Characteristics'!D:D,MATCH($C749,'Policy Characteristics'!$C:$C,0)))</f>
        <v>Industry Energy Efficiency Standards</v>
      </c>
      <c r="K749" s="394" t="str">
        <f>IF(ISBLANK(INDEX('Policy Characteristics'!E:E,MATCH($C749,'Policy Characteristics'!$C:$C,0))),"",INDEX('Policy Characteristics'!E:E,MATCH($C749,'Policy Characteristics'!$C:$C,0)))</f>
        <v>indst efficiency standards</v>
      </c>
      <c r="L749" s="398">
        <f>IF(ISBLANK(INDEX('Policy Characteristics'!F:F,MATCH($C749,'Policy Characteristics'!$C:$C,0))),"",INDEX('Policy Characteristics'!F:F,MATCH($C749,'Policy Characteristics'!$C:$C,0)))</f>
        <v>0</v>
      </c>
      <c r="M749" s="398">
        <f>IF(ISBLANK(INDEX('Policy Characteristics'!G:G,MATCH($C749,'Policy Characteristics'!$C:$C,0))),"",INDEX('Policy Characteristics'!G:G,MATCH($C749,'Policy Characteristics'!$C:$C,0)))</f>
        <v>0.25</v>
      </c>
      <c r="N749" s="398">
        <f>IF(ISBLANK(INDEX('Policy Characteristics'!H:H,MATCH($C749,'Policy Characteristics'!$C:$C,0))),"",INDEX('Policy Characteristics'!H:H,MATCH($C749,'Policy Characteristics'!$C:$C,0)))</f>
        <v>0.01</v>
      </c>
      <c r="O749" s="394" t="str">
        <f>IF(ISBLANK(INDEX('Policy Characteristics'!I:I,MATCH($C749,'Policy Characteristics'!$C:$C,0))),"",INDEX('Policy Characteristics'!I:I,MATCH($C749,'Policy Characteristics'!$C:$C,0)))</f>
        <v>% reduction in energy use</v>
      </c>
      <c r="P749" s="394" t="str">
        <f>IF(ISBLANK(INDEX('Policy Characteristics'!J:J,MATCH($C749,'Policy Characteristics'!$C:$C,0))),"",INDEX('Policy Characteristics'!J:J,MATCH($C749,'Policy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9" s="394" t="str">
        <f>IF(ISBLANK(INDEX('Policy Characteristics'!K:K,MATCH($C749,'Policy Characteristics'!$C:$C,0))),"",INDEX('Policy Characteristics'!K:K,MATCH($C749,'Policy Characteristics'!$C:$C,0)))</f>
        <v>industry-ag-main.html#eff-stds</v>
      </c>
      <c r="R749" s="394" t="str">
        <f>IF(ISBLANK(INDEX('Policy Characteristics'!L:L,MATCH($C749,'Policy Characteristics'!$C:$C,0))),"",INDEX('Policy Characteristics'!L:L,MATCH($C749,'Policy Characteristics'!$C:$C,0)))</f>
        <v>industry-energy-efficiency-standards.html</v>
      </c>
    </row>
    <row r="750" s="384" customFormat="1" customHeight="1" spans="1:18">
      <c r="A750" s="394" t="str">
        <f>IF(ISBLANK(INDEX('Policy Characteristics'!A:A,MATCH($C750,'Policy Characteristics'!$C:$C,0))),"",INDEX('Policy Characteristics'!A:A,MATCH($C750,'Policy Characteristics'!$C:$C,0)))</f>
        <v>Industry</v>
      </c>
      <c r="B750" s="395" t="str">
        <f>IF(ISBLANK(INDEX('Policy Characteristics'!B:B,MATCH($C750,'Policy Characteristics'!$C:$C,0))),"",INDEX('Policy Characteristics'!B:B,MATCH($C750,'Policy Characteristics'!$C:$C,0)))</f>
        <v>Industry Energy Efficiency Standards</v>
      </c>
      <c r="C750" s="394" t="str">
        <f t="shared" si="37"/>
        <v>Percentage Improvement in Eqpt Efficiency Standards above BAU</v>
      </c>
      <c r="D750" s="399" t="s">
        <v>740</v>
      </c>
      <c r="E750" s="399" t="s">
        <v>798</v>
      </c>
      <c r="F750" t="s">
        <v>741</v>
      </c>
      <c r="G750" s="399" t="s">
        <v>815</v>
      </c>
      <c r="H750" s="377">
        <v>971</v>
      </c>
      <c r="I750" s="396" t="s">
        <v>648</v>
      </c>
      <c r="J750" s="397" t="str">
        <f>IF(ISBLANK(INDEX('Policy Characteristics'!D:D,MATCH($C750,'Policy Characteristics'!$C:$C,0))),"",INDEX('Policy Characteristics'!D:D,MATCH($C750,'Policy Characteristics'!$C:$C,0)))</f>
        <v>Industry Energy Efficiency Standards</v>
      </c>
      <c r="K750" s="394" t="str">
        <f>IF(ISBLANK(INDEX('Policy Characteristics'!E:E,MATCH($C750,'Policy Characteristics'!$C:$C,0))),"",INDEX('Policy Characteristics'!E:E,MATCH($C750,'Policy Characteristics'!$C:$C,0)))</f>
        <v>indst efficiency standards</v>
      </c>
      <c r="L750" s="398">
        <f>IF(ISBLANK(INDEX('Policy Characteristics'!F:F,MATCH($C750,'Policy Characteristics'!$C:$C,0))),"",INDEX('Policy Characteristics'!F:F,MATCH($C750,'Policy Characteristics'!$C:$C,0)))</f>
        <v>0</v>
      </c>
      <c r="M750" s="398">
        <f>IF(ISBLANK(INDEX('Policy Characteristics'!G:G,MATCH($C750,'Policy Characteristics'!$C:$C,0))),"",INDEX('Policy Characteristics'!G:G,MATCH($C750,'Policy Characteristics'!$C:$C,0)))</f>
        <v>0.25</v>
      </c>
      <c r="N750" s="398">
        <f>IF(ISBLANK(INDEX('Policy Characteristics'!H:H,MATCH($C750,'Policy Characteristics'!$C:$C,0))),"",INDEX('Policy Characteristics'!H:H,MATCH($C750,'Policy Characteristics'!$C:$C,0)))</f>
        <v>0.01</v>
      </c>
      <c r="O750" s="394" t="str">
        <f>IF(ISBLANK(INDEX('Policy Characteristics'!I:I,MATCH($C750,'Policy Characteristics'!$C:$C,0))),"",INDEX('Policy Characteristics'!I:I,MATCH($C750,'Policy Characteristics'!$C:$C,0)))</f>
        <v>% reduction in energy use</v>
      </c>
      <c r="P750" s="394" t="str">
        <f>IF(ISBLANK(INDEX('Policy Characteristics'!J:J,MATCH($C750,'Policy Characteristics'!$C:$C,0))),"",INDEX('Policy Characteristics'!J:J,MATCH($C750,'Policy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0" s="394" t="str">
        <f>IF(ISBLANK(INDEX('Policy Characteristics'!K:K,MATCH($C750,'Policy Characteristics'!$C:$C,0))),"",INDEX('Policy Characteristics'!K:K,MATCH($C750,'Policy Characteristics'!$C:$C,0)))</f>
        <v>industry-ag-main.html#eff-stds</v>
      </c>
      <c r="R750" s="394" t="str">
        <f>IF(ISBLANK(INDEX('Policy Characteristics'!L:L,MATCH($C750,'Policy Characteristics'!$C:$C,0))),"",INDEX('Policy Characteristics'!L:L,MATCH($C750,'Policy Characteristics'!$C:$C,0)))</f>
        <v>industry-energy-efficiency-standards.html</v>
      </c>
    </row>
    <row r="751" s="384" customFormat="1" customHeight="1" spans="1:18">
      <c r="A751" s="394" t="str">
        <f>IF(ISBLANK(INDEX('Policy Characteristics'!A:A,MATCH($C751,'Policy Characteristics'!$C:$C,0))),"",INDEX('Policy Characteristics'!A:A,MATCH($C751,'Policy Characteristics'!$C:$C,0)))</f>
        <v>Industry</v>
      </c>
      <c r="B751" s="395" t="str">
        <f>IF(ISBLANK(INDEX('Policy Characteristics'!B:B,MATCH($C751,'Policy Characteristics'!$C:$C,0))),"",INDEX('Policy Characteristics'!B:B,MATCH($C751,'Policy Characteristics'!$C:$C,0)))</f>
        <v>Industry Energy Efficiency Standards</v>
      </c>
      <c r="C751" s="394" t="str">
        <f t="shared" si="37"/>
        <v>Percentage Improvement in Eqpt Efficiency Standards above BAU</v>
      </c>
      <c r="D751" s="399" t="s">
        <v>740</v>
      </c>
      <c r="E751" s="399" t="s">
        <v>800</v>
      </c>
      <c r="F751" t="s">
        <v>741</v>
      </c>
      <c r="G751" s="399" t="s">
        <v>816</v>
      </c>
      <c r="H751" s="377">
        <v>972</v>
      </c>
      <c r="I751" s="396" t="s">
        <v>648</v>
      </c>
      <c r="J751" s="397" t="str">
        <f>IF(ISBLANK(INDEX('Policy Characteristics'!D:D,MATCH($C751,'Policy Characteristics'!$C:$C,0))),"",INDEX('Policy Characteristics'!D:D,MATCH($C751,'Policy Characteristics'!$C:$C,0)))</f>
        <v>Industry Energy Efficiency Standards</v>
      </c>
      <c r="K751" s="394" t="str">
        <f>IF(ISBLANK(INDEX('Policy Characteristics'!E:E,MATCH($C751,'Policy Characteristics'!$C:$C,0))),"",INDEX('Policy Characteristics'!E:E,MATCH($C751,'Policy Characteristics'!$C:$C,0)))</f>
        <v>indst efficiency standards</v>
      </c>
      <c r="L751" s="398">
        <f>IF(ISBLANK(INDEX('Policy Characteristics'!F:F,MATCH($C751,'Policy Characteristics'!$C:$C,0))),"",INDEX('Policy Characteristics'!F:F,MATCH($C751,'Policy Characteristics'!$C:$C,0)))</f>
        <v>0</v>
      </c>
      <c r="M751" s="398">
        <f>IF(ISBLANK(INDEX('Policy Characteristics'!G:G,MATCH($C751,'Policy Characteristics'!$C:$C,0))),"",INDEX('Policy Characteristics'!G:G,MATCH($C751,'Policy Characteristics'!$C:$C,0)))</f>
        <v>0.25</v>
      </c>
      <c r="N751" s="398">
        <f>IF(ISBLANK(INDEX('Policy Characteristics'!H:H,MATCH($C751,'Policy Characteristics'!$C:$C,0))),"",INDEX('Policy Characteristics'!H:H,MATCH($C751,'Policy Characteristics'!$C:$C,0)))</f>
        <v>0.01</v>
      </c>
      <c r="O751" s="394" t="str">
        <f>IF(ISBLANK(INDEX('Policy Characteristics'!I:I,MATCH($C751,'Policy Characteristics'!$C:$C,0))),"",INDEX('Policy Characteristics'!I:I,MATCH($C751,'Policy Characteristics'!$C:$C,0)))</f>
        <v>% reduction in energy use</v>
      </c>
      <c r="P751" s="394" t="str">
        <f>IF(ISBLANK(INDEX('Policy Characteristics'!J:J,MATCH($C751,'Policy Characteristics'!$C:$C,0))),"",INDEX('Policy Characteristics'!J:J,MATCH($C751,'Policy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1" s="394" t="str">
        <f>IF(ISBLANK(INDEX('Policy Characteristics'!K:K,MATCH($C751,'Policy Characteristics'!$C:$C,0))),"",INDEX('Policy Characteristics'!K:K,MATCH($C751,'Policy Characteristics'!$C:$C,0)))</f>
        <v>industry-ag-main.html#eff-stds</v>
      </c>
      <c r="R751" s="394" t="str">
        <f>IF(ISBLANK(INDEX('Policy Characteristics'!L:L,MATCH($C751,'Policy Characteristics'!$C:$C,0))),"",INDEX('Policy Characteristics'!L:L,MATCH($C751,'Policy Characteristics'!$C:$C,0)))</f>
        <v>industry-energy-efficiency-standards.html</v>
      </c>
    </row>
    <row r="752" s="384" customFormat="1" customHeight="1" spans="1:18">
      <c r="A752" s="394" t="str">
        <f>IF(ISBLANK(INDEX('Policy Characteristics'!A:A,MATCH($C752,'Policy Characteristics'!$C:$C,0))),"",INDEX('Policy Characteristics'!A:A,MATCH($C752,'Policy Characteristics'!$C:$C,0)))</f>
        <v>Industry</v>
      </c>
      <c r="B752" s="395" t="str">
        <f>IF(ISBLANK(INDEX('Policy Characteristics'!B:B,MATCH($C752,'Policy Characteristics'!$C:$C,0))),"",INDEX('Policy Characteristics'!B:B,MATCH($C752,'Policy Characteristics'!$C:$C,0)))</f>
        <v>Industry Energy Efficiency Standards</v>
      </c>
      <c r="C752" s="394" t="str">
        <f t="shared" si="37"/>
        <v>Percentage Improvement in Eqpt Efficiency Standards above BAU</v>
      </c>
      <c r="D752" s="399" t="s">
        <v>740</v>
      </c>
      <c r="E752" s="399" t="s">
        <v>802</v>
      </c>
      <c r="F752" t="s">
        <v>741</v>
      </c>
      <c r="G752" s="399" t="s">
        <v>817</v>
      </c>
      <c r="H752" s="377">
        <v>973</v>
      </c>
      <c r="I752" s="396" t="s">
        <v>648</v>
      </c>
      <c r="J752" s="397" t="str">
        <f>IF(ISBLANK(INDEX('Policy Characteristics'!D:D,MATCH($C752,'Policy Characteristics'!$C:$C,0))),"",INDEX('Policy Characteristics'!D:D,MATCH($C752,'Policy Characteristics'!$C:$C,0)))</f>
        <v>Industry Energy Efficiency Standards</v>
      </c>
      <c r="K752" s="394" t="str">
        <f>IF(ISBLANK(INDEX('Policy Characteristics'!E:E,MATCH($C752,'Policy Characteristics'!$C:$C,0))),"",INDEX('Policy Characteristics'!E:E,MATCH($C752,'Policy Characteristics'!$C:$C,0)))</f>
        <v>indst efficiency standards</v>
      </c>
      <c r="L752" s="398">
        <f>IF(ISBLANK(INDEX('Policy Characteristics'!F:F,MATCH($C752,'Policy Characteristics'!$C:$C,0))),"",INDEX('Policy Characteristics'!F:F,MATCH($C752,'Policy Characteristics'!$C:$C,0)))</f>
        <v>0</v>
      </c>
      <c r="M752" s="398">
        <f>IF(ISBLANK(INDEX('Policy Characteristics'!G:G,MATCH($C752,'Policy Characteristics'!$C:$C,0))),"",INDEX('Policy Characteristics'!G:G,MATCH($C752,'Policy Characteristics'!$C:$C,0)))</f>
        <v>0.25</v>
      </c>
      <c r="N752" s="398">
        <f>IF(ISBLANK(INDEX('Policy Characteristics'!H:H,MATCH($C752,'Policy Characteristics'!$C:$C,0))),"",INDEX('Policy Characteristics'!H:H,MATCH($C752,'Policy Characteristics'!$C:$C,0)))</f>
        <v>0.01</v>
      </c>
      <c r="O752" s="394" t="str">
        <f>IF(ISBLANK(INDEX('Policy Characteristics'!I:I,MATCH($C752,'Policy Characteristics'!$C:$C,0))),"",INDEX('Policy Characteristics'!I:I,MATCH($C752,'Policy Characteristics'!$C:$C,0)))</f>
        <v>% reduction in energy use</v>
      </c>
      <c r="P752" s="394" t="str">
        <f>IF(ISBLANK(INDEX('Policy Characteristics'!J:J,MATCH($C752,'Policy Characteristics'!$C:$C,0))),"",INDEX('Policy Characteristics'!J:J,MATCH($C752,'Policy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2" s="394" t="str">
        <f>IF(ISBLANK(INDEX('Policy Characteristics'!K:K,MATCH($C752,'Policy Characteristics'!$C:$C,0))),"",INDEX('Policy Characteristics'!K:K,MATCH($C752,'Policy Characteristics'!$C:$C,0)))</f>
        <v>industry-ag-main.html#eff-stds</v>
      </c>
      <c r="R752" s="394" t="str">
        <f>IF(ISBLANK(INDEX('Policy Characteristics'!L:L,MATCH($C752,'Policy Characteristics'!$C:$C,0))),"",INDEX('Policy Characteristics'!L:L,MATCH($C752,'Policy Characteristics'!$C:$C,0)))</f>
        <v>industry-energy-efficiency-standards.html</v>
      </c>
    </row>
    <row r="753" s="384" customFormat="1" customHeight="1" spans="1:18">
      <c r="A753" s="394" t="str">
        <f>IF(ISBLANK(INDEX('Policy Characteristics'!A:A,MATCH($C753,'Policy Characteristics'!$C:$C,0))),"",INDEX('Policy Characteristics'!A:A,MATCH($C753,'Policy Characteristics'!$C:$C,0)))</f>
        <v>Industry</v>
      </c>
      <c r="B753" s="395" t="str">
        <f>IF(ISBLANK(INDEX('Policy Characteristics'!B:B,MATCH($C753,'Policy Characteristics'!$C:$C,0))),"",INDEX('Policy Characteristics'!B:B,MATCH($C753,'Policy Characteristics'!$C:$C,0)))</f>
        <v>Industry Energy Efficiency Standards</v>
      </c>
      <c r="C753" s="394" t="str">
        <f t="shared" si="37"/>
        <v>Percentage Improvement in Eqpt Efficiency Standards above BAU</v>
      </c>
      <c r="D753" s="399" t="s">
        <v>740</v>
      </c>
      <c r="E753" s="399" t="s">
        <v>804</v>
      </c>
      <c r="F753" t="s">
        <v>741</v>
      </c>
      <c r="G753" s="399" t="s">
        <v>818</v>
      </c>
      <c r="H753" s="377">
        <v>974</v>
      </c>
      <c r="I753" s="396" t="s">
        <v>648</v>
      </c>
      <c r="J753" s="397" t="str">
        <f>IF(ISBLANK(INDEX('Policy Characteristics'!D:D,MATCH($C753,'Policy Characteristics'!$C:$C,0))),"",INDEX('Policy Characteristics'!D:D,MATCH($C753,'Policy Characteristics'!$C:$C,0)))</f>
        <v>Industry Energy Efficiency Standards</v>
      </c>
      <c r="K753" s="394" t="str">
        <f>IF(ISBLANK(INDEX('Policy Characteristics'!E:E,MATCH($C753,'Policy Characteristics'!$C:$C,0))),"",INDEX('Policy Characteristics'!E:E,MATCH($C753,'Policy Characteristics'!$C:$C,0)))</f>
        <v>indst efficiency standards</v>
      </c>
      <c r="L753" s="398">
        <f>IF(ISBLANK(INDEX('Policy Characteristics'!F:F,MATCH($C753,'Policy Characteristics'!$C:$C,0))),"",INDEX('Policy Characteristics'!F:F,MATCH($C753,'Policy Characteristics'!$C:$C,0)))</f>
        <v>0</v>
      </c>
      <c r="M753" s="398">
        <f>IF(ISBLANK(INDEX('Policy Characteristics'!G:G,MATCH($C753,'Policy Characteristics'!$C:$C,0))),"",INDEX('Policy Characteristics'!G:G,MATCH($C753,'Policy Characteristics'!$C:$C,0)))</f>
        <v>0.25</v>
      </c>
      <c r="N753" s="398">
        <f>IF(ISBLANK(INDEX('Policy Characteristics'!H:H,MATCH($C753,'Policy Characteristics'!$C:$C,0))),"",INDEX('Policy Characteristics'!H:H,MATCH($C753,'Policy Characteristics'!$C:$C,0)))</f>
        <v>0.01</v>
      </c>
      <c r="O753" s="394" t="str">
        <f>IF(ISBLANK(INDEX('Policy Characteristics'!I:I,MATCH($C753,'Policy Characteristics'!$C:$C,0))),"",INDEX('Policy Characteristics'!I:I,MATCH($C753,'Policy Characteristics'!$C:$C,0)))</f>
        <v>% reduction in energy use</v>
      </c>
      <c r="P753" s="394" t="str">
        <f>IF(ISBLANK(INDEX('Policy Characteristics'!J:J,MATCH($C753,'Policy Characteristics'!$C:$C,0))),"",INDEX('Policy Characteristics'!J:J,MATCH($C753,'Policy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3" s="394" t="str">
        <f>IF(ISBLANK(INDEX('Policy Characteristics'!K:K,MATCH($C753,'Policy Characteristics'!$C:$C,0))),"",INDEX('Policy Characteristics'!K:K,MATCH($C753,'Policy Characteristics'!$C:$C,0)))</f>
        <v>industry-ag-main.html#eff-stds</v>
      </c>
      <c r="R753" s="394" t="str">
        <f>IF(ISBLANK(INDEX('Policy Characteristics'!L:L,MATCH($C753,'Policy Characteristics'!$C:$C,0))),"",INDEX('Policy Characteristics'!L:L,MATCH($C753,'Policy Characteristics'!$C:$C,0)))</f>
        <v>industry-energy-efficiency-standards.html</v>
      </c>
    </row>
    <row r="754" s="384" customFormat="1" customHeight="1" spans="1:18">
      <c r="A754" s="394" t="str">
        <f>IF(ISBLANK(INDEX('Policy Characteristics'!A:A,MATCH($C754,'Policy Characteristics'!$C:$C,0))),"",INDEX('Policy Characteristics'!A:A,MATCH($C754,'Policy Characteristics'!$C:$C,0)))</f>
        <v>Industry</v>
      </c>
      <c r="B754" s="395" t="str">
        <f>IF(ISBLANK(INDEX('Policy Characteristics'!B:B,MATCH($C754,'Policy Characteristics'!$C:$C,0))),"",INDEX('Policy Characteristics'!B:B,MATCH($C754,'Policy Characteristics'!$C:$C,0)))</f>
        <v>Industry Energy Efficiency Standards</v>
      </c>
      <c r="C754" s="394" t="str">
        <f t="shared" si="37"/>
        <v>Percentage Improvement in Eqpt Efficiency Standards above BAU</v>
      </c>
      <c r="D754" s="399" t="s">
        <v>740</v>
      </c>
      <c r="E754" s="399" t="s">
        <v>806</v>
      </c>
      <c r="F754" t="s">
        <v>741</v>
      </c>
      <c r="G754" s="399" t="s">
        <v>819</v>
      </c>
      <c r="H754" s="377">
        <v>975</v>
      </c>
      <c r="I754" s="396" t="s">
        <v>648</v>
      </c>
      <c r="J754" s="397" t="str">
        <f>IF(ISBLANK(INDEX('Policy Characteristics'!D:D,MATCH($C754,'Policy Characteristics'!$C:$C,0))),"",INDEX('Policy Characteristics'!D:D,MATCH($C754,'Policy Characteristics'!$C:$C,0)))</f>
        <v>Industry Energy Efficiency Standards</v>
      </c>
      <c r="K754" s="394" t="str">
        <f>IF(ISBLANK(INDEX('Policy Characteristics'!E:E,MATCH($C754,'Policy Characteristics'!$C:$C,0))),"",INDEX('Policy Characteristics'!E:E,MATCH($C754,'Policy Characteristics'!$C:$C,0)))</f>
        <v>indst efficiency standards</v>
      </c>
      <c r="L754" s="398">
        <f>IF(ISBLANK(INDEX('Policy Characteristics'!F:F,MATCH($C754,'Policy Characteristics'!$C:$C,0))),"",INDEX('Policy Characteristics'!F:F,MATCH($C754,'Policy Characteristics'!$C:$C,0)))</f>
        <v>0</v>
      </c>
      <c r="M754" s="398">
        <f>IF(ISBLANK(INDEX('Policy Characteristics'!G:G,MATCH($C754,'Policy Characteristics'!$C:$C,0))),"",INDEX('Policy Characteristics'!G:G,MATCH($C754,'Policy Characteristics'!$C:$C,0)))</f>
        <v>0.25</v>
      </c>
      <c r="N754" s="398">
        <f>IF(ISBLANK(INDEX('Policy Characteristics'!H:H,MATCH($C754,'Policy Characteristics'!$C:$C,0))),"",INDEX('Policy Characteristics'!H:H,MATCH($C754,'Policy Characteristics'!$C:$C,0)))</f>
        <v>0.01</v>
      </c>
      <c r="O754" s="394" t="str">
        <f>IF(ISBLANK(INDEX('Policy Characteristics'!I:I,MATCH($C754,'Policy Characteristics'!$C:$C,0))),"",INDEX('Policy Characteristics'!I:I,MATCH($C754,'Policy Characteristics'!$C:$C,0)))</f>
        <v>% reduction in energy use</v>
      </c>
      <c r="P754" s="394" t="str">
        <f>IF(ISBLANK(INDEX('Policy Characteristics'!J:J,MATCH($C754,'Policy Characteristics'!$C:$C,0))),"",INDEX('Policy Characteristics'!J:J,MATCH($C754,'Policy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4" s="394" t="str">
        <f>IF(ISBLANK(INDEX('Policy Characteristics'!K:K,MATCH($C754,'Policy Characteristics'!$C:$C,0))),"",INDEX('Policy Characteristics'!K:K,MATCH($C754,'Policy Characteristics'!$C:$C,0)))</f>
        <v>industry-ag-main.html#eff-stds</v>
      </c>
      <c r="R754" s="394" t="str">
        <f>IF(ISBLANK(INDEX('Policy Characteristics'!L:L,MATCH($C754,'Policy Characteristics'!$C:$C,0))),"",INDEX('Policy Characteristics'!L:L,MATCH($C754,'Policy Characteristics'!$C:$C,0)))</f>
        <v>industry-energy-efficiency-standards.html</v>
      </c>
    </row>
    <row r="755" s="384" customFormat="1" customHeight="1" spans="1:18">
      <c r="A755" s="394" t="str">
        <f>IF(ISBLANK(INDEX('Policy Characteristics'!A:A,MATCH($C755,'Policy Characteristics'!$C:$C,0))),"",INDEX('Policy Characteristics'!A:A,MATCH($C755,'Policy Characteristics'!$C:$C,0)))</f>
        <v>Industry</v>
      </c>
      <c r="B755" s="395" t="str">
        <f>IF(ISBLANK(INDEX('Policy Characteristics'!B:B,MATCH($C755,'Policy Characteristics'!$C:$C,0))),"",INDEX('Policy Characteristics'!B:B,MATCH($C755,'Policy Characteristics'!$C:$C,0)))</f>
        <v>Industry Energy Efficiency Standards</v>
      </c>
      <c r="C755" s="394" t="str">
        <f t="shared" si="37"/>
        <v>Percentage Improvement in Eqpt Efficiency Standards above BAU</v>
      </c>
      <c r="D755" s="399" t="s">
        <v>740</v>
      </c>
      <c r="E755" s="399" t="s">
        <v>808</v>
      </c>
      <c r="F755" t="s">
        <v>741</v>
      </c>
      <c r="G755" s="399" t="s">
        <v>820</v>
      </c>
      <c r="H755" s="377">
        <v>976</v>
      </c>
      <c r="I755" s="396" t="s">
        <v>648</v>
      </c>
      <c r="J755" s="397" t="str">
        <f>IF(ISBLANK(INDEX('Policy Characteristics'!D:D,MATCH($C755,'Policy Characteristics'!$C:$C,0))),"",INDEX('Policy Characteristics'!D:D,MATCH($C755,'Policy Characteristics'!$C:$C,0)))</f>
        <v>Industry Energy Efficiency Standards</v>
      </c>
      <c r="K755" s="394" t="str">
        <f>IF(ISBLANK(INDEX('Policy Characteristics'!E:E,MATCH($C755,'Policy Characteristics'!$C:$C,0))),"",INDEX('Policy Characteristics'!E:E,MATCH($C755,'Policy Characteristics'!$C:$C,0)))</f>
        <v>indst efficiency standards</v>
      </c>
      <c r="L755" s="398">
        <f>IF(ISBLANK(INDEX('Policy Characteristics'!F:F,MATCH($C755,'Policy Characteristics'!$C:$C,0))),"",INDEX('Policy Characteristics'!F:F,MATCH($C755,'Policy Characteristics'!$C:$C,0)))</f>
        <v>0</v>
      </c>
      <c r="M755" s="398">
        <f>IF(ISBLANK(INDEX('Policy Characteristics'!G:G,MATCH($C755,'Policy Characteristics'!$C:$C,0))),"",INDEX('Policy Characteristics'!G:G,MATCH($C755,'Policy Characteristics'!$C:$C,0)))</f>
        <v>0.25</v>
      </c>
      <c r="N755" s="398">
        <f>IF(ISBLANK(INDEX('Policy Characteristics'!H:H,MATCH($C755,'Policy Characteristics'!$C:$C,0))),"",INDEX('Policy Characteristics'!H:H,MATCH($C755,'Policy Characteristics'!$C:$C,0)))</f>
        <v>0.01</v>
      </c>
      <c r="O755" s="394" t="str">
        <f>IF(ISBLANK(INDEX('Policy Characteristics'!I:I,MATCH($C755,'Policy Characteristics'!$C:$C,0))),"",INDEX('Policy Characteristics'!I:I,MATCH($C755,'Policy Characteristics'!$C:$C,0)))</f>
        <v>% reduction in energy use</v>
      </c>
      <c r="P755" s="394" t="str">
        <f>IF(ISBLANK(INDEX('Policy Characteristics'!J:J,MATCH($C755,'Policy Characteristics'!$C:$C,0))),"",INDEX('Policy Characteristics'!J:J,MATCH($C755,'Policy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5" s="394" t="str">
        <f>IF(ISBLANK(INDEX('Policy Characteristics'!K:K,MATCH($C755,'Policy Characteristics'!$C:$C,0))),"",INDEX('Policy Characteristics'!K:K,MATCH($C755,'Policy Characteristics'!$C:$C,0)))</f>
        <v>industry-ag-main.html#eff-stds</v>
      </c>
      <c r="R755" s="394" t="str">
        <f>IF(ISBLANK(INDEX('Policy Characteristics'!L:L,MATCH($C755,'Policy Characteristics'!$C:$C,0))),"",INDEX('Policy Characteristics'!L:L,MATCH($C755,'Policy Characteristics'!$C:$C,0)))</f>
        <v>industry-energy-efficiency-standards.html</v>
      </c>
    </row>
    <row r="756" s="384" customFormat="1" customHeight="1" spans="1:18">
      <c r="A756" s="394" t="str">
        <f>IF(ISBLANK(INDEX('Policy Characteristics'!A:A,MATCH($C756,'Policy Characteristics'!$C:$C,0))),"",INDEX('Policy Characteristics'!A:A,MATCH($C756,'Policy Characteristics'!$C:$C,0)))</f>
        <v>Industry</v>
      </c>
      <c r="B756" s="395" t="str">
        <f>IF(ISBLANK(INDEX('Policy Characteristics'!B:B,MATCH($C756,'Policy Characteristics'!$C:$C,0))),"",INDEX('Policy Characteristics'!B:B,MATCH($C756,'Policy Characteristics'!$C:$C,0)))</f>
        <v>Industry Energy Efficiency Standards</v>
      </c>
      <c r="C756" s="394" t="str">
        <f t="shared" si="37"/>
        <v>Percentage Improvement in Eqpt Efficiency Standards above BAU</v>
      </c>
      <c r="D756" s="399" t="s">
        <v>740</v>
      </c>
      <c r="E756" s="399" t="s">
        <v>810</v>
      </c>
      <c r="F756" t="s">
        <v>741</v>
      </c>
      <c r="G756" s="399" t="s">
        <v>821</v>
      </c>
      <c r="H756" s="377">
        <v>977</v>
      </c>
      <c r="I756" s="396" t="s">
        <v>648</v>
      </c>
      <c r="J756" s="397" t="str">
        <f>IF(ISBLANK(INDEX('Policy Characteristics'!D:D,MATCH($C756,'Policy Characteristics'!$C:$C,0))),"",INDEX('Policy Characteristics'!D:D,MATCH($C756,'Policy Characteristics'!$C:$C,0)))</f>
        <v>Industry Energy Efficiency Standards</v>
      </c>
      <c r="K756" s="394" t="str">
        <f>IF(ISBLANK(INDEX('Policy Characteristics'!E:E,MATCH($C756,'Policy Characteristics'!$C:$C,0))),"",INDEX('Policy Characteristics'!E:E,MATCH($C756,'Policy Characteristics'!$C:$C,0)))</f>
        <v>indst efficiency standards</v>
      </c>
      <c r="L756" s="398">
        <f>IF(ISBLANK(INDEX('Policy Characteristics'!F:F,MATCH($C756,'Policy Characteristics'!$C:$C,0))),"",INDEX('Policy Characteristics'!F:F,MATCH($C756,'Policy Characteristics'!$C:$C,0)))</f>
        <v>0</v>
      </c>
      <c r="M756" s="398">
        <f>IF(ISBLANK(INDEX('Policy Characteristics'!G:G,MATCH($C756,'Policy Characteristics'!$C:$C,0))),"",INDEX('Policy Characteristics'!G:G,MATCH($C756,'Policy Characteristics'!$C:$C,0)))</f>
        <v>0.25</v>
      </c>
      <c r="N756" s="398">
        <f>IF(ISBLANK(INDEX('Policy Characteristics'!H:H,MATCH($C756,'Policy Characteristics'!$C:$C,0))),"",INDEX('Policy Characteristics'!H:H,MATCH($C756,'Policy Characteristics'!$C:$C,0)))</f>
        <v>0.01</v>
      </c>
      <c r="O756" s="394" t="str">
        <f>IF(ISBLANK(INDEX('Policy Characteristics'!I:I,MATCH($C756,'Policy Characteristics'!$C:$C,0))),"",INDEX('Policy Characteristics'!I:I,MATCH($C756,'Policy Characteristics'!$C:$C,0)))</f>
        <v>% reduction in energy use</v>
      </c>
      <c r="P756" s="394" t="str">
        <f>IF(ISBLANK(INDEX('Policy Characteristics'!J:J,MATCH($C756,'Policy Characteristics'!$C:$C,0))),"",INDEX('Policy Characteristics'!J:J,MATCH($C756,'Policy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6" s="394" t="str">
        <f>IF(ISBLANK(INDEX('Policy Characteristics'!K:K,MATCH($C756,'Policy Characteristics'!$C:$C,0))),"",INDEX('Policy Characteristics'!K:K,MATCH($C756,'Policy Characteristics'!$C:$C,0)))</f>
        <v>industry-ag-main.html#eff-stds</v>
      </c>
      <c r="R756" s="394" t="str">
        <f>IF(ISBLANK(INDEX('Policy Characteristics'!L:L,MATCH($C756,'Policy Characteristics'!$C:$C,0))),"",INDEX('Policy Characteristics'!L:L,MATCH($C756,'Policy Characteristics'!$C:$C,0)))</f>
        <v>industry-energy-efficiency-standards.html</v>
      </c>
    </row>
    <row r="757" s="384" customFormat="1" customHeight="1" spans="1:18">
      <c r="A757" s="394" t="str">
        <f>IF(ISBLANK(INDEX('Policy Characteristics'!A:A,MATCH($C757,'Policy Characteristics'!$C:$C,0))),"",INDEX('Policy Characteristics'!A:A,MATCH($C757,'Policy Characteristics'!$C:$C,0)))</f>
        <v>Industry</v>
      </c>
      <c r="B757" s="395" t="str">
        <f>IF(ISBLANK(INDEX('Policy Characteristics'!B:B,MATCH($C757,'Policy Characteristics'!$C:$C,0))),"",INDEX('Policy Characteristics'!B:B,MATCH($C757,'Policy Characteristics'!$C:$C,0)))</f>
        <v>Industry Energy Efficiency Standards</v>
      </c>
      <c r="C757" s="394" t="str">
        <f t="shared" si="37"/>
        <v>Percentage Improvement in Eqpt Efficiency Standards above BAU</v>
      </c>
      <c r="D757" s="399" t="s">
        <v>742</v>
      </c>
      <c r="E757" s="399" t="s">
        <v>792</v>
      </c>
      <c r="F757" t="s">
        <v>743</v>
      </c>
      <c r="G757" s="399" t="s">
        <v>812</v>
      </c>
      <c r="H757" s="377">
        <v>978</v>
      </c>
      <c r="I757" s="396" t="s">
        <v>648</v>
      </c>
      <c r="J757" s="397" t="str">
        <f>IF(ISBLANK(INDEX('Policy Characteristics'!D:D,MATCH($C757,'Policy Characteristics'!$C:$C,0))),"",INDEX('Policy Characteristics'!D:D,MATCH($C757,'Policy Characteristics'!$C:$C,0)))</f>
        <v>Industry Energy Efficiency Standards</v>
      </c>
      <c r="K757" s="394" t="str">
        <f>IF(ISBLANK(INDEX('Policy Characteristics'!E:E,MATCH($C757,'Policy Characteristics'!$C:$C,0))),"",INDEX('Policy Characteristics'!E:E,MATCH($C757,'Policy Characteristics'!$C:$C,0)))</f>
        <v>indst efficiency standards</v>
      </c>
      <c r="L757" s="398">
        <f>IF(ISBLANK(INDEX('Policy Characteristics'!F:F,MATCH($C757,'Policy Characteristics'!$C:$C,0))),"",INDEX('Policy Characteristics'!F:F,MATCH($C757,'Policy Characteristics'!$C:$C,0)))</f>
        <v>0</v>
      </c>
      <c r="M757" s="398">
        <f>IF(ISBLANK(INDEX('Policy Characteristics'!G:G,MATCH($C757,'Policy Characteristics'!$C:$C,0))),"",INDEX('Policy Characteristics'!G:G,MATCH($C757,'Policy Characteristics'!$C:$C,0)))</f>
        <v>0.25</v>
      </c>
      <c r="N757" s="398">
        <f>IF(ISBLANK(INDEX('Policy Characteristics'!H:H,MATCH($C757,'Policy Characteristics'!$C:$C,0))),"",INDEX('Policy Characteristics'!H:H,MATCH($C757,'Policy Characteristics'!$C:$C,0)))</f>
        <v>0.01</v>
      </c>
      <c r="O757" s="394" t="str">
        <f>IF(ISBLANK(INDEX('Policy Characteristics'!I:I,MATCH($C757,'Policy Characteristics'!$C:$C,0))),"",INDEX('Policy Characteristics'!I:I,MATCH($C757,'Policy Characteristics'!$C:$C,0)))</f>
        <v>% reduction in energy use</v>
      </c>
      <c r="P757" s="394" t="str">
        <f>IF(ISBLANK(INDEX('Policy Characteristics'!J:J,MATCH($C757,'Policy Characteristics'!$C:$C,0))),"",INDEX('Policy Characteristics'!J:J,MATCH($C757,'Policy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7" s="394" t="str">
        <f>IF(ISBLANK(INDEX('Policy Characteristics'!K:K,MATCH($C757,'Policy Characteristics'!$C:$C,0))),"",INDEX('Policy Characteristics'!K:K,MATCH($C757,'Policy Characteristics'!$C:$C,0)))</f>
        <v>industry-ag-main.html#eff-stds</v>
      </c>
      <c r="R757" s="394" t="str">
        <f>IF(ISBLANK(INDEX('Policy Characteristics'!L:L,MATCH($C757,'Policy Characteristics'!$C:$C,0))),"",INDEX('Policy Characteristics'!L:L,MATCH($C757,'Policy Characteristics'!$C:$C,0)))</f>
        <v>industry-energy-efficiency-standards.html</v>
      </c>
    </row>
    <row r="758" s="384" customFormat="1" customHeight="1" spans="1:18">
      <c r="A758" s="394" t="str">
        <f>IF(ISBLANK(INDEX('Policy Characteristics'!A:A,MATCH($C758,'Policy Characteristics'!$C:$C,0))),"",INDEX('Policy Characteristics'!A:A,MATCH($C758,'Policy Characteristics'!$C:$C,0)))</f>
        <v>Industry</v>
      </c>
      <c r="B758" s="395" t="str">
        <f>IF(ISBLANK(INDEX('Policy Characteristics'!B:B,MATCH($C758,'Policy Characteristics'!$C:$C,0))),"",INDEX('Policy Characteristics'!B:B,MATCH($C758,'Policy Characteristics'!$C:$C,0)))</f>
        <v>Industry Energy Efficiency Standards</v>
      </c>
      <c r="C758" s="394" t="str">
        <f t="shared" si="37"/>
        <v>Percentage Improvement in Eqpt Efficiency Standards above BAU</v>
      </c>
      <c r="D758" s="399" t="s">
        <v>742</v>
      </c>
      <c r="E758" s="399" t="s">
        <v>794</v>
      </c>
      <c r="F758" t="s">
        <v>743</v>
      </c>
      <c r="G758" s="399" t="s">
        <v>813</v>
      </c>
      <c r="H758" s="377">
        <v>979</v>
      </c>
      <c r="I758" s="396" t="s">
        <v>648</v>
      </c>
      <c r="J758" s="397" t="str">
        <f>IF(ISBLANK(INDEX('Policy Characteristics'!D:D,MATCH($C758,'Policy Characteristics'!$C:$C,0))),"",INDEX('Policy Characteristics'!D:D,MATCH($C758,'Policy Characteristics'!$C:$C,0)))</f>
        <v>Industry Energy Efficiency Standards</v>
      </c>
      <c r="K758" s="394" t="str">
        <f>IF(ISBLANK(INDEX('Policy Characteristics'!E:E,MATCH($C758,'Policy Characteristics'!$C:$C,0))),"",INDEX('Policy Characteristics'!E:E,MATCH($C758,'Policy Characteristics'!$C:$C,0)))</f>
        <v>indst efficiency standards</v>
      </c>
      <c r="L758" s="398">
        <f>IF(ISBLANK(INDEX('Policy Characteristics'!F:F,MATCH($C758,'Policy Characteristics'!$C:$C,0))),"",INDEX('Policy Characteristics'!F:F,MATCH($C758,'Policy Characteristics'!$C:$C,0)))</f>
        <v>0</v>
      </c>
      <c r="M758" s="398">
        <f>IF(ISBLANK(INDEX('Policy Characteristics'!G:G,MATCH($C758,'Policy Characteristics'!$C:$C,0))),"",INDEX('Policy Characteristics'!G:G,MATCH($C758,'Policy Characteristics'!$C:$C,0)))</f>
        <v>0.25</v>
      </c>
      <c r="N758" s="398">
        <f>IF(ISBLANK(INDEX('Policy Characteristics'!H:H,MATCH($C758,'Policy Characteristics'!$C:$C,0))),"",INDEX('Policy Characteristics'!H:H,MATCH($C758,'Policy Characteristics'!$C:$C,0)))</f>
        <v>0.01</v>
      </c>
      <c r="O758" s="394" t="str">
        <f>IF(ISBLANK(INDEX('Policy Characteristics'!I:I,MATCH($C758,'Policy Characteristics'!$C:$C,0))),"",INDEX('Policy Characteristics'!I:I,MATCH($C758,'Policy Characteristics'!$C:$C,0)))</f>
        <v>% reduction in energy use</v>
      </c>
      <c r="P758" s="394" t="str">
        <f>IF(ISBLANK(INDEX('Policy Characteristics'!J:J,MATCH($C758,'Policy Characteristics'!$C:$C,0))),"",INDEX('Policy Characteristics'!J:J,MATCH($C758,'Policy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8" s="394" t="str">
        <f>IF(ISBLANK(INDEX('Policy Characteristics'!K:K,MATCH($C758,'Policy Characteristics'!$C:$C,0))),"",INDEX('Policy Characteristics'!K:K,MATCH($C758,'Policy Characteristics'!$C:$C,0)))</f>
        <v>industry-ag-main.html#eff-stds</v>
      </c>
      <c r="R758" s="394" t="str">
        <f>IF(ISBLANK(INDEX('Policy Characteristics'!L:L,MATCH($C758,'Policy Characteristics'!$C:$C,0))),"",INDEX('Policy Characteristics'!L:L,MATCH($C758,'Policy Characteristics'!$C:$C,0)))</f>
        <v>industry-energy-efficiency-standards.html</v>
      </c>
    </row>
    <row r="759" s="384" customFormat="1" customHeight="1" spans="1:18">
      <c r="A759" s="394" t="str">
        <f>IF(ISBLANK(INDEX('Policy Characteristics'!A:A,MATCH($C759,'Policy Characteristics'!$C:$C,0))),"",INDEX('Policy Characteristics'!A:A,MATCH($C759,'Policy Characteristics'!$C:$C,0)))</f>
        <v>Industry</v>
      </c>
      <c r="B759" s="395" t="str">
        <f>IF(ISBLANK(INDEX('Policy Characteristics'!B:B,MATCH($C759,'Policy Characteristics'!$C:$C,0))),"",INDEX('Policy Characteristics'!B:B,MATCH($C759,'Policy Characteristics'!$C:$C,0)))</f>
        <v>Industry Energy Efficiency Standards</v>
      </c>
      <c r="C759" s="394" t="str">
        <f t="shared" si="37"/>
        <v>Percentage Improvement in Eqpt Efficiency Standards above BAU</v>
      </c>
      <c r="D759" s="399" t="s">
        <v>742</v>
      </c>
      <c r="E759" s="399" t="s">
        <v>796</v>
      </c>
      <c r="F759" t="s">
        <v>743</v>
      </c>
      <c r="G759" s="399" t="s">
        <v>814</v>
      </c>
      <c r="H759" s="377">
        <v>980</v>
      </c>
      <c r="I759" s="396" t="s">
        <v>648</v>
      </c>
      <c r="J759" s="397" t="str">
        <f>IF(ISBLANK(INDEX('Policy Characteristics'!D:D,MATCH($C759,'Policy Characteristics'!$C:$C,0))),"",INDEX('Policy Characteristics'!D:D,MATCH($C759,'Policy Characteristics'!$C:$C,0)))</f>
        <v>Industry Energy Efficiency Standards</v>
      </c>
      <c r="K759" s="394" t="str">
        <f>IF(ISBLANK(INDEX('Policy Characteristics'!E:E,MATCH($C759,'Policy Characteristics'!$C:$C,0))),"",INDEX('Policy Characteristics'!E:E,MATCH($C759,'Policy Characteristics'!$C:$C,0)))</f>
        <v>indst efficiency standards</v>
      </c>
      <c r="L759" s="398">
        <f>IF(ISBLANK(INDEX('Policy Characteristics'!F:F,MATCH($C759,'Policy Characteristics'!$C:$C,0))),"",INDEX('Policy Characteristics'!F:F,MATCH($C759,'Policy Characteristics'!$C:$C,0)))</f>
        <v>0</v>
      </c>
      <c r="M759" s="398">
        <f>IF(ISBLANK(INDEX('Policy Characteristics'!G:G,MATCH($C759,'Policy Characteristics'!$C:$C,0))),"",INDEX('Policy Characteristics'!G:G,MATCH($C759,'Policy Characteristics'!$C:$C,0)))</f>
        <v>0.25</v>
      </c>
      <c r="N759" s="398">
        <f>IF(ISBLANK(INDEX('Policy Characteristics'!H:H,MATCH($C759,'Policy Characteristics'!$C:$C,0))),"",INDEX('Policy Characteristics'!H:H,MATCH($C759,'Policy Characteristics'!$C:$C,0)))</f>
        <v>0.01</v>
      </c>
      <c r="O759" s="394" t="str">
        <f>IF(ISBLANK(INDEX('Policy Characteristics'!I:I,MATCH($C759,'Policy Characteristics'!$C:$C,0))),"",INDEX('Policy Characteristics'!I:I,MATCH($C759,'Policy Characteristics'!$C:$C,0)))</f>
        <v>% reduction in energy use</v>
      </c>
      <c r="P759" s="394" t="str">
        <f>IF(ISBLANK(INDEX('Policy Characteristics'!J:J,MATCH($C759,'Policy Characteristics'!$C:$C,0))),"",INDEX('Policy Characteristics'!J:J,MATCH($C759,'Policy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9" s="394" t="str">
        <f>IF(ISBLANK(INDEX('Policy Characteristics'!K:K,MATCH($C759,'Policy Characteristics'!$C:$C,0))),"",INDEX('Policy Characteristics'!K:K,MATCH($C759,'Policy Characteristics'!$C:$C,0)))</f>
        <v>industry-ag-main.html#eff-stds</v>
      </c>
      <c r="R759" s="394" t="str">
        <f>IF(ISBLANK(INDEX('Policy Characteristics'!L:L,MATCH($C759,'Policy Characteristics'!$C:$C,0))),"",INDEX('Policy Characteristics'!L:L,MATCH($C759,'Policy Characteristics'!$C:$C,0)))</f>
        <v>industry-energy-efficiency-standards.html</v>
      </c>
    </row>
    <row r="760" s="384" customFormat="1" customHeight="1" spans="1:18">
      <c r="A760" s="394" t="str">
        <f>IF(ISBLANK(INDEX('Policy Characteristics'!A:A,MATCH($C760,'Policy Characteristics'!$C:$C,0))),"",INDEX('Policy Characteristics'!A:A,MATCH($C760,'Policy Characteristics'!$C:$C,0)))</f>
        <v>Industry</v>
      </c>
      <c r="B760" s="395" t="str">
        <f>IF(ISBLANK(INDEX('Policy Characteristics'!B:B,MATCH($C760,'Policy Characteristics'!$C:$C,0))),"",INDEX('Policy Characteristics'!B:B,MATCH($C760,'Policy Characteristics'!$C:$C,0)))</f>
        <v>Industry Energy Efficiency Standards</v>
      </c>
      <c r="C760" s="394" t="str">
        <f t="shared" si="37"/>
        <v>Percentage Improvement in Eqpt Efficiency Standards above BAU</v>
      </c>
      <c r="D760" s="399" t="s">
        <v>742</v>
      </c>
      <c r="E760" s="399" t="s">
        <v>798</v>
      </c>
      <c r="F760" t="s">
        <v>743</v>
      </c>
      <c r="G760" s="399" t="s">
        <v>815</v>
      </c>
      <c r="H760" s="377">
        <v>981</v>
      </c>
      <c r="I760" s="396" t="s">
        <v>648</v>
      </c>
      <c r="J760" s="397" t="str">
        <f>IF(ISBLANK(INDEX('Policy Characteristics'!D:D,MATCH($C760,'Policy Characteristics'!$C:$C,0))),"",INDEX('Policy Characteristics'!D:D,MATCH($C760,'Policy Characteristics'!$C:$C,0)))</f>
        <v>Industry Energy Efficiency Standards</v>
      </c>
      <c r="K760" s="394" t="str">
        <f>IF(ISBLANK(INDEX('Policy Characteristics'!E:E,MATCH($C760,'Policy Characteristics'!$C:$C,0))),"",INDEX('Policy Characteristics'!E:E,MATCH($C760,'Policy Characteristics'!$C:$C,0)))</f>
        <v>indst efficiency standards</v>
      </c>
      <c r="L760" s="398">
        <f>IF(ISBLANK(INDEX('Policy Characteristics'!F:F,MATCH($C760,'Policy Characteristics'!$C:$C,0))),"",INDEX('Policy Characteristics'!F:F,MATCH($C760,'Policy Characteristics'!$C:$C,0)))</f>
        <v>0</v>
      </c>
      <c r="M760" s="398">
        <f>IF(ISBLANK(INDEX('Policy Characteristics'!G:G,MATCH($C760,'Policy Characteristics'!$C:$C,0))),"",INDEX('Policy Characteristics'!G:G,MATCH($C760,'Policy Characteristics'!$C:$C,0)))</f>
        <v>0.25</v>
      </c>
      <c r="N760" s="398">
        <f>IF(ISBLANK(INDEX('Policy Characteristics'!H:H,MATCH($C760,'Policy Characteristics'!$C:$C,0))),"",INDEX('Policy Characteristics'!H:H,MATCH($C760,'Policy Characteristics'!$C:$C,0)))</f>
        <v>0.01</v>
      </c>
      <c r="O760" s="394" t="str">
        <f>IF(ISBLANK(INDEX('Policy Characteristics'!I:I,MATCH($C760,'Policy Characteristics'!$C:$C,0))),"",INDEX('Policy Characteristics'!I:I,MATCH($C760,'Policy Characteristics'!$C:$C,0)))</f>
        <v>% reduction in energy use</v>
      </c>
      <c r="P760" s="394" t="str">
        <f>IF(ISBLANK(INDEX('Policy Characteristics'!J:J,MATCH($C760,'Policy Characteristics'!$C:$C,0))),"",INDEX('Policy Characteristics'!J:J,MATCH($C760,'Policy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0" s="394" t="str">
        <f>IF(ISBLANK(INDEX('Policy Characteristics'!K:K,MATCH($C760,'Policy Characteristics'!$C:$C,0))),"",INDEX('Policy Characteristics'!K:K,MATCH($C760,'Policy Characteristics'!$C:$C,0)))</f>
        <v>industry-ag-main.html#eff-stds</v>
      </c>
      <c r="R760" s="394" t="str">
        <f>IF(ISBLANK(INDEX('Policy Characteristics'!L:L,MATCH($C760,'Policy Characteristics'!$C:$C,0))),"",INDEX('Policy Characteristics'!L:L,MATCH($C760,'Policy Characteristics'!$C:$C,0)))</f>
        <v>industry-energy-efficiency-standards.html</v>
      </c>
    </row>
    <row r="761" s="384" customFormat="1" customHeight="1" spans="1:18">
      <c r="A761" s="394" t="str">
        <f>IF(ISBLANK(INDEX('Policy Characteristics'!A:A,MATCH($C761,'Policy Characteristics'!$C:$C,0))),"",INDEX('Policy Characteristics'!A:A,MATCH($C761,'Policy Characteristics'!$C:$C,0)))</f>
        <v>Industry</v>
      </c>
      <c r="B761" s="395" t="str">
        <f>IF(ISBLANK(INDEX('Policy Characteristics'!B:B,MATCH($C761,'Policy Characteristics'!$C:$C,0))),"",INDEX('Policy Characteristics'!B:B,MATCH($C761,'Policy Characteristics'!$C:$C,0)))</f>
        <v>Industry Energy Efficiency Standards</v>
      </c>
      <c r="C761" s="394" t="str">
        <f t="shared" si="37"/>
        <v>Percentage Improvement in Eqpt Efficiency Standards above BAU</v>
      </c>
      <c r="D761" s="399" t="s">
        <v>742</v>
      </c>
      <c r="E761" s="399" t="s">
        <v>800</v>
      </c>
      <c r="F761" t="s">
        <v>743</v>
      </c>
      <c r="G761" s="399" t="s">
        <v>816</v>
      </c>
      <c r="H761" s="377">
        <v>982</v>
      </c>
      <c r="I761" s="396" t="s">
        <v>648</v>
      </c>
      <c r="J761" s="397" t="str">
        <f>IF(ISBLANK(INDEX('Policy Characteristics'!D:D,MATCH($C761,'Policy Characteristics'!$C:$C,0))),"",INDEX('Policy Characteristics'!D:D,MATCH($C761,'Policy Characteristics'!$C:$C,0)))</f>
        <v>Industry Energy Efficiency Standards</v>
      </c>
      <c r="K761" s="394" t="str">
        <f>IF(ISBLANK(INDEX('Policy Characteristics'!E:E,MATCH($C761,'Policy Characteristics'!$C:$C,0))),"",INDEX('Policy Characteristics'!E:E,MATCH($C761,'Policy Characteristics'!$C:$C,0)))</f>
        <v>indst efficiency standards</v>
      </c>
      <c r="L761" s="398">
        <f>IF(ISBLANK(INDEX('Policy Characteristics'!F:F,MATCH($C761,'Policy Characteristics'!$C:$C,0))),"",INDEX('Policy Characteristics'!F:F,MATCH($C761,'Policy Characteristics'!$C:$C,0)))</f>
        <v>0</v>
      </c>
      <c r="M761" s="398">
        <f>IF(ISBLANK(INDEX('Policy Characteristics'!G:G,MATCH($C761,'Policy Characteristics'!$C:$C,0))),"",INDEX('Policy Characteristics'!G:G,MATCH($C761,'Policy Characteristics'!$C:$C,0)))</f>
        <v>0.25</v>
      </c>
      <c r="N761" s="398">
        <f>IF(ISBLANK(INDEX('Policy Characteristics'!H:H,MATCH($C761,'Policy Characteristics'!$C:$C,0))),"",INDEX('Policy Characteristics'!H:H,MATCH($C761,'Policy Characteristics'!$C:$C,0)))</f>
        <v>0.01</v>
      </c>
      <c r="O761" s="394" t="str">
        <f>IF(ISBLANK(INDEX('Policy Characteristics'!I:I,MATCH($C761,'Policy Characteristics'!$C:$C,0))),"",INDEX('Policy Characteristics'!I:I,MATCH($C761,'Policy Characteristics'!$C:$C,0)))</f>
        <v>% reduction in energy use</v>
      </c>
      <c r="P761" s="394" t="str">
        <f>IF(ISBLANK(INDEX('Policy Characteristics'!J:J,MATCH($C761,'Policy Characteristics'!$C:$C,0))),"",INDEX('Policy Characteristics'!J:J,MATCH($C761,'Policy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1" s="394" t="str">
        <f>IF(ISBLANK(INDEX('Policy Characteristics'!K:K,MATCH($C761,'Policy Characteristics'!$C:$C,0))),"",INDEX('Policy Characteristics'!K:K,MATCH($C761,'Policy Characteristics'!$C:$C,0)))</f>
        <v>industry-ag-main.html#eff-stds</v>
      </c>
      <c r="R761" s="394" t="str">
        <f>IF(ISBLANK(INDEX('Policy Characteristics'!L:L,MATCH($C761,'Policy Characteristics'!$C:$C,0))),"",INDEX('Policy Characteristics'!L:L,MATCH($C761,'Policy Characteristics'!$C:$C,0)))</f>
        <v>industry-energy-efficiency-standards.html</v>
      </c>
    </row>
    <row r="762" s="384" customFormat="1" customHeight="1" spans="1:18">
      <c r="A762" s="394" t="str">
        <f>IF(ISBLANK(INDEX('Policy Characteristics'!A:A,MATCH($C762,'Policy Characteristics'!$C:$C,0))),"",INDEX('Policy Characteristics'!A:A,MATCH($C762,'Policy Characteristics'!$C:$C,0)))</f>
        <v>Industry</v>
      </c>
      <c r="B762" s="395" t="str">
        <f>IF(ISBLANK(INDEX('Policy Characteristics'!B:B,MATCH($C762,'Policy Characteristics'!$C:$C,0))),"",INDEX('Policy Characteristics'!B:B,MATCH($C762,'Policy Characteristics'!$C:$C,0)))</f>
        <v>Industry Energy Efficiency Standards</v>
      </c>
      <c r="C762" s="394" t="str">
        <f t="shared" si="37"/>
        <v>Percentage Improvement in Eqpt Efficiency Standards above BAU</v>
      </c>
      <c r="D762" s="399" t="s">
        <v>742</v>
      </c>
      <c r="E762" s="399" t="s">
        <v>802</v>
      </c>
      <c r="F762" t="s">
        <v>743</v>
      </c>
      <c r="G762" s="399" t="s">
        <v>817</v>
      </c>
      <c r="H762" s="377">
        <v>983</v>
      </c>
      <c r="I762" s="396" t="s">
        <v>648</v>
      </c>
      <c r="J762" s="397" t="str">
        <f>IF(ISBLANK(INDEX('Policy Characteristics'!D:D,MATCH($C762,'Policy Characteristics'!$C:$C,0))),"",INDEX('Policy Characteristics'!D:D,MATCH($C762,'Policy Characteristics'!$C:$C,0)))</f>
        <v>Industry Energy Efficiency Standards</v>
      </c>
      <c r="K762" s="394" t="str">
        <f>IF(ISBLANK(INDEX('Policy Characteristics'!E:E,MATCH($C762,'Policy Characteristics'!$C:$C,0))),"",INDEX('Policy Characteristics'!E:E,MATCH($C762,'Policy Characteristics'!$C:$C,0)))</f>
        <v>indst efficiency standards</v>
      </c>
      <c r="L762" s="398">
        <f>IF(ISBLANK(INDEX('Policy Characteristics'!F:F,MATCH($C762,'Policy Characteristics'!$C:$C,0))),"",INDEX('Policy Characteristics'!F:F,MATCH($C762,'Policy Characteristics'!$C:$C,0)))</f>
        <v>0</v>
      </c>
      <c r="M762" s="398">
        <f>IF(ISBLANK(INDEX('Policy Characteristics'!G:G,MATCH($C762,'Policy Characteristics'!$C:$C,0))),"",INDEX('Policy Characteristics'!G:G,MATCH($C762,'Policy Characteristics'!$C:$C,0)))</f>
        <v>0.25</v>
      </c>
      <c r="N762" s="398">
        <f>IF(ISBLANK(INDEX('Policy Characteristics'!H:H,MATCH($C762,'Policy Characteristics'!$C:$C,0))),"",INDEX('Policy Characteristics'!H:H,MATCH($C762,'Policy Characteristics'!$C:$C,0)))</f>
        <v>0.01</v>
      </c>
      <c r="O762" s="394" t="str">
        <f>IF(ISBLANK(INDEX('Policy Characteristics'!I:I,MATCH($C762,'Policy Characteristics'!$C:$C,0))),"",INDEX('Policy Characteristics'!I:I,MATCH($C762,'Policy Characteristics'!$C:$C,0)))</f>
        <v>% reduction in energy use</v>
      </c>
      <c r="P762" s="394" t="str">
        <f>IF(ISBLANK(INDEX('Policy Characteristics'!J:J,MATCH($C762,'Policy Characteristics'!$C:$C,0))),"",INDEX('Policy Characteristics'!J:J,MATCH($C762,'Policy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2" s="394" t="str">
        <f>IF(ISBLANK(INDEX('Policy Characteristics'!K:K,MATCH($C762,'Policy Characteristics'!$C:$C,0))),"",INDEX('Policy Characteristics'!K:K,MATCH($C762,'Policy Characteristics'!$C:$C,0)))</f>
        <v>industry-ag-main.html#eff-stds</v>
      </c>
      <c r="R762" s="394" t="str">
        <f>IF(ISBLANK(INDEX('Policy Characteristics'!L:L,MATCH($C762,'Policy Characteristics'!$C:$C,0))),"",INDEX('Policy Characteristics'!L:L,MATCH($C762,'Policy Characteristics'!$C:$C,0)))</f>
        <v>industry-energy-efficiency-standards.html</v>
      </c>
    </row>
    <row r="763" s="384" customFormat="1" customHeight="1" spans="1:18">
      <c r="A763" s="394" t="str">
        <f>IF(ISBLANK(INDEX('Policy Characteristics'!A:A,MATCH($C763,'Policy Characteristics'!$C:$C,0))),"",INDEX('Policy Characteristics'!A:A,MATCH($C763,'Policy Characteristics'!$C:$C,0)))</f>
        <v>Industry</v>
      </c>
      <c r="B763" s="395" t="str">
        <f>IF(ISBLANK(INDEX('Policy Characteristics'!B:B,MATCH($C763,'Policy Characteristics'!$C:$C,0))),"",INDEX('Policy Characteristics'!B:B,MATCH($C763,'Policy Characteristics'!$C:$C,0)))</f>
        <v>Industry Energy Efficiency Standards</v>
      </c>
      <c r="C763" s="394" t="str">
        <f t="shared" si="37"/>
        <v>Percentage Improvement in Eqpt Efficiency Standards above BAU</v>
      </c>
      <c r="D763" s="399" t="s">
        <v>742</v>
      </c>
      <c r="E763" s="399" t="s">
        <v>804</v>
      </c>
      <c r="F763" t="s">
        <v>743</v>
      </c>
      <c r="G763" s="399" t="s">
        <v>818</v>
      </c>
      <c r="H763" s="377">
        <v>984</v>
      </c>
      <c r="I763" s="396" t="s">
        <v>648</v>
      </c>
      <c r="J763" s="397" t="str">
        <f>IF(ISBLANK(INDEX('Policy Characteristics'!D:D,MATCH($C763,'Policy Characteristics'!$C:$C,0))),"",INDEX('Policy Characteristics'!D:D,MATCH($C763,'Policy Characteristics'!$C:$C,0)))</f>
        <v>Industry Energy Efficiency Standards</v>
      </c>
      <c r="K763" s="394" t="str">
        <f>IF(ISBLANK(INDEX('Policy Characteristics'!E:E,MATCH($C763,'Policy Characteristics'!$C:$C,0))),"",INDEX('Policy Characteristics'!E:E,MATCH($C763,'Policy Characteristics'!$C:$C,0)))</f>
        <v>indst efficiency standards</v>
      </c>
      <c r="L763" s="398">
        <f>IF(ISBLANK(INDEX('Policy Characteristics'!F:F,MATCH($C763,'Policy Characteristics'!$C:$C,0))),"",INDEX('Policy Characteristics'!F:F,MATCH($C763,'Policy Characteristics'!$C:$C,0)))</f>
        <v>0</v>
      </c>
      <c r="M763" s="398">
        <f>IF(ISBLANK(INDEX('Policy Characteristics'!G:G,MATCH($C763,'Policy Characteristics'!$C:$C,0))),"",INDEX('Policy Characteristics'!G:G,MATCH($C763,'Policy Characteristics'!$C:$C,0)))</f>
        <v>0.25</v>
      </c>
      <c r="N763" s="398">
        <f>IF(ISBLANK(INDEX('Policy Characteristics'!H:H,MATCH($C763,'Policy Characteristics'!$C:$C,0))),"",INDEX('Policy Characteristics'!H:H,MATCH($C763,'Policy Characteristics'!$C:$C,0)))</f>
        <v>0.01</v>
      </c>
      <c r="O763" s="394" t="str">
        <f>IF(ISBLANK(INDEX('Policy Characteristics'!I:I,MATCH($C763,'Policy Characteristics'!$C:$C,0))),"",INDEX('Policy Characteristics'!I:I,MATCH($C763,'Policy Characteristics'!$C:$C,0)))</f>
        <v>% reduction in energy use</v>
      </c>
      <c r="P763" s="394" t="str">
        <f>IF(ISBLANK(INDEX('Policy Characteristics'!J:J,MATCH($C763,'Policy Characteristics'!$C:$C,0))),"",INDEX('Policy Characteristics'!J:J,MATCH($C763,'Policy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3" s="394" t="str">
        <f>IF(ISBLANK(INDEX('Policy Characteristics'!K:K,MATCH($C763,'Policy Characteristics'!$C:$C,0))),"",INDEX('Policy Characteristics'!K:K,MATCH($C763,'Policy Characteristics'!$C:$C,0)))</f>
        <v>industry-ag-main.html#eff-stds</v>
      </c>
      <c r="R763" s="394" t="str">
        <f>IF(ISBLANK(INDEX('Policy Characteristics'!L:L,MATCH($C763,'Policy Characteristics'!$C:$C,0))),"",INDEX('Policy Characteristics'!L:L,MATCH($C763,'Policy Characteristics'!$C:$C,0)))</f>
        <v>industry-energy-efficiency-standards.html</v>
      </c>
    </row>
    <row r="764" s="384" customFormat="1" customHeight="1" spans="1:18">
      <c r="A764" s="394" t="str">
        <f>IF(ISBLANK(INDEX('Policy Characteristics'!A:A,MATCH($C764,'Policy Characteristics'!$C:$C,0))),"",INDEX('Policy Characteristics'!A:A,MATCH($C764,'Policy Characteristics'!$C:$C,0)))</f>
        <v>Industry</v>
      </c>
      <c r="B764" s="395" t="str">
        <f>IF(ISBLANK(INDEX('Policy Characteristics'!B:B,MATCH($C764,'Policy Characteristics'!$C:$C,0))),"",INDEX('Policy Characteristics'!B:B,MATCH($C764,'Policy Characteristics'!$C:$C,0)))</f>
        <v>Industry Energy Efficiency Standards</v>
      </c>
      <c r="C764" s="394" t="str">
        <f t="shared" si="37"/>
        <v>Percentage Improvement in Eqpt Efficiency Standards above BAU</v>
      </c>
      <c r="D764" s="399" t="s">
        <v>742</v>
      </c>
      <c r="E764" s="399" t="s">
        <v>806</v>
      </c>
      <c r="F764" t="s">
        <v>743</v>
      </c>
      <c r="G764" s="399" t="s">
        <v>819</v>
      </c>
      <c r="H764" s="377">
        <v>985</v>
      </c>
      <c r="I764" s="396" t="s">
        <v>648</v>
      </c>
      <c r="J764" s="397" t="str">
        <f>IF(ISBLANK(INDEX('Policy Characteristics'!D:D,MATCH($C764,'Policy Characteristics'!$C:$C,0))),"",INDEX('Policy Characteristics'!D:D,MATCH($C764,'Policy Characteristics'!$C:$C,0)))</f>
        <v>Industry Energy Efficiency Standards</v>
      </c>
      <c r="K764" s="394" t="str">
        <f>IF(ISBLANK(INDEX('Policy Characteristics'!E:E,MATCH($C764,'Policy Characteristics'!$C:$C,0))),"",INDEX('Policy Characteristics'!E:E,MATCH($C764,'Policy Characteristics'!$C:$C,0)))</f>
        <v>indst efficiency standards</v>
      </c>
      <c r="L764" s="398">
        <f>IF(ISBLANK(INDEX('Policy Characteristics'!F:F,MATCH($C764,'Policy Characteristics'!$C:$C,0))),"",INDEX('Policy Characteristics'!F:F,MATCH($C764,'Policy Characteristics'!$C:$C,0)))</f>
        <v>0</v>
      </c>
      <c r="M764" s="398">
        <f>IF(ISBLANK(INDEX('Policy Characteristics'!G:G,MATCH($C764,'Policy Characteristics'!$C:$C,0))),"",INDEX('Policy Characteristics'!G:G,MATCH($C764,'Policy Characteristics'!$C:$C,0)))</f>
        <v>0.25</v>
      </c>
      <c r="N764" s="398">
        <f>IF(ISBLANK(INDEX('Policy Characteristics'!H:H,MATCH($C764,'Policy Characteristics'!$C:$C,0))),"",INDEX('Policy Characteristics'!H:H,MATCH($C764,'Policy Characteristics'!$C:$C,0)))</f>
        <v>0.01</v>
      </c>
      <c r="O764" s="394" t="str">
        <f>IF(ISBLANK(INDEX('Policy Characteristics'!I:I,MATCH($C764,'Policy Characteristics'!$C:$C,0))),"",INDEX('Policy Characteristics'!I:I,MATCH($C764,'Policy Characteristics'!$C:$C,0)))</f>
        <v>% reduction in energy use</v>
      </c>
      <c r="P764" s="394" t="str">
        <f>IF(ISBLANK(INDEX('Policy Characteristics'!J:J,MATCH($C764,'Policy Characteristics'!$C:$C,0))),"",INDEX('Policy Characteristics'!J:J,MATCH($C764,'Policy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4" s="394" t="str">
        <f>IF(ISBLANK(INDEX('Policy Characteristics'!K:K,MATCH($C764,'Policy Characteristics'!$C:$C,0))),"",INDEX('Policy Characteristics'!K:K,MATCH($C764,'Policy Characteristics'!$C:$C,0)))</f>
        <v>industry-ag-main.html#eff-stds</v>
      </c>
      <c r="R764" s="394" t="str">
        <f>IF(ISBLANK(INDEX('Policy Characteristics'!L:L,MATCH($C764,'Policy Characteristics'!$C:$C,0))),"",INDEX('Policy Characteristics'!L:L,MATCH($C764,'Policy Characteristics'!$C:$C,0)))</f>
        <v>industry-energy-efficiency-standards.html</v>
      </c>
    </row>
    <row r="765" s="384" customFormat="1" customHeight="1" spans="1:18">
      <c r="A765" s="394" t="str">
        <f>IF(ISBLANK(INDEX('Policy Characteristics'!A:A,MATCH($C765,'Policy Characteristics'!$C:$C,0))),"",INDEX('Policy Characteristics'!A:A,MATCH($C765,'Policy Characteristics'!$C:$C,0)))</f>
        <v>Industry</v>
      </c>
      <c r="B765" s="395" t="str">
        <f>IF(ISBLANK(INDEX('Policy Characteristics'!B:B,MATCH($C765,'Policy Characteristics'!$C:$C,0))),"",INDEX('Policy Characteristics'!B:B,MATCH($C765,'Policy Characteristics'!$C:$C,0)))</f>
        <v>Industry Energy Efficiency Standards</v>
      </c>
      <c r="C765" s="394" t="str">
        <f t="shared" si="37"/>
        <v>Percentage Improvement in Eqpt Efficiency Standards above BAU</v>
      </c>
      <c r="D765" s="399" t="s">
        <v>742</v>
      </c>
      <c r="E765" s="399" t="s">
        <v>808</v>
      </c>
      <c r="F765" t="s">
        <v>743</v>
      </c>
      <c r="G765" s="399" t="s">
        <v>820</v>
      </c>
      <c r="H765" s="377">
        <v>986</v>
      </c>
      <c r="I765" s="396" t="s">
        <v>648</v>
      </c>
      <c r="J765" s="397" t="str">
        <f>IF(ISBLANK(INDEX('Policy Characteristics'!D:D,MATCH($C765,'Policy Characteristics'!$C:$C,0))),"",INDEX('Policy Characteristics'!D:D,MATCH($C765,'Policy Characteristics'!$C:$C,0)))</f>
        <v>Industry Energy Efficiency Standards</v>
      </c>
      <c r="K765" s="394" t="str">
        <f>IF(ISBLANK(INDEX('Policy Characteristics'!E:E,MATCH($C765,'Policy Characteristics'!$C:$C,0))),"",INDEX('Policy Characteristics'!E:E,MATCH($C765,'Policy Characteristics'!$C:$C,0)))</f>
        <v>indst efficiency standards</v>
      </c>
      <c r="L765" s="398">
        <f>IF(ISBLANK(INDEX('Policy Characteristics'!F:F,MATCH($C765,'Policy Characteristics'!$C:$C,0))),"",INDEX('Policy Characteristics'!F:F,MATCH($C765,'Policy Characteristics'!$C:$C,0)))</f>
        <v>0</v>
      </c>
      <c r="M765" s="398">
        <f>IF(ISBLANK(INDEX('Policy Characteristics'!G:G,MATCH($C765,'Policy Characteristics'!$C:$C,0))),"",INDEX('Policy Characteristics'!G:G,MATCH($C765,'Policy Characteristics'!$C:$C,0)))</f>
        <v>0.25</v>
      </c>
      <c r="N765" s="398">
        <f>IF(ISBLANK(INDEX('Policy Characteristics'!H:H,MATCH($C765,'Policy Characteristics'!$C:$C,0))),"",INDEX('Policy Characteristics'!H:H,MATCH($C765,'Policy Characteristics'!$C:$C,0)))</f>
        <v>0.01</v>
      </c>
      <c r="O765" s="394" t="str">
        <f>IF(ISBLANK(INDEX('Policy Characteristics'!I:I,MATCH($C765,'Policy Characteristics'!$C:$C,0))),"",INDEX('Policy Characteristics'!I:I,MATCH($C765,'Policy Characteristics'!$C:$C,0)))</f>
        <v>% reduction in energy use</v>
      </c>
      <c r="P765" s="394" t="str">
        <f>IF(ISBLANK(INDEX('Policy Characteristics'!J:J,MATCH($C765,'Policy Characteristics'!$C:$C,0))),"",INDEX('Policy Characteristics'!J:J,MATCH($C765,'Policy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5" s="394" t="str">
        <f>IF(ISBLANK(INDEX('Policy Characteristics'!K:K,MATCH($C765,'Policy Characteristics'!$C:$C,0))),"",INDEX('Policy Characteristics'!K:K,MATCH($C765,'Policy Characteristics'!$C:$C,0)))</f>
        <v>industry-ag-main.html#eff-stds</v>
      </c>
      <c r="R765" s="394" t="str">
        <f>IF(ISBLANK(INDEX('Policy Characteristics'!L:L,MATCH($C765,'Policy Characteristics'!$C:$C,0))),"",INDEX('Policy Characteristics'!L:L,MATCH($C765,'Policy Characteristics'!$C:$C,0)))</f>
        <v>industry-energy-efficiency-standards.html</v>
      </c>
    </row>
    <row r="766" s="384" customFormat="1" customHeight="1" spans="1:18">
      <c r="A766" s="394" t="str">
        <f>IF(ISBLANK(INDEX('Policy Characteristics'!A:A,MATCH($C766,'Policy Characteristics'!$C:$C,0))),"",INDEX('Policy Characteristics'!A:A,MATCH($C766,'Policy Characteristics'!$C:$C,0)))</f>
        <v>Industry</v>
      </c>
      <c r="B766" s="395" t="str">
        <f>IF(ISBLANK(INDEX('Policy Characteristics'!B:B,MATCH($C766,'Policy Characteristics'!$C:$C,0))),"",INDEX('Policy Characteristics'!B:B,MATCH($C766,'Policy Characteristics'!$C:$C,0)))</f>
        <v>Industry Energy Efficiency Standards</v>
      </c>
      <c r="C766" s="394" t="str">
        <f t="shared" si="37"/>
        <v>Percentage Improvement in Eqpt Efficiency Standards above BAU</v>
      </c>
      <c r="D766" s="399" t="s">
        <v>742</v>
      </c>
      <c r="E766" s="399" t="s">
        <v>810</v>
      </c>
      <c r="F766" t="s">
        <v>743</v>
      </c>
      <c r="G766" s="399" t="s">
        <v>821</v>
      </c>
      <c r="H766" s="377">
        <v>987</v>
      </c>
      <c r="I766" s="396" t="s">
        <v>648</v>
      </c>
      <c r="J766" s="397" t="str">
        <f>IF(ISBLANK(INDEX('Policy Characteristics'!D:D,MATCH($C766,'Policy Characteristics'!$C:$C,0))),"",INDEX('Policy Characteristics'!D:D,MATCH($C766,'Policy Characteristics'!$C:$C,0)))</f>
        <v>Industry Energy Efficiency Standards</v>
      </c>
      <c r="K766" s="394" t="str">
        <f>IF(ISBLANK(INDEX('Policy Characteristics'!E:E,MATCH($C766,'Policy Characteristics'!$C:$C,0))),"",INDEX('Policy Characteristics'!E:E,MATCH($C766,'Policy Characteristics'!$C:$C,0)))</f>
        <v>indst efficiency standards</v>
      </c>
      <c r="L766" s="398">
        <f>IF(ISBLANK(INDEX('Policy Characteristics'!F:F,MATCH($C766,'Policy Characteristics'!$C:$C,0))),"",INDEX('Policy Characteristics'!F:F,MATCH($C766,'Policy Characteristics'!$C:$C,0)))</f>
        <v>0</v>
      </c>
      <c r="M766" s="398">
        <f>IF(ISBLANK(INDEX('Policy Characteristics'!G:G,MATCH($C766,'Policy Characteristics'!$C:$C,0))),"",INDEX('Policy Characteristics'!G:G,MATCH($C766,'Policy Characteristics'!$C:$C,0)))</f>
        <v>0.25</v>
      </c>
      <c r="N766" s="398">
        <f>IF(ISBLANK(INDEX('Policy Characteristics'!H:H,MATCH($C766,'Policy Characteristics'!$C:$C,0))),"",INDEX('Policy Characteristics'!H:H,MATCH($C766,'Policy Characteristics'!$C:$C,0)))</f>
        <v>0.01</v>
      </c>
      <c r="O766" s="394" t="str">
        <f>IF(ISBLANK(INDEX('Policy Characteristics'!I:I,MATCH($C766,'Policy Characteristics'!$C:$C,0))),"",INDEX('Policy Characteristics'!I:I,MATCH($C766,'Policy Characteristics'!$C:$C,0)))</f>
        <v>% reduction in energy use</v>
      </c>
      <c r="P766" s="394" t="str">
        <f>IF(ISBLANK(INDEX('Policy Characteristics'!J:J,MATCH($C766,'Policy Characteristics'!$C:$C,0))),"",INDEX('Policy Characteristics'!J:J,MATCH($C766,'Policy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6" s="394" t="str">
        <f>IF(ISBLANK(INDEX('Policy Characteristics'!K:K,MATCH($C766,'Policy Characteristics'!$C:$C,0))),"",INDEX('Policy Characteristics'!K:K,MATCH($C766,'Policy Characteristics'!$C:$C,0)))</f>
        <v>industry-ag-main.html#eff-stds</v>
      </c>
      <c r="R766" s="394" t="str">
        <f>IF(ISBLANK(INDEX('Policy Characteristics'!L:L,MATCH($C766,'Policy Characteristics'!$C:$C,0))),"",INDEX('Policy Characteristics'!L:L,MATCH($C766,'Policy Characteristics'!$C:$C,0)))</f>
        <v>industry-energy-efficiency-standards.html</v>
      </c>
    </row>
    <row r="767" s="384" customFormat="1" customHeight="1" spans="1:18">
      <c r="A767" s="394" t="str">
        <f>IF(ISBLANK(INDEX('Policy Characteristics'!A:A,MATCH($C767,'Policy Characteristics'!$C:$C,0))),"",INDEX('Policy Characteristics'!A:A,MATCH($C767,'Policy Characteristics'!$C:$C,0)))</f>
        <v>Industry</v>
      </c>
      <c r="B767" s="395" t="str">
        <f>IF(ISBLANK(INDEX('Policy Characteristics'!B:B,MATCH($C767,'Policy Characteristics'!$C:$C,0))),"",INDEX('Policy Characteristics'!B:B,MATCH($C767,'Policy Characteristics'!$C:$C,0)))</f>
        <v>Industry Energy Efficiency Standards</v>
      </c>
      <c r="C767" s="394" t="str">
        <f t="shared" si="37"/>
        <v>Percentage Improvement in Eqpt Efficiency Standards above BAU</v>
      </c>
      <c r="D767" s="399" t="s">
        <v>744</v>
      </c>
      <c r="E767" s="399" t="s">
        <v>792</v>
      </c>
      <c r="F767" t="s">
        <v>745</v>
      </c>
      <c r="G767" s="399" t="s">
        <v>812</v>
      </c>
      <c r="H767" s="377">
        <v>988</v>
      </c>
      <c r="I767" s="396" t="s">
        <v>648</v>
      </c>
      <c r="J767" s="397" t="str">
        <f>IF(ISBLANK(INDEX('Policy Characteristics'!D:D,MATCH($C767,'Policy Characteristics'!$C:$C,0))),"",INDEX('Policy Characteristics'!D:D,MATCH($C767,'Policy Characteristics'!$C:$C,0)))</f>
        <v>Industry Energy Efficiency Standards</v>
      </c>
      <c r="K767" s="394" t="str">
        <f>IF(ISBLANK(INDEX('Policy Characteristics'!E:E,MATCH($C767,'Policy Characteristics'!$C:$C,0))),"",INDEX('Policy Characteristics'!E:E,MATCH($C767,'Policy Characteristics'!$C:$C,0)))</f>
        <v>indst efficiency standards</v>
      </c>
      <c r="L767" s="398">
        <f>IF(ISBLANK(INDEX('Policy Characteristics'!F:F,MATCH($C767,'Policy Characteristics'!$C:$C,0))),"",INDEX('Policy Characteristics'!F:F,MATCH($C767,'Policy Characteristics'!$C:$C,0)))</f>
        <v>0</v>
      </c>
      <c r="M767" s="398">
        <f>IF(ISBLANK(INDEX('Policy Characteristics'!G:G,MATCH($C767,'Policy Characteristics'!$C:$C,0))),"",INDEX('Policy Characteristics'!G:G,MATCH($C767,'Policy Characteristics'!$C:$C,0)))</f>
        <v>0.25</v>
      </c>
      <c r="N767" s="398">
        <f>IF(ISBLANK(INDEX('Policy Characteristics'!H:H,MATCH($C767,'Policy Characteristics'!$C:$C,0))),"",INDEX('Policy Characteristics'!H:H,MATCH($C767,'Policy Characteristics'!$C:$C,0)))</f>
        <v>0.01</v>
      </c>
      <c r="O767" s="394" t="str">
        <f>IF(ISBLANK(INDEX('Policy Characteristics'!I:I,MATCH($C767,'Policy Characteristics'!$C:$C,0))),"",INDEX('Policy Characteristics'!I:I,MATCH($C767,'Policy Characteristics'!$C:$C,0)))</f>
        <v>% reduction in energy use</v>
      </c>
      <c r="P767" s="394" t="str">
        <f>IF(ISBLANK(INDEX('Policy Characteristics'!J:J,MATCH($C767,'Policy Characteristics'!$C:$C,0))),"",INDEX('Policy Characteristics'!J:J,MATCH($C767,'Policy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7" s="394" t="str">
        <f>IF(ISBLANK(INDEX('Policy Characteristics'!K:K,MATCH($C767,'Policy Characteristics'!$C:$C,0))),"",INDEX('Policy Characteristics'!K:K,MATCH($C767,'Policy Characteristics'!$C:$C,0)))</f>
        <v>industry-ag-main.html#eff-stds</v>
      </c>
      <c r="R767" s="394" t="str">
        <f>IF(ISBLANK(INDEX('Policy Characteristics'!L:L,MATCH($C767,'Policy Characteristics'!$C:$C,0))),"",INDEX('Policy Characteristics'!L:L,MATCH($C767,'Policy Characteristics'!$C:$C,0)))</f>
        <v>industry-energy-efficiency-standards.html</v>
      </c>
    </row>
    <row r="768" s="384" customFormat="1" customHeight="1" spans="1:18">
      <c r="A768" s="394" t="str">
        <f>IF(ISBLANK(INDEX('Policy Characteristics'!A:A,MATCH($C768,'Policy Characteristics'!$C:$C,0))),"",INDEX('Policy Characteristics'!A:A,MATCH($C768,'Policy Characteristics'!$C:$C,0)))</f>
        <v>Industry</v>
      </c>
      <c r="B768" s="395" t="str">
        <f>IF(ISBLANK(INDEX('Policy Characteristics'!B:B,MATCH($C768,'Policy Characteristics'!$C:$C,0))),"",INDEX('Policy Characteristics'!B:B,MATCH($C768,'Policy Characteristics'!$C:$C,0)))</f>
        <v>Industry Energy Efficiency Standards</v>
      </c>
      <c r="C768" s="394" t="str">
        <f t="shared" si="37"/>
        <v>Percentage Improvement in Eqpt Efficiency Standards above BAU</v>
      </c>
      <c r="D768" s="399" t="s">
        <v>744</v>
      </c>
      <c r="E768" s="399" t="s">
        <v>794</v>
      </c>
      <c r="F768" t="s">
        <v>745</v>
      </c>
      <c r="G768" s="399" t="s">
        <v>813</v>
      </c>
      <c r="H768" s="377">
        <v>989</v>
      </c>
      <c r="I768" s="396" t="s">
        <v>648</v>
      </c>
      <c r="J768" s="397" t="str">
        <f>IF(ISBLANK(INDEX('Policy Characteristics'!D:D,MATCH($C768,'Policy Characteristics'!$C:$C,0))),"",INDEX('Policy Characteristics'!D:D,MATCH($C768,'Policy Characteristics'!$C:$C,0)))</f>
        <v>Industry Energy Efficiency Standards</v>
      </c>
      <c r="K768" s="394" t="str">
        <f>IF(ISBLANK(INDEX('Policy Characteristics'!E:E,MATCH($C768,'Policy Characteristics'!$C:$C,0))),"",INDEX('Policy Characteristics'!E:E,MATCH($C768,'Policy Characteristics'!$C:$C,0)))</f>
        <v>indst efficiency standards</v>
      </c>
      <c r="L768" s="398">
        <f>IF(ISBLANK(INDEX('Policy Characteristics'!F:F,MATCH($C768,'Policy Characteristics'!$C:$C,0))),"",INDEX('Policy Characteristics'!F:F,MATCH($C768,'Policy Characteristics'!$C:$C,0)))</f>
        <v>0</v>
      </c>
      <c r="M768" s="398">
        <f>IF(ISBLANK(INDEX('Policy Characteristics'!G:G,MATCH($C768,'Policy Characteristics'!$C:$C,0))),"",INDEX('Policy Characteristics'!G:G,MATCH($C768,'Policy Characteristics'!$C:$C,0)))</f>
        <v>0.25</v>
      </c>
      <c r="N768" s="398">
        <f>IF(ISBLANK(INDEX('Policy Characteristics'!H:H,MATCH($C768,'Policy Characteristics'!$C:$C,0))),"",INDEX('Policy Characteristics'!H:H,MATCH($C768,'Policy Characteristics'!$C:$C,0)))</f>
        <v>0.01</v>
      </c>
      <c r="O768" s="394" t="str">
        <f>IF(ISBLANK(INDEX('Policy Characteristics'!I:I,MATCH($C768,'Policy Characteristics'!$C:$C,0))),"",INDEX('Policy Characteristics'!I:I,MATCH($C768,'Policy Characteristics'!$C:$C,0)))</f>
        <v>% reduction in energy use</v>
      </c>
      <c r="P768" s="394" t="str">
        <f>IF(ISBLANK(INDEX('Policy Characteristics'!J:J,MATCH($C768,'Policy Characteristics'!$C:$C,0))),"",INDEX('Policy Characteristics'!J:J,MATCH($C768,'Policy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8" s="394" t="str">
        <f>IF(ISBLANK(INDEX('Policy Characteristics'!K:K,MATCH($C768,'Policy Characteristics'!$C:$C,0))),"",INDEX('Policy Characteristics'!K:K,MATCH($C768,'Policy Characteristics'!$C:$C,0)))</f>
        <v>industry-ag-main.html#eff-stds</v>
      </c>
      <c r="R768" s="394" t="str">
        <f>IF(ISBLANK(INDEX('Policy Characteristics'!L:L,MATCH($C768,'Policy Characteristics'!$C:$C,0))),"",INDEX('Policy Characteristics'!L:L,MATCH($C768,'Policy Characteristics'!$C:$C,0)))</f>
        <v>industry-energy-efficiency-standards.html</v>
      </c>
    </row>
    <row r="769" s="384" customFormat="1" customHeight="1" spans="1:18">
      <c r="A769" s="394" t="str">
        <f>IF(ISBLANK(INDEX('Policy Characteristics'!A:A,MATCH($C769,'Policy Characteristics'!$C:$C,0))),"",INDEX('Policy Characteristics'!A:A,MATCH($C769,'Policy Characteristics'!$C:$C,0)))</f>
        <v>Industry</v>
      </c>
      <c r="B769" s="395" t="str">
        <f>IF(ISBLANK(INDEX('Policy Characteristics'!B:B,MATCH($C769,'Policy Characteristics'!$C:$C,0))),"",INDEX('Policy Characteristics'!B:B,MATCH($C769,'Policy Characteristics'!$C:$C,0)))</f>
        <v>Industry Energy Efficiency Standards</v>
      </c>
      <c r="C769" s="394" t="str">
        <f t="shared" si="37"/>
        <v>Percentage Improvement in Eqpt Efficiency Standards above BAU</v>
      </c>
      <c r="D769" s="399" t="s">
        <v>744</v>
      </c>
      <c r="E769" s="399" t="s">
        <v>796</v>
      </c>
      <c r="F769" t="s">
        <v>745</v>
      </c>
      <c r="G769" s="399" t="s">
        <v>814</v>
      </c>
      <c r="H769" s="377">
        <v>990</v>
      </c>
      <c r="I769" s="396" t="s">
        <v>648</v>
      </c>
      <c r="J769" s="397" t="str">
        <f>IF(ISBLANK(INDEX('Policy Characteristics'!D:D,MATCH($C769,'Policy Characteristics'!$C:$C,0))),"",INDEX('Policy Characteristics'!D:D,MATCH($C769,'Policy Characteristics'!$C:$C,0)))</f>
        <v>Industry Energy Efficiency Standards</v>
      </c>
      <c r="K769" s="394" t="str">
        <f>IF(ISBLANK(INDEX('Policy Characteristics'!E:E,MATCH($C769,'Policy Characteristics'!$C:$C,0))),"",INDEX('Policy Characteristics'!E:E,MATCH($C769,'Policy Characteristics'!$C:$C,0)))</f>
        <v>indst efficiency standards</v>
      </c>
      <c r="L769" s="398">
        <f>IF(ISBLANK(INDEX('Policy Characteristics'!F:F,MATCH($C769,'Policy Characteristics'!$C:$C,0))),"",INDEX('Policy Characteristics'!F:F,MATCH($C769,'Policy Characteristics'!$C:$C,0)))</f>
        <v>0</v>
      </c>
      <c r="M769" s="398">
        <f>IF(ISBLANK(INDEX('Policy Characteristics'!G:G,MATCH($C769,'Policy Characteristics'!$C:$C,0))),"",INDEX('Policy Characteristics'!G:G,MATCH($C769,'Policy Characteristics'!$C:$C,0)))</f>
        <v>0.25</v>
      </c>
      <c r="N769" s="398">
        <f>IF(ISBLANK(INDEX('Policy Characteristics'!H:H,MATCH($C769,'Policy Characteristics'!$C:$C,0))),"",INDEX('Policy Characteristics'!H:H,MATCH($C769,'Policy Characteristics'!$C:$C,0)))</f>
        <v>0.01</v>
      </c>
      <c r="O769" s="394" t="str">
        <f>IF(ISBLANK(INDEX('Policy Characteristics'!I:I,MATCH($C769,'Policy Characteristics'!$C:$C,0))),"",INDEX('Policy Characteristics'!I:I,MATCH($C769,'Policy Characteristics'!$C:$C,0)))</f>
        <v>% reduction in energy use</v>
      </c>
      <c r="P769" s="394" t="str">
        <f>IF(ISBLANK(INDEX('Policy Characteristics'!J:J,MATCH($C769,'Policy Characteristics'!$C:$C,0))),"",INDEX('Policy Characteristics'!J:J,MATCH($C769,'Policy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9" s="394" t="str">
        <f>IF(ISBLANK(INDEX('Policy Characteristics'!K:K,MATCH($C769,'Policy Characteristics'!$C:$C,0))),"",INDEX('Policy Characteristics'!K:K,MATCH($C769,'Policy Characteristics'!$C:$C,0)))</f>
        <v>industry-ag-main.html#eff-stds</v>
      </c>
      <c r="R769" s="394" t="str">
        <f>IF(ISBLANK(INDEX('Policy Characteristics'!L:L,MATCH($C769,'Policy Characteristics'!$C:$C,0))),"",INDEX('Policy Characteristics'!L:L,MATCH($C769,'Policy Characteristics'!$C:$C,0)))</f>
        <v>industry-energy-efficiency-standards.html</v>
      </c>
    </row>
    <row r="770" s="384" customFormat="1" customHeight="1" spans="1:18">
      <c r="A770" s="394" t="str">
        <f>IF(ISBLANK(INDEX('Policy Characteristics'!A:A,MATCH($C770,'Policy Characteristics'!$C:$C,0))),"",INDEX('Policy Characteristics'!A:A,MATCH($C770,'Policy Characteristics'!$C:$C,0)))</f>
        <v>Industry</v>
      </c>
      <c r="B770" s="395" t="str">
        <f>IF(ISBLANK(INDEX('Policy Characteristics'!B:B,MATCH($C770,'Policy Characteristics'!$C:$C,0))),"",INDEX('Policy Characteristics'!B:B,MATCH($C770,'Policy Characteristics'!$C:$C,0)))</f>
        <v>Industry Energy Efficiency Standards</v>
      </c>
      <c r="C770" s="394" t="str">
        <f t="shared" si="37"/>
        <v>Percentage Improvement in Eqpt Efficiency Standards above BAU</v>
      </c>
      <c r="D770" s="399" t="s">
        <v>744</v>
      </c>
      <c r="E770" s="399" t="s">
        <v>798</v>
      </c>
      <c r="F770" t="s">
        <v>745</v>
      </c>
      <c r="G770" s="399" t="s">
        <v>815</v>
      </c>
      <c r="H770" s="377">
        <v>991</v>
      </c>
      <c r="I770" s="396" t="s">
        <v>648</v>
      </c>
      <c r="J770" s="397" t="str">
        <f>IF(ISBLANK(INDEX('Policy Characteristics'!D:D,MATCH($C770,'Policy Characteristics'!$C:$C,0))),"",INDEX('Policy Characteristics'!D:D,MATCH($C770,'Policy Characteristics'!$C:$C,0)))</f>
        <v>Industry Energy Efficiency Standards</v>
      </c>
      <c r="K770" s="394" t="str">
        <f>IF(ISBLANK(INDEX('Policy Characteristics'!E:E,MATCH($C770,'Policy Characteristics'!$C:$C,0))),"",INDEX('Policy Characteristics'!E:E,MATCH($C770,'Policy Characteristics'!$C:$C,0)))</f>
        <v>indst efficiency standards</v>
      </c>
      <c r="L770" s="398">
        <f>IF(ISBLANK(INDEX('Policy Characteristics'!F:F,MATCH($C770,'Policy Characteristics'!$C:$C,0))),"",INDEX('Policy Characteristics'!F:F,MATCH($C770,'Policy Characteristics'!$C:$C,0)))</f>
        <v>0</v>
      </c>
      <c r="M770" s="398">
        <f>IF(ISBLANK(INDEX('Policy Characteristics'!G:G,MATCH($C770,'Policy Characteristics'!$C:$C,0))),"",INDEX('Policy Characteristics'!G:G,MATCH($C770,'Policy Characteristics'!$C:$C,0)))</f>
        <v>0.25</v>
      </c>
      <c r="N770" s="398">
        <f>IF(ISBLANK(INDEX('Policy Characteristics'!H:H,MATCH($C770,'Policy Characteristics'!$C:$C,0))),"",INDEX('Policy Characteristics'!H:H,MATCH($C770,'Policy Characteristics'!$C:$C,0)))</f>
        <v>0.01</v>
      </c>
      <c r="O770" s="394" t="str">
        <f>IF(ISBLANK(INDEX('Policy Characteristics'!I:I,MATCH($C770,'Policy Characteristics'!$C:$C,0))),"",INDEX('Policy Characteristics'!I:I,MATCH($C770,'Policy Characteristics'!$C:$C,0)))</f>
        <v>% reduction in energy use</v>
      </c>
      <c r="P770" s="394" t="str">
        <f>IF(ISBLANK(INDEX('Policy Characteristics'!J:J,MATCH($C770,'Policy Characteristics'!$C:$C,0))),"",INDEX('Policy Characteristics'!J:J,MATCH($C770,'Policy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0" s="394" t="str">
        <f>IF(ISBLANK(INDEX('Policy Characteristics'!K:K,MATCH($C770,'Policy Characteristics'!$C:$C,0))),"",INDEX('Policy Characteristics'!K:K,MATCH($C770,'Policy Characteristics'!$C:$C,0)))</f>
        <v>industry-ag-main.html#eff-stds</v>
      </c>
      <c r="R770" s="394" t="str">
        <f>IF(ISBLANK(INDEX('Policy Characteristics'!L:L,MATCH($C770,'Policy Characteristics'!$C:$C,0))),"",INDEX('Policy Characteristics'!L:L,MATCH($C770,'Policy Characteristics'!$C:$C,0)))</f>
        <v>industry-energy-efficiency-standards.html</v>
      </c>
    </row>
    <row r="771" s="384" customFormat="1" customHeight="1" spans="1:18">
      <c r="A771" s="394" t="str">
        <f>IF(ISBLANK(INDEX('Policy Characteristics'!A:A,MATCH($C771,'Policy Characteristics'!$C:$C,0))),"",INDEX('Policy Characteristics'!A:A,MATCH($C771,'Policy Characteristics'!$C:$C,0)))</f>
        <v>Industry</v>
      </c>
      <c r="B771" s="395" t="str">
        <f>IF(ISBLANK(INDEX('Policy Characteristics'!B:B,MATCH($C771,'Policy Characteristics'!$C:$C,0))),"",INDEX('Policy Characteristics'!B:B,MATCH($C771,'Policy Characteristics'!$C:$C,0)))</f>
        <v>Industry Energy Efficiency Standards</v>
      </c>
      <c r="C771" s="394" t="str">
        <f t="shared" si="37"/>
        <v>Percentage Improvement in Eqpt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Characteristics'!D:D,MATCH($C771,'Policy Characteristics'!$C:$C,0)))</f>
        <v>Industry Energy Efficiency Standards</v>
      </c>
      <c r="K771" s="394" t="str">
        <f>IF(ISBLANK(INDEX('Policy Characteristics'!E:E,MATCH($C771,'Policy Characteristics'!$C:$C,0))),"",INDEX('Policy Characteristics'!E:E,MATCH($C771,'Policy Characteristics'!$C:$C,0)))</f>
        <v>indst efficiency standards</v>
      </c>
      <c r="L771" s="398">
        <f>IF(ISBLANK(INDEX('Policy Characteristics'!F:F,MATCH($C771,'Policy Characteristics'!$C:$C,0))),"",INDEX('Policy Characteristics'!F:F,MATCH($C771,'Policy Characteristics'!$C:$C,0)))</f>
        <v>0</v>
      </c>
      <c r="M771" s="398">
        <f>IF(ISBLANK(INDEX('Policy Characteristics'!G:G,MATCH($C771,'Policy Characteristics'!$C:$C,0))),"",INDEX('Policy Characteristics'!G:G,MATCH($C771,'Policy Characteristics'!$C:$C,0)))</f>
        <v>0.25</v>
      </c>
      <c r="N771" s="398">
        <f>IF(ISBLANK(INDEX('Policy Characteristics'!H:H,MATCH($C771,'Policy Characteristics'!$C:$C,0))),"",INDEX('Policy Characteristics'!H:H,MATCH($C771,'Policy Characteristics'!$C:$C,0)))</f>
        <v>0.01</v>
      </c>
      <c r="O771" s="394" t="str">
        <f>IF(ISBLANK(INDEX('Policy Characteristics'!I:I,MATCH($C771,'Policy Characteristics'!$C:$C,0))),"",INDEX('Policy Characteristics'!I:I,MATCH($C771,'Policy Characteristics'!$C:$C,0)))</f>
        <v>% reduction in energy use</v>
      </c>
      <c r="P771" s="394" t="str">
        <f>IF(ISBLANK(INDEX('Policy Characteristics'!J:J,MATCH($C771,'Policy Characteristics'!$C:$C,0))),"",INDEX('Policy Characteristics'!J:J,MATCH($C771,'Policy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1" s="394" t="str">
        <f>IF(ISBLANK(INDEX('Policy Characteristics'!K:K,MATCH($C771,'Policy Characteristics'!$C:$C,0))),"",INDEX('Policy Characteristics'!K:K,MATCH($C771,'Policy Characteristics'!$C:$C,0)))</f>
        <v>industry-ag-main.html#eff-stds</v>
      </c>
      <c r="R771" s="394" t="str">
        <f>IF(ISBLANK(INDEX('Policy Characteristics'!L:L,MATCH($C771,'Policy Characteristics'!$C:$C,0))),"",INDEX('Policy Characteristics'!L:L,MATCH($C771,'Policy Characteristics'!$C:$C,0)))</f>
        <v>industry-energy-efficiency-standards.html</v>
      </c>
    </row>
    <row r="772" s="384" customFormat="1" customHeight="1" spans="1:18">
      <c r="A772" s="394" t="str">
        <f>IF(ISBLANK(INDEX('Policy Characteristics'!A:A,MATCH($C772,'Policy Characteristics'!$C:$C,0))),"",INDEX('Policy Characteristics'!A:A,MATCH($C772,'Policy Characteristics'!$C:$C,0)))</f>
        <v>Industry</v>
      </c>
      <c r="B772" s="395" t="str">
        <f>IF(ISBLANK(INDEX('Policy Characteristics'!B:B,MATCH($C772,'Policy Characteristics'!$C:$C,0))),"",INDEX('Policy Characteristics'!B:B,MATCH($C772,'Policy Characteristics'!$C:$C,0)))</f>
        <v>Industry Energy Efficiency Standards</v>
      </c>
      <c r="C772" s="394" t="str">
        <f t="shared" si="37"/>
        <v>Percentage Improvement in Eqpt Efficiency Standards above BAU</v>
      </c>
      <c r="D772" s="399" t="s">
        <v>744</v>
      </c>
      <c r="E772" s="399" t="s">
        <v>802</v>
      </c>
      <c r="F772" t="s">
        <v>745</v>
      </c>
      <c r="G772" s="399" t="s">
        <v>817</v>
      </c>
      <c r="H772" s="377">
        <v>993</v>
      </c>
      <c r="I772" s="396" t="s">
        <v>648</v>
      </c>
      <c r="J772" s="397" t="str">
        <f>IF(ISBLANK(INDEX('Policy Characteristics'!D:D,MATCH($C772,'Policy Characteristics'!$C:$C,0))),"",INDEX('Policy Characteristics'!D:D,MATCH($C772,'Policy Characteristics'!$C:$C,0)))</f>
        <v>Industry Energy Efficiency Standards</v>
      </c>
      <c r="K772" s="394" t="str">
        <f>IF(ISBLANK(INDEX('Policy Characteristics'!E:E,MATCH($C772,'Policy Characteristics'!$C:$C,0))),"",INDEX('Policy Characteristics'!E:E,MATCH($C772,'Policy Characteristics'!$C:$C,0)))</f>
        <v>indst efficiency standards</v>
      </c>
      <c r="L772" s="398">
        <f>IF(ISBLANK(INDEX('Policy Characteristics'!F:F,MATCH($C772,'Policy Characteristics'!$C:$C,0))),"",INDEX('Policy Characteristics'!F:F,MATCH($C772,'Policy Characteristics'!$C:$C,0)))</f>
        <v>0</v>
      </c>
      <c r="M772" s="398">
        <f>IF(ISBLANK(INDEX('Policy Characteristics'!G:G,MATCH($C772,'Policy Characteristics'!$C:$C,0))),"",INDEX('Policy Characteristics'!G:G,MATCH($C772,'Policy Characteristics'!$C:$C,0)))</f>
        <v>0.25</v>
      </c>
      <c r="N772" s="398">
        <f>IF(ISBLANK(INDEX('Policy Characteristics'!H:H,MATCH($C772,'Policy Characteristics'!$C:$C,0))),"",INDEX('Policy Characteristics'!H:H,MATCH($C772,'Policy Characteristics'!$C:$C,0)))</f>
        <v>0.01</v>
      </c>
      <c r="O772" s="394" t="str">
        <f>IF(ISBLANK(INDEX('Policy Characteristics'!I:I,MATCH($C772,'Policy Characteristics'!$C:$C,0))),"",INDEX('Policy Characteristics'!I:I,MATCH($C772,'Policy Characteristics'!$C:$C,0)))</f>
        <v>% reduction in energy use</v>
      </c>
      <c r="P772" s="394" t="str">
        <f>IF(ISBLANK(INDEX('Policy Characteristics'!J:J,MATCH($C772,'Policy Characteristics'!$C:$C,0))),"",INDEX('Policy Characteristics'!J:J,MATCH($C772,'Policy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2" s="394" t="str">
        <f>IF(ISBLANK(INDEX('Policy Characteristics'!K:K,MATCH($C772,'Policy Characteristics'!$C:$C,0))),"",INDEX('Policy Characteristics'!K:K,MATCH($C772,'Policy Characteristics'!$C:$C,0)))</f>
        <v>industry-ag-main.html#eff-stds</v>
      </c>
      <c r="R772" s="394" t="str">
        <f>IF(ISBLANK(INDEX('Policy Characteristics'!L:L,MATCH($C772,'Policy Characteristics'!$C:$C,0))),"",INDEX('Policy Characteristics'!L:L,MATCH($C772,'Policy Characteristics'!$C:$C,0)))</f>
        <v>industry-energy-efficiency-standards.html</v>
      </c>
    </row>
    <row r="773" s="384" customFormat="1" customHeight="1" spans="1:18">
      <c r="A773" s="394" t="str">
        <f>IF(ISBLANK(INDEX('Policy Characteristics'!A:A,MATCH($C773,'Policy Characteristics'!$C:$C,0))),"",INDEX('Policy Characteristics'!A:A,MATCH($C773,'Policy Characteristics'!$C:$C,0)))</f>
        <v>Industry</v>
      </c>
      <c r="B773" s="395" t="str">
        <f>IF(ISBLANK(INDEX('Policy Characteristics'!B:B,MATCH($C773,'Policy Characteristics'!$C:$C,0))),"",INDEX('Policy Characteristics'!B:B,MATCH($C773,'Policy Characteristics'!$C:$C,0)))</f>
        <v>Industry Energy Efficiency Standards</v>
      </c>
      <c r="C773" s="394" t="str">
        <f t="shared" si="37"/>
        <v>Percentage Improvement in Eqpt Efficiency Standards above BAU</v>
      </c>
      <c r="D773" s="399" t="s">
        <v>744</v>
      </c>
      <c r="E773" s="399" t="s">
        <v>804</v>
      </c>
      <c r="F773" t="s">
        <v>745</v>
      </c>
      <c r="G773" s="399" t="s">
        <v>818</v>
      </c>
      <c r="H773" s="377">
        <v>994</v>
      </c>
      <c r="I773" s="396" t="s">
        <v>648</v>
      </c>
      <c r="J773" s="397" t="str">
        <f>IF(ISBLANK(INDEX('Policy Characteristics'!D:D,MATCH($C773,'Policy Characteristics'!$C:$C,0))),"",INDEX('Policy Characteristics'!D:D,MATCH($C773,'Policy Characteristics'!$C:$C,0)))</f>
        <v>Industry Energy Efficiency Standards</v>
      </c>
      <c r="K773" s="394" t="str">
        <f>IF(ISBLANK(INDEX('Policy Characteristics'!E:E,MATCH($C773,'Policy Characteristics'!$C:$C,0))),"",INDEX('Policy Characteristics'!E:E,MATCH($C773,'Policy Characteristics'!$C:$C,0)))</f>
        <v>indst efficiency standards</v>
      </c>
      <c r="L773" s="398">
        <f>IF(ISBLANK(INDEX('Policy Characteristics'!F:F,MATCH($C773,'Policy Characteristics'!$C:$C,0))),"",INDEX('Policy Characteristics'!F:F,MATCH($C773,'Policy Characteristics'!$C:$C,0)))</f>
        <v>0</v>
      </c>
      <c r="M773" s="398">
        <f>IF(ISBLANK(INDEX('Policy Characteristics'!G:G,MATCH($C773,'Policy Characteristics'!$C:$C,0))),"",INDEX('Policy Characteristics'!G:G,MATCH($C773,'Policy Characteristics'!$C:$C,0)))</f>
        <v>0.25</v>
      </c>
      <c r="N773" s="398">
        <f>IF(ISBLANK(INDEX('Policy Characteristics'!H:H,MATCH($C773,'Policy Characteristics'!$C:$C,0))),"",INDEX('Policy Characteristics'!H:H,MATCH($C773,'Policy Characteristics'!$C:$C,0)))</f>
        <v>0.01</v>
      </c>
      <c r="O773" s="394" t="str">
        <f>IF(ISBLANK(INDEX('Policy Characteristics'!I:I,MATCH($C773,'Policy Characteristics'!$C:$C,0))),"",INDEX('Policy Characteristics'!I:I,MATCH($C773,'Policy Characteristics'!$C:$C,0)))</f>
        <v>% reduction in energy use</v>
      </c>
      <c r="P773" s="394" t="str">
        <f>IF(ISBLANK(INDEX('Policy Characteristics'!J:J,MATCH($C773,'Policy Characteristics'!$C:$C,0))),"",INDEX('Policy Characteristics'!J:J,MATCH($C773,'Policy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3" s="394" t="str">
        <f>IF(ISBLANK(INDEX('Policy Characteristics'!K:K,MATCH($C773,'Policy Characteristics'!$C:$C,0))),"",INDEX('Policy Characteristics'!K:K,MATCH($C773,'Policy Characteristics'!$C:$C,0)))</f>
        <v>industry-ag-main.html#eff-stds</v>
      </c>
      <c r="R773" s="394" t="str">
        <f>IF(ISBLANK(INDEX('Policy Characteristics'!L:L,MATCH($C773,'Policy Characteristics'!$C:$C,0))),"",INDEX('Policy Characteristics'!L:L,MATCH($C773,'Policy Characteristics'!$C:$C,0)))</f>
        <v>industry-energy-efficiency-standards.html</v>
      </c>
    </row>
    <row r="774" s="384" customFormat="1" customHeight="1" spans="1:18">
      <c r="A774" s="394" t="str">
        <f>IF(ISBLANK(INDEX('Policy Characteristics'!A:A,MATCH($C774,'Policy Characteristics'!$C:$C,0))),"",INDEX('Policy Characteristics'!A:A,MATCH($C774,'Policy Characteristics'!$C:$C,0)))</f>
        <v>Industry</v>
      </c>
      <c r="B774" s="395" t="str">
        <f>IF(ISBLANK(INDEX('Policy Characteristics'!B:B,MATCH($C774,'Policy Characteristics'!$C:$C,0))),"",INDEX('Policy Characteristics'!B:B,MATCH($C774,'Policy Characteristics'!$C:$C,0)))</f>
        <v>Industry Energy Efficiency Standards</v>
      </c>
      <c r="C774" s="394" t="str">
        <f t="shared" si="37"/>
        <v>Percentage Improvement in Eqpt Efficiency Standards above BAU</v>
      </c>
      <c r="D774" s="399" t="s">
        <v>744</v>
      </c>
      <c r="E774" s="399" t="s">
        <v>806</v>
      </c>
      <c r="F774" t="s">
        <v>745</v>
      </c>
      <c r="G774" s="399" t="s">
        <v>819</v>
      </c>
      <c r="H774" s="377">
        <v>995</v>
      </c>
      <c r="I774" s="396" t="s">
        <v>648</v>
      </c>
      <c r="J774" s="397" t="str">
        <f>IF(ISBLANK(INDEX('Policy Characteristics'!D:D,MATCH($C774,'Policy Characteristics'!$C:$C,0))),"",INDEX('Policy Characteristics'!D:D,MATCH($C774,'Policy Characteristics'!$C:$C,0)))</f>
        <v>Industry Energy Efficiency Standards</v>
      </c>
      <c r="K774" s="394" t="str">
        <f>IF(ISBLANK(INDEX('Policy Characteristics'!E:E,MATCH($C774,'Policy Characteristics'!$C:$C,0))),"",INDEX('Policy Characteristics'!E:E,MATCH($C774,'Policy Characteristics'!$C:$C,0)))</f>
        <v>indst efficiency standards</v>
      </c>
      <c r="L774" s="398">
        <f>IF(ISBLANK(INDEX('Policy Characteristics'!F:F,MATCH($C774,'Policy Characteristics'!$C:$C,0))),"",INDEX('Policy Characteristics'!F:F,MATCH($C774,'Policy Characteristics'!$C:$C,0)))</f>
        <v>0</v>
      </c>
      <c r="M774" s="398">
        <f>IF(ISBLANK(INDEX('Policy Characteristics'!G:G,MATCH($C774,'Policy Characteristics'!$C:$C,0))),"",INDEX('Policy Characteristics'!G:G,MATCH($C774,'Policy Characteristics'!$C:$C,0)))</f>
        <v>0.25</v>
      </c>
      <c r="N774" s="398">
        <f>IF(ISBLANK(INDEX('Policy Characteristics'!H:H,MATCH($C774,'Policy Characteristics'!$C:$C,0))),"",INDEX('Policy Characteristics'!H:H,MATCH($C774,'Policy Characteristics'!$C:$C,0)))</f>
        <v>0.01</v>
      </c>
      <c r="O774" s="394" t="str">
        <f>IF(ISBLANK(INDEX('Policy Characteristics'!I:I,MATCH($C774,'Policy Characteristics'!$C:$C,0))),"",INDEX('Policy Characteristics'!I:I,MATCH($C774,'Policy Characteristics'!$C:$C,0)))</f>
        <v>% reduction in energy use</v>
      </c>
      <c r="P774" s="394" t="str">
        <f>IF(ISBLANK(INDEX('Policy Characteristics'!J:J,MATCH($C774,'Policy Characteristics'!$C:$C,0))),"",INDEX('Policy Characteristics'!J:J,MATCH($C774,'Policy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4" s="394" t="str">
        <f>IF(ISBLANK(INDEX('Policy Characteristics'!K:K,MATCH($C774,'Policy Characteristics'!$C:$C,0))),"",INDEX('Policy Characteristics'!K:K,MATCH($C774,'Policy Characteristics'!$C:$C,0)))</f>
        <v>industry-ag-main.html#eff-stds</v>
      </c>
      <c r="R774" s="394" t="str">
        <f>IF(ISBLANK(INDEX('Policy Characteristics'!L:L,MATCH($C774,'Policy Characteristics'!$C:$C,0))),"",INDEX('Policy Characteristics'!L:L,MATCH($C774,'Policy Characteristics'!$C:$C,0)))</f>
        <v>industry-energy-efficiency-standards.html</v>
      </c>
    </row>
    <row r="775" s="384" customFormat="1" customHeight="1" spans="1:18">
      <c r="A775" s="394" t="str">
        <f>IF(ISBLANK(INDEX('Policy Characteristics'!A:A,MATCH($C775,'Policy Characteristics'!$C:$C,0))),"",INDEX('Policy Characteristics'!A:A,MATCH($C775,'Policy Characteristics'!$C:$C,0)))</f>
        <v>Industry</v>
      </c>
      <c r="B775" s="395" t="str">
        <f>IF(ISBLANK(INDEX('Policy Characteristics'!B:B,MATCH($C775,'Policy Characteristics'!$C:$C,0))),"",INDEX('Policy Characteristics'!B:B,MATCH($C775,'Policy Characteristics'!$C:$C,0)))</f>
        <v>Industry Energy Efficiency Standards</v>
      </c>
      <c r="C775" s="394" t="str">
        <f t="shared" si="37"/>
        <v>Percentage Improvement in Eqpt Efficiency Standards above BAU</v>
      </c>
      <c r="D775" s="399" t="s">
        <v>744</v>
      </c>
      <c r="E775" s="399" t="s">
        <v>808</v>
      </c>
      <c r="F775" t="s">
        <v>745</v>
      </c>
      <c r="G775" s="399" t="s">
        <v>820</v>
      </c>
      <c r="H775" s="377">
        <v>996</v>
      </c>
      <c r="I775" s="396" t="s">
        <v>648</v>
      </c>
      <c r="J775" s="397" t="str">
        <f>IF(ISBLANK(INDEX('Policy Characteristics'!D:D,MATCH($C775,'Policy Characteristics'!$C:$C,0))),"",INDEX('Policy Characteristics'!D:D,MATCH($C775,'Policy Characteristics'!$C:$C,0)))</f>
        <v>Industry Energy Efficiency Standards</v>
      </c>
      <c r="K775" s="394" t="str">
        <f>IF(ISBLANK(INDEX('Policy Characteristics'!E:E,MATCH($C775,'Policy Characteristics'!$C:$C,0))),"",INDEX('Policy Characteristics'!E:E,MATCH($C775,'Policy Characteristics'!$C:$C,0)))</f>
        <v>indst efficiency standards</v>
      </c>
      <c r="L775" s="398">
        <f>IF(ISBLANK(INDEX('Policy Characteristics'!F:F,MATCH($C775,'Policy Characteristics'!$C:$C,0))),"",INDEX('Policy Characteristics'!F:F,MATCH($C775,'Policy Characteristics'!$C:$C,0)))</f>
        <v>0</v>
      </c>
      <c r="M775" s="398">
        <f>IF(ISBLANK(INDEX('Policy Characteristics'!G:G,MATCH($C775,'Policy Characteristics'!$C:$C,0))),"",INDEX('Policy Characteristics'!G:G,MATCH($C775,'Policy Characteristics'!$C:$C,0)))</f>
        <v>0.25</v>
      </c>
      <c r="N775" s="398">
        <f>IF(ISBLANK(INDEX('Policy Characteristics'!H:H,MATCH($C775,'Policy Characteristics'!$C:$C,0))),"",INDEX('Policy Characteristics'!H:H,MATCH($C775,'Policy Characteristics'!$C:$C,0)))</f>
        <v>0.01</v>
      </c>
      <c r="O775" s="394" t="str">
        <f>IF(ISBLANK(INDEX('Policy Characteristics'!I:I,MATCH($C775,'Policy Characteristics'!$C:$C,0))),"",INDEX('Policy Characteristics'!I:I,MATCH($C775,'Policy Characteristics'!$C:$C,0)))</f>
        <v>% reduction in energy use</v>
      </c>
      <c r="P775" s="394" t="str">
        <f>IF(ISBLANK(INDEX('Policy Characteristics'!J:J,MATCH($C775,'Policy Characteristics'!$C:$C,0))),"",INDEX('Policy Characteristics'!J:J,MATCH($C775,'Policy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5" s="394" t="str">
        <f>IF(ISBLANK(INDEX('Policy Characteristics'!K:K,MATCH($C775,'Policy Characteristics'!$C:$C,0))),"",INDEX('Policy Characteristics'!K:K,MATCH($C775,'Policy Characteristics'!$C:$C,0)))</f>
        <v>industry-ag-main.html#eff-stds</v>
      </c>
      <c r="R775" s="394" t="str">
        <f>IF(ISBLANK(INDEX('Policy Characteristics'!L:L,MATCH($C775,'Policy Characteristics'!$C:$C,0))),"",INDEX('Policy Characteristics'!L:L,MATCH($C775,'Policy Characteristics'!$C:$C,0)))</f>
        <v>industry-energy-efficiency-standards.html</v>
      </c>
    </row>
    <row r="776" s="384" customFormat="1" customHeight="1" spans="1:18">
      <c r="A776" s="394" t="str">
        <f>IF(ISBLANK(INDEX('Policy Characteristics'!A:A,MATCH($C776,'Policy Characteristics'!$C:$C,0))),"",INDEX('Policy Characteristics'!A:A,MATCH($C776,'Policy Characteristics'!$C:$C,0)))</f>
        <v>Industry</v>
      </c>
      <c r="B776" s="395" t="str">
        <f>IF(ISBLANK(INDEX('Policy Characteristics'!B:B,MATCH($C776,'Policy Characteristics'!$C:$C,0))),"",INDEX('Policy Characteristics'!B:B,MATCH($C776,'Policy Characteristics'!$C:$C,0)))</f>
        <v>Industry Energy Efficiency Standards</v>
      </c>
      <c r="C776" s="394" t="str">
        <f t="shared" si="37"/>
        <v>Percentage Improvement in Eqpt Efficiency Standards above BAU</v>
      </c>
      <c r="D776" s="399" t="s">
        <v>744</v>
      </c>
      <c r="E776" s="399" t="s">
        <v>810</v>
      </c>
      <c r="F776" t="s">
        <v>745</v>
      </c>
      <c r="G776" s="399" t="s">
        <v>821</v>
      </c>
      <c r="H776" s="377">
        <v>997</v>
      </c>
      <c r="I776" s="396" t="s">
        <v>648</v>
      </c>
      <c r="J776" s="397" t="str">
        <f>IF(ISBLANK(INDEX('Policy Characteristics'!D:D,MATCH($C776,'Policy Characteristics'!$C:$C,0))),"",INDEX('Policy Characteristics'!D:D,MATCH($C776,'Policy Characteristics'!$C:$C,0)))</f>
        <v>Industry Energy Efficiency Standards</v>
      </c>
      <c r="K776" s="394" t="str">
        <f>IF(ISBLANK(INDEX('Policy Characteristics'!E:E,MATCH($C776,'Policy Characteristics'!$C:$C,0))),"",INDEX('Policy Characteristics'!E:E,MATCH($C776,'Policy Characteristics'!$C:$C,0)))</f>
        <v>indst efficiency standards</v>
      </c>
      <c r="L776" s="398">
        <f>IF(ISBLANK(INDEX('Policy Characteristics'!F:F,MATCH($C776,'Policy Characteristics'!$C:$C,0))),"",INDEX('Policy Characteristics'!F:F,MATCH($C776,'Policy Characteristics'!$C:$C,0)))</f>
        <v>0</v>
      </c>
      <c r="M776" s="398">
        <f>IF(ISBLANK(INDEX('Policy Characteristics'!G:G,MATCH($C776,'Policy Characteristics'!$C:$C,0))),"",INDEX('Policy Characteristics'!G:G,MATCH($C776,'Policy Characteristics'!$C:$C,0)))</f>
        <v>0.25</v>
      </c>
      <c r="N776" s="398">
        <f>IF(ISBLANK(INDEX('Policy Characteristics'!H:H,MATCH($C776,'Policy Characteristics'!$C:$C,0))),"",INDEX('Policy Characteristics'!H:H,MATCH($C776,'Policy Characteristics'!$C:$C,0)))</f>
        <v>0.01</v>
      </c>
      <c r="O776" s="394" t="str">
        <f>IF(ISBLANK(INDEX('Policy Characteristics'!I:I,MATCH($C776,'Policy Characteristics'!$C:$C,0))),"",INDEX('Policy Characteristics'!I:I,MATCH($C776,'Policy Characteristics'!$C:$C,0)))</f>
        <v>% reduction in energy use</v>
      </c>
      <c r="P776" s="394" t="str">
        <f>IF(ISBLANK(INDEX('Policy Characteristics'!J:J,MATCH($C776,'Policy Characteristics'!$C:$C,0))),"",INDEX('Policy Characteristics'!J:J,MATCH($C776,'Policy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6" s="394" t="str">
        <f>IF(ISBLANK(INDEX('Policy Characteristics'!K:K,MATCH($C776,'Policy Characteristics'!$C:$C,0))),"",INDEX('Policy Characteristics'!K:K,MATCH($C776,'Policy Characteristics'!$C:$C,0)))</f>
        <v>industry-ag-main.html#eff-stds</v>
      </c>
      <c r="R776" s="394" t="str">
        <f>IF(ISBLANK(INDEX('Policy Characteristics'!L:L,MATCH($C776,'Policy Characteristics'!$C:$C,0))),"",INDEX('Policy Characteristics'!L:L,MATCH($C776,'Policy Characteristics'!$C:$C,0)))</f>
        <v>industry-energy-efficiency-standards.html</v>
      </c>
    </row>
    <row r="777" s="384" customFormat="1" customHeight="1" spans="1:18">
      <c r="A777" s="394" t="str">
        <f>IF(ISBLANK(INDEX('Policy Characteristics'!A:A,MATCH($C777,'Policy Characteristics'!$C:$C,0))),"",INDEX('Policy Characteristics'!A:A,MATCH($C777,'Policy Characteristics'!$C:$C,0)))</f>
        <v>Industry</v>
      </c>
      <c r="B777" s="395" t="str">
        <f>IF(ISBLANK(INDEX('Policy Characteristics'!B:B,MATCH($C777,'Policy Characteristics'!$C:$C,0))),"",INDEX('Policy Characteristics'!B:B,MATCH($C777,'Policy Characteristics'!$C:$C,0)))</f>
        <v>Industry Energy Efficiency Standards</v>
      </c>
      <c r="C777" s="394" t="str">
        <f t="shared" si="37"/>
        <v>Percentage Improvement in Eqpt Efficiency Standards above BAU</v>
      </c>
      <c r="D777" s="399" t="s">
        <v>746</v>
      </c>
      <c r="E777" s="399" t="s">
        <v>792</v>
      </c>
      <c r="F777" t="s">
        <v>747</v>
      </c>
      <c r="G777" s="399" t="s">
        <v>812</v>
      </c>
      <c r="H777" s="377">
        <v>998</v>
      </c>
      <c r="I777" s="396" t="s">
        <v>648</v>
      </c>
      <c r="J777" s="397" t="str">
        <f>IF(ISBLANK(INDEX('Policy Characteristics'!D:D,MATCH($C777,'Policy Characteristics'!$C:$C,0))),"",INDEX('Policy Characteristics'!D:D,MATCH($C777,'Policy Characteristics'!$C:$C,0)))</f>
        <v>Industry Energy Efficiency Standards</v>
      </c>
      <c r="K777" s="394" t="str">
        <f>IF(ISBLANK(INDEX('Policy Characteristics'!E:E,MATCH($C777,'Policy Characteristics'!$C:$C,0))),"",INDEX('Policy Characteristics'!E:E,MATCH($C777,'Policy Characteristics'!$C:$C,0)))</f>
        <v>indst efficiency standards</v>
      </c>
      <c r="L777" s="398">
        <f>IF(ISBLANK(INDEX('Policy Characteristics'!F:F,MATCH($C777,'Policy Characteristics'!$C:$C,0))),"",INDEX('Policy Characteristics'!F:F,MATCH($C777,'Policy Characteristics'!$C:$C,0)))</f>
        <v>0</v>
      </c>
      <c r="M777" s="398">
        <f>IF(ISBLANK(INDEX('Policy Characteristics'!G:G,MATCH($C777,'Policy Characteristics'!$C:$C,0))),"",INDEX('Policy Characteristics'!G:G,MATCH($C777,'Policy Characteristics'!$C:$C,0)))</f>
        <v>0.25</v>
      </c>
      <c r="N777" s="398">
        <f>IF(ISBLANK(INDEX('Policy Characteristics'!H:H,MATCH($C777,'Policy Characteristics'!$C:$C,0))),"",INDEX('Policy Characteristics'!H:H,MATCH($C777,'Policy Characteristics'!$C:$C,0)))</f>
        <v>0.01</v>
      </c>
      <c r="O777" s="394" t="str">
        <f>IF(ISBLANK(INDEX('Policy Characteristics'!I:I,MATCH($C777,'Policy Characteristics'!$C:$C,0))),"",INDEX('Policy Characteristics'!I:I,MATCH($C777,'Policy Characteristics'!$C:$C,0)))</f>
        <v>% reduction in energy use</v>
      </c>
      <c r="P777" s="394" t="str">
        <f>IF(ISBLANK(INDEX('Policy Characteristics'!J:J,MATCH($C777,'Policy Characteristics'!$C:$C,0))),"",INDEX('Policy Characteristics'!J:J,MATCH($C777,'Policy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7" s="394" t="str">
        <f>IF(ISBLANK(INDEX('Policy Characteristics'!K:K,MATCH($C777,'Policy Characteristics'!$C:$C,0))),"",INDEX('Policy Characteristics'!K:K,MATCH($C777,'Policy Characteristics'!$C:$C,0)))</f>
        <v>industry-ag-main.html#eff-stds</v>
      </c>
      <c r="R777" s="394" t="str">
        <f>IF(ISBLANK(INDEX('Policy Characteristics'!L:L,MATCH($C777,'Policy Characteristics'!$C:$C,0))),"",INDEX('Policy Characteristics'!L:L,MATCH($C777,'Policy Characteristics'!$C:$C,0)))</f>
        <v>industry-energy-efficiency-standards.html</v>
      </c>
    </row>
    <row r="778" s="384" customFormat="1" customHeight="1" spans="1:18">
      <c r="A778" s="394" t="str">
        <f>IF(ISBLANK(INDEX('Policy Characteristics'!A:A,MATCH($C778,'Policy Characteristics'!$C:$C,0))),"",INDEX('Policy Characteristics'!A:A,MATCH($C778,'Policy Characteristics'!$C:$C,0)))</f>
        <v>Industry</v>
      </c>
      <c r="B778" s="395" t="str">
        <f>IF(ISBLANK(INDEX('Policy Characteristics'!B:B,MATCH($C778,'Policy Characteristics'!$C:$C,0))),"",INDEX('Policy Characteristics'!B:B,MATCH($C778,'Policy Characteristics'!$C:$C,0)))</f>
        <v>Industry Energy Efficiency Standards</v>
      </c>
      <c r="C778" s="394" t="str">
        <f t="shared" si="37"/>
        <v>Percentage Improvement in Eqpt Efficiency Standards above BAU</v>
      </c>
      <c r="D778" s="399" t="s">
        <v>746</v>
      </c>
      <c r="E778" s="399" t="s">
        <v>794</v>
      </c>
      <c r="F778" t="s">
        <v>747</v>
      </c>
      <c r="G778" s="399" t="s">
        <v>813</v>
      </c>
      <c r="H778" s="377">
        <v>999</v>
      </c>
      <c r="I778" s="396" t="s">
        <v>648</v>
      </c>
      <c r="J778" s="397" t="str">
        <f>IF(ISBLANK(INDEX('Policy Characteristics'!D:D,MATCH($C778,'Policy Characteristics'!$C:$C,0))),"",INDEX('Policy Characteristics'!D:D,MATCH($C778,'Policy Characteristics'!$C:$C,0)))</f>
        <v>Industry Energy Efficiency Standards</v>
      </c>
      <c r="K778" s="394" t="str">
        <f>IF(ISBLANK(INDEX('Policy Characteristics'!E:E,MATCH($C778,'Policy Characteristics'!$C:$C,0))),"",INDEX('Policy Characteristics'!E:E,MATCH($C778,'Policy Characteristics'!$C:$C,0)))</f>
        <v>indst efficiency standards</v>
      </c>
      <c r="L778" s="398">
        <f>IF(ISBLANK(INDEX('Policy Characteristics'!F:F,MATCH($C778,'Policy Characteristics'!$C:$C,0))),"",INDEX('Policy Characteristics'!F:F,MATCH($C778,'Policy Characteristics'!$C:$C,0)))</f>
        <v>0</v>
      </c>
      <c r="M778" s="398">
        <f>IF(ISBLANK(INDEX('Policy Characteristics'!G:G,MATCH($C778,'Policy Characteristics'!$C:$C,0))),"",INDEX('Policy Characteristics'!G:G,MATCH($C778,'Policy Characteristics'!$C:$C,0)))</f>
        <v>0.25</v>
      </c>
      <c r="N778" s="398">
        <f>IF(ISBLANK(INDEX('Policy Characteristics'!H:H,MATCH($C778,'Policy Characteristics'!$C:$C,0))),"",INDEX('Policy Characteristics'!H:H,MATCH($C778,'Policy Characteristics'!$C:$C,0)))</f>
        <v>0.01</v>
      </c>
      <c r="O778" s="394" t="str">
        <f>IF(ISBLANK(INDEX('Policy Characteristics'!I:I,MATCH($C778,'Policy Characteristics'!$C:$C,0))),"",INDEX('Policy Characteristics'!I:I,MATCH($C778,'Policy Characteristics'!$C:$C,0)))</f>
        <v>% reduction in energy use</v>
      </c>
      <c r="P778" s="394" t="str">
        <f>IF(ISBLANK(INDEX('Policy Characteristics'!J:J,MATCH($C778,'Policy Characteristics'!$C:$C,0))),"",INDEX('Policy Characteristics'!J:J,MATCH($C778,'Policy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8" s="394" t="str">
        <f>IF(ISBLANK(INDEX('Policy Characteristics'!K:K,MATCH($C778,'Policy Characteristics'!$C:$C,0))),"",INDEX('Policy Characteristics'!K:K,MATCH($C778,'Policy Characteristics'!$C:$C,0)))</f>
        <v>industry-ag-main.html#eff-stds</v>
      </c>
      <c r="R778" s="394" t="str">
        <f>IF(ISBLANK(INDEX('Policy Characteristics'!L:L,MATCH($C778,'Policy Characteristics'!$C:$C,0))),"",INDEX('Policy Characteristics'!L:L,MATCH($C778,'Policy Characteristics'!$C:$C,0)))</f>
        <v>industry-energy-efficiency-standards.html</v>
      </c>
    </row>
    <row r="779" s="384" customFormat="1" customHeight="1" spans="1:18">
      <c r="A779" s="394" t="str">
        <f>IF(ISBLANK(INDEX('Policy Characteristics'!A:A,MATCH($C779,'Policy Characteristics'!$C:$C,0))),"",INDEX('Policy Characteristics'!A:A,MATCH($C779,'Policy Characteristics'!$C:$C,0)))</f>
        <v>Industry</v>
      </c>
      <c r="B779" s="395" t="str">
        <f>IF(ISBLANK(INDEX('Policy Characteristics'!B:B,MATCH($C779,'Policy Characteristics'!$C:$C,0))),"",INDEX('Policy Characteristics'!B:B,MATCH($C779,'Policy Characteristics'!$C:$C,0)))</f>
        <v>Industry Energy Efficiency Standards</v>
      </c>
      <c r="C779" s="394" t="str">
        <f t="shared" si="37"/>
        <v>Percentage Improvement in Eqpt Efficiency Standards above BAU</v>
      </c>
      <c r="D779" s="399" t="s">
        <v>746</v>
      </c>
      <c r="E779" s="399" t="s">
        <v>796</v>
      </c>
      <c r="F779" t="s">
        <v>747</v>
      </c>
      <c r="G779" s="399" t="s">
        <v>814</v>
      </c>
      <c r="H779" s="377">
        <v>1000</v>
      </c>
      <c r="I779" s="396" t="s">
        <v>648</v>
      </c>
      <c r="J779" s="397" t="str">
        <f>IF(ISBLANK(INDEX('Policy Characteristics'!D:D,MATCH($C779,'Policy Characteristics'!$C:$C,0))),"",INDEX('Policy Characteristics'!D:D,MATCH($C779,'Policy Characteristics'!$C:$C,0)))</f>
        <v>Industry Energy Efficiency Standards</v>
      </c>
      <c r="K779" s="394" t="str">
        <f>IF(ISBLANK(INDEX('Policy Characteristics'!E:E,MATCH($C779,'Policy Characteristics'!$C:$C,0))),"",INDEX('Policy Characteristics'!E:E,MATCH($C779,'Policy Characteristics'!$C:$C,0)))</f>
        <v>indst efficiency standards</v>
      </c>
      <c r="L779" s="398">
        <f>IF(ISBLANK(INDEX('Policy Characteristics'!F:F,MATCH($C779,'Policy Characteristics'!$C:$C,0))),"",INDEX('Policy Characteristics'!F:F,MATCH($C779,'Policy Characteristics'!$C:$C,0)))</f>
        <v>0</v>
      </c>
      <c r="M779" s="398">
        <f>IF(ISBLANK(INDEX('Policy Characteristics'!G:G,MATCH($C779,'Policy Characteristics'!$C:$C,0))),"",INDEX('Policy Characteristics'!G:G,MATCH($C779,'Policy Characteristics'!$C:$C,0)))</f>
        <v>0.25</v>
      </c>
      <c r="N779" s="398">
        <f>IF(ISBLANK(INDEX('Policy Characteristics'!H:H,MATCH($C779,'Policy Characteristics'!$C:$C,0))),"",INDEX('Policy Characteristics'!H:H,MATCH($C779,'Policy Characteristics'!$C:$C,0)))</f>
        <v>0.01</v>
      </c>
      <c r="O779" s="394" t="str">
        <f>IF(ISBLANK(INDEX('Policy Characteristics'!I:I,MATCH($C779,'Policy Characteristics'!$C:$C,0))),"",INDEX('Policy Characteristics'!I:I,MATCH($C779,'Policy Characteristics'!$C:$C,0)))</f>
        <v>% reduction in energy use</v>
      </c>
      <c r="P779" s="394" t="str">
        <f>IF(ISBLANK(INDEX('Policy Characteristics'!J:J,MATCH($C779,'Policy Characteristics'!$C:$C,0))),"",INDEX('Policy Characteristics'!J:J,MATCH($C779,'Policy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9" s="394" t="str">
        <f>IF(ISBLANK(INDEX('Policy Characteristics'!K:K,MATCH($C779,'Policy Characteristics'!$C:$C,0))),"",INDEX('Policy Characteristics'!K:K,MATCH($C779,'Policy Characteristics'!$C:$C,0)))</f>
        <v>industry-ag-main.html#eff-stds</v>
      </c>
      <c r="R779" s="394" t="str">
        <f>IF(ISBLANK(INDEX('Policy Characteristics'!L:L,MATCH($C779,'Policy Characteristics'!$C:$C,0))),"",INDEX('Policy Characteristics'!L:L,MATCH($C779,'Policy Characteristics'!$C:$C,0)))</f>
        <v>industry-energy-efficiency-standards.html</v>
      </c>
    </row>
    <row r="780" s="384" customFormat="1" customHeight="1" spans="1:18">
      <c r="A780" s="394" t="str">
        <f>IF(ISBLANK(INDEX('Policy Characteristics'!A:A,MATCH($C780,'Policy Characteristics'!$C:$C,0))),"",INDEX('Policy Characteristics'!A:A,MATCH($C780,'Policy Characteristics'!$C:$C,0)))</f>
        <v>Industry</v>
      </c>
      <c r="B780" s="395" t="str">
        <f>IF(ISBLANK(INDEX('Policy Characteristics'!B:B,MATCH($C780,'Policy Characteristics'!$C:$C,0))),"",INDEX('Policy Characteristics'!B:B,MATCH($C780,'Policy Characteristics'!$C:$C,0)))</f>
        <v>Industry Energy Efficiency Standards</v>
      </c>
      <c r="C780" s="394" t="str">
        <f t="shared" si="37"/>
        <v>Percentage Improvement in Eqpt Efficiency Standards above BAU</v>
      </c>
      <c r="D780" s="399" t="s">
        <v>746</v>
      </c>
      <c r="E780" s="399" t="s">
        <v>798</v>
      </c>
      <c r="F780" t="s">
        <v>747</v>
      </c>
      <c r="G780" s="399" t="s">
        <v>815</v>
      </c>
      <c r="H780" s="377">
        <v>1001</v>
      </c>
      <c r="I780" s="396" t="s">
        <v>648</v>
      </c>
      <c r="J780" s="397" t="str">
        <f>IF(ISBLANK(INDEX('Policy Characteristics'!D:D,MATCH($C780,'Policy Characteristics'!$C:$C,0))),"",INDEX('Policy Characteristics'!D:D,MATCH($C780,'Policy Characteristics'!$C:$C,0)))</f>
        <v>Industry Energy Efficiency Standards</v>
      </c>
      <c r="K780" s="394" t="str">
        <f>IF(ISBLANK(INDEX('Policy Characteristics'!E:E,MATCH($C780,'Policy Characteristics'!$C:$C,0))),"",INDEX('Policy Characteristics'!E:E,MATCH($C780,'Policy Characteristics'!$C:$C,0)))</f>
        <v>indst efficiency standards</v>
      </c>
      <c r="L780" s="398">
        <f>IF(ISBLANK(INDEX('Policy Characteristics'!F:F,MATCH($C780,'Policy Characteristics'!$C:$C,0))),"",INDEX('Policy Characteristics'!F:F,MATCH($C780,'Policy Characteristics'!$C:$C,0)))</f>
        <v>0</v>
      </c>
      <c r="M780" s="398">
        <f>IF(ISBLANK(INDEX('Policy Characteristics'!G:G,MATCH($C780,'Policy Characteristics'!$C:$C,0))),"",INDEX('Policy Characteristics'!G:G,MATCH($C780,'Policy Characteristics'!$C:$C,0)))</f>
        <v>0.25</v>
      </c>
      <c r="N780" s="398">
        <f>IF(ISBLANK(INDEX('Policy Characteristics'!H:H,MATCH($C780,'Policy Characteristics'!$C:$C,0))),"",INDEX('Policy Characteristics'!H:H,MATCH($C780,'Policy Characteristics'!$C:$C,0)))</f>
        <v>0.01</v>
      </c>
      <c r="O780" s="394" t="str">
        <f>IF(ISBLANK(INDEX('Policy Characteristics'!I:I,MATCH($C780,'Policy Characteristics'!$C:$C,0))),"",INDEX('Policy Characteristics'!I:I,MATCH($C780,'Policy Characteristics'!$C:$C,0)))</f>
        <v>% reduction in energy use</v>
      </c>
      <c r="P780" s="394" t="str">
        <f>IF(ISBLANK(INDEX('Policy Characteristics'!J:J,MATCH($C780,'Policy Characteristics'!$C:$C,0))),"",INDEX('Policy Characteristics'!J:J,MATCH($C780,'Policy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0" s="394" t="str">
        <f>IF(ISBLANK(INDEX('Policy Characteristics'!K:K,MATCH($C780,'Policy Characteristics'!$C:$C,0))),"",INDEX('Policy Characteristics'!K:K,MATCH($C780,'Policy Characteristics'!$C:$C,0)))</f>
        <v>industry-ag-main.html#eff-stds</v>
      </c>
      <c r="R780" s="394" t="str">
        <f>IF(ISBLANK(INDEX('Policy Characteristics'!L:L,MATCH($C780,'Policy Characteristics'!$C:$C,0))),"",INDEX('Policy Characteristics'!L:L,MATCH($C780,'Policy Characteristics'!$C:$C,0)))</f>
        <v>industry-energy-efficiency-standards.html</v>
      </c>
    </row>
    <row r="781" s="384" customFormat="1" customHeight="1" spans="1:18">
      <c r="A781" s="394" t="str">
        <f>IF(ISBLANK(INDEX('Policy Characteristics'!A:A,MATCH($C781,'Policy Characteristics'!$C:$C,0))),"",INDEX('Policy Characteristics'!A:A,MATCH($C781,'Policy Characteristics'!$C:$C,0)))</f>
        <v>Industry</v>
      </c>
      <c r="B781" s="395" t="str">
        <f>IF(ISBLANK(INDEX('Policy Characteristics'!B:B,MATCH($C781,'Policy Characteristics'!$C:$C,0))),"",INDEX('Policy Characteristics'!B:B,MATCH($C781,'Policy Characteristics'!$C:$C,0)))</f>
        <v>Industry Energy Efficiency Standards</v>
      </c>
      <c r="C781" s="394" t="str">
        <f t="shared" si="37"/>
        <v>Percentage Improvement in Eqpt Efficiency Standards above BAU</v>
      </c>
      <c r="D781" s="399" t="s">
        <v>746</v>
      </c>
      <c r="E781" s="399" t="s">
        <v>800</v>
      </c>
      <c r="F781" t="s">
        <v>747</v>
      </c>
      <c r="G781" s="399" t="s">
        <v>816</v>
      </c>
      <c r="H781" s="377">
        <v>1002</v>
      </c>
      <c r="I781" s="396" t="s">
        <v>648</v>
      </c>
      <c r="J781" s="397" t="str">
        <f>IF(ISBLANK(INDEX('Policy Characteristics'!D:D,MATCH($C781,'Policy Characteristics'!$C:$C,0))),"",INDEX('Policy Characteristics'!D:D,MATCH($C781,'Policy Characteristics'!$C:$C,0)))</f>
        <v>Industry Energy Efficiency Standards</v>
      </c>
      <c r="K781" s="394" t="str">
        <f>IF(ISBLANK(INDEX('Policy Characteristics'!E:E,MATCH($C781,'Policy Characteristics'!$C:$C,0))),"",INDEX('Policy Characteristics'!E:E,MATCH($C781,'Policy Characteristics'!$C:$C,0)))</f>
        <v>indst efficiency standards</v>
      </c>
      <c r="L781" s="398">
        <f>IF(ISBLANK(INDEX('Policy Characteristics'!F:F,MATCH($C781,'Policy Characteristics'!$C:$C,0))),"",INDEX('Policy Characteristics'!F:F,MATCH($C781,'Policy Characteristics'!$C:$C,0)))</f>
        <v>0</v>
      </c>
      <c r="M781" s="398">
        <f>IF(ISBLANK(INDEX('Policy Characteristics'!G:G,MATCH($C781,'Policy Characteristics'!$C:$C,0))),"",INDEX('Policy Characteristics'!G:G,MATCH($C781,'Policy Characteristics'!$C:$C,0)))</f>
        <v>0.25</v>
      </c>
      <c r="N781" s="398">
        <f>IF(ISBLANK(INDEX('Policy Characteristics'!H:H,MATCH($C781,'Policy Characteristics'!$C:$C,0))),"",INDEX('Policy Characteristics'!H:H,MATCH($C781,'Policy Characteristics'!$C:$C,0)))</f>
        <v>0.01</v>
      </c>
      <c r="O781" s="394" t="str">
        <f>IF(ISBLANK(INDEX('Policy Characteristics'!I:I,MATCH($C781,'Policy Characteristics'!$C:$C,0))),"",INDEX('Policy Characteristics'!I:I,MATCH($C781,'Policy Characteristics'!$C:$C,0)))</f>
        <v>% reduction in energy use</v>
      </c>
      <c r="P781" s="394" t="str">
        <f>IF(ISBLANK(INDEX('Policy Characteristics'!J:J,MATCH($C781,'Policy Characteristics'!$C:$C,0))),"",INDEX('Policy Characteristics'!J:J,MATCH($C781,'Policy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1" s="394" t="str">
        <f>IF(ISBLANK(INDEX('Policy Characteristics'!K:K,MATCH($C781,'Policy Characteristics'!$C:$C,0))),"",INDEX('Policy Characteristics'!K:K,MATCH($C781,'Policy Characteristics'!$C:$C,0)))</f>
        <v>industry-ag-main.html#eff-stds</v>
      </c>
      <c r="R781" s="394" t="str">
        <f>IF(ISBLANK(INDEX('Policy Characteristics'!L:L,MATCH($C781,'Policy Characteristics'!$C:$C,0))),"",INDEX('Policy Characteristics'!L:L,MATCH($C781,'Policy Characteristics'!$C:$C,0)))</f>
        <v>industry-energy-efficiency-standards.html</v>
      </c>
    </row>
    <row r="782" s="384" customFormat="1" customHeight="1" spans="1:18">
      <c r="A782" s="394" t="str">
        <f>IF(ISBLANK(INDEX('Policy Characteristics'!A:A,MATCH($C782,'Policy Characteristics'!$C:$C,0))),"",INDEX('Policy Characteristics'!A:A,MATCH($C782,'Policy Characteristics'!$C:$C,0)))</f>
        <v>Industry</v>
      </c>
      <c r="B782" s="395" t="str">
        <f>IF(ISBLANK(INDEX('Policy Characteristics'!B:B,MATCH($C782,'Policy Characteristics'!$C:$C,0))),"",INDEX('Policy Characteristics'!B:B,MATCH($C782,'Policy Characteristics'!$C:$C,0)))</f>
        <v>Industry Energy Efficiency Standards</v>
      </c>
      <c r="C782" s="394" t="str">
        <f t="shared" si="37"/>
        <v>Percentage Improvement in Eqpt Efficiency Standards above BAU</v>
      </c>
      <c r="D782" s="399" t="s">
        <v>746</v>
      </c>
      <c r="E782" s="399" t="s">
        <v>802</v>
      </c>
      <c r="F782" t="s">
        <v>747</v>
      </c>
      <c r="G782" s="399" t="s">
        <v>817</v>
      </c>
      <c r="H782" s="377">
        <v>1003</v>
      </c>
      <c r="I782" s="396" t="s">
        <v>648</v>
      </c>
      <c r="J782" s="397" t="str">
        <f>IF(ISBLANK(INDEX('Policy Characteristics'!D:D,MATCH($C782,'Policy Characteristics'!$C:$C,0))),"",INDEX('Policy Characteristics'!D:D,MATCH($C782,'Policy Characteristics'!$C:$C,0)))</f>
        <v>Industry Energy Efficiency Standards</v>
      </c>
      <c r="K782" s="394" t="str">
        <f>IF(ISBLANK(INDEX('Policy Characteristics'!E:E,MATCH($C782,'Policy Characteristics'!$C:$C,0))),"",INDEX('Policy Characteristics'!E:E,MATCH($C782,'Policy Characteristics'!$C:$C,0)))</f>
        <v>indst efficiency standards</v>
      </c>
      <c r="L782" s="398">
        <f>IF(ISBLANK(INDEX('Policy Characteristics'!F:F,MATCH($C782,'Policy Characteristics'!$C:$C,0))),"",INDEX('Policy Characteristics'!F:F,MATCH($C782,'Policy Characteristics'!$C:$C,0)))</f>
        <v>0</v>
      </c>
      <c r="M782" s="398">
        <f>IF(ISBLANK(INDEX('Policy Characteristics'!G:G,MATCH($C782,'Policy Characteristics'!$C:$C,0))),"",INDEX('Policy Characteristics'!G:G,MATCH($C782,'Policy Characteristics'!$C:$C,0)))</f>
        <v>0.25</v>
      </c>
      <c r="N782" s="398">
        <f>IF(ISBLANK(INDEX('Policy Characteristics'!H:H,MATCH($C782,'Policy Characteristics'!$C:$C,0))),"",INDEX('Policy Characteristics'!H:H,MATCH($C782,'Policy Characteristics'!$C:$C,0)))</f>
        <v>0.01</v>
      </c>
      <c r="O782" s="394" t="str">
        <f>IF(ISBLANK(INDEX('Policy Characteristics'!I:I,MATCH($C782,'Policy Characteristics'!$C:$C,0))),"",INDEX('Policy Characteristics'!I:I,MATCH($C782,'Policy Characteristics'!$C:$C,0)))</f>
        <v>% reduction in energy use</v>
      </c>
      <c r="P782" s="394" t="str">
        <f>IF(ISBLANK(INDEX('Policy Characteristics'!J:J,MATCH($C782,'Policy Characteristics'!$C:$C,0))),"",INDEX('Policy Characteristics'!J:J,MATCH($C782,'Policy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2" s="394" t="str">
        <f>IF(ISBLANK(INDEX('Policy Characteristics'!K:K,MATCH($C782,'Policy Characteristics'!$C:$C,0))),"",INDEX('Policy Characteristics'!K:K,MATCH($C782,'Policy Characteristics'!$C:$C,0)))</f>
        <v>industry-ag-main.html#eff-stds</v>
      </c>
      <c r="R782" s="394" t="str">
        <f>IF(ISBLANK(INDEX('Policy Characteristics'!L:L,MATCH($C782,'Policy Characteristics'!$C:$C,0))),"",INDEX('Policy Characteristics'!L:L,MATCH($C782,'Policy Characteristics'!$C:$C,0)))</f>
        <v>industry-energy-efficiency-standards.html</v>
      </c>
    </row>
    <row r="783" s="384" customFormat="1" customHeight="1" spans="1:18">
      <c r="A783" s="394" t="str">
        <f>IF(ISBLANK(INDEX('Policy Characteristics'!A:A,MATCH($C783,'Policy Characteristics'!$C:$C,0))),"",INDEX('Policy Characteristics'!A:A,MATCH($C783,'Policy Characteristics'!$C:$C,0)))</f>
        <v>Industry</v>
      </c>
      <c r="B783" s="395" t="str">
        <f>IF(ISBLANK(INDEX('Policy Characteristics'!B:B,MATCH($C783,'Policy Characteristics'!$C:$C,0))),"",INDEX('Policy Characteristics'!B:B,MATCH($C783,'Policy Characteristics'!$C:$C,0)))</f>
        <v>Industry Energy Efficiency Standards</v>
      </c>
      <c r="C783" s="394" t="str">
        <f t="shared" si="37"/>
        <v>Percentage Improvement in Eqpt Efficiency Standards above BAU</v>
      </c>
      <c r="D783" s="399" t="s">
        <v>746</v>
      </c>
      <c r="E783" s="399" t="s">
        <v>804</v>
      </c>
      <c r="F783" t="s">
        <v>747</v>
      </c>
      <c r="G783" s="399" t="s">
        <v>818</v>
      </c>
      <c r="H783" s="377">
        <v>1004</v>
      </c>
      <c r="I783" s="396" t="s">
        <v>648</v>
      </c>
      <c r="J783" s="397" t="str">
        <f>IF(ISBLANK(INDEX('Policy Characteristics'!D:D,MATCH($C783,'Policy Characteristics'!$C:$C,0))),"",INDEX('Policy Characteristics'!D:D,MATCH($C783,'Policy Characteristics'!$C:$C,0)))</f>
        <v>Industry Energy Efficiency Standards</v>
      </c>
      <c r="K783" s="394" t="str">
        <f>IF(ISBLANK(INDEX('Policy Characteristics'!E:E,MATCH($C783,'Policy Characteristics'!$C:$C,0))),"",INDEX('Policy Characteristics'!E:E,MATCH($C783,'Policy Characteristics'!$C:$C,0)))</f>
        <v>indst efficiency standards</v>
      </c>
      <c r="L783" s="398">
        <f>IF(ISBLANK(INDEX('Policy Characteristics'!F:F,MATCH($C783,'Policy Characteristics'!$C:$C,0))),"",INDEX('Policy Characteristics'!F:F,MATCH($C783,'Policy Characteristics'!$C:$C,0)))</f>
        <v>0</v>
      </c>
      <c r="M783" s="398">
        <f>IF(ISBLANK(INDEX('Policy Characteristics'!G:G,MATCH($C783,'Policy Characteristics'!$C:$C,0))),"",INDEX('Policy Characteristics'!G:G,MATCH($C783,'Policy Characteristics'!$C:$C,0)))</f>
        <v>0.25</v>
      </c>
      <c r="N783" s="398">
        <f>IF(ISBLANK(INDEX('Policy Characteristics'!H:H,MATCH($C783,'Policy Characteristics'!$C:$C,0))),"",INDEX('Policy Characteristics'!H:H,MATCH($C783,'Policy Characteristics'!$C:$C,0)))</f>
        <v>0.01</v>
      </c>
      <c r="O783" s="394" t="str">
        <f>IF(ISBLANK(INDEX('Policy Characteristics'!I:I,MATCH($C783,'Policy Characteristics'!$C:$C,0))),"",INDEX('Policy Characteristics'!I:I,MATCH($C783,'Policy Characteristics'!$C:$C,0)))</f>
        <v>% reduction in energy use</v>
      </c>
      <c r="P783" s="394" t="str">
        <f>IF(ISBLANK(INDEX('Policy Characteristics'!J:J,MATCH($C783,'Policy Characteristics'!$C:$C,0))),"",INDEX('Policy Characteristics'!J:J,MATCH($C783,'Policy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3" s="394" t="str">
        <f>IF(ISBLANK(INDEX('Policy Characteristics'!K:K,MATCH($C783,'Policy Characteristics'!$C:$C,0))),"",INDEX('Policy Characteristics'!K:K,MATCH($C783,'Policy Characteristics'!$C:$C,0)))</f>
        <v>industry-ag-main.html#eff-stds</v>
      </c>
      <c r="R783" s="394" t="str">
        <f>IF(ISBLANK(INDEX('Policy Characteristics'!L:L,MATCH($C783,'Policy Characteristics'!$C:$C,0))),"",INDEX('Policy Characteristics'!L:L,MATCH($C783,'Policy Characteristics'!$C:$C,0)))</f>
        <v>industry-energy-efficiency-standards.html</v>
      </c>
    </row>
    <row r="784" s="384" customFormat="1" customHeight="1" spans="1:18">
      <c r="A784" s="394" t="str">
        <f>IF(ISBLANK(INDEX('Policy Characteristics'!A:A,MATCH($C784,'Policy Characteristics'!$C:$C,0))),"",INDEX('Policy Characteristics'!A:A,MATCH($C784,'Policy Characteristics'!$C:$C,0)))</f>
        <v>Industry</v>
      </c>
      <c r="B784" s="395" t="str">
        <f>IF(ISBLANK(INDEX('Policy Characteristics'!B:B,MATCH($C784,'Policy Characteristics'!$C:$C,0))),"",INDEX('Policy Characteristics'!B:B,MATCH($C784,'Policy Characteristics'!$C:$C,0)))</f>
        <v>Industry Energy Efficiency Standards</v>
      </c>
      <c r="C784" s="394" t="str">
        <f t="shared" si="37"/>
        <v>Percentage Improvement in Eqpt Efficiency Standards above BAU</v>
      </c>
      <c r="D784" s="399" t="s">
        <v>746</v>
      </c>
      <c r="E784" s="399" t="s">
        <v>806</v>
      </c>
      <c r="F784" t="s">
        <v>747</v>
      </c>
      <c r="G784" s="399" t="s">
        <v>819</v>
      </c>
      <c r="H784" s="377">
        <v>1005</v>
      </c>
      <c r="I784" s="396" t="s">
        <v>648</v>
      </c>
      <c r="J784" s="397" t="str">
        <f>IF(ISBLANK(INDEX('Policy Characteristics'!D:D,MATCH($C784,'Policy Characteristics'!$C:$C,0))),"",INDEX('Policy Characteristics'!D:D,MATCH($C784,'Policy Characteristics'!$C:$C,0)))</f>
        <v>Industry Energy Efficiency Standards</v>
      </c>
      <c r="K784" s="394" t="str">
        <f>IF(ISBLANK(INDEX('Policy Characteristics'!E:E,MATCH($C784,'Policy Characteristics'!$C:$C,0))),"",INDEX('Policy Characteristics'!E:E,MATCH($C784,'Policy Characteristics'!$C:$C,0)))</f>
        <v>indst efficiency standards</v>
      </c>
      <c r="L784" s="398">
        <f>IF(ISBLANK(INDEX('Policy Characteristics'!F:F,MATCH($C784,'Policy Characteristics'!$C:$C,0))),"",INDEX('Policy Characteristics'!F:F,MATCH($C784,'Policy Characteristics'!$C:$C,0)))</f>
        <v>0</v>
      </c>
      <c r="M784" s="398">
        <f>IF(ISBLANK(INDEX('Policy Characteristics'!G:G,MATCH($C784,'Policy Characteristics'!$C:$C,0))),"",INDEX('Policy Characteristics'!G:G,MATCH($C784,'Policy Characteristics'!$C:$C,0)))</f>
        <v>0.25</v>
      </c>
      <c r="N784" s="398">
        <f>IF(ISBLANK(INDEX('Policy Characteristics'!H:H,MATCH($C784,'Policy Characteristics'!$C:$C,0))),"",INDEX('Policy Characteristics'!H:H,MATCH($C784,'Policy Characteristics'!$C:$C,0)))</f>
        <v>0.01</v>
      </c>
      <c r="O784" s="394" t="str">
        <f>IF(ISBLANK(INDEX('Policy Characteristics'!I:I,MATCH($C784,'Policy Characteristics'!$C:$C,0))),"",INDEX('Policy Characteristics'!I:I,MATCH($C784,'Policy Characteristics'!$C:$C,0)))</f>
        <v>% reduction in energy use</v>
      </c>
      <c r="P784" s="394" t="str">
        <f>IF(ISBLANK(INDEX('Policy Characteristics'!J:J,MATCH($C784,'Policy Characteristics'!$C:$C,0))),"",INDEX('Policy Characteristics'!J:J,MATCH($C784,'Policy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4" s="394" t="str">
        <f>IF(ISBLANK(INDEX('Policy Characteristics'!K:K,MATCH($C784,'Policy Characteristics'!$C:$C,0))),"",INDEX('Policy Characteristics'!K:K,MATCH($C784,'Policy Characteristics'!$C:$C,0)))</f>
        <v>industry-ag-main.html#eff-stds</v>
      </c>
      <c r="R784" s="394" t="str">
        <f>IF(ISBLANK(INDEX('Policy Characteristics'!L:L,MATCH($C784,'Policy Characteristics'!$C:$C,0))),"",INDEX('Policy Characteristics'!L:L,MATCH($C784,'Policy Characteristics'!$C:$C,0)))</f>
        <v>industry-energy-efficiency-standards.html</v>
      </c>
    </row>
    <row r="785" s="384" customFormat="1" customHeight="1" spans="1:18">
      <c r="A785" s="394" t="str">
        <f>IF(ISBLANK(INDEX('Policy Characteristics'!A:A,MATCH($C785,'Policy Characteristics'!$C:$C,0))),"",INDEX('Policy Characteristics'!A:A,MATCH($C785,'Policy Characteristics'!$C:$C,0)))</f>
        <v>Industry</v>
      </c>
      <c r="B785" s="395" t="str">
        <f>IF(ISBLANK(INDEX('Policy Characteristics'!B:B,MATCH($C785,'Policy Characteristics'!$C:$C,0))),"",INDEX('Policy Characteristics'!B:B,MATCH($C785,'Policy Characteristics'!$C:$C,0)))</f>
        <v>Industry Energy Efficiency Standards</v>
      </c>
      <c r="C785" s="394" t="str">
        <f t="shared" si="37"/>
        <v>Percentage Improvement in Eqpt Efficiency Standards above BAU</v>
      </c>
      <c r="D785" s="399" t="s">
        <v>746</v>
      </c>
      <c r="E785" s="399" t="s">
        <v>808</v>
      </c>
      <c r="F785" t="s">
        <v>747</v>
      </c>
      <c r="G785" s="399" t="s">
        <v>820</v>
      </c>
      <c r="H785" s="377">
        <v>1006</v>
      </c>
      <c r="I785" s="396" t="s">
        <v>648</v>
      </c>
      <c r="J785" s="397" t="str">
        <f>IF(ISBLANK(INDEX('Policy Characteristics'!D:D,MATCH($C785,'Policy Characteristics'!$C:$C,0))),"",INDEX('Policy Characteristics'!D:D,MATCH($C785,'Policy Characteristics'!$C:$C,0)))</f>
        <v>Industry Energy Efficiency Standards</v>
      </c>
      <c r="K785" s="394" t="str">
        <f>IF(ISBLANK(INDEX('Policy Characteristics'!E:E,MATCH($C785,'Policy Characteristics'!$C:$C,0))),"",INDEX('Policy Characteristics'!E:E,MATCH($C785,'Policy Characteristics'!$C:$C,0)))</f>
        <v>indst efficiency standards</v>
      </c>
      <c r="L785" s="398">
        <f>IF(ISBLANK(INDEX('Policy Characteristics'!F:F,MATCH($C785,'Policy Characteristics'!$C:$C,0))),"",INDEX('Policy Characteristics'!F:F,MATCH($C785,'Policy Characteristics'!$C:$C,0)))</f>
        <v>0</v>
      </c>
      <c r="M785" s="398">
        <f>IF(ISBLANK(INDEX('Policy Characteristics'!G:G,MATCH($C785,'Policy Characteristics'!$C:$C,0))),"",INDEX('Policy Characteristics'!G:G,MATCH($C785,'Policy Characteristics'!$C:$C,0)))</f>
        <v>0.25</v>
      </c>
      <c r="N785" s="398">
        <f>IF(ISBLANK(INDEX('Policy Characteristics'!H:H,MATCH($C785,'Policy Characteristics'!$C:$C,0))),"",INDEX('Policy Characteristics'!H:H,MATCH($C785,'Policy Characteristics'!$C:$C,0)))</f>
        <v>0.01</v>
      </c>
      <c r="O785" s="394" t="str">
        <f>IF(ISBLANK(INDEX('Policy Characteristics'!I:I,MATCH($C785,'Policy Characteristics'!$C:$C,0))),"",INDEX('Policy Characteristics'!I:I,MATCH($C785,'Policy Characteristics'!$C:$C,0)))</f>
        <v>% reduction in energy use</v>
      </c>
      <c r="P785" s="394" t="str">
        <f>IF(ISBLANK(INDEX('Policy Characteristics'!J:J,MATCH($C785,'Policy Characteristics'!$C:$C,0))),"",INDEX('Policy Characteristics'!J:J,MATCH($C785,'Policy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5" s="394" t="str">
        <f>IF(ISBLANK(INDEX('Policy Characteristics'!K:K,MATCH($C785,'Policy Characteristics'!$C:$C,0))),"",INDEX('Policy Characteristics'!K:K,MATCH($C785,'Policy Characteristics'!$C:$C,0)))</f>
        <v>industry-ag-main.html#eff-stds</v>
      </c>
      <c r="R785" s="394" t="str">
        <f>IF(ISBLANK(INDEX('Policy Characteristics'!L:L,MATCH($C785,'Policy Characteristics'!$C:$C,0))),"",INDEX('Policy Characteristics'!L:L,MATCH($C785,'Policy Characteristics'!$C:$C,0)))</f>
        <v>industry-energy-efficiency-standards.html</v>
      </c>
    </row>
    <row r="786" s="384" customFormat="1" customHeight="1" spans="1:18">
      <c r="A786" s="394" t="str">
        <f>IF(ISBLANK(INDEX('Policy Characteristics'!A:A,MATCH($C786,'Policy Characteristics'!$C:$C,0))),"",INDEX('Policy Characteristics'!A:A,MATCH($C786,'Policy Characteristics'!$C:$C,0)))</f>
        <v>Industry</v>
      </c>
      <c r="B786" s="395" t="str">
        <f>IF(ISBLANK(INDEX('Policy Characteristics'!B:B,MATCH($C786,'Policy Characteristics'!$C:$C,0))),"",INDEX('Policy Characteristics'!B:B,MATCH($C786,'Policy Characteristics'!$C:$C,0)))</f>
        <v>Industry Energy Efficiency Standards</v>
      </c>
      <c r="C786" s="394" t="str">
        <f t="shared" si="37"/>
        <v>Percentage Improvement in Eqpt Efficiency Standards above BAU</v>
      </c>
      <c r="D786" s="399" t="s">
        <v>746</v>
      </c>
      <c r="E786" s="399" t="s">
        <v>810</v>
      </c>
      <c r="F786" t="s">
        <v>747</v>
      </c>
      <c r="G786" s="399" t="s">
        <v>821</v>
      </c>
      <c r="H786" s="377">
        <v>1007</v>
      </c>
      <c r="I786" s="396" t="s">
        <v>648</v>
      </c>
      <c r="J786" s="397" t="str">
        <f>IF(ISBLANK(INDEX('Policy Characteristics'!D:D,MATCH($C786,'Policy Characteristics'!$C:$C,0))),"",INDEX('Policy Characteristics'!D:D,MATCH($C786,'Policy Characteristics'!$C:$C,0)))</f>
        <v>Industry Energy Efficiency Standards</v>
      </c>
      <c r="K786" s="394" t="str">
        <f>IF(ISBLANK(INDEX('Policy Characteristics'!E:E,MATCH($C786,'Policy Characteristics'!$C:$C,0))),"",INDEX('Policy Characteristics'!E:E,MATCH($C786,'Policy Characteristics'!$C:$C,0)))</f>
        <v>indst efficiency standards</v>
      </c>
      <c r="L786" s="398">
        <f>IF(ISBLANK(INDEX('Policy Characteristics'!F:F,MATCH($C786,'Policy Characteristics'!$C:$C,0))),"",INDEX('Policy Characteristics'!F:F,MATCH($C786,'Policy Characteristics'!$C:$C,0)))</f>
        <v>0</v>
      </c>
      <c r="M786" s="398">
        <f>IF(ISBLANK(INDEX('Policy Characteristics'!G:G,MATCH($C786,'Policy Characteristics'!$C:$C,0))),"",INDEX('Policy Characteristics'!G:G,MATCH($C786,'Policy Characteristics'!$C:$C,0)))</f>
        <v>0.25</v>
      </c>
      <c r="N786" s="398">
        <f>IF(ISBLANK(INDEX('Policy Characteristics'!H:H,MATCH($C786,'Policy Characteristics'!$C:$C,0))),"",INDEX('Policy Characteristics'!H:H,MATCH($C786,'Policy Characteristics'!$C:$C,0)))</f>
        <v>0.01</v>
      </c>
      <c r="O786" s="394" t="str">
        <f>IF(ISBLANK(INDEX('Policy Characteristics'!I:I,MATCH($C786,'Policy Characteristics'!$C:$C,0))),"",INDEX('Policy Characteristics'!I:I,MATCH($C786,'Policy Characteristics'!$C:$C,0)))</f>
        <v>% reduction in energy use</v>
      </c>
      <c r="P786" s="394" t="str">
        <f>IF(ISBLANK(INDEX('Policy Characteristics'!J:J,MATCH($C786,'Policy Characteristics'!$C:$C,0))),"",INDEX('Policy Characteristics'!J:J,MATCH($C786,'Policy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6" s="394" t="str">
        <f>IF(ISBLANK(INDEX('Policy Characteristics'!K:K,MATCH($C786,'Policy Characteristics'!$C:$C,0))),"",INDEX('Policy Characteristics'!K:K,MATCH($C786,'Policy Characteristics'!$C:$C,0)))</f>
        <v>industry-ag-main.html#eff-stds</v>
      </c>
      <c r="R786" s="394" t="str">
        <f>IF(ISBLANK(INDEX('Policy Characteristics'!L:L,MATCH($C786,'Policy Characteristics'!$C:$C,0))),"",INDEX('Policy Characteristics'!L:L,MATCH($C786,'Policy Characteristics'!$C:$C,0)))</f>
        <v>industry-energy-efficiency-standards.html</v>
      </c>
    </row>
    <row r="787" s="384" customFormat="1" customHeight="1" spans="1:18">
      <c r="A787" s="394" t="str">
        <f>IF(ISBLANK(INDEX('Policy Characteristics'!A:A,MATCH($C787,'Policy Characteristics'!$C:$C,0))),"",INDEX('Policy Characteristics'!A:A,MATCH($C787,'Policy Characteristics'!$C:$C,0)))</f>
        <v>Industry</v>
      </c>
      <c r="B787" s="395" t="str">
        <f>IF(ISBLANK(INDEX('Policy Characteristics'!B:B,MATCH($C787,'Policy Characteristics'!$C:$C,0))),"",INDEX('Policy Characteristics'!B:B,MATCH($C787,'Policy Characteristics'!$C:$C,0)))</f>
        <v>Industry Energy Efficiency Standards</v>
      </c>
      <c r="C787" s="394" t="str">
        <f t="shared" si="37"/>
        <v>Percentage Improvement in Eqpt Efficiency Standards above BAU</v>
      </c>
      <c r="D787" s="399" t="s">
        <v>748</v>
      </c>
      <c r="E787" s="399" t="s">
        <v>792</v>
      </c>
      <c r="F787" t="s">
        <v>749</v>
      </c>
      <c r="G787" s="399" t="s">
        <v>812</v>
      </c>
      <c r="H787" s="377">
        <v>1008</v>
      </c>
      <c r="I787" s="396" t="s">
        <v>648</v>
      </c>
      <c r="J787" s="397" t="str">
        <f>IF(ISBLANK(INDEX('Policy Characteristics'!D:D,MATCH($C787,'Policy Characteristics'!$C:$C,0))),"",INDEX('Policy Characteristics'!D:D,MATCH($C787,'Policy Characteristics'!$C:$C,0)))</f>
        <v>Industry Energy Efficiency Standards</v>
      </c>
      <c r="K787" s="394" t="str">
        <f>IF(ISBLANK(INDEX('Policy Characteristics'!E:E,MATCH($C787,'Policy Characteristics'!$C:$C,0))),"",INDEX('Policy Characteristics'!E:E,MATCH($C787,'Policy Characteristics'!$C:$C,0)))</f>
        <v>indst efficiency standards</v>
      </c>
      <c r="L787" s="398">
        <f>IF(ISBLANK(INDEX('Policy Characteristics'!F:F,MATCH($C787,'Policy Characteristics'!$C:$C,0))),"",INDEX('Policy Characteristics'!F:F,MATCH($C787,'Policy Characteristics'!$C:$C,0)))</f>
        <v>0</v>
      </c>
      <c r="M787" s="398">
        <f>IF(ISBLANK(INDEX('Policy Characteristics'!G:G,MATCH($C787,'Policy Characteristics'!$C:$C,0))),"",INDEX('Policy Characteristics'!G:G,MATCH($C787,'Policy Characteristics'!$C:$C,0)))</f>
        <v>0.25</v>
      </c>
      <c r="N787" s="398">
        <f>IF(ISBLANK(INDEX('Policy Characteristics'!H:H,MATCH($C787,'Policy Characteristics'!$C:$C,0))),"",INDEX('Policy Characteristics'!H:H,MATCH($C787,'Policy Characteristics'!$C:$C,0)))</f>
        <v>0.01</v>
      </c>
      <c r="O787" s="394" t="str">
        <f>IF(ISBLANK(INDEX('Policy Characteristics'!I:I,MATCH($C787,'Policy Characteristics'!$C:$C,0))),"",INDEX('Policy Characteristics'!I:I,MATCH($C787,'Policy Characteristics'!$C:$C,0)))</f>
        <v>% reduction in energy use</v>
      </c>
      <c r="P787" s="394" t="str">
        <f>IF(ISBLANK(INDEX('Policy Characteristics'!J:J,MATCH($C787,'Policy Characteristics'!$C:$C,0))),"",INDEX('Policy Characteristics'!J:J,MATCH($C787,'Policy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7" s="394" t="str">
        <f>IF(ISBLANK(INDEX('Policy Characteristics'!K:K,MATCH($C787,'Policy Characteristics'!$C:$C,0))),"",INDEX('Policy Characteristics'!K:K,MATCH($C787,'Policy Characteristics'!$C:$C,0)))</f>
        <v>industry-ag-main.html#eff-stds</v>
      </c>
      <c r="R787" s="394" t="str">
        <f>IF(ISBLANK(INDEX('Policy Characteristics'!L:L,MATCH($C787,'Policy Characteristics'!$C:$C,0))),"",INDEX('Policy Characteristics'!L:L,MATCH($C787,'Policy Characteristics'!$C:$C,0)))</f>
        <v>industry-energy-efficiency-standards.html</v>
      </c>
    </row>
    <row r="788" s="384" customFormat="1" customHeight="1" spans="1:18">
      <c r="A788" s="394" t="str">
        <f>IF(ISBLANK(INDEX('Policy Characteristics'!A:A,MATCH($C788,'Policy Characteristics'!$C:$C,0))),"",INDEX('Policy Characteristics'!A:A,MATCH($C788,'Policy Characteristics'!$C:$C,0)))</f>
        <v>Industry</v>
      </c>
      <c r="B788" s="395" t="str">
        <f>IF(ISBLANK(INDEX('Policy Characteristics'!B:B,MATCH($C788,'Policy Characteristics'!$C:$C,0))),"",INDEX('Policy Characteristics'!B:B,MATCH($C788,'Policy Characteristics'!$C:$C,0)))</f>
        <v>Industry Energy Efficiency Standards</v>
      </c>
      <c r="C788" s="394" t="str">
        <f t="shared" si="37"/>
        <v>Percentage Improvement in Eqpt Efficiency Standards above BAU</v>
      </c>
      <c r="D788" s="399" t="s">
        <v>748</v>
      </c>
      <c r="E788" s="399" t="s">
        <v>794</v>
      </c>
      <c r="F788" t="s">
        <v>749</v>
      </c>
      <c r="G788" s="399" t="s">
        <v>813</v>
      </c>
      <c r="H788" s="377">
        <v>1009</v>
      </c>
      <c r="I788" s="396" t="s">
        <v>648</v>
      </c>
      <c r="J788" s="397" t="str">
        <f>IF(ISBLANK(INDEX('Policy Characteristics'!D:D,MATCH($C788,'Policy Characteristics'!$C:$C,0))),"",INDEX('Policy Characteristics'!D:D,MATCH($C788,'Policy Characteristics'!$C:$C,0)))</f>
        <v>Industry Energy Efficiency Standards</v>
      </c>
      <c r="K788" s="394" t="str">
        <f>IF(ISBLANK(INDEX('Policy Characteristics'!E:E,MATCH($C788,'Policy Characteristics'!$C:$C,0))),"",INDEX('Policy Characteristics'!E:E,MATCH($C788,'Policy Characteristics'!$C:$C,0)))</f>
        <v>indst efficiency standards</v>
      </c>
      <c r="L788" s="398">
        <f>IF(ISBLANK(INDEX('Policy Characteristics'!F:F,MATCH($C788,'Policy Characteristics'!$C:$C,0))),"",INDEX('Policy Characteristics'!F:F,MATCH($C788,'Policy Characteristics'!$C:$C,0)))</f>
        <v>0</v>
      </c>
      <c r="M788" s="398">
        <f>IF(ISBLANK(INDEX('Policy Characteristics'!G:G,MATCH($C788,'Policy Characteristics'!$C:$C,0))),"",INDEX('Policy Characteristics'!G:G,MATCH($C788,'Policy Characteristics'!$C:$C,0)))</f>
        <v>0.25</v>
      </c>
      <c r="N788" s="398">
        <f>IF(ISBLANK(INDEX('Policy Characteristics'!H:H,MATCH($C788,'Policy Characteristics'!$C:$C,0))),"",INDEX('Policy Characteristics'!H:H,MATCH($C788,'Policy Characteristics'!$C:$C,0)))</f>
        <v>0.01</v>
      </c>
      <c r="O788" s="394" t="str">
        <f>IF(ISBLANK(INDEX('Policy Characteristics'!I:I,MATCH($C788,'Policy Characteristics'!$C:$C,0))),"",INDEX('Policy Characteristics'!I:I,MATCH($C788,'Policy Characteristics'!$C:$C,0)))</f>
        <v>% reduction in energy use</v>
      </c>
      <c r="P788" s="394" t="str">
        <f>IF(ISBLANK(INDEX('Policy Characteristics'!J:J,MATCH($C788,'Policy Characteristics'!$C:$C,0))),"",INDEX('Policy Characteristics'!J:J,MATCH($C788,'Policy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8" s="394" t="str">
        <f>IF(ISBLANK(INDEX('Policy Characteristics'!K:K,MATCH($C788,'Policy Characteristics'!$C:$C,0))),"",INDEX('Policy Characteristics'!K:K,MATCH($C788,'Policy Characteristics'!$C:$C,0)))</f>
        <v>industry-ag-main.html#eff-stds</v>
      </c>
      <c r="R788" s="394" t="str">
        <f>IF(ISBLANK(INDEX('Policy Characteristics'!L:L,MATCH($C788,'Policy Characteristics'!$C:$C,0))),"",INDEX('Policy Characteristics'!L:L,MATCH($C788,'Policy Characteristics'!$C:$C,0)))</f>
        <v>industry-energy-efficiency-standards.html</v>
      </c>
    </row>
    <row r="789" s="384" customFormat="1" customHeight="1" spans="1:18">
      <c r="A789" s="394" t="str">
        <f>IF(ISBLANK(INDEX('Policy Characteristics'!A:A,MATCH($C789,'Policy Characteristics'!$C:$C,0))),"",INDEX('Policy Characteristics'!A:A,MATCH($C789,'Policy Characteristics'!$C:$C,0)))</f>
        <v>Industry</v>
      </c>
      <c r="B789" s="395" t="str">
        <f>IF(ISBLANK(INDEX('Policy Characteristics'!B:B,MATCH($C789,'Policy Characteristics'!$C:$C,0))),"",INDEX('Policy Characteristics'!B:B,MATCH($C789,'Policy Characteristics'!$C:$C,0)))</f>
        <v>Industry Energy Efficiency Standards</v>
      </c>
      <c r="C789" s="394" t="str">
        <f t="shared" si="37"/>
        <v>Percentage Improvement in Eqpt Efficiency Standards above BAU</v>
      </c>
      <c r="D789" s="399" t="s">
        <v>748</v>
      </c>
      <c r="E789" s="399" t="s">
        <v>796</v>
      </c>
      <c r="F789" t="s">
        <v>749</v>
      </c>
      <c r="G789" s="399" t="s">
        <v>814</v>
      </c>
      <c r="H789" s="377">
        <v>1010</v>
      </c>
      <c r="I789" s="396" t="s">
        <v>648</v>
      </c>
      <c r="J789" s="397" t="str">
        <f>IF(ISBLANK(INDEX('Policy Characteristics'!D:D,MATCH($C789,'Policy Characteristics'!$C:$C,0))),"",INDEX('Policy Characteristics'!D:D,MATCH($C789,'Policy Characteristics'!$C:$C,0)))</f>
        <v>Industry Energy Efficiency Standards</v>
      </c>
      <c r="K789" s="394" t="str">
        <f>IF(ISBLANK(INDEX('Policy Characteristics'!E:E,MATCH($C789,'Policy Characteristics'!$C:$C,0))),"",INDEX('Policy Characteristics'!E:E,MATCH($C789,'Policy Characteristics'!$C:$C,0)))</f>
        <v>indst efficiency standards</v>
      </c>
      <c r="L789" s="398">
        <f>IF(ISBLANK(INDEX('Policy Characteristics'!F:F,MATCH($C789,'Policy Characteristics'!$C:$C,0))),"",INDEX('Policy Characteristics'!F:F,MATCH($C789,'Policy Characteristics'!$C:$C,0)))</f>
        <v>0</v>
      </c>
      <c r="M789" s="398">
        <f>IF(ISBLANK(INDEX('Policy Characteristics'!G:G,MATCH($C789,'Policy Characteristics'!$C:$C,0))),"",INDEX('Policy Characteristics'!G:G,MATCH($C789,'Policy Characteristics'!$C:$C,0)))</f>
        <v>0.25</v>
      </c>
      <c r="N789" s="398">
        <f>IF(ISBLANK(INDEX('Policy Characteristics'!H:H,MATCH($C789,'Policy Characteristics'!$C:$C,0))),"",INDEX('Policy Characteristics'!H:H,MATCH($C789,'Policy Characteristics'!$C:$C,0)))</f>
        <v>0.01</v>
      </c>
      <c r="O789" s="394" t="str">
        <f>IF(ISBLANK(INDEX('Policy Characteristics'!I:I,MATCH($C789,'Policy Characteristics'!$C:$C,0))),"",INDEX('Policy Characteristics'!I:I,MATCH($C789,'Policy Characteristics'!$C:$C,0)))</f>
        <v>% reduction in energy use</v>
      </c>
      <c r="P789" s="394" t="str">
        <f>IF(ISBLANK(INDEX('Policy Characteristics'!J:J,MATCH($C789,'Policy Characteristics'!$C:$C,0))),"",INDEX('Policy Characteristics'!J:J,MATCH($C789,'Policy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9" s="394" t="str">
        <f>IF(ISBLANK(INDEX('Policy Characteristics'!K:K,MATCH($C789,'Policy Characteristics'!$C:$C,0))),"",INDEX('Policy Characteristics'!K:K,MATCH($C789,'Policy Characteristics'!$C:$C,0)))</f>
        <v>industry-ag-main.html#eff-stds</v>
      </c>
      <c r="R789" s="394" t="str">
        <f>IF(ISBLANK(INDEX('Policy Characteristics'!L:L,MATCH($C789,'Policy Characteristics'!$C:$C,0))),"",INDEX('Policy Characteristics'!L:L,MATCH($C789,'Policy Characteristics'!$C:$C,0)))</f>
        <v>industry-energy-efficiency-standards.html</v>
      </c>
    </row>
    <row r="790" s="384" customFormat="1" customHeight="1" spans="1:18">
      <c r="A790" s="394" t="str">
        <f>IF(ISBLANK(INDEX('Policy Characteristics'!A:A,MATCH($C790,'Policy Characteristics'!$C:$C,0))),"",INDEX('Policy Characteristics'!A:A,MATCH($C790,'Policy Characteristics'!$C:$C,0)))</f>
        <v>Industry</v>
      </c>
      <c r="B790" s="395" t="str">
        <f>IF(ISBLANK(INDEX('Policy Characteristics'!B:B,MATCH($C790,'Policy Characteristics'!$C:$C,0))),"",INDEX('Policy Characteristics'!B:B,MATCH($C790,'Policy Characteristics'!$C:$C,0)))</f>
        <v>Industry Energy Efficiency Standards</v>
      </c>
      <c r="C790" s="394" t="str">
        <f t="shared" si="37"/>
        <v>Percentage Improvement in Eqpt Efficiency Standards above BAU</v>
      </c>
      <c r="D790" s="399" t="s">
        <v>748</v>
      </c>
      <c r="E790" s="399" t="s">
        <v>798</v>
      </c>
      <c r="F790" t="s">
        <v>749</v>
      </c>
      <c r="G790" s="399" t="s">
        <v>815</v>
      </c>
      <c r="H790" s="377">
        <v>1011</v>
      </c>
      <c r="I790" s="396" t="s">
        <v>648</v>
      </c>
      <c r="J790" s="397" t="str">
        <f>IF(ISBLANK(INDEX('Policy Characteristics'!D:D,MATCH($C790,'Policy Characteristics'!$C:$C,0))),"",INDEX('Policy Characteristics'!D:D,MATCH($C790,'Policy Characteristics'!$C:$C,0)))</f>
        <v>Industry Energy Efficiency Standards</v>
      </c>
      <c r="K790" s="394" t="str">
        <f>IF(ISBLANK(INDEX('Policy Characteristics'!E:E,MATCH($C790,'Policy Characteristics'!$C:$C,0))),"",INDEX('Policy Characteristics'!E:E,MATCH($C790,'Policy Characteristics'!$C:$C,0)))</f>
        <v>indst efficiency standards</v>
      </c>
      <c r="L790" s="398">
        <f>IF(ISBLANK(INDEX('Policy Characteristics'!F:F,MATCH($C790,'Policy Characteristics'!$C:$C,0))),"",INDEX('Policy Characteristics'!F:F,MATCH($C790,'Policy Characteristics'!$C:$C,0)))</f>
        <v>0</v>
      </c>
      <c r="M790" s="398">
        <f>IF(ISBLANK(INDEX('Policy Characteristics'!G:G,MATCH($C790,'Policy Characteristics'!$C:$C,0))),"",INDEX('Policy Characteristics'!G:G,MATCH($C790,'Policy Characteristics'!$C:$C,0)))</f>
        <v>0.25</v>
      </c>
      <c r="N790" s="398">
        <f>IF(ISBLANK(INDEX('Policy Characteristics'!H:H,MATCH($C790,'Policy Characteristics'!$C:$C,0))),"",INDEX('Policy Characteristics'!H:H,MATCH($C790,'Policy Characteristics'!$C:$C,0)))</f>
        <v>0.01</v>
      </c>
      <c r="O790" s="394" t="str">
        <f>IF(ISBLANK(INDEX('Policy Characteristics'!I:I,MATCH($C790,'Policy Characteristics'!$C:$C,0))),"",INDEX('Policy Characteristics'!I:I,MATCH($C790,'Policy Characteristics'!$C:$C,0)))</f>
        <v>% reduction in energy use</v>
      </c>
      <c r="P790" s="394" t="str">
        <f>IF(ISBLANK(INDEX('Policy Characteristics'!J:J,MATCH($C790,'Policy Characteristics'!$C:$C,0))),"",INDEX('Policy Characteristics'!J:J,MATCH($C790,'Policy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0" s="394" t="str">
        <f>IF(ISBLANK(INDEX('Policy Characteristics'!K:K,MATCH($C790,'Policy Characteristics'!$C:$C,0))),"",INDEX('Policy Characteristics'!K:K,MATCH($C790,'Policy Characteristics'!$C:$C,0)))</f>
        <v>industry-ag-main.html#eff-stds</v>
      </c>
      <c r="R790" s="394" t="str">
        <f>IF(ISBLANK(INDEX('Policy Characteristics'!L:L,MATCH($C790,'Policy Characteristics'!$C:$C,0))),"",INDEX('Policy Characteristics'!L:L,MATCH($C790,'Policy Characteristics'!$C:$C,0)))</f>
        <v>industry-energy-efficiency-standards.html</v>
      </c>
    </row>
    <row r="791" s="384" customFormat="1" customHeight="1" spans="1:18">
      <c r="A791" s="394" t="str">
        <f>IF(ISBLANK(INDEX('Policy Characteristics'!A:A,MATCH($C791,'Policy Characteristics'!$C:$C,0))),"",INDEX('Policy Characteristics'!A:A,MATCH($C791,'Policy Characteristics'!$C:$C,0)))</f>
        <v>Industry</v>
      </c>
      <c r="B791" s="395" t="str">
        <f>IF(ISBLANK(INDEX('Policy Characteristics'!B:B,MATCH($C791,'Policy Characteristics'!$C:$C,0))),"",INDEX('Policy Characteristics'!B:B,MATCH($C791,'Policy Characteristics'!$C:$C,0)))</f>
        <v>Industry Energy Efficiency Standards</v>
      </c>
      <c r="C791" s="394" t="str">
        <f t="shared" si="37"/>
        <v>Percentage Improvement in Eqpt Efficiency Standards above BAU</v>
      </c>
      <c r="D791" s="399" t="s">
        <v>748</v>
      </c>
      <c r="E791" s="399" t="s">
        <v>800</v>
      </c>
      <c r="F791" t="s">
        <v>749</v>
      </c>
      <c r="G791" s="399" t="s">
        <v>816</v>
      </c>
      <c r="H791" s="377">
        <v>1012</v>
      </c>
      <c r="I791" s="396" t="s">
        <v>648</v>
      </c>
      <c r="J791" s="397" t="str">
        <f>IF(ISBLANK(INDEX('Policy Characteristics'!D:D,MATCH($C791,'Policy Characteristics'!$C:$C,0))),"",INDEX('Policy Characteristics'!D:D,MATCH($C791,'Policy Characteristics'!$C:$C,0)))</f>
        <v>Industry Energy Efficiency Standards</v>
      </c>
      <c r="K791" s="394" t="str">
        <f>IF(ISBLANK(INDEX('Policy Characteristics'!E:E,MATCH($C791,'Policy Characteristics'!$C:$C,0))),"",INDEX('Policy Characteristics'!E:E,MATCH($C791,'Policy Characteristics'!$C:$C,0)))</f>
        <v>indst efficiency standards</v>
      </c>
      <c r="L791" s="398">
        <f>IF(ISBLANK(INDEX('Policy Characteristics'!F:F,MATCH($C791,'Policy Characteristics'!$C:$C,0))),"",INDEX('Policy Characteristics'!F:F,MATCH($C791,'Policy Characteristics'!$C:$C,0)))</f>
        <v>0</v>
      </c>
      <c r="M791" s="398">
        <f>IF(ISBLANK(INDEX('Policy Characteristics'!G:G,MATCH($C791,'Policy Characteristics'!$C:$C,0))),"",INDEX('Policy Characteristics'!G:G,MATCH($C791,'Policy Characteristics'!$C:$C,0)))</f>
        <v>0.25</v>
      </c>
      <c r="N791" s="398">
        <f>IF(ISBLANK(INDEX('Policy Characteristics'!H:H,MATCH($C791,'Policy Characteristics'!$C:$C,0))),"",INDEX('Policy Characteristics'!H:H,MATCH($C791,'Policy Characteristics'!$C:$C,0)))</f>
        <v>0.01</v>
      </c>
      <c r="O791" s="394" t="str">
        <f>IF(ISBLANK(INDEX('Policy Characteristics'!I:I,MATCH($C791,'Policy Characteristics'!$C:$C,0))),"",INDEX('Policy Characteristics'!I:I,MATCH($C791,'Policy Characteristics'!$C:$C,0)))</f>
        <v>% reduction in energy use</v>
      </c>
      <c r="P791" s="394" t="str">
        <f>IF(ISBLANK(INDEX('Policy Characteristics'!J:J,MATCH($C791,'Policy Characteristics'!$C:$C,0))),"",INDEX('Policy Characteristics'!J:J,MATCH($C791,'Policy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1" s="394" t="str">
        <f>IF(ISBLANK(INDEX('Policy Characteristics'!K:K,MATCH($C791,'Policy Characteristics'!$C:$C,0))),"",INDEX('Policy Characteristics'!K:K,MATCH($C791,'Policy Characteristics'!$C:$C,0)))</f>
        <v>industry-ag-main.html#eff-stds</v>
      </c>
      <c r="R791" s="394" t="str">
        <f>IF(ISBLANK(INDEX('Policy Characteristics'!L:L,MATCH($C791,'Policy Characteristics'!$C:$C,0))),"",INDEX('Policy Characteristics'!L:L,MATCH($C791,'Policy Characteristics'!$C:$C,0)))</f>
        <v>industry-energy-efficiency-standards.html</v>
      </c>
    </row>
    <row r="792" s="384" customFormat="1" customHeight="1" spans="1:18">
      <c r="A792" s="394" t="str">
        <f>IF(ISBLANK(INDEX('Policy Characteristics'!A:A,MATCH($C792,'Policy Characteristics'!$C:$C,0))),"",INDEX('Policy Characteristics'!A:A,MATCH($C792,'Policy Characteristics'!$C:$C,0)))</f>
        <v>Industry</v>
      </c>
      <c r="B792" s="395" t="str">
        <f>IF(ISBLANK(INDEX('Policy Characteristics'!B:B,MATCH($C792,'Policy Characteristics'!$C:$C,0))),"",INDEX('Policy Characteristics'!B:B,MATCH($C792,'Policy Characteristics'!$C:$C,0)))</f>
        <v>Industry Energy Efficiency Standards</v>
      </c>
      <c r="C792" s="394" t="str">
        <f t="shared" si="37"/>
        <v>Percentage Improvement in Eqpt Efficiency Standards above BAU</v>
      </c>
      <c r="D792" s="399" t="s">
        <v>748</v>
      </c>
      <c r="E792" s="399" t="s">
        <v>802</v>
      </c>
      <c r="F792" t="s">
        <v>749</v>
      </c>
      <c r="G792" s="399" t="s">
        <v>817</v>
      </c>
      <c r="H792" s="377">
        <v>1013</v>
      </c>
      <c r="I792" s="396" t="s">
        <v>648</v>
      </c>
      <c r="J792" s="397" t="str">
        <f>IF(ISBLANK(INDEX('Policy Characteristics'!D:D,MATCH($C792,'Policy Characteristics'!$C:$C,0))),"",INDEX('Policy Characteristics'!D:D,MATCH($C792,'Policy Characteristics'!$C:$C,0)))</f>
        <v>Industry Energy Efficiency Standards</v>
      </c>
      <c r="K792" s="394" t="str">
        <f>IF(ISBLANK(INDEX('Policy Characteristics'!E:E,MATCH($C792,'Policy Characteristics'!$C:$C,0))),"",INDEX('Policy Characteristics'!E:E,MATCH($C792,'Policy Characteristics'!$C:$C,0)))</f>
        <v>indst efficiency standards</v>
      </c>
      <c r="L792" s="398">
        <f>IF(ISBLANK(INDEX('Policy Characteristics'!F:F,MATCH($C792,'Policy Characteristics'!$C:$C,0))),"",INDEX('Policy Characteristics'!F:F,MATCH($C792,'Policy Characteristics'!$C:$C,0)))</f>
        <v>0</v>
      </c>
      <c r="M792" s="398">
        <f>IF(ISBLANK(INDEX('Policy Characteristics'!G:G,MATCH($C792,'Policy Characteristics'!$C:$C,0))),"",INDEX('Policy Characteristics'!G:G,MATCH($C792,'Policy Characteristics'!$C:$C,0)))</f>
        <v>0.25</v>
      </c>
      <c r="N792" s="398">
        <f>IF(ISBLANK(INDEX('Policy Characteristics'!H:H,MATCH($C792,'Policy Characteristics'!$C:$C,0))),"",INDEX('Policy Characteristics'!H:H,MATCH($C792,'Policy Characteristics'!$C:$C,0)))</f>
        <v>0.01</v>
      </c>
      <c r="O792" s="394" t="str">
        <f>IF(ISBLANK(INDEX('Policy Characteristics'!I:I,MATCH($C792,'Policy Characteristics'!$C:$C,0))),"",INDEX('Policy Characteristics'!I:I,MATCH($C792,'Policy Characteristics'!$C:$C,0)))</f>
        <v>% reduction in energy use</v>
      </c>
      <c r="P792" s="394" t="str">
        <f>IF(ISBLANK(INDEX('Policy Characteristics'!J:J,MATCH($C792,'Policy Characteristics'!$C:$C,0))),"",INDEX('Policy Characteristics'!J:J,MATCH($C792,'Policy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2" s="394" t="str">
        <f>IF(ISBLANK(INDEX('Policy Characteristics'!K:K,MATCH($C792,'Policy Characteristics'!$C:$C,0))),"",INDEX('Policy Characteristics'!K:K,MATCH($C792,'Policy Characteristics'!$C:$C,0)))</f>
        <v>industry-ag-main.html#eff-stds</v>
      </c>
      <c r="R792" s="394" t="str">
        <f>IF(ISBLANK(INDEX('Policy Characteristics'!L:L,MATCH($C792,'Policy Characteristics'!$C:$C,0))),"",INDEX('Policy Characteristics'!L:L,MATCH($C792,'Policy Characteristics'!$C:$C,0)))</f>
        <v>industry-energy-efficiency-standards.html</v>
      </c>
    </row>
    <row r="793" s="384" customFormat="1" customHeight="1" spans="1:18">
      <c r="A793" s="394" t="str">
        <f>IF(ISBLANK(INDEX('Policy Characteristics'!A:A,MATCH($C793,'Policy Characteristics'!$C:$C,0))),"",INDEX('Policy Characteristics'!A:A,MATCH($C793,'Policy Characteristics'!$C:$C,0)))</f>
        <v>Industry</v>
      </c>
      <c r="B793" s="395" t="str">
        <f>IF(ISBLANK(INDEX('Policy Characteristics'!B:B,MATCH($C793,'Policy Characteristics'!$C:$C,0))),"",INDEX('Policy Characteristics'!B:B,MATCH($C793,'Policy Characteristics'!$C:$C,0)))</f>
        <v>Industry Energy Efficiency Standards</v>
      </c>
      <c r="C793" s="394" t="str">
        <f t="shared" si="37"/>
        <v>Percentage Improvement in Eqpt Efficiency Standards above BAU</v>
      </c>
      <c r="D793" s="399" t="s">
        <v>748</v>
      </c>
      <c r="E793" s="399" t="s">
        <v>804</v>
      </c>
      <c r="F793" t="s">
        <v>749</v>
      </c>
      <c r="G793" s="399" t="s">
        <v>818</v>
      </c>
      <c r="H793" s="377">
        <v>1014</v>
      </c>
      <c r="I793" s="396" t="s">
        <v>648</v>
      </c>
      <c r="J793" s="397" t="str">
        <f>IF(ISBLANK(INDEX('Policy Characteristics'!D:D,MATCH($C793,'Policy Characteristics'!$C:$C,0))),"",INDEX('Policy Characteristics'!D:D,MATCH($C793,'Policy Characteristics'!$C:$C,0)))</f>
        <v>Industry Energy Efficiency Standards</v>
      </c>
      <c r="K793" s="394" t="str">
        <f>IF(ISBLANK(INDEX('Policy Characteristics'!E:E,MATCH($C793,'Policy Characteristics'!$C:$C,0))),"",INDEX('Policy Characteristics'!E:E,MATCH($C793,'Policy Characteristics'!$C:$C,0)))</f>
        <v>indst efficiency standards</v>
      </c>
      <c r="L793" s="398">
        <f>IF(ISBLANK(INDEX('Policy Characteristics'!F:F,MATCH($C793,'Policy Characteristics'!$C:$C,0))),"",INDEX('Policy Characteristics'!F:F,MATCH($C793,'Policy Characteristics'!$C:$C,0)))</f>
        <v>0</v>
      </c>
      <c r="M793" s="398">
        <f>IF(ISBLANK(INDEX('Policy Characteristics'!G:G,MATCH($C793,'Policy Characteristics'!$C:$C,0))),"",INDEX('Policy Characteristics'!G:G,MATCH($C793,'Policy Characteristics'!$C:$C,0)))</f>
        <v>0.25</v>
      </c>
      <c r="N793" s="398">
        <f>IF(ISBLANK(INDEX('Policy Characteristics'!H:H,MATCH($C793,'Policy Characteristics'!$C:$C,0))),"",INDEX('Policy Characteristics'!H:H,MATCH($C793,'Policy Characteristics'!$C:$C,0)))</f>
        <v>0.01</v>
      </c>
      <c r="O793" s="394" t="str">
        <f>IF(ISBLANK(INDEX('Policy Characteristics'!I:I,MATCH($C793,'Policy Characteristics'!$C:$C,0))),"",INDEX('Policy Characteristics'!I:I,MATCH($C793,'Policy Characteristics'!$C:$C,0)))</f>
        <v>% reduction in energy use</v>
      </c>
      <c r="P793" s="394" t="str">
        <f>IF(ISBLANK(INDEX('Policy Characteristics'!J:J,MATCH($C793,'Policy Characteristics'!$C:$C,0))),"",INDEX('Policy Characteristics'!J:J,MATCH($C793,'Policy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3" s="394" t="str">
        <f>IF(ISBLANK(INDEX('Policy Characteristics'!K:K,MATCH($C793,'Policy Characteristics'!$C:$C,0))),"",INDEX('Policy Characteristics'!K:K,MATCH($C793,'Policy Characteristics'!$C:$C,0)))</f>
        <v>industry-ag-main.html#eff-stds</v>
      </c>
      <c r="R793" s="394" t="str">
        <f>IF(ISBLANK(INDEX('Policy Characteristics'!L:L,MATCH($C793,'Policy Characteristics'!$C:$C,0))),"",INDEX('Policy Characteristics'!L:L,MATCH($C793,'Policy Characteristics'!$C:$C,0)))</f>
        <v>industry-energy-efficiency-standards.html</v>
      </c>
    </row>
    <row r="794" s="384" customFormat="1" customHeight="1" spans="1:18">
      <c r="A794" s="394" t="str">
        <f>IF(ISBLANK(INDEX('Policy Characteristics'!A:A,MATCH($C794,'Policy Characteristics'!$C:$C,0))),"",INDEX('Policy Characteristics'!A:A,MATCH($C794,'Policy Characteristics'!$C:$C,0)))</f>
        <v>Industry</v>
      </c>
      <c r="B794" s="395" t="str">
        <f>IF(ISBLANK(INDEX('Policy Characteristics'!B:B,MATCH($C794,'Policy Characteristics'!$C:$C,0))),"",INDEX('Policy Characteristics'!B:B,MATCH($C794,'Policy Characteristics'!$C:$C,0)))</f>
        <v>Industry Energy Efficiency Standards</v>
      </c>
      <c r="C794" s="394" t="str">
        <f t="shared" si="37"/>
        <v>Percentage Improvement in Eqpt Efficiency Standards above BAU</v>
      </c>
      <c r="D794" s="399" t="s">
        <v>748</v>
      </c>
      <c r="E794" s="399" t="s">
        <v>806</v>
      </c>
      <c r="F794" t="s">
        <v>749</v>
      </c>
      <c r="G794" s="399" t="s">
        <v>819</v>
      </c>
      <c r="H794" s="377">
        <v>1015</v>
      </c>
      <c r="I794" s="396" t="s">
        <v>648</v>
      </c>
      <c r="J794" s="397" t="str">
        <f>IF(ISBLANK(INDEX('Policy Characteristics'!D:D,MATCH($C794,'Policy Characteristics'!$C:$C,0))),"",INDEX('Policy Characteristics'!D:D,MATCH($C794,'Policy Characteristics'!$C:$C,0)))</f>
        <v>Industry Energy Efficiency Standards</v>
      </c>
      <c r="K794" s="394" t="str">
        <f>IF(ISBLANK(INDEX('Policy Characteristics'!E:E,MATCH($C794,'Policy Characteristics'!$C:$C,0))),"",INDEX('Policy Characteristics'!E:E,MATCH($C794,'Policy Characteristics'!$C:$C,0)))</f>
        <v>indst efficiency standards</v>
      </c>
      <c r="L794" s="398">
        <f>IF(ISBLANK(INDEX('Policy Characteristics'!F:F,MATCH($C794,'Policy Characteristics'!$C:$C,0))),"",INDEX('Policy Characteristics'!F:F,MATCH($C794,'Policy Characteristics'!$C:$C,0)))</f>
        <v>0</v>
      </c>
      <c r="M794" s="398">
        <f>IF(ISBLANK(INDEX('Policy Characteristics'!G:G,MATCH($C794,'Policy Characteristics'!$C:$C,0))),"",INDEX('Policy Characteristics'!G:G,MATCH($C794,'Policy Characteristics'!$C:$C,0)))</f>
        <v>0.25</v>
      </c>
      <c r="N794" s="398">
        <f>IF(ISBLANK(INDEX('Policy Characteristics'!H:H,MATCH($C794,'Policy Characteristics'!$C:$C,0))),"",INDEX('Policy Characteristics'!H:H,MATCH($C794,'Policy Characteristics'!$C:$C,0)))</f>
        <v>0.01</v>
      </c>
      <c r="O794" s="394" t="str">
        <f>IF(ISBLANK(INDEX('Policy Characteristics'!I:I,MATCH($C794,'Policy Characteristics'!$C:$C,0))),"",INDEX('Policy Characteristics'!I:I,MATCH($C794,'Policy Characteristics'!$C:$C,0)))</f>
        <v>% reduction in energy use</v>
      </c>
      <c r="P794" s="394" t="str">
        <f>IF(ISBLANK(INDEX('Policy Characteristics'!J:J,MATCH($C794,'Policy Characteristics'!$C:$C,0))),"",INDEX('Policy Characteristics'!J:J,MATCH($C794,'Policy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4" s="394" t="str">
        <f>IF(ISBLANK(INDEX('Policy Characteristics'!K:K,MATCH($C794,'Policy Characteristics'!$C:$C,0))),"",INDEX('Policy Characteristics'!K:K,MATCH($C794,'Policy Characteristics'!$C:$C,0)))</f>
        <v>industry-ag-main.html#eff-stds</v>
      </c>
      <c r="R794" s="394" t="str">
        <f>IF(ISBLANK(INDEX('Policy Characteristics'!L:L,MATCH($C794,'Policy Characteristics'!$C:$C,0))),"",INDEX('Policy Characteristics'!L:L,MATCH($C794,'Policy Characteristics'!$C:$C,0)))</f>
        <v>industry-energy-efficiency-standards.html</v>
      </c>
    </row>
    <row r="795" s="384" customFormat="1" customHeight="1" spans="1:18">
      <c r="A795" s="394" t="str">
        <f>IF(ISBLANK(INDEX('Policy Characteristics'!A:A,MATCH($C795,'Policy Characteristics'!$C:$C,0))),"",INDEX('Policy Characteristics'!A:A,MATCH($C795,'Policy Characteristics'!$C:$C,0)))</f>
        <v>Industry</v>
      </c>
      <c r="B795" s="395" t="str">
        <f>IF(ISBLANK(INDEX('Policy Characteristics'!B:B,MATCH($C795,'Policy Characteristics'!$C:$C,0))),"",INDEX('Policy Characteristics'!B:B,MATCH($C795,'Policy Characteristics'!$C:$C,0)))</f>
        <v>Industry Energy Efficiency Standards</v>
      </c>
      <c r="C795" s="394" t="str">
        <f t="shared" si="37"/>
        <v>Percentage Improvement in Eqpt Efficiency Standards above BAU</v>
      </c>
      <c r="D795" s="399" t="s">
        <v>748</v>
      </c>
      <c r="E795" s="399" t="s">
        <v>808</v>
      </c>
      <c r="F795" t="s">
        <v>749</v>
      </c>
      <c r="G795" s="399" t="s">
        <v>820</v>
      </c>
      <c r="H795" s="377">
        <v>1016</v>
      </c>
      <c r="I795" s="396" t="s">
        <v>648</v>
      </c>
      <c r="J795" s="397" t="str">
        <f>IF(ISBLANK(INDEX('Policy Characteristics'!D:D,MATCH($C795,'Policy Characteristics'!$C:$C,0))),"",INDEX('Policy Characteristics'!D:D,MATCH($C795,'Policy Characteristics'!$C:$C,0)))</f>
        <v>Industry Energy Efficiency Standards</v>
      </c>
      <c r="K795" s="394" t="str">
        <f>IF(ISBLANK(INDEX('Policy Characteristics'!E:E,MATCH($C795,'Policy Characteristics'!$C:$C,0))),"",INDEX('Policy Characteristics'!E:E,MATCH($C795,'Policy Characteristics'!$C:$C,0)))</f>
        <v>indst efficiency standards</v>
      </c>
      <c r="L795" s="398">
        <f>IF(ISBLANK(INDEX('Policy Characteristics'!F:F,MATCH($C795,'Policy Characteristics'!$C:$C,0))),"",INDEX('Policy Characteristics'!F:F,MATCH($C795,'Policy Characteristics'!$C:$C,0)))</f>
        <v>0</v>
      </c>
      <c r="M795" s="398">
        <f>IF(ISBLANK(INDEX('Policy Characteristics'!G:G,MATCH($C795,'Policy Characteristics'!$C:$C,0))),"",INDEX('Policy Characteristics'!G:G,MATCH($C795,'Policy Characteristics'!$C:$C,0)))</f>
        <v>0.25</v>
      </c>
      <c r="N795" s="398">
        <f>IF(ISBLANK(INDEX('Policy Characteristics'!H:H,MATCH($C795,'Policy Characteristics'!$C:$C,0))),"",INDEX('Policy Characteristics'!H:H,MATCH($C795,'Policy Characteristics'!$C:$C,0)))</f>
        <v>0.01</v>
      </c>
      <c r="O795" s="394" t="str">
        <f>IF(ISBLANK(INDEX('Policy Characteristics'!I:I,MATCH($C795,'Policy Characteristics'!$C:$C,0))),"",INDEX('Policy Characteristics'!I:I,MATCH($C795,'Policy Characteristics'!$C:$C,0)))</f>
        <v>% reduction in energy use</v>
      </c>
      <c r="P795" s="394" t="str">
        <f>IF(ISBLANK(INDEX('Policy Characteristics'!J:J,MATCH($C795,'Policy Characteristics'!$C:$C,0))),"",INDEX('Policy Characteristics'!J:J,MATCH($C795,'Policy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5" s="394" t="str">
        <f>IF(ISBLANK(INDEX('Policy Characteristics'!K:K,MATCH($C795,'Policy Characteristics'!$C:$C,0))),"",INDEX('Policy Characteristics'!K:K,MATCH($C795,'Policy Characteristics'!$C:$C,0)))</f>
        <v>industry-ag-main.html#eff-stds</v>
      </c>
      <c r="R795" s="394" t="str">
        <f>IF(ISBLANK(INDEX('Policy Characteristics'!L:L,MATCH($C795,'Policy Characteristics'!$C:$C,0))),"",INDEX('Policy Characteristics'!L:L,MATCH($C795,'Policy Characteristics'!$C:$C,0)))</f>
        <v>industry-energy-efficiency-standards.html</v>
      </c>
    </row>
    <row r="796" s="384" customFormat="1" customHeight="1" spans="1:18">
      <c r="A796" s="394" t="str">
        <f>IF(ISBLANK(INDEX('Policy Characteristics'!A:A,MATCH($C796,'Policy Characteristics'!$C:$C,0))),"",INDEX('Policy Characteristics'!A:A,MATCH($C796,'Policy Characteristics'!$C:$C,0)))</f>
        <v>Industry</v>
      </c>
      <c r="B796" s="395" t="str">
        <f>IF(ISBLANK(INDEX('Policy Characteristics'!B:B,MATCH($C796,'Policy Characteristics'!$C:$C,0))),"",INDEX('Policy Characteristics'!B:B,MATCH($C796,'Policy Characteristics'!$C:$C,0)))</f>
        <v>Industry Energy Efficiency Standards</v>
      </c>
      <c r="C796" s="394" t="str">
        <f t="shared" si="37"/>
        <v>Percentage Improvement in Eqpt Efficiency Standards above BAU</v>
      </c>
      <c r="D796" s="399" t="s">
        <v>748</v>
      </c>
      <c r="E796" s="399" t="s">
        <v>810</v>
      </c>
      <c r="F796" t="s">
        <v>749</v>
      </c>
      <c r="G796" s="399" t="s">
        <v>821</v>
      </c>
      <c r="H796" s="377">
        <v>1017</v>
      </c>
      <c r="I796" s="396" t="s">
        <v>648</v>
      </c>
      <c r="J796" s="397" t="str">
        <f>IF(ISBLANK(INDEX('Policy Characteristics'!D:D,MATCH($C796,'Policy Characteristics'!$C:$C,0))),"",INDEX('Policy Characteristics'!D:D,MATCH($C796,'Policy Characteristics'!$C:$C,0)))</f>
        <v>Industry Energy Efficiency Standards</v>
      </c>
      <c r="K796" s="394" t="str">
        <f>IF(ISBLANK(INDEX('Policy Characteristics'!E:E,MATCH($C796,'Policy Characteristics'!$C:$C,0))),"",INDEX('Policy Characteristics'!E:E,MATCH($C796,'Policy Characteristics'!$C:$C,0)))</f>
        <v>indst efficiency standards</v>
      </c>
      <c r="L796" s="398">
        <f>IF(ISBLANK(INDEX('Policy Characteristics'!F:F,MATCH($C796,'Policy Characteristics'!$C:$C,0))),"",INDEX('Policy Characteristics'!F:F,MATCH($C796,'Policy Characteristics'!$C:$C,0)))</f>
        <v>0</v>
      </c>
      <c r="M796" s="398">
        <f>IF(ISBLANK(INDEX('Policy Characteristics'!G:G,MATCH($C796,'Policy Characteristics'!$C:$C,0))),"",INDEX('Policy Characteristics'!G:G,MATCH($C796,'Policy Characteristics'!$C:$C,0)))</f>
        <v>0.25</v>
      </c>
      <c r="N796" s="398">
        <f>IF(ISBLANK(INDEX('Policy Characteristics'!H:H,MATCH($C796,'Policy Characteristics'!$C:$C,0))),"",INDEX('Policy Characteristics'!H:H,MATCH($C796,'Policy Characteristics'!$C:$C,0)))</f>
        <v>0.01</v>
      </c>
      <c r="O796" s="394" t="str">
        <f>IF(ISBLANK(INDEX('Policy Characteristics'!I:I,MATCH($C796,'Policy Characteristics'!$C:$C,0))),"",INDEX('Policy Characteristics'!I:I,MATCH($C796,'Policy Characteristics'!$C:$C,0)))</f>
        <v>% reduction in energy use</v>
      </c>
      <c r="P796" s="394" t="str">
        <f>IF(ISBLANK(INDEX('Policy Characteristics'!J:J,MATCH($C796,'Policy Characteristics'!$C:$C,0))),"",INDEX('Policy Characteristics'!J:J,MATCH($C796,'Policy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6" s="394" t="str">
        <f>IF(ISBLANK(INDEX('Policy Characteristics'!K:K,MATCH($C796,'Policy Characteristics'!$C:$C,0))),"",INDEX('Policy Characteristics'!K:K,MATCH($C796,'Policy Characteristics'!$C:$C,0)))</f>
        <v>industry-ag-main.html#eff-stds</v>
      </c>
      <c r="R796" s="394" t="str">
        <f>IF(ISBLANK(INDEX('Policy Characteristics'!L:L,MATCH($C796,'Policy Characteristics'!$C:$C,0))),"",INDEX('Policy Characteristics'!L:L,MATCH($C796,'Policy Characteristics'!$C:$C,0)))</f>
        <v>industry-energy-efficiency-standards.html</v>
      </c>
    </row>
    <row r="797" s="384" customFormat="1" customHeight="1" spans="1:18">
      <c r="A797" s="394" t="str">
        <f>IF(ISBLANK(INDEX('Policy Characteristics'!A:A,MATCH($C797,'Policy Characteristics'!$C:$C,0))),"",INDEX('Policy Characteristics'!A:A,MATCH($C797,'Policy Characteristics'!$C:$C,0)))</f>
        <v>Industry</v>
      </c>
      <c r="B797" s="395" t="str">
        <f>IF(ISBLANK(INDEX('Policy Characteristics'!B:B,MATCH($C797,'Policy Characteristics'!$C:$C,0))),"",INDEX('Policy Characteristics'!B:B,MATCH($C797,'Policy Characteristics'!$C:$C,0)))</f>
        <v>Industry Energy Efficiency Standards</v>
      </c>
      <c r="C797" s="394" t="str">
        <f t="shared" si="37"/>
        <v>Percentage Improvement in Eqpt Efficiency Standards above BAU</v>
      </c>
      <c r="D797" s="399" t="s">
        <v>750</v>
      </c>
      <c r="E797" s="399" t="s">
        <v>792</v>
      </c>
      <c r="F797" s="366" t="s">
        <v>751</v>
      </c>
      <c r="G797" s="399" t="s">
        <v>812</v>
      </c>
      <c r="H797" s="377">
        <v>1018</v>
      </c>
      <c r="I797" s="396" t="s">
        <v>648</v>
      </c>
      <c r="J797" s="397" t="str">
        <f>IF(ISBLANK(INDEX('Policy Characteristics'!D:D,MATCH($C797,'Policy Characteristics'!$C:$C,0))),"",INDEX('Policy Characteristics'!D:D,MATCH($C797,'Policy Characteristics'!$C:$C,0)))</f>
        <v>Industry Energy Efficiency Standards</v>
      </c>
      <c r="K797" s="394" t="str">
        <f>IF(ISBLANK(INDEX('Policy Characteristics'!E:E,MATCH($C797,'Policy Characteristics'!$C:$C,0))),"",INDEX('Policy Characteristics'!E:E,MATCH($C797,'Policy Characteristics'!$C:$C,0)))</f>
        <v>indst efficiency standards</v>
      </c>
      <c r="L797" s="398">
        <f>IF(ISBLANK(INDEX('Policy Characteristics'!F:F,MATCH($C797,'Policy Characteristics'!$C:$C,0))),"",INDEX('Policy Characteristics'!F:F,MATCH($C797,'Policy Characteristics'!$C:$C,0)))</f>
        <v>0</v>
      </c>
      <c r="M797" s="398">
        <f>IF(ISBLANK(INDEX('Policy Characteristics'!G:G,MATCH($C797,'Policy Characteristics'!$C:$C,0))),"",INDEX('Policy Characteristics'!G:G,MATCH($C797,'Policy Characteristics'!$C:$C,0)))</f>
        <v>0.25</v>
      </c>
      <c r="N797" s="398">
        <f>IF(ISBLANK(INDEX('Policy Characteristics'!H:H,MATCH($C797,'Policy Characteristics'!$C:$C,0))),"",INDEX('Policy Characteristics'!H:H,MATCH($C797,'Policy Characteristics'!$C:$C,0)))</f>
        <v>0.01</v>
      </c>
      <c r="O797" s="394" t="str">
        <f>IF(ISBLANK(INDEX('Policy Characteristics'!I:I,MATCH($C797,'Policy Characteristics'!$C:$C,0))),"",INDEX('Policy Characteristics'!I:I,MATCH($C797,'Policy Characteristics'!$C:$C,0)))</f>
        <v>% reduction in energy use</v>
      </c>
      <c r="P797" s="394" t="str">
        <f>IF(ISBLANK(INDEX('Policy Characteristics'!J:J,MATCH($C797,'Policy Characteristics'!$C:$C,0))),"",INDEX('Policy Characteristics'!J:J,MATCH($C797,'Policy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7" s="394" t="str">
        <f>IF(ISBLANK(INDEX('Policy Characteristics'!K:K,MATCH($C797,'Policy Characteristics'!$C:$C,0))),"",INDEX('Policy Characteristics'!K:K,MATCH($C797,'Policy Characteristics'!$C:$C,0)))</f>
        <v>industry-ag-main.html#eff-stds</v>
      </c>
      <c r="R797" s="394" t="str">
        <f>IF(ISBLANK(INDEX('Policy Characteristics'!L:L,MATCH($C797,'Policy Characteristics'!$C:$C,0))),"",INDEX('Policy Characteristics'!L:L,MATCH($C797,'Policy Characteristics'!$C:$C,0)))</f>
        <v>industry-energy-efficiency-standards.html</v>
      </c>
    </row>
    <row r="798" s="384" customFormat="1" customHeight="1" spans="1:18">
      <c r="A798" s="394" t="str">
        <f>IF(ISBLANK(INDEX('Policy Characteristics'!A:A,MATCH($C798,'Policy Characteristics'!$C:$C,0))),"",INDEX('Policy Characteristics'!A:A,MATCH($C798,'Policy Characteristics'!$C:$C,0)))</f>
        <v>Industry</v>
      </c>
      <c r="B798" s="395" t="str">
        <f>IF(ISBLANK(INDEX('Policy Characteristics'!B:B,MATCH($C798,'Policy Characteristics'!$C:$C,0))),"",INDEX('Policy Characteristics'!B:B,MATCH($C798,'Policy Characteristics'!$C:$C,0)))</f>
        <v>Industry Energy Efficiency Standards</v>
      </c>
      <c r="C798" s="394" t="str">
        <f t="shared" si="37"/>
        <v>Percentage Improvement in Eqpt Efficiency Standards above BAU</v>
      </c>
      <c r="D798" s="399" t="s">
        <v>750</v>
      </c>
      <c r="E798" s="399" t="s">
        <v>794</v>
      </c>
      <c r="F798" s="366" t="s">
        <v>751</v>
      </c>
      <c r="G798" s="399" t="s">
        <v>813</v>
      </c>
      <c r="H798" s="377">
        <v>1019</v>
      </c>
      <c r="I798" s="396" t="s">
        <v>648</v>
      </c>
      <c r="J798" s="397" t="str">
        <f>IF(ISBLANK(INDEX('Policy Characteristics'!D:D,MATCH($C798,'Policy Characteristics'!$C:$C,0))),"",INDEX('Policy Characteristics'!D:D,MATCH($C798,'Policy Characteristics'!$C:$C,0)))</f>
        <v>Industry Energy Efficiency Standards</v>
      </c>
      <c r="K798" s="394" t="str">
        <f>IF(ISBLANK(INDEX('Policy Characteristics'!E:E,MATCH($C798,'Policy Characteristics'!$C:$C,0))),"",INDEX('Policy Characteristics'!E:E,MATCH($C798,'Policy Characteristics'!$C:$C,0)))</f>
        <v>indst efficiency standards</v>
      </c>
      <c r="L798" s="398">
        <f>IF(ISBLANK(INDEX('Policy Characteristics'!F:F,MATCH($C798,'Policy Characteristics'!$C:$C,0))),"",INDEX('Policy Characteristics'!F:F,MATCH($C798,'Policy Characteristics'!$C:$C,0)))</f>
        <v>0</v>
      </c>
      <c r="M798" s="398">
        <f>IF(ISBLANK(INDEX('Policy Characteristics'!G:G,MATCH($C798,'Policy Characteristics'!$C:$C,0))),"",INDEX('Policy Characteristics'!G:G,MATCH($C798,'Policy Characteristics'!$C:$C,0)))</f>
        <v>0.25</v>
      </c>
      <c r="N798" s="398">
        <f>IF(ISBLANK(INDEX('Policy Characteristics'!H:H,MATCH($C798,'Policy Characteristics'!$C:$C,0))),"",INDEX('Policy Characteristics'!H:H,MATCH($C798,'Policy Characteristics'!$C:$C,0)))</f>
        <v>0.01</v>
      </c>
      <c r="O798" s="394" t="str">
        <f>IF(ISBLANK(INDEX('Policy Characteristics'!I:I,MATCH($C798,'Policy Characteristics'!$C:$C,0))),"",INDEX('Policy Characteristics'!I:I,MATCH($C798,'Policy Characteristics'!$C:$C,0)))</f>
        <v>% reduction in energy use</v>
      </c>
      <c r="P798" s="394" t="str">
        <f>IF(ISBLANK(INDEX('Policy Characteristics'!J:J,MATCH($C798,'Policy Characteristics'!$C:$C,0))),"",INDEX('Policy Characteristics'!J:J,MATCH($C798,'Policy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8" s="394" t="str">
        <f>IF(ISBLANK(INDEX('Policy Characteristics'!K:K,MATCH($C798,'Policy Characteristics'!$C:$C,0))),"",INDEX('Policy Characteristics'!K:K,MATCH($C798,'Policy Characteristics'!$C:$C,0)))</f>
        <v>industry-ag-main.html#eff-stds</v>
      </c>
      <c r="R798" s="394" t="str">
        <f>IF(ISBLANK(INDEX('Policy Characteristics'!L:L,MATCH($C798,'Policy Characteristics'!$C:$C,0))),"",INDEX('Policy Characteristics'!L:L,MATCH($C798,'Policy Characteristics'!$C:$C,0)))</f>
        <v>industry-energy-efficiency-standards.html</v>
      </c>
    </row>
    <row r="799" s="384" customFormat="1" customHeight="1" spans="1:18">
      <c r="A799" s="394" t="str">
        <f>IF(ISBLANK(INDEX('Policy Characteristics'!A:A,MATCH($C799,'Policy Characteristics'!$C:$C,0))),"",INDEX('Policy Characteristics'!A:A,MATCH($C799,'Policy Characteristics'!$C:$C,0)))</f>
        <v>Industry</v>
      </c>
      <c r="B799" s="395" t="str">
        <f>IF(ISBLANK(INDEX('Policy Characteristics'!B:B,MATCH($C799,'Policy Characteristics'!$C:$C,0))),"",INDEX('Policy Characteristics'!B:B,MATCH($C799,'Policy Characteristics'!$C:$C,0)))</f>
        <v>Industry Energy Efficiency Standards</v>
      </c>
      <c r="C799" s="394" t="str">
        <f t="shared" si="37"/>
        <v>Percentage Improvement in Eqpt Efficiency Standards above BAU</v>
      </c>
      <c r="D799" s="399" t="s">
        <v>750</v>
      </c>
      <c r="E799" s="399" t="s">
        <v>796</v>
      </c>
      <c r="F799" s="366" t="s">
        <v>751</v>
      </c>
      <c r="G799" s="399" t="s">
        <v>814</v>
      </c>
      <c r="H799" s="377">
        <v>1020</v>
      </c>
      <c r="I799" s="396" t="s">
        <v>648</v>
      </c>
      <c r="J799" s="397" t="str">
        <f>IF(ISBLANK(INDEX('Policy Characteristics'!D:D,MATCH($C799,'Policy Characteristics'!$C:$C,0))),"",INDEX('Policy Characteristics'!D:D,MATCH($C799,'Policy Characteristics'!$C:$C,0)))</f>
        <v>Industry Energy Efficiency Standards</v>
      </c>
      <c r="K799" s="394" t="str">
        <f>IF(ISBLANK(INDEX('Policy Characteristics'!E:E,MATCH($C799,'Policy Characteristics'!$C:$C,0))),"",INDEX('Policy Characteristics'!E:E,MATCH($C799,'Policy Characteristics'!$C:$C,0)))</f>
        <v>indst efficiency standards</v>
      </c>
      <c r="L799" s="398">
        <f>IF(ISBLANK(INDEX('Policy Characteristics'!F:F,MATCH($C799,'Policy Characteristics'!$C:$C,0))),"",INDEX('Policy Characteristics'!F:F,MATCH($C799,'Policy Characteristics'!$C:$C,0)))</f>
        <v>0</v>
      </c>
      <c r="M799" s="398">
        <f>IF(ISBLANK(INDEX('Policy Characteristics'!G:G,MATCH($C799,'Policy Characteristics'!$C:$C,0))),"",INDEX('Policy Characteristics'!G:G,MATCH($C799,'Policy Characteristics'!$C:$C,0)))</f>
        <v>0.25</v>
      </c>
      <c r="N799" s="398">
        <f>IF(ISBLANK(INDEX('Policy Characteristics'!H:H,MATCH($C799,'Policy Characteristics'!$C:$C,0))),"",INDEX('Policy Characteristics'!H:H,MATCH($C799,'Policy Characteristics'!$C:$C,0)))</f>
        <v>0.01</v>
      </c>
      <c r="O799" s="394" t="str">
        <f>IF(ISBLANK(INDEX('Policy Characteristics'!I:I,MATCH($C799,'Policy Characteristics'!$C:$C,0))),"",INDEX('Policy Characteristics'!I:I,MATCH($C799,'Policy Characteristics'!$C:$C,0)))</f>
        <v>% reduction in energy use</v>
      </c>
      <c r="P799" s="394" t="str">
        <f>IF(ISBLANK(INDEX('Policy Characteristics'!J:J,MATCH($C799,'Policy Characteristics'!$C:$C,0))),"",INDEX('Policy Characteristics'!J:J,MATCH($C799,'Policy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9" s="394" t="str">
        <f>IF(ISBLANK(INDEX('Policy Characteristics'!K:K,MATCH($C799,'Policy Characteristics'!$C:$C,0))),"",INDEX('Policy Characteristics'!K:K,MATCH($C799,'Policy Characteristics'!$C:$C,0)))</f>
        <v>industry-ag-main.html#eff-stds</v>
      </c>
      <c r="R799" s="394" t="str">
        <f>IF(ISBLANK(INDEX('Policy Characteristics'!L:L,MATCH($C799,'Policy Characteristics'!$C:$C,0))),"",INDEX('Policy Characteristics'!L:L,MATCH($C799,'Policy Characteristics'!$C:$C,0)))</f>
        <v>industry-energy-efficiency-standards.html</v>
      </c>
    </row>
    <row r="800" s="384" customFormat="1" customHeight="1" spans="1:18">
      <c r="A800" s="394" t="str">
        <f>IF(ISBLANK(INDEX('Policy Characteristics'!A:A,MATCH($C800,'Policy Characteristics'!$C:$C,0))),"",INDEX('Policy Characteristics'!A:A,MATCH($C800,'Policy Characteristics'!$C:$C,0)))</f>
        <v>Industry</v>
      </c>
      <c r="B800" s="395" t="str">
        <f>IF(ISBLANK(INDEX('Policy Characteristics'!B:B,MATCH($C800,'Policy Characteristics'!$C:$C,0))),"",INDEX('Policy Characteristics'!B:B,MATCH($C800,'Policy Characteristics'!$C:$C,0)))</f>
        <v>Industry Energy Efficiency Standards</v>
      </c>
      <c r="C800" s="394" t="str">
        <f t="shared" si="37"/>
        <v>Percentage Improvement in Eqpt Efficiency Standards above BAU</v>
      </c>
      <c r="D800" s="399" t="s">
        <v>750</v>
      </c>
      <c r="E800" s="399" t="s">
        <v>798</v>
      </c>
      <c r="F800" s="366" t="s">
        <v>751</v>
      </c>
      <c r="G800" s="399" t="s">
        <v>815</v>
      </c>
      <c r="H800" s="377">
        <v>1021</v>
      </c>
      <c r="I800" s="396" t="s">
        <v>648</v>
      </c>
      <c r="J800" s="397" t="str">
        <f>IF(ISBLANK(INDEX('Policy Characteristics'!D:D,MATCH($C800,'Policy Characteristics'!$C:$C,0))),"",INDEX('Policy Characteristics'!D:D,MATCH($C800,'Policy Characteristics'!$C:$C,0)))</f>
        <v>Industry Energy Efficiency Standards</v>
      </c>
      <c r="K800" s="394" t="str">
        <f>IF(ISBLANK(INDEX('Policy Characteristics'!E:E,MATCH($C800,'Policy Characteristics'!$C:$C,0))),"",INDEX('Policy Characteristics'!E:E,MATCH($C800,'Policy Characteristics'!$C:$C,0)))</f>
        <v>indst efficiency standards</v>
      </c>
      <c r="L800" s="398">
        <f>IF(ISBLANK(INDEX('Policy Characteristics'!F:F,MATCH($C800,'Policy Characteristics'!$C:$C,0))),"",INDEX('Policy Characteristics'!F:F,MATCH($C800,'Policy Characteristics'!$C:$C,0)))</f>
        <v>0</v>
      </c>
      <c r="M800" s="398">
        <f>IF(ISBLANK(INDEX('Policy Characteristics'!G:G,MATCH($C800,'Policy Characteristics'!$C:$C,0))),"",INDEX('Policy Characteristics'!G:G,MATCH($C800,'Policy Characteristics'!$C:$C,0)))</f>
        <v>0.25</v>
      </c>
      <c r="N800" s="398">
        <f>IF(ISBLANK(INDEX('Policy Characteristics'!H:H,MATCH($C800,'Policy Characteristics'!$C:$C,0))),"",INDEX('Policy Characteristics'!H:H,MATCH($C800,'Policy Characteristics'!$C:$C,0)))</f>
        <v>0.01</v>
      </c>
      <c r="O800" s="394" t="str">
        <f>IF(ISBLANK(INDEX('Policy Characteristics'!I:I,MATCH($C800,'Policy Characteristics'!$C:$C,0))),"",INDEX('Policy Characteristics'!I:I,MATCH($C800,'Policy Characteristics'!$C:$C,0)))</f>
        <v>% reduction in energy use</v>
      </c>
      <c r="P800" s="394" t="str">
        <f>IF(ISBLANK(INDEX('Policy Characteristics'!J:J,MATCH($C800,'Policy Characteristics'!$C:$C,0))),"",INDEX('Policy Characteristics'!J:J,MATCH($C800,'Policy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0" s="394" t="str">
        <f>IF(ISBLANK(INDEX('Policy Characteristics'!K:K,MATCH($C800,'Policy Characteristics'!$C:$C,0))),"",INDEX('Policy Characteristics'!K:K,MATCH($C800,'Policy Characteristics'!$C:$C,0)))</f>
        <v>industry-ag-main.html#eff-stds</v>
      </c>
      <c r="R800" s="394" t="str">
        <f>IF(ISBLANK(INDEX('Policy Characteristics'!L:L,MATCH($C800,'Policy Characteristics'!$C:$C,0))),"",INDEX('Policy Characteristics'!L:L,MATCH($C800,'Policy Characteristics'!$C:$C,0)))</f>
        <v>industry-energy-efficiency-standards.html</v>
      </c>
    </row>
    <row r="801" s="384" customFormat="1" customHeight="1" spans="1:18">
      <c r="A801" s="394" t="str">
        <f>IF(ISBLANK(INDEX('Policy Characteristics'!A:A,MATCH($C801,'Policy Characteristics'!$C:$C,0))),"",INDEX('Policy Characteristics'!A:A,MATCH($C801,'Policy Characteristics'!$C:$C,0)))</f>
        <v>Industry</v>
      </c>
      <c r="B801" s="395" t="str">
        <f>IF(ISBLANK(INDEX('Policy Characteristics'!B:B,MATCH($C801,'Policy Characteristics'!$C:$C,0))),"",INDEX('Policy Characteristics'!B:B,MATCH($C801,'Policy Characteristics'!$C:$C,0)))</f>
        <v>Industry Energy Efficiency Standards</v>
      </c>
      <c r="C801" s="394" t="str">
        <f t="shared" si="37"/>
        <v>Percentage Improvement in Eqpt Efficiency Standards above BAU</v>
      </c>
      <c r="D801" s="399" t="s">
        <v>750</v>
      </c>
      <c r="E801" s="399" t="s">
        <v>800</v>
      </c>
      <c r="F801" s="366" t="s">
        <v>751</v>
      </c>
      <c r="G801" s="399" t="s">
        <v>816</v>
      </c>
      <c r="H801" s="377">
        <v>1022</v>
      </c>
      <c r="I801" s="396" t="s">
        <v>648</v>
      </c>
      <c r="J801" s="397" t="str">
        <f>IF(ISBLANK(INDEX('Policy Characteristics'!D:D,MATCH($C801,'Policy Characteristics'!$C:$C,0))),"",INDEX('Policy Characteristics'!D:D,MATCH($C801,'Policy Characteristics'!$C:$C,0)))</f>
        <v>Industry Energy Efficiency Standards</v>
      </c>
      <c r="K801" s="394" t="str">
        <f>IF(ISBLANK(INDEX('Policy Characteristics'!E:E,MATCH($C801,'Policy Characteristics'!$C:$C,0))),"",INDEX('Policy Characteristics'!E:E,MATCH($C801,'Policy Characteristics'!$C:$C,0)))</f>
        <v>indst efficiency standards</v>
      </c>
      <c r="L801" s="398">
        <f>IF(ISBLANK(INDEX('Policy Characteristics'!F:F,MATCH($C801,'Policy Characteristics'!$C:$C,0))),"",INDEX('Policy Characteristics'!F:F,MATCH($C801,'Policy Characteristics'!$C:$C,0)))</f>
        <v>0</v>
      </c>
      <c r="M801" s="398">
        <f>IF(ISBLANK(INDEX('Policy Characteristics'!G:G,MATCH($C801,'Policy Characteristics'!$C:$C,0))),"",INDEX('Policy Characteristics'!G:G,MATCH($C801,'Policy Characteristics'!$C:$C,0)))</f>
        <v>0.25</v>
      </c>
      <c r="N801" s="398">
        <f>IF(ISBLANK(INDEX('Policy Characteristics'!H:H,MATCH($C801,'Policy Characteristics'!$C:$C,0))),"",INDEX('Policy Characteristics'!H:H,MATCH($C801,'Policy Characteristics'!$C:$C,0)))</f>
        <v>0.01</v>
      </c>
      <c r="O801" s="394" t="str">
        <f>IF(ISBLANK(INDEX('Policy Characteristics'!I:I,MATCH($C801,'Policy Characteristics'!$C:$C,0))),"",INDEX('Policy Characteristics'!I:I,MATCH($C801,'Policy Characteristics'!$C:$C,0)))</f>
        <v>% reduction in energy use</v>
      </c>
      <c r="P801" s="394" t="str">
        <f>IF(ISBLANK(INDEX('Policy Characteristics'!J:J,MATCH($C801,'Policy Characteristics'!$C:$C,0))),"",INDEX('Policy Characteristics'!J:J,MATCH($C801,'Policy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1" s="394" t="str">
        <f>IF(ISBLANK(INDEX('Policy Characteristics'!K:K,MATCH($C801,'Policy Characteristics'!$C:$C,0))),"",INDEX('Policy Characteristics'!K:K,MATCH($C801,'Policy Characteristics'!$C:$C,0)))</f>
        <v>industry-ag-main.html#eff-stds</v>
      </c>
      <c r="R801" s="394" t="str">
        <f>IF(ISBLANK(INDEX('Policy Characteristics'!L:L,MATCH($C801,'Policy Characteristics'!$C:$C,0))),"",INDEX('Policy Characteristics'!L:L,MATCH($C801,'Policy Characteristics'!$C:$C,0)))</f>
        <v>industry-energy-efficiency-standards.html</v>
      </c>
    </row>
    <row r="802" s="384" customFormat="1" customHeight="1" spans="1:18">
      <c r="A802" s="394" t="str">
        <f>IF(ISBLANK(INDEX('Policy Characteristics'!A:A,MATCH($C802,'Policy Characteristics'!$C:$C,0))),"",INDEX('Policy Characteristics'!A:A,MATCH($C802,'Policy Characteristics'!$C:$C,0)))</f>
        <v>Industry</v>
      </c>
      <c r="B802" s="395" t="str">
        <f>IF(ISBLANK(INDEX('Policy Characteristics'!B:B,MATCH($C802,'Policy Characteristics'!$C:$C,0))),"",INDEX('Policy Characteristics'!B:B,MATCH($C802,'Policy Characteristics'!$C:$C,0)))</f>
        <v>Industry Energy Efficiency Standards</v>
      </c>
      <c r="C802" s="394" t="str">
        <f t="shared" ref="C802:C865" si="38">C$737</f>
        <v>Percentage Improvement in Eqpt Efficiency Standards above BAU</v>
      </c>
      <c r="D802" s="399" t="s">
        <v>750</v>
      </c>
      <c r="E802" s="399" t="s">
        <v>802</v>
      </c>
      <c r="F802" s="366" t="s">
        <v>751</v>
      </c>
      <c r="G802" s="399" t="s">
        <v>817</v>
      </c>
      <c r="H802" s="377">
        <v>1023</v>
      </c>
      <c r="I802" s="396" t="s">
        <v>648</v>
      </c>
      <c r="J802" s="397" t="str">
        <f>IF(ISBLANK(INDEX('Policy Characteristics'!D:D,MATCH($C802,'Policy Characteristics'!$C:$C,0))),"",INDEX('Policy Characteristics'!D:D,MATCH($C802,'Policy Characteristics'!$C:$C,0)))</f>
        <v>Industry Energy Efficiency Standards</v>
      </c>
      <c r="K802" s="394" t="str">
        <f>IF(ISBLANK(INDEX('Policy Characteristics'!E:E,MATCH($C802,'Policy Characteristics'!$C:$C,0))),"",INDEX('Policy Characteristics'!E:E,MATCH($C802,'Policy Characteristics'!$C:$C,0)))</f>
        <v>indst efficiency standards</v>
      </c>
      <c r="L802" s="398">
        <f>IF(ISBLANK(INDEX('Policy Characteristics'!F:F,MATCH($C802,'Policy Characteristics'!$C:$C,0))),"",INDEX('Policy Characteristics'!F:F,MATCH($C802,'Policy Characteristics'!$C:$C,0)))</f>
        <v>0</v>
      </c>
      <c r="M802" s="398">
        <f>IF(ISBLANK(INDEX('Policy Characteristics'!G:G,MATCH($C802,'Policy Characteristics'!$C:$C,0))),"",INDEX('Policy Characteristics'!G:G,MATCH($C802,'Policy Characteristics'!$C:$C,0)))</f>
        <v>0.25</v>
      </c>
      <c r="N802" s="398">
        <f>IF(ISBLANK(INDEX('Policy Characteristics'!H:H,MATCH($C802,'Policy Characteristics'!$C:$C,0))),"",INDEX('Policy Characteristics'!H:H,MATCH($C802,'Policy Characteristics'!$C:$C,0)))</f>
        <v>0.01</v>
      </c>
      <c r="O802" s="394" t="str">
        <f>IF(ISBLANK(INDEX('Policy Characteristics'!I:I,MATCH($C802,'Policy Characteristics'!$C:$C,0))),"",INDEX('Policy Characteristics'!I:I,MATCH($C802,'Policy Characteristics'!$C:$C,0)))</f>
        <v>% reduction in energy use</v>
      </c>
      <c r="P802" s="394" t="str">
        <f>IF(ISBLANK(INDEX('Policy Characteristics'!J:J,MATCH($C802,'Policy Characteristics'!$C:$C,0))),"",INDEX('Policy Characteristics'!J:J,MATCH($C802,'Policy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2" s="394" t="str">
        <f>IF(ISBLANK(INDEX('Policy Characteristics'!K:K,MATCH($C802,'Policy Characteristics'!$C:$C,0))),"",INDEX('Policy Characteristics'!K:K,MATCH($C802,'Policy Characteristics'!$C:$C,0)))</f>
        <v>industry-ag-main.html#eff-stds</v>
      </c>
      <c r="R802" s="394" t="str">
        <f>IF(ISBLANK(INDEX('Policy Characteristics'!L:L,MATCH($C802,'Policy Characteristics'!$C:$C,0))),"",INDEX('Policy Characteristics'!L:L,MATCH($C802,'Policy Characteristics'!$C:$C,0)))</f>
        <v>industry-energy-efficiency-standards.html</v>
      </c>
    </row>
    <row r="803" s="384" customFormat="1" customHeight="1" spans="1:18">
      <c r="A803" s="394" t="str">
        <f>IF(ISBLANK(INDEX('Policy Characteristics'!A:A,MATCH($C803,'Policy Characteristics'!$C:$C,0))),"",INDEX('Policy Characteristics'!A:A,MATCH($C803,'Policy Characteristics'!$C:$C,0)))</f>
        <v>Industry</v>
      </c>
      <c r="B803" s="395" t="str">
        <f>IF(ISBLANK(INDEX('Policy Characteristics'!B:B,MATCH($C803,'Policy Characteristics'!$C:$C,0))),"",INDEX('Policy Characteristics'!B:B,MATCH($C803,'Policy Characteristics'!$C:$C,0)))</f>
        <v>Industry Energy Efficiency Standards</v>
      </c>
      <c r="C803" s="394" t="str">
        <f t="shared" si="38"/>
        <v>Percentage Improvement in Eqpt Efficiency Standards above BAU</v>
      </c>
      <c r="D803" s="399" t="s">
        <v>750</v>
      </c>
      <c r="E803" s="399" t="s">
        <v>804</v>
      </c>
      <c r="F803" s="366" t="s">
        <v>751</v>
      </c>
      <c r="G803" s="399" t="s">
        <v>818</v>
      </c>
      <c r="H803" s="377">
        <v>1024</v>
      </c>
      <c r="I803" s="396" t="s">
        <v>648</v>
      </c>
      <c r="J803" s="397" t="str">
        <f>IF(ISBLANK(INDEX('Policy Characteristics'!D:D,MATCH($C803,'Policy Characteristics'!$C:$C,0))),"",INDEX('Policy Characteristics'!D:D,MATCH($C803,'Policy Characteristics'!$C:$C,0)))</f>
        <v>Industry Energy Efficiency Standards</v>
      </c>
      <c r="K803" s="394" t="str">
        <f>IF(ISBLANK(INDEX('Policy Characteristics'!E:E,MATCH($C803,'Policy Characteristics'!$C:$C,0))),"",INDEX('Policy Characteristics'!E:E,MATCH($C803,'Policy Characteristics'!$C:$C,0)))</f>
        <v>indst efficiency standards</v>
      </c>
      <c r="L803" s="398">
        <f>IF(ISBLANK(INDEX('Policy Characteristics'!F:F,MATCH($C803,'Policy Characteristics'!$C:$C,0))),"",INDEX('Policy Characteristics'!F:F,MATCH($C803,'Policy Characteristics'!$C:$C,0)))</f>
        <v>0</v>
      </c>
      <c r="M803" s="398">
        <f>IF(ISBLANK(INDEX('Policy Characteristics'!G:G,MATCH($C803,'Policy Characteristics'!$C:$C,0))),"",INDEX('Policy Characteristics'!G:G,MATCH($C803,'Policy Characteristics'!$C:$C,0)))</f>
        <v>0.25</v>
      </c>
      <c r="N803" s="398">
        <f>IF(ISBLANK(INDEX('Policy Characteristics'!H:H,MATCH($C803,'Policy Characteristics'!$C:$C,0))),"",INDEX('Policy Characteristics'!H:H,MATCH($C803,'Policy Characteristics'!$C:$C,0)))</f>
        <v>0.01</v>
      </c>
      <c r="O803" s="394" t="str">
        <f>IF(ISBLANK(INDEX('Policy Characteristics'!I:I,MATCH($C803,'Policy Characteristics'!$C:$C,0))),"",INDEX('Policy Characteristics'!I:I,MATCH($C803,'Policy Characteristics'!$C:$C,0)))</f>
        <v>% reduction in energy use</v>
      </c>
      <c r="P803" s="394" t="str">
        <f>IF(ISBLANK(INDEX('Policy Characteristics'!J:J,MATCH($C803,'Policy Characteristics'!$C:$C,0))),"",INDEX('Policy Characteristics'!J:J,MATCH($C803,'Policy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3" s="394" t="str">
        <f>IF(ISBLANK(INDEX('Policy Characteristics'!K:K,MATCH($C803,'Policy Characteristics'!$C:$C,0))),"",INDEX('Policy Characteristics'!K:K,MATCH($C803,'Policy Characteristics'!$C:$C,0)))</f>
        <v>industry-ag-main.html#eff-stds</v>
      </c>
      <c r="R803" s="394" t="str">
        <f>IF(ISBLANK(INDEX('Policy Characteristics'!L:L,MATCH($C803,'Policy Characteristics'!$C:$C,0))),"",INDEX('Policy Characteristics'!L:L,MATCH($C803,'Policy Characteristics'!$C:$C,0)))</f>
        <v>industry-energy-efficiency-standards.html</v>
      </c>
    </row>
    <row r="804" s="384" customFormat="1" customHeight="1" spans="1:18">
      <c r="A804" s="394" t="str">
        <f>IF(ISBLANK(INDEX('Policy Characteristics'!A:A,MATCH($C804,'Policy Characteristics'!$C:$C,0))),"",INDEX('Policy Characteristics'!A:A,MATCH($C804,'Policy Characteristics'!$C:$C,0)))</f>
        <v>Industry</v>
      </c>
      <c r="B804" s="395" t="str">
        <f>IF(ISBLANK(INDEX('Policy Characteristics'!B:B,MATCH($C804,'Policy Characteristics'!$C:$C,0))),"",INDEX('Policy Characteristics'!B:B,MATCH($C804,'Policy Characteristics'!$C:$C,0)))</f>
        <v>Industry Energy Efficiency Standards</v>
      </c>
      <c r="C804" s="394" t="str">
        <f t="shared" si="38"/>
        <v>Percentage Improvement in Eqpt Efficiency Standards above BAU</v>
      </c>
      <c r="D804" s="399" t="s">
        <v>750</v>
      </c>
      <c r="E804" s="399" t="s">
        <v>806</v>
      </c>
      <c r="F804" s="366" t="s">
        <v>751</v>
      </c>
      <c r="G804" s="399" t="s">
        <v>819</v>
      </c>
      <c r="H804" s="377">
        <v>1025</v>
      </c>
      <c r="I804" s="396" t="s">
        <v>648</v>
      </c>
      <c r="J804" s="397" t="str">
        <f>IF(ISBLANK(INDEX('Policy Characteristics'!D:D,MATCH($C804,'Policy Characteristics'!$C:$C,0))),"",INDEX('Policy Characteristics'!D:D,MATCH($C804,'Policy Characteristics'!$C:$C,0)))</f>
        <v>Industry Energy Efficiency Standards</v>
      </c>
      <c r="K804" s="394" t="str">
        <f>IF(ISBLANK(INDEX('Policy Characteristics'!E:E,MATCH($C804,'Policy Characteristics'!$C:$C,0))),"",INDEX('Policy Characteristics'!E:E,MATCH($C804,'Policy Characteristics'!$C:$C,0)))</f>
        <v>indst efficiency standards</v>
      </c>
      <c r="L804" s="398">
        <f>IF(ISBLANK(INDEX('Policy Characteristics'!F:F,MATCH($C804,'Policy Characteristics'!$C:$C,0))),"",INDEX('Policy Characteristics'!F:F,MATCH($C804,'Policy Characteristics'!$C:$C,0)))</f>
        <v>0</v>
      </c>
      <c r="M804" s="398">
        <f>IF(ISBLANK(INDEX('Policy Characteristics'!G:G,MATCH($C804,'Policy Characteristics'!$C:$C,0))),"",INDEX('Policy Characteristics'!G:G,MATCH($C804,'Policy Characteristics'!$C:$C,0)))</f>
        <v>0.25</v>
      </c>
      <c r="N804" s="398">
        <f>IF(ISBLANK(INDEX('Policy Characteristics'!H:H,MATCH($C804,'Policy Characteristics'!$C:$C,0))),"",INDEX('Policy Characteristics'!H:H,MATCH($C804,'Policy Characteristics'!$C:$C,0)))</f>
        <v>0.01</v>
      </c>
      <c r="O804" s="394" t="str">
        <f>IF(ISBLANK(INDEX('Policy Characteristics'!I:I,MATCH($C804,'Policy Characteristics'!$C:$C,0))),"",INDEX('Policy Characteristics'!I:I,MATCH($C804,'Policy Characteristics'!$C:$C,0)))</f>
        <v>% reduction in energy use</v>
      </c>
      <c r="P804" s="394" t="str">
        <f>IF(ISBLANK(INDEX('Policy Characteristics'!J:J,MATCH($C804,'Policy Characteristics'!$C:$C,0))),"",INDEX('Policy Characteristics'!J:J,MATCH($C804,'Policy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4" s="394" t="str">
        <f>IF(ISBLANK(INDEX('Policy Characteristics'!K:K,MATCH($C804,'Policy Characteristics'!$C:$C,0))),"",INDEX('Policy Characteristics'!K:K,MATCH($C804,'Policy Characteristics'!$C:$C,0)))</f>
        <v>industry-ag-main.html#eff-stds</v>
      </c>
      <c r="R804" s="394" t="str">
        <f>IF(ISBLANK(INDEX('Policy Characteristics'!L:L,MATCH($C804,'Policy Characteristics'!$C:$C,0))),"",INDEX('Policy Characteristics'!L:L,MATCH($C804,'Policy Characteristics'!$C:$C,0)))</f>
        <v>industry-energy-efficiency-standards.html</v>
      </c>
    </row>
    <row r="805" s="384" customFormat="1" customHeight="1" spans="1:18">
      <c r="A805" s="394" t="str">
        <f>IF(ISBLANK(INDEX('Policy Characteristics'!A:A,MATCH($C805,'Policy Characteristics'!$C:$C,0))),"",INDEX('Policy Characteristics'!A:A,MATCH($C805,'Policy Characteristics'!$C:$C,0)))</f>
        <v>Industry</v>
      </c>
      <c r="B805" s="395" t="str">
        <f>IF(ISBLANK(INDEX('Policy Characteristics'!B:B,MATCH($C805,'Policy Characteristics'!$C:$C,0))),"",INDEX('Policy Characteristics'!B:B,MATCH($C805,'Policy Characteristics'!$C:$C,0)))</f>
        <v>Industry Energy Efficiency Standards</v>
      </c>
      <c r="C805" s="394" t="str">
        <f t="shared" si="38"/>
        <v>Percentage Improvement in Eqpt Efficiency Standards above BAU</v>
      </c>
      <c r="D805" s="399" t="s">
        <v>750</v>
      </c>
      <c r="E805" s="399" t="s">
        <v>808</v>
      </c>
      <c r="F805" s="366" t="s">
        <v>751</v>
      </c>
      <c r="G805" s="399" t="s">
        <v>820</v>
      </c>
      <c r="H805" s="377">
        <v>1026</v>
      </c>
      <c r="I805" s="396" t="s">
        <v>648</v>
      </c>
      <c r="J805" s="397" t="str">
        <f>IF(ISBLANK(INDEX('Policy Characteristics'!D:D,MATCH($C805,'Policy Characteristics'!$C:$C,0))),"",INDEX('Policy Characteristics'!D:D,MATCH($C805,'Policy Characteristics'!$C:$C,0)))</f>
        <v>Industry Energy Efficiency Standards</v>
      </c>
      <c r="K805" s="394" t="str">
        <f>IF(ISBLANK(INDEX('Policy Characteristics'!E:E,MATCH($C805,'Policy Characteristics'!$C:$C,0))),"",INDEX('Policy Characteristics'!E:E,MATCH($C805,'Policy Characteristics'!$C:$C,0)))</f>
        <v>indst efficiency standards</v>
      </c>
      <c r="L805" s="398">
        <f>IF(ISBLANK(INDEX('Policy Characteristics'!F:F,MATCH($C805,'Policy Characteristics'!$C:$C,0))),"",INDEX('Policy Characteristics'!F:F,MATCH($C805,'Policy Characteristics'!$C:$C,0)))</f>
        <v>0</v>
      </c>
      <c r="M805" s="398">
        <f>IF(ISBLANK(INDEX('Policy Characteristics'!G:G,MATCH($C805,'Policy Characteristics'!$C:$C,0))),"",INDEX('Policy Characteristics'!G:G,MATCH($C805,'Policy Characteristics'!$C:$C,0)))</f>
        <v>0.25</v>
      </c>
      <c r="N805" s="398">
        <f>IF(ISBLANK(INDEX('Policy Characteristics'!H:H,MATCH($C805,'Policy Characteristics'!$C:$C,0))),"",INDEX('Policy Characteristics'!H:H,MATCH($C805,'Policy Characteristics'!$C:$C,0)))</f>
        <v>0.01</v>
      </c>
      <c r="O805" s="394" t="str">
        <f>IF(ISBLANK(INDEX('Policy Characteristics'!I:I,MATCH($C805,'Policy Characteristics'!$C:$C,0))),"",INDEX('Policy Characteristics'!I:I,MATCH($C805,'Policy Characteristics'!$C:$C,0)))</f>
        <v>% reduction in energy use</v>
      </c>
      <c r="P805" s="394" t="str">
        <f>IF(ISBLANK(INDEX('Policy Characteristics'!J:J,MATCH($C805,'Policy Characteristics'!$C:$C,0))),"",INDEX('Policy Characteristics'!J:J,MATCH($C805,'Policy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5" s="394" t="str">
        <f>IF(ISBLANK(INDEX('Policy Characteristics'!K:K,MATCH($C805,'Policy Characteristics'!$C:$C,0))),"",INDEX('Policy Characteristics'!K:K,MATCH($C805,'Policy Characteristics'!$C:$C,0)))</f>
        <v>industry-ag-main.html#eff-stds</v>
      </c>
      <c r="R805" s="394" t="str">
        <f>IF(ISBLANK(INDEX('Policy Characteristics'!L:L,MATCH($C805,'Policy Characteristics'!$C:$C,0))),"",INDEX('Policy Characteristics'!L:L,MATCH($C805,'Policy Characteristics'!$C:$C,0)))</f>
        <v>industry-energy-efficiency-standards.html</v>
      </c>
    </row>
    <row r="806" s="384" customFormat="1" customHeight="1" spans="1:18">
      <c r="A806" s="394" t="str">
        <f>IF(ISBLANK(INDEX('Policy Characteristics'!A:A,MATCH($C806,'Policy Characteristics'!$C:$C,0))),"",INDEX('Policy Characteristics'!A:A,MATCH($C806,'Policy Characteristics'!$C:$C,0)))</f>
        <v>Industry</v>
      </c>
      <c r="B806" s="395" t="str">
        <f>IF(ISBLANK(INDEX('Policy Characteristics'!B:B,MATCH($C806,'Policy Characteristics'!$C:$C,0))),"",INDEX('Policy Characteristics'!B:B,MATCH($C806,'Policy Characteristics'!$C:$C,0)))</f>
        <v>Industry Energy Efficiency Standards</v>
      </c>
      <c r="C806" s="394" t="str">
        <f t="shared" si="38"/>
        <v>Percentage Improvement in Eqpt Efficiency Standards above BAU</v>
      </c>
      <c r="D806" s="399" t="s">
        <v>750</v>
      </c>
      <c r="E806" s="399" t="s">
        <v>810</v>
      </c>
      <c r="F806" s="366" t="s">
        <v>751</v>
      </c>
      <c r="G806" s="399" t="s">
        <v>821</v>
      </c>
      <c r="H806" s="377">
        <v>1027</v>
      </c>
      <c r="I806" s="396" t="s">
        <v>648</v>
      </c>
      <c r="J806" s="397" t="str">
        <f>IF(ISBLANK(INDEX('Policy Characteristics'!D:D,MATCH($C806,'Policy Characteristics'!$C:$C,0))),"",INDEX('Policy Characteristics'!D:D,MATCH($C806,'Policy Characteristics'!$C:$C,0)))</f>
        <v>Industry Energy Efficiency Standards</v>
      </c>
      <c r="K806" s="394" t="str">
        <f>IF(ISBLANK(INDEX('Policy Characteristics'!E:E,MATCH($C806,'Policy Characteristics'!$C:$C,0))),"",INDEX('Policy Characteristics'!E:E,MATCH($C806,'Policy Characteristics'!$C:$C,0)))</f>
        <v>indst efficiency standards</v>
      </c>
      <c r="L806" s="398">
        <f>IF(ISBLANK(INDEX('Policy Characteristics'!F:F,MATCH($C806,'Policy Characteristics'!$C:$C,0))),"",INDEX('Policy Characteristics'!F:F,MATCH($C806,'Policy Characteristics'!$C:$C,0)))</f>
        <v>0</v>
      </c>
      <c r="M806" s="398">
        <f>IF(ISBLANK(INDEX('Policy Characteristics'!G:G,MATCH($C806,'Policy Characteristics'!$C:$C,0))),"",INDEX('Policy Characteristics'!G:G,MATCH($C806,'Policy Characteristics'!$C:$C,0)))</f>
        <v>0.25</v>
      </c>
      <c r="N806" s="398">
        <f>IF(ISBLANK(INDEX('Policy Characteristics'!H:H,MATCH($C806,'Policy Characteristics'!$C:$C,0))),"",INDEX('Policy Characteristics'!H:H,MATCH($C806,'Policy Characteristics'!$C:$C,0)))</f>
        <v>0.01</v>
      </c>
      <c r="O806" s="394" t="str">
        <f>IF(ISBLANK(INDEX('Policy Characteristics'!I:I,MATCH($C806,'Policy Characteristics'!$C:$C,0))),"",INDEX('Policy Characteristics'!I:I,MATCH($C806,'Policy Characteristics'!$C:$C,0)))</f>
        <v>% reduction in energy use</v>
      </c>
      <c r="P806" s="394" t="str">
        <f>IF(ISBLANK(INDEX('Policy Characteristics'!J:J,MATCH($C806,'Policy Characteristics'!$C:$C,0))),"",INDEX('Policy Characteristics'!J:J,MATCH($C806,'Policy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6" s="394" t="str">
        <f>IF(ISBLANK(INDEX('Policy Characteristics'!K:K,MATCH($C806,'Policy Characteristics'!$C:$C,0))),"",INDEX('Policy Characteristics'!K:K,MATCH($C806,'Policy Characteristics'!$C:$C,0)))</f>
        <v>industry-ag-main.html#eff-stds</v>
      </c>
      <c r="R806" s="394" t="str">
        <f>IF(ISBLANK(INDEX('Policy Characteristics'!L:L,MATCH($C806,'Policy Characteristics'!$C:$C,0))),"",INDEX('Policy Characteristics'!L:L,MATCH($C806,'Policy Characteristics'!$C:$C,0)))</f>
        <v>industry-energy-efficiency-standards.html</v>
      </c>
    </row>
    <row r="807" s="384" customFormat="1" customHeight="1" spans="1:18">
      <c r="A807" s="394" t="str">
        <f>IF(ISBLANK(INDEX('Policy Characteristics'!A:A,MATCH($C807,'Policy Characteristics'!$C:$C,0))),"",INDEX('Policy Characteristics'!A:A,MATCH($C807,'Policy Characteristics'!$C:$C,0)))</f>
        <v>Industry</v>
      </c>
      <c r="B807" s="395" t="str">
        <f>IF(ISBLANK(INDEX('Policy Characteristics'!B:B,MATCH($C807,'Policy Characteristics'!$C:$C,0))),"",INDEX('Policy Characteristics'!B:B,MATCH($C807,'Policy Characteristics'!$C:$C,0)))</f>
        <v>Industry Energy Efficiency Standards</v>
      </c>
      <c r="C807" s="394" t="str">
        <f t="shared" si="38"/>
        <v>Percentage Improvement in Eqpt Efficiency Standards above BAU</v>
      </c>
      <c r="D807" s="399" t="s">
        <v>752</v>
      </c>
      <c r="E807" s="399" t="s">
        <v>792</v>
      </c>
      <c r="F807" t="s">
        <v>753</v>
      </c>
      <c r="G807" s="399" t="s">
        <v>812</v>
      </c>
      <c r="H807" s="377">
        <v>1028</v>
      </c>
      <c r="I807" s="396" t="s">
        <v>648</v>
      </c>
      <c r="J807" s="397" t="str">
        <f>IF(ISBLANK(INDEX('Policy Characteristics'!D:D,MATCH($C807,'Policy Characteristics'!$C:$C,0))),"",INDEX('Policy Characteristics'!D:D,MATCH($C807,'Policy Characteristics'!$C:$C,0)))</f>
        <v>Industry Energy Efficiency Standards</v>
      </c>
      <c r="K807" s="394" t="str">
        <f>IF(ISBLANK(INDEX('Policy Characteristics'!E:E,MATCH($C807,'Policy Characteristics'!$C:$C,0))),"",INDEX('Policy Characteristics'!E:E,MATCH($C807,'Policy Characteristics'!$C:$C,0)))</f>
        <v>indst efficiency standards</v>
      </c>
      <c r="L807" s="398">
        <f>IF(ISBLANK(INDEX('Policy Characteristics'!F:F,MATCH($C807,'Policy Characteristics'!$C:$C,0))),"",INDEX('Policy Characteristics'!F:F,MATCH($C807,'Policy Characteristics'!$C:$C,0)))</f>
        <v>0</v>
      </c>
      <c r="M807" s="398">
        <f>IF(ISBLANK(INDEX('Policy Characteristics'!G:G,MATCH($C807,'Policy Characteristics'!$C:$C,0))),"",INDEX('Policy Characteristics'!G:G,MATCH($C807,'Policy Characteristics'!$C:$C,0)))</f>
        <v>0.25</v>
      </c>
      <c r="N807" s="398">
        <f>IF(ISBLANK(INDEX('Policy Characteristics'!H:H,MATCH($C807,'Policy Characteristics'!$C:$C,0))),"",INDEX('Policy Characteristics'!H:H,MATCH($C807,'Policy Characteristics'!$C:$C,0)))</f>
        <v>0.01</v>
      </c>
      <c r="O807" s="394" t="str">
        <f>IF(ISBLANK(INDEX('Policy Characteristics'!I:I,MATCH($C807,'Policy Characteristics'!$C:$C,0))),"",INDEX('Policy Characteristics'!I:I,MATCH($C807,'Policy Characteristics'!$C:$C,0)))</f>
        <v>% reduction in energy use</v>
      </c>
      <c r="P807" s="394" t="str">
        <f>IF(ISBLANK(INDEX('Policy Characteristics'!J:J,MATCH($C807,'Policy Characteristics'!$C:$C,0))),"",INDEX('Policy Characteristics'!J:J,MATCH($C807,'Policy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7" s="394" t="str">
        <f>IF(ISBLANK(INDEX('Policy Characteristics'!K:K,MATCH($C807,'Policy Characteristics'!$C:$C,0))),"",INDEX('Policy Characteristics'!K:K,MATCH($C807,'Policy Characteristics'!$C:$C,0)))</f>
        <v>industry-ag-main.html#eff-stds</v>
      </c>
      <c r="R807" s="394" t="str">
        <f>IF(ISBLANK(INDEX('Policy Characteristics'!L:L,MATCH($C807,'Policy Characteristics'!$C:$C,0))),"",INDEX('Policy Characteristics'!L:L,MATCH($C807,'Policy Characteristics'!$C:$C,0)))</f>
        <v>industry-energy-efficiency-standards.html</v>
      </c>
    </row>
    <row r="808" s="384" customFormat="1" customHeight="1" spans="1:18">
      <c r="A808" s="394" t="str">
        <f>IF(ISBLANK(INDEX('Policy Characteristics'!A:A,MATCH($C808,'Policy Characteristics'!$C:$C,0))),"",INDEX('Policy Characteristics'!A:A,MATCH($C808,'Policy Characteristics'!$C:$C,0)))</f>
        <v>Industry</v>
      </c>
      <c r="B808" s="395" t="str">
        <f>IF(ISBLANK(INDEX('Policy Characteristics'!B:B,MATCH($C808,'Policy Characteristics'!$C:$C,0))),"",INDEX('Policy Characteristics'!B:B,MATCH($C808,'Policy Characteristics'!$C:$C,0)))</f>
        <v>Industry Energy Efficiency Standards</v>
      </c>
      <c r="C808" s="394" t="str">
        <f t="shared" si="38"/>
        <v>Percentage Improvement in Eqpt Efficiency Standards above BAU</v>
      </c>
      <c r="D808" s="399" t="s">
        <v>752</v>
      </c>
      <c r="E808" s="399" t="s">
        <v>794</v>
      </c>
      <c r="F808" t="s">
        <v>753</v>
      </c>
      <c r="G808" s="399" t="s">
        <v>813</v>
      </c>
      <c r="H808" s="377">
        <v>1029</v>
      </c>
      <c r="I808" s="396" t="s">
        <v>648</v>
      </c>
      <c r="J808" s="397" t="str">
        <f>IF(ISBLANK(INDEX('Policy Characteristics'!D:D,MATCH($C808,'Policy Characteristics'!$C:$C,0))),"",INDEX('Policy Characteristics'!D:D,MATCH($C808,'Policy Characteristics'!$C:$C,0)))</f>
        <v>Industry Energy Efficiency Standards</v>
      </c>
      <c r="K808" s="394" t="str">
        <f>IF(ISBLANK(INDEX('Policy Characteristics'!E:E,MATCH($C808,'Policy Characteristics'!$C:$C,0))),"",INDEX('Policy Characteristics'!E:E,MATCH($C808,'Policy Characteristics'!$C:$C,0)))</f>
        <v>indst efficiency standards</v>
      </c>
      <c r="L808" s="398">
        <f>IF(ISBLANK(INDEX('Policy Characteristics'!F:F,MATCH($C808,'Policy Characteristics'!$C:$C,0))),"",INDEX('Policy Characteristics'!F:F,MATCH($C808,'Policy Characteristics'!$C:$C,0)))</f>
        <v>0</v>
      </c>
      <c r="M808" s="398">
        <f>IF(ISBLANK(INDEX('Policy Characteristics'!G:G,MATCH($C808,'Policy Characteristics'!$C:$C,0))),"",INDEX('Policy Characteristics'!G:G,MATCH($C808,'Policy Characteristics'!$C:$C,0)))</f>
        <v>0.25</v>
      </c>
      <c r="N808" s="398">
        <f>IF(ISBLANK(INDEX('Policy Characteristics'!H:H,MATCH($C808,'Policy Characteristics'!$C:$C,0))),"",INDEX('Policy Characteristics'!H:H,MATCH($C808,'Policy Characteristics'!$C:$C,0)))</f>
        <v>0.01</v>
      </c>
      <c r="O808" s="394" t="str">
        <f>IF(ISBLANK(INDEX('Policy Characteristics'!I:I,MATCH($C808,'Policy Characteristics'!$C:$C,0))),"",INDEX('Policy Characteristics'!I:I,MATCH($C808,'Policy Characteristics'!$C:$C,0)))</f>
        <v>% reduction in energy use</v>
      </c>
      <c r="P808" s="394" t="str">
        <f>IF(ISBLANK(INDEX('Policy Characteristics'!J:J,MATCH($C808,'Policy Characteristics'!$C:$C,0))),"",INDEX('Policy Characteristics'!J:J,MATCH($C808,'Policy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8" s="394" t="str">
        <f>IF(ISBLANK(INDEX('Policy Characteristics'!K:K,MATCH($C808,'Policy Characteristics'!$C:$C,0))),"",INDEX('Policy Characteristics'!K:K,MATCH($C808,'Policy Characteristics'!$C:$C,0)))</f>
        <v>industry-ag-main.html#eff-stds</v>
      </c>
      <c r="R808" s="394" t="str">
        <f>IF(ISBLANK(INDEX('Policy Characteristics'!L:L,MATCH($C808,'Policy Characteristics'!$C:$C,0))),"",INDEX('Policy Characteristics'!L:L,MATCH($C808,'Policy Characteristics'!$C:$C,0)))</f>
        <v>industry-energy-efficiency-standards.html</v>
      </c>
    </row>
    <row r="809" s="384" customFormat="1" customHeight="1" spans="1:18">
      <c r="A809" s="394" t="str">
        <f>IF(ISBLANK(INDEX('Policy Characteristics'!A:A,MATCH($C809,'Policy Characteristics'!$C:$C,0))),"",INDEX('Policy Characteristics'!A:A,MATCH($C809,'Policy Characteristics'!$C:$C,0)))</f>
        <v>Industry</v>
      </c>
      <c r="B809" s="395" t="str">
        <f>IF(ISBLANK(INDEX('Policy Characteristics'!B:B,MATCH($C809,'Policy Characteristics'!$C:$C,0))),"",INDEX('Policy Characteristics'!B:B,MATCH($C809,'Policy Characteristics'!$C:$C,0)))</f>
        <v>Industry Energy Efficiency Standards</v>
      </c>
      <c r="C809" s="394" t="str">
        <f t="shared" si="38"/>
        <v>Percentage Improvement in Eqpt Efficiency Standards above BAU</v>
      </c>
      <c r="D809" s="399" t="s">
        <v>752</v>
      </c>
      <c r="E809" s="399" t="s">
        <v>796</v>
      </c>
      <c r="F809" t="s">
        <v>753</v>
      </c>
      <c r="G809" s="399" t="s">
        <v>814</v>
      </c>
      <c r="H809" s="377">
        <v>1030</v>
      </c>
      <c r="I809" s="396" t="s">
        <v>648</v>
      </c>
      <c r="J809" s="397" t="str">
        <f>IF(ISBLANK(INDEX('Policy Characteristics'!D:D,MATCH($C809,'Policy Characteristics'!$C:$C,0))),"",INDEX('Policy Characteristics'!D:D,MATCH($C809,'Policy Characteristics'!$C:$C,0)))</f>
        <v>Industry Energy Efficiency Standards</v>
      </c>
      <c r="K809" s="394" t="str">
        <f>IF(ISBLANK(INDEX('Policy Characteristics'!E:E,MATCH($C809,'Policy Characteristics'!$C:$C,0))),"",INDEX('Policy Characteristics'!E:E,MATCH($C809,'Policy Characteristics'!$C:$C,0)))</f>
        <v>indst efficiency standards</v>
      </c>
      <c r="L809" s="398">
        <f>IF(ISBLANK(INDEX('Policy Characteristics'!F:F,MATCH($C809,'Policy Characteristics'!$C:$C,0))),"",INDEX('Policy Characteristics'!F:F,MATCH($C809,'Policy Characteristics'!$C:$C,0)))</f>
        <v>0</v>
      </c>
      <c r="M809" s="398">
        <f>IF(ISBLANK(INDEX('Policy Characteristics'!G:G,MATCH($C809,'Policy Characteristics'!$C:$C,0))),"",INDEX('Policy Characteristics'!G:G,MATCH($C809,'Policy Characteristics'!$C:$C,0)))</f>
        <v>0.25</v>
      </c>
      <c r="N809" s="398">
        <f>IF(ISBLANK(INDEX('Policy Characteristics'!H:H,MATCH($C809,'Policy Characteristics'!$C:$C,0))),"",INDEX('Policy Characteristics'!H:H,MATCH($C809,'Policy Characteristics'!$C:$C,0)))</f>
        <v>0.01</v>
      </c>
      <c r="O809" s="394" t="str">
        <f>IF(ISBLANK(INDEX('Policy Characteristics'!I:I,MATCH($C809,'Policy Characteristics'!$C:$C,0))),"",INDEX('Policy Characteristics'!I:I,MATCH($C809,'Policy Characteristics'!$C:$C,0)))</f>
        <v>% reduction in energy use</v>
      </c>
      <c r="P809" s="394" t="str">
        <f>IF(ISBLANK(INDEX('Policy Characteristics'!J:J,MATCH($C809,'Policy Characteristics'!$C:$C,0))),"",INDEX('Policy Characteristics'!J:J,MATCH($C809,'Policy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9" s="394" t="str">
        <f>IF(ISBLANK(INDEX('Policy Characteristics'!K:K,MATCH($C809,'Policy Characteristics'!$C:$C,0))),"",INDEX('Policy Characteristics'!K:K,MATCH($C809,'Policy Characteristics'!$C:$C,0)))</f>
        <v>industry-ag-main.html#eff-stds</v>
      </c>
      <c r="R809" s="394" t="str">
        <f>IF(ISBLANK(INDEX('Policy Characteristics'!L:L,MATCH($C809,'Policy Characteristics'!$C:$C,0))),"",INDEX('Policy Characteristics'!L:L,MATCH($C809,'Policy Characteristics'!$C:$C,0)))</f>
        <v>industry-energy-efficiency-standards.html</v>
      </c>
    </row>
    <row r="810" s="384" customFormat="1" customHeight="1" spans="1:18">
      <c r="A810" s="394" t="str">
        <f>IF(ISBLANK(INDEX('Policy Characteristics'!A:A,MATCH($C810,'Policy Characteristics'!$C:$C,0))),"",INDEX('Policy Characteristics'!A:A,MATCH($C810,'Policy Characteristics'!$C:$C,0)))</f>
        <v>Industry</v>
      </c>
      <c r="B810" s="395" t="str">
        <f>IF(ISBLANK(INDEX('Policy Characteristics'!B:B,MATCH($C810,'Policy Characteristics'!$C:$C,0))),"",INDEX('Policy Characteristics'!B:B,MATCH($C810,'Policy Characteristics'!$C:$C,0)))</f>
        <v>Industry Energy Efficiency Standards</v>
      </c>
      <c r="C810" s="394" t="str">
        <f t="shared" si="38"/>
        <v>Percentage Improvement in Eqpt Efficiency Standards above BAU</v>
      </c>
      <c r="D810" s="399" t="s">
        <v>752</v>
      </c>
      <c r="E810" s="399" t="s">
        <v>798</v>
      </c>
      <c r="F810" t="s">
        <v>753</v>
      </c>
      <c r="G810" s="399" t="s">
        <v>815</v>
      </c>
      <c r="H810" s="377">
        <v>1031</v>
      </c>
      <c r="I810" s="396" t="s">
        <v>648</v>
      </c>
      <c r="J810" s="397" t="str">
        <f>IF(ISBLANK(INDEX('Policy Characteristics'!D:D,MATCH($C810,'Policy Characteristics'!$C:$C,0))),"",INDEX('Policy Characteristics'!D:D,MATCH($C810,'Policy Characteristics'!$C:$C,0)))</f>
        <v>Industry Energy Efficiency Standards</v>
      </c>
      <c r="K810" s="394" t="str">
        <f>IF(ISBLANK(INDEX('Policy Characteristics'!E:E,MATCH($C810,'Policy Characteristics'!$C:$C,0))),"",INDEX('Policy Characteristics'!E:E,MATCH($C810,'Policy Characteristics'!$C:$C,0)))</f>
        <v>indst efficiency standards</v>
      </c>
      <c r="L810" s="398">
        <f>IF(ISBLANK(INDEX('Policy Characteristics'!F:F,MATCH($C810,'Policy Characteristics'!$C:$C,0))),"",INDEX('Policy Characteristics'!F:F,MATCH($C810,'Policy Characteristics'!$C:$C,0)))</f>
        <v>0</v>
      </c>
      <c r="M810" s="398">
        <f>IF(ISBLANK(INDEX('Policy Characteristics'!G:G,MATCH($C810,'Policy Characteristics'!$C:$C,0))),"",INDEX('Policy Characteristics'!G:G,MATCH($C810,'Policy Characteristics'!$C:$C,0)))</f>
        <v>0.25</v>
      </c>
      <c r="N810" s="398">
        <f>IF(ISBLANK(INDEX('Policy Characteristics'!H:H,MATCH($C810,'Policy Characteristics'!$C:$C,0))),"",INDEX('Policy Characteristics'!H:H,MATCH($C810,'Policy Characteristics'!$C:$C,0)))</f>
        <v>0.01</v>
      </c>
      <c r="O810" s="394" t="str">
        <f>IF(ISBLANK(INDEX('Policy Characteristics'!I:I,MATCH($C810,'Policy Characteristics'!$C:$C,0))),"",INDEX('Policy Characteristics'!I:I,MATCH($C810,'Policy Characteristics'!$C:$C,0)))</f>
        <v>% reduction in energy use</v>
      </c>
      <c r="P810" s="394" t="str">
        <f>IF(ISBLANK(INDEX('Policy Characteristics'!J:J,MATCH($C810,'Policy Characteristics'!$C:$C,0))),"",INDEX('Policy Characteristics'!J:J,MATCH($C810,'Policy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0" s="394" t="str">
        <f>IF(ISBLANK(INDEX('Policy Characteristics'!K:K,MATCH($C810,'Policy Characteristics'!$C:$C,0))),"",INDEX('Policy Characteristics'!K:K,MATCH($C810,'Policy Characteristics'!$C:$C,0)))</f>
        <v>industry-ag-main.html#eff-stds</v>
      </c>
      <c r="R810" s="394" t="str">
        <f>IF(ISBLANK(INDEX('Policy Characteristics'!L:L,MATCH($C810,'Policy Characteristics'!$C:$C,0))),"",INDEX('Policy Characteristics'!L:L,MATCH($C810,'Policy Characteristics'!$C:$C,0)))</f>
        <v>industry-energy-efficiency-standards.html</v>
      </c>
    </row>
    <row r="811" s="384" customFormat="1" customHeight="1" spans="1:18">
      <c r="A811" s="394" t="str">
        <f>IF(ISBLANK(INDEX('Policy Characteristics'!A:A,MATCH($C811,'Policy Characteristics'!$C:$C,0))),"",INDEX('Policy Characteristics'!A:A,MATCH($C811,'Policy Characteristics'!$C:$C,0)))</f>
        <v>Industry</v>
      </c>
      <c r="B811" s="395" t="str">
        <f>IF(ISBLANK(INDEX('Policy Characteristics'!B:B,MATCH($C811,'Policy Characteristics'!$C:$C,0))),"",INDEX('Policy Characteristics'!B:B,MATCH($C811,'Policy Characteristics'!$C:$C,0)))</f>
        <v>Industry Energy Efficiency Standards</v>
      </c>
      <c r="C811" s="394" t="str">
        <f t="shared" si="38"/>
        <v>Percentage Improvement in Eqpt Efficiency Standards above BAU</v>
      </c>
      <c r="D811" s="399" t="s">
        <v>752</v>
      </c>
      <c r="E811" s="399" t="s">
        <v>800</v>
      </c>
      <c r="F811" t="s">
        <v>753</v>
      </c>
      <c r="G811" s="399" t="s">
        <v>816</v>
      </c>
      <c r="H811" s="377">
        <v>1032</v>
      </c>
      <c r="I811" s="396" t="s">
        <v>648</v>
      </c>
      <c r="J811" s="397" t="str">
        <f>IF(ISBLANK(INDEX('Policy Characteristics'!D:D,MATCH($C811,'Policy Characteristics'!$C:$C,0))),"",INDEX('Policy Characteristics'!D:D,MATCH($C811,'Policy Characteristics'!$C:$C,0)))</f>
        <v>Industry Energy Efficiency Standards</v>
      </c>
      <c r="K811" s="394" t="str">
        <f>IF(ISBLANK(INDEX('Policy Characteristics'!E:E,MATCH($C811,'Policy Characteristics'!$C:$C,0))),"",INDEX('Policy Characteristics'!E:E,MATCH($C811,'Policy Characteristics'!$C:$C,0)))</f>
        <v>indst efficiency standards</v>
      </c>
      <c r="L811" s="398">
        <f>IF(ISBLANK(INDEX('Policy Characteristics'!F:F,MATCH($C811,'Policy Characteristics'!$C:$C,0))),"",INDEX('Policy Characteristics'!F:F,MATCH($C811,'Policy Characteristics'!$C:$C,0)))</f>
        <v>0</v>
      </c>
      <c r="M811" s="398">
        <f>IF(ISBLANK(INDEX('Policy Characteristics'!G:G,MATCH($C811,'Policy Characteristics'!$C:$C,0))),"",INDEX('Policy Characteristics'!G:G,MATCH($C811,'Policy Characteristics'!$C:$C,0)))</f>
        <v>0.25</v>
      </c>
      <c r="N811" s="398">
        <f>IF(ISBLANK(INDEX('Policy Characteristics'!H:H,MATCH($C811,'Policy Characteristics'!$C:$C,0))),"",INDEX('Policy Characteristics'!H:H,MATCH($C811,'Policy Characteristics'!$C:$C,0)))</f>
        <v>0.01</v>
      </c>
      <c r="O811" s="394" t="str">
        <f>IF(ISBLANK(INDEX('Policy Characteristics'!I:I,MATCH($C811,'Policy Characteristics'!$C:$C,0))),"",INDEX('Policy Characteristics'!I:I,MATCH($C811,'Policy Characteristics'!$C:$C,0)))</f>
        <v>% reduction in energy use</v>
      </c>
      <c r="P811" s="394" t="str">
        <f>IF(ISBLANK(INDEX('Policy Characteristics'!J:J,MATCH($C811,'Policy Characteristics'!$C:$C,0))),"",INDEX('Policy Characteristics'!J:J,MATCH($C811,'Policy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1" s="394" t="str">
        <f>IF(ISBLANK(INDEX('Policy Characteristics'!K:K,MATCH($C811,'Policy Characteristics'!$C:$C,0))),"",INDEX('Policy Characteristics'!K:K,MATCH($C811,'Policy Characteristics'!$C:$C,0)))</f>
        <v>industry-ag-main.html#eff-stds</v>
      </c>
      <c r="R811" s="394" t="str">
        <f>IF(ISBLANK(INDEX('Policy Characteristics'!L:L,MATCH($C811,'Policy Characteristics'!$C:$C,0))),"",INDEX('Policy Characteristics'!L:L,MATCH($C811,'Policy Characteristics'!$C:$C,0)))</f>
        <v>industry-energy-efficiency-standards.html</v>
      </c>
    </row>
    <row r="812" s="384" customFormat="1" customHeight="1" spans="1:18">
      <c r="A812" s="394" t="str">
        <f>IF(ISBLANK(INDEX('Policy Characteristics'!A:A,MATCH($C812,'Policy Characteristics'!$C:$C,0))),"",INDEX('Policy Characteristics'!A:A,MATCH($C812,'Policy Characteristics'!$C:$C,0)))</f>
        <v>Industry</v>
      </c>
      <c r="B812" s="395" t="str">
        <f>IF(ISBLANK(INDEX('Policy Characteristics'!B:B,MATCH($C812,'Policy Characteristics'!$C:$C,0))),"",INDEX('Policy Characteristics'!B:B,MATCH($C812,'Policy Characteristics'!$C:$C,0)))</f>
        <v>Industry Energy Efficiency Standards</v>
      </c>
      <c r="C812" s="394" t="str">
        <f t="shared" si="38"/>
        <v>Percentage Improvement in Eqpt Efficiency Standards above BAU</v>
      </c>
      <c r="D812" s="399" t="s">
        <v>752</v>
      </c>
      <c r="E812" s="399" t="s">
        <v>802</v>
      </c>
      <c r="F812" t="s">
        <v>753</v>
      </c>
      <c r="G812" s="399" t="s">
        <v>817</v>
      </c>
      <c r="H812" s="377">
        <v>1033</v>
      </c>
      <c r="I812" s="396" t="s">
        <v>648</v>
      </c>
      <c r="J812" s="397" t="str">
        <f>IF(ISBLANK(INDEX('Policy Characteristics'!D:D,MATCH($C812,'Policy Characteristics'!$C:$C,0))),"",INDEX('Policy Characteristics'!D:D,MATCH($C812,'Policy Characteristics'!$C:$C,0)))</f>
        <v>Industry Energy Efficiency Standards</v>
      </c>
      <c r="K812" s="394" t="str">
        <f>IF(ISBLANK(INDEX('Policy Characteristics'!E:E,MATCH($C812,'Policy Characteristics'!$C:$C,0))),"",INDEX('Policy Characteristics'!E:E,MATCH($C812,'Policy Characteristics'!$C:$C,0)))</f>
        <v>indst efficiency standards</v>
      </c>
      <c r="L812" s="398">
        <f>IF(ISBLANK(INDEX('Policy Characteristics'!F:F,MATCH($C812,'Policy Characteristics'!$C:$C,0))),"",INDEX('Policy Characteristics'!F:F,MATCH($C812,'Policy Characteristics'!$C:$C,0)))</f>
        <v>0</v>
      </c>
      <c r="M812" s="398">
        <f>IF(ISBLANK(INDEX('Policy Characteristics'!G:G,MATCH($C812,'Policy Characteristics'!$C:$C,0))),"",INDEX('Policy Characteristics'!G:G,MATCH($C812,'Policy Characteristics'!$C:$C,0)))</f>
        <v>0.25</v>
      </c>
      <c r="N812" s="398">
        <f>IF(ISBLANK(INDEX('Policy Characteristics'!H:H,MATCH($C812,'Policy Characteristics'!$C:$C,0))),"",INDEX('Policy Characteristics'!H:H,MATCH($C812,'Policy Characteristics'!$C:$C,0)))</f>
        <v>0.01</v>
      </c>
      <c r="O812" s="394" t="str">
        <f>IF(ISBLANK(INDEX('Policy Characteristics'!I:I,MATCH($C812,'Policy Characteristics'!$C:$C,0))),"",INDEX('Policy Characteristics'!I:I,MATCH($C812,'Policy Characteristics'!$C:$C,0)))</f>
        <v>% reduction in energy use</v>
      </c>
      <c r="P812" s="394" t="str">
        <f>IF(ISBLANK(INDEX('Policy Characteristics'!J:J,MATCH($C812,'Policy Characteristics'!$C:$C,0))),"",INDEX('Policy Characteristics'!J:J,MATCH($C812,'Policy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2" s="394" t="str">
        <f>IF(ISBLANK(INDEX('Policy Characteristics'!K:K,MATCH($C812,'Policy Characteristics'!$C:$C,0))),"",INDEX('Policy Characteristics'!K:K,MATCH($C812,'Policy Characteristics'!$C:$C,0)))</f>
        <v>industry-ag-main.html#eff-stds</v>
      </c>
      <c r="R812" s="394" t="str">
        <f>IF(ISBLANK(INDEX('Policy Characteristics'!L:L,MATCH($C812,'Policy Characteristics'!$C:$C,0))),"",INDEX('Policy Characteristics'!L:L,MATCH($C812,'Policy Characteristics'!$C:$C,0)))</f>
        <v>industry-energy-efficiency-standards.html</v>
      </c>
    </row>
    <row r="813" s="384" customFormat="1" customHeight="1" spans="1:18">
      <c r="A813" s="394" t="str">
        <f>IF(ISBLANK(INDEX('Policy Characteristics'!A:A,MATCH($C813,'Policy Characteristics'!$C:$C,0))),"",INDEX('Policy Characteristics'!A:A,MATCH($C813,'Policy Characteristics'!$C:$C,0)))</f>
        <v>Industry</v>
      </c>
      <c r="B813" s="395" t="str">
        <f>IF(ISBLANK(INDEX('Policy Characteristics'!B:B,MATCH($C813,'Policy Characteristics'!$C:$C,0))),"",INDEX('Policy Characteristics'!B:B,MATCH($C813,'Policy Characteristics'!$C:$C,0)))</f>
        <v>Industry Energy Efficiency Standards</v>
      </c>
      <c r="C813" s="394" t="str">
        <f t="shared" si="38"/>
        <v>Percentage Improvement in Eqpt Efficiency Standards above BAU</v>
      </c>
      <c r="D813" s="399" t="s">
        <v>752</v>
      </c>
      <c r="E813" s="399" t="s">
        <v>804</v>
      </c>
      <c r="F813" t="s">
        <v>753</v>
      </c>
      <c r="G813" s="399" t="s">
        <v>818</v>
      </c>
      <c r="H813" s="377">
        <v>1034</v>
      </c>
      <c r="I813" s="396" t="s">
        <v>648</v>
      </c>
      <c r="J813" s="397" t="str">
        <f>IF(ISBLANK(INDEX('Policy Characteristics'!D:D,MATCH($C813,'Policy Characteristics'!$C:$C,0))),"",INDEX('Policy Characteristics'!D:D,MATCH($C813,'Policy Characteristics'!$C:$C,0)))</f>
        <v>Industry Energy Efficiency Standards</v>
      </c>
      <c r="K813" s="394" t="str">
        <f>IF(ISBLANK(INDEX('Policy Characteristics'!E:E,MATCH($C813,'Policy Characteristics'!$C:$C,0))),"",INDEX('Policy Characteristics'!E:E,MATCH($C813,'Policy Characteristics'!$C:$C,0)))</f>
        <v>indst efficiency standards</v>
      </c>
      <c r="L813" s="398">
        <f>IF(ISBLANK(INDEX('Policy Characteristics'!F:F,MATCH($C813,'Policy Characteristics'!$C:$C,0))),"",INDEX('Policy Characteristics'!F:F,MATCH($C813,'Policy Characteristics'!$C:$C,0)))</f>
        <v>0</v>
      </c>
      <c r="M813" s="398">
        <f>IF(ISBLANK(INDEX('Policy Characteristics'!G:G,MATCH($C813,'Policy Characteristics'!$C:$C,0))),"",INDEX('Policy Characteristics'!G:G,MATCH($C813,'Policy Characteristics'!$C:$C,0)))</f>
        <v>0.25</v>
      </c>
      <c r="N813" s="398">
        <f>IF(ISBLANK(INDEX('Policy Characteristics'!H:H,MATCH($C813,'Policy Characteristics'!$C:$C,0))),"",INDEX('Policy Characteristics'!H:H,MATCH($C813,'Policy Characteristics'!$C:$C,0)))</f>
        <v>0.01</v>
      </c>
      <c r="O813" s="394" t="str">
        <f>IF(ISBLANK(INDEX('Policy Characteristics'!I:I,MATCH($C813,'Policy Characteristics'!$C:$C,0))),"",INDEX('Policy Characteristics'!I:I,MATCH($C813,'Policy Characteristics'!$C:$C,0)))</f>
        <v>% reduction in energy use</v>
      </c>
      <c r="P813" s="394" t="str">
        <f>IF(ISBLANK(INDEX('Policy Characteristics'!J:J,MATCH($C813,'Policy Characteristics'!$C:$C,0))),"",INDEX('Policy Characteristics'!J:J,MATCH($C813,'Policy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3" s="394" t="str">
        <f>IF(ISBLANK(INDEX('Policy Characteristics'!K:K,MATCH($C813,'Policy Characteristics'!$C:$C,0))),"",INDEX('Policy Characteristics'!K:K,MATCH($C813,'Policy Characteristics'!$C:$C,0)))</f>
        <v>industry-ag-main.html#eff-stds</v>
      </c>
      <c r="R813" s="394" t="str">
        <f>IF(ISBLANK(INDEX('Policy Characteristics'!L:L,MATCH($C813,'Policy Characteristics'!$C:$C,0))),"",INDEX('Policy Characteristics'!L:L,MATCH($C813,'Policy Characteristics'!$C:$C,0)))</f>
        <v>industry-energy-efficiency-standards.html</v>
      </c>
    </row>
    <row r="814" s="384" customFormat="1" customHeight="1" spans="1:18">
      <c r="A814" s="394" t="str">
        <f>IF(ISBLANK(INDEX('Policy Characteristics'!A:A,MATCH($C814,'Policy Characteristics'!$C:$C,0))),"",INDEX('Policy Characteristics'!A:A,MATCH($C814,'Policy Characteristics'!$C:$C,0)))</f>
        <v>Industry</v>
      </c>
      <c r="B814" s="395" t="str">
        <f>IF(ISBLANK(INDEX('Policy Characteristics'!B:B,MATCH($C814,'Policy Characteristics'!$C:$C,0))),"",INDEX('Policy Characteristics'!B:B,MATCH($C814,'Policy Characteristics'!$C:$C,0)))</f>
        <v>Industry Energy Efficiency Standards</v>
      </c>
      <c r="C814" s="394" t="str">
        <f t="shared" si="38"/>
        <v>Percentage Improvement in Eqpt Efficiency Standards above BAU</v>
      </c>
      <c r="D814" s="399" t="s">
        <v>752</v>
      </c>
      <c r="E814" s="399" t="s">
        <v>806</v>
      </c>
      <c r="F814" t="s">
        <v>753</v>
      </c>
      <c r="G814" s="399" t="s">
        <v>819</v>
      </c>
      <c r="H814" s="377">
        <v>1035</v>
      </c>
      <c r="I814" s="396" t="s">
        <v>648</v>
      </c>
      <c r="J814" s="397" t="str">
        <f>IF(ISBLANK(INDEX('Policy Characteristics'!D:D,MATCH($C814,'Policy Characteristics'!$C:$C,0))),"",INDEX('Policy Characteristics'!D:D,MATCH($C814,'Policy Characteristics'!$C:$C,0)))</f>
        <v>Industry Energy Efficiency Standards</v>
      </c>
      <c r="K814" s="394" t="str">
        <f>IF(ISBLANK(INDEX('Policy Characteristics'!E:E,MATCH($C814,'Policy Characteristics'!$C:$C,0))),"",INDEX('Policy Characteristics'!E:E,MATCH($C814,'Policy Characteristics'!$C:$C,0)))</f>
        <v>indst efficiency standards</v>
      </c>
      <c r="L814" s="398">
        <f>IF(ISBLANK(INDEX('Policy Characteristics'!F:F,MATCH($C814,'Policy Characteristics'!$C:$C,0))),"",INDEX('Policy Characteristics'!F:F,MATCH($C814,'Policy Characteristics'!$C:$C,0)))</f>
        <v>0</v>
      </c>
      <c r="M814" s="398">
        <f>IF(ISBLANK(INDEX('Policy Characteristics'!G:G,MATCH($C814,'Policy Characteristics'!$C:$C,0))),"",INDEX('Policy Characteristics'!G:G,MATCH($C814,'Policy Characteristics'!$C:$C,0)))</f>
        <v>0.25</v>
      </c>
      <c r="N814" s="398">
        <f>IF(ISBLANK(INDEX('Policy Characteristics'!H:H,MATCH($C814,'Policy Characteristics'!$C:$C,0))),"",INDEX('Policy Characteristics'!H:H,MATCH($C814,'Policy Characteristics'!$C:$C,0)))</f>
        <v>0.01</v>
      </c>
      <c r="O814" s="394" t="str">
        <f>IF(ISBLANK(INDEX('Policy Characteristics'!I:I,MATCH($C814,'Policy Characteristics'!$C:$C,0))),"",INDEX('Policy Characteristics'!I:I,MATCH($C814,'Policy Characteristics'!$C:$C,0)))</f>
        <v>% reduction in energy use</v>
      </c>
      <c r="P814" s="394" t="str">
        <f>IF(ISBLANK(INDEX('Policy Characteristics'!J:J,MATCH($C814,'Policy Characteristics'!$C:$C,0))),"",INDEX('Policy Characteristics'!J:J,MATCH($C814,'Policy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4" s="394" t="str">
        <f>IF(ISBLANK(INDEX('Policy Characteristics'!K:K,MATCH($C814,'Policy Characteristics'!$C:$C,0))),"",INDEX('Policy Characteristics'!K:K,MATCH($C814,'Policy Characteristics'!$C:$C,0)))</f>
        <v>industry-ag-main.html#eff-stds</v>
      </c>
      <c r="R814" s="394" t="str">
        <f>IF(ISBLANK(INDEX('Policy Characteristics'!L:L,MATCH($C814,'Policy Characteristics'!$C:$C,0))),"",INDEX('Policy Characteristics'!L:L,MATCH($C814,'Policy Characteristics'!$C:$C,0)))</f>
        <v>industry-energy-efficiency-standards.html</v>
      </c>
    </row>
    <row r="815" s="384" customFormat="1" customHeight="1" spans="1:18">
      <c r="A815" s="394" t="str">
        <f>IF(ISBLANK(INDEX('Policy Characteristics'!A:A,MATCH($C815,'Policy Characteristics'!$C:$C,0))),"",INDEX('Policy Characteristics'!A:A,MATCH($C815,'Policy Characteristics'!$C:$C,0)))</f>
        <v>Industry</v>
      </c>
      <c r="B815" s="395" t="str">
        <f>IF(ISBLANK(INDEX('Policy Characteristics'!B:B,MATCH($C815,'Policy Characteristics'!$C:$C,0))),"",INDEX('Policy Characteristics'!B:B,MATCH($C815,'Policy Characteristics'!$C:$C,0)))</f>
        <v>Industry Energy Efficiency Standards</v>
      </c>
      <c r="C815" s="394" t="str">
        <f t="shared" si="38"/>
        <v>Percentage Improvement in Eqpt Efficiency Standards above BAU</v>
      </c>
      <c r="D815" s="399" t="s">
        <v>752</v>
      </c>
      <c r="E815" s="399" t="s">
        <v>808</v>
      </c>
      <c r="F815" t="s">
        <v>753</v>
      </c>
      <c r="G815" s="399" t="s">
        <v>820</v>
      </c>
      <c r="H815" s="377">
        <v>1036</v>
      </c>
      <c r="I815" s="396" t="s">
        <v>648</v>
      </c>
      <c r="J815" s="397" t="str">
        <f>IF(ISBLANK(INDEX('Policy Characteristics'!D:D,MATCH($C815,'Policy Characteristics'!$C:$C,0))),"",INDEX('Policy Characteristics'!D:D,MATCH($C815,'Policy Characteristics'!$C:$C,0)))</f>
        <v>Industry Energy Efficiency Standards</v>
      </c>
      <c r="K815" s="394" t="str">
        <f>IF(ISBLANK(INDEX('Policy Characteristics'!E:E,MATCH($C815,'Policy Characteristics'!$C:$C,0))),"",INDEX('Policy Characteristics'!E:E,MATCH($C815,'Policy Characteristics'!$C:$C,0)))</f>
        <v>indst efficiency standards</v>
      </c>
      <c r="L815" s="398">
        <f>IF(ISBLANK(INDEX('Policy Characteristics'!F:F,MATCH($C815,'Policy Characteristics'!$C:$C,0))),"",INDEX('Policy Characteristics'!F:F,MATCH($C815,'Policy Characteristics'!$C:$C,0)))</f>
        <v>0</v>
      </c>
      <c r="M815" s="398">
        <f>IF(ISBLANK(INDEX('Policy Characteristics'!G:G,MATCH($C815,'Policy Characteristics'!$C:$C,0))),"",INDEX('Policy Characteristics'!G:G,MATCH($C815,'Policy Characteristics'!$C:$C,0)))</f>
        <v>0.25</v>
      </c>
      <c r="N815" s="398">
        <f>IF(ISBLANK(INDEX('Policy Characteristics'!H:H,MATCH($C815,'Policy Characteristics'!$C:$C,0))),"",INDEX('Policy Characteristics'!H:H,MATCH($C815,'Policy Characteristics'!$C:$C,0)))</f>
        <v>0.01</v>
      </c>
      <c r="O815" s="394" t="str">
        <f>IF(ISBLANK(INDEX('Policy Characteristics'!I:I,MATCH($C815,'Policy Characteristics'!$C:$C,0))),"",INDEX('Policy Characteristics'!I:I,MATCH($C815,'Policy Characteristics'!$C:$C,0)))</f>
        <v>% reduction in energy use</v>
      </c>
      <c r="P815" s="394" t="str">
        <f>IF(ISBLANK(INDEX('Policy Characteristics'!J:J,MATCH($C815,'Policy Characteristics'!$C:$C,0))),"",INDEX('Policy Characteristics'!J:J,MATCH($C815,'Policy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5" s="394" t="str">
        <f>IF(ISBLANK(INDEX('Policy Characteristics'!K:K,MATCH($C815,'Policy Characteristics'!$C:$C,0))),"",INDEX('Policy Characteristics'!K:K,MATCH($C815,'Policy Characteristics'!$C:$C,0)))</f>
        <v>industry-ag-main.html#eff-stds</v>
      </c>
      <c r="R815" s="394" t="str">
        <f>IF(ISBLANK(INDEX('Policy Characteristics'!L:L,MATCH($C815,'Policy Characteristics'!$C:$C,0))),"",INDEX('Policy Characteristics'!L:L,MATCH($C815,'Policy Characteristics'!$C:$C,0)))</f>
        <v>industry-energy-efficiency-standards.html</v>
      </c>
    </row>
    <row r="816" s="384" customFormat="1" customHeight="1" spans="1:18">
      <c r="A816" s="394" t="str">
        <f>IF(ISBLANK(INDEX('Policy Characteristics'!A:A,MATCH($C816,'Policy Characteristics'!$C:$C,0))),"",INDEX('Policy Characteristics'!A:A,MATCH($C816,'Policy Characteristics'!$C:$C,0)))</f>
        <v>Industry</v>
      </c>
      <c r="B816" s="395" t="str">
        <f>IF(ISBLANK(INDEX('Policy Characteristics'!B:B,MATCH($C816,'Policy Characteristics'!$C:$C,0))),"",INDEX('Policy Characteristics'!B:B,MATCH($C816,'Policy Characteristics'!$C:$C,0)))</f>
        <v>Industry Energy Efficiency Standards</v>
      </c>
      <c r="C816" s="394" t="str">
        <f t="shared" si="38"/>
        <v>Percentage Improvement in Eqpt Efficiency Standards above BAU</v>
      </c>
      <c r="D816" s="399" t="s">
        <v>752</v>
      </c>
      <c r="E816" s="399" t="s">
        <v>810</v>
      </c>
      <c r="F816" t="s">
        <v>753</v>
      </c>
      <c r="G816" s="399" t="s">
        <v>821</v>
      </c>
      <c r="H816" s="377">
        <v>1037</v>
      </c>
      <c r="I816" s="396" t="s">
        <v>648</v>
      </c>
      <c r="J816" s="397" t="str">
        <f>IF(ISBLANK(INDEX('Policy Characteristics'!D:D,MATCH($C816,'Policy Characteristics'!$C:$C,0))),"",INDEX('Policy Characteristics'!D:D,MATCH($C816,'Policy Characteristics'!$C:$C,0)))</f>
        <v>Industry Energy Efficiency Standards</v>
      </c>
      <c r="K816" s="394" t="str">
        <f>IF(ISBLANK(INDEX('Policy Characteristics'!E:E,MATCH($C816,'Policy Characteristics'!$C:$C,0))),"",INDEX('Policy Characteristics'!E:E,MATCH($C816,'Policy Characteristics'!$C:$C,0)))</f>
        <v>indst efficiency standards</v>
      </c>
      <c r="L816" s="398">
        <f>IF(ISBLANK(INDEX('Policy Characteristics'!F:F,MATCH($C816,'Policy Characteristics'!$C:$C,0))),"",INDEX('Policy Characteristics'!F:F,MATCH($C816,'Policy Characteristics'!$C:$C,0)))</f>
        <v>0</v>
      </c>
      <c r="M816" s="398">
        <f>IF(ISBLANK(INDEX('Policy Characteristics'!G:G,MATCH($C816,'Policy Characteristics'!$C:$C,0))),"",INDEX('Policy Characteristics'!G:G,MATCH($C816,'Policy Characteristics'!$C:$C,0)))</f>
        <v>0.25</v>
      </c>
      <c r="N816" s="398">
        <f>IF(ISBLANK(INDEX('Policy Characteristics'!H:H,MATCH($C816,'Policy Characteristics'!$C:$C,0))),"",INDEX('Policy Characteristics'!H:H,MATCH($C816,'Policy Characteristics'!$C:$C,0)))</f>
        <v>0.01</v>
      </c>
      <c r="O816" s="394" t="str">
        <f>IF(ISBLANK(INDEX('Policy Characteristics'!I:I,MATCH($C816,'Policy Characteristics'!$C:$C,0))),"",INDEX('Policy Characteristics'!I:I,MATCH($C816,'Policy Characteristics'!$C:$C,0)))</f>
        <v>% reduction in energy use</v>
      </c>
      <c r="P816" s="394" t="str">
        <f>IF(ISBLANK(INDEX('Policy Characteristics'!J:J,MATCH($C816,'Policy Characteristics'!$C:$C,0))),"",INDEX('Policy Characteristics'!J:J,MATCH($C816,'Policy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6" s="394" t="str">
        <f>IF(ISBLANK(INDEX('Policy Characteristics'!K:K,MATCH($C816,'Policy Characteristics'!$C:$C,0))),"",INDEX('Policy Characteristics'!K:K,MATCH($C816,'Policy Characteristics'!$C:$C,0)))</f>
        <v>industry-ag-main.html#eff-stds</v>
      </c>
      <c r="R816" s="394" t="str">
        <f>IF(ISBLANK(INDEX('Policy Characteristics'!L:L,MATCH($C816,'Policy Characteristics'!$C:$C,0))),"",INDEX('Policy Characteristics'!L:L,MATCH($C816,'Policy Characteristics'!$C:$C,0)))</f>
        <v>industry-energy-efficiency-standards.html</v>
      </c>
    </row>
    <row r="817" s="384" customFormat="1" customHeight="1" spans="1:18">
      <c r="A817" s="394" t="str">
        <f>IF(ISBLANK(INDEX('Policy Characteristics'!A:A,MATCH($C817,'Policy Characteristics'!$C:$C,0))),"",INDEX('Policy Characteristics'!A:A,MATCH($C817,'Policy Characteristics'!$C:$C,0)))</f>
        <v>Industry</v>
      </c>
      <c r="B817" s="395" t="str">
        <f>IF(ISBLANK(INDEX('Policy Characteristics'!B:B,MATCH($C817,'Policy Characteristics'!$C:$C,0))),"",INDEX('Policy Characteristics'!B:B,MATCH($C817,'Policy Characteristics'!$C:$C,0)))</f>
        <v>Industry Energy Efficiency Standards</v>
      </c>
      <c r="C817" s="394" t="str">
        <f t="shared" si="38"/>
        <v>Percentage Improvement in Eqpt Efficiency Standards above BAU</v>
      </c>
      <c r="D817" s="399" t="s">
        <v>754</v>
      </c>
      <c r="E817" s="399" t="s">
        <v>792</v>
      </c>
      <c r="F817" t="s">
        <v>755</v>
      </c>
      <c r="G817" s="399" t="s">
        <v>812</v>
      </c>
      <c r="H817" s="377">
        <v>1038</v>
      </c>
      <c r="I817" s="396" t="s">
        <v>648</v>
      </c>
      <c r="J817" s="397" t="str">
        <f>IF(ISBLANK(INDEX('Policy Characteristics'!D:D,MATCH($C817,'Policy Characteristics'!$C:$C,0))),"",INDEX('Policy Characteristics'!D:D,MATCH($C817,'Policy Characteristics'!$C:$C,0)))</f>
        <v>Industry Energy Efficiency Standards</v>
      </c>
      <c r="K817" s="394" t="str">
        <f>IF(ISBLANK(INDEX('Policy Characteristics'!E:E,MATCH($C817,'Policy Characteristics'!$C:$C,0))),"",INDEX('Policy Characteristics'!E:E,MATCH($C817,'Policy Characteristics'!$C:$C,0)))</f>
        <v>indst efficiency standards</v>
      </c>
      <c r="L817" s="398">
        <f>IF(ISBLANK(INDEX('Policy Characteristics'!F:F,MATCH($C817,'Policy Characteristics'!$C:$C,0))),"",INDEX('Policy Characteristics'!F:F,MATCH($C817,'Policy Characteristics'!$C:$C,0)))</f>
        <v>0</v>
      </c>
      <c r="M817" s="398">
        <f>IF(ISBLANK(INDEX('Policy Characteristics'!G:G,MATCH($C817,'Policy Characteristics'!$C:$C,0))),"",INDEX('Policy Characteristics'!G:G,MATCH($C817,'Policy Characteristics'!$C:$C,0)))</f>
        <v>0.25</v>
      </c>
      <c r="N817" s="398">
        <f>IF(ISBLANK(INDEX('Policy Characteristics'!H:H,MATCH($C817,'Policy Characteristics'!$C:$C,0))),"",INDEX('Policy Characteristics'!H:H,MATCH($C817,'Policy Characteristics'!$C:$C,0)))</f>
        <v>0.01</v>
      </c>
      <c r="O817" s="394" t="str">
        <f>IF(ISBLANK(INDEX('Policy Characteristics'!I:I,MATCH($C817,'Policy Characteristics'!$C:$C,0))),"",INDEX('Policy Characteristics'!I:I,MATCH($C817,'Policy Characteristics'!$C:$C,0)))</f>
        <v>% reduction in energy use</v>
      </c>
      <c r="P817" s="394" t="str">
        <f>IF(ISBLANK(INDEX('Policy Characteristics'!J:J,MATCH($C817,'Policy Characteristics'!$C:$C,0))),"",INDEX('Policy Characteristics'!J:J,MATCH($C817,'Policy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7" s="394" t="str">
        <f>IF(ISBLANK(INDEX('Policy Characteristics'!K:K,MATCH($C817,'Policy Characteristics'!$C:$C,0))),"",INDEX('Policy Characteristics'!K:K,MATCH($C817,'Policy Characteristics'!$C:$C,0)))</f>
        <v>industry-ag-main.html#eff-stds</v>
      </c>
      <c r="R817" s="394" t="str">
        <f>IF(ISBLANK(INDEX('Policy Characteristics'!L:L,MATCH($C817,'Policy Characteristics'!$C:$C,0))),"",INDEX('Policy Characteristics'!L:L,MATCH($C817,'Policy Characteristics'!$C:$C,0)))</f>
        <v>industry-energy-efficiency-standards.html</v>
      </c>
    </row>
    <row r="818" s="384" customFormat="1" customHeight="1" spans="1:18">
      <c r="A818" s="394" t="str">
        <f>IF(ISBLANK(INDEX('Policy Characteristics'!A:A,MATCH($C818,'Policy Characteristics'!$C:$C,0))),"",INDEX('Policy Characteristics'!A:A,MATCH($C818,'Policy Characteristics'!$C:$C,0)))</f>
        <v>Industry</v>
      </c>
      <c r="B818" s="395" t="str">
        <f>IF(ISBLANK(INDEX('Policy Characteristics'!B:B,MATCH($C818,'Policy Characteristics'!$C:$C,0))),"",INDEX('Policy Characteristics'!B:B,MATCH($C818,'Policy Characteristics'!$C:$C,0)))</f>
        <v>Industry Energy Efficiency Standards</v>
      </c>
      <c r="C818" s="394" t="str">
        <f t="shared" si="38"/>
        <v>Percentage Improvement in Eqpt Efficiency Standards above BAU</v>
      </c>
      <c r="D818" s="399" t="s">
        <v>754</v>
      </c>
      <c r="E818" s="399" t="s">
        <v>794</v>
      </c>
      <c r="F818" t="s">
        <v>755</v>
      </c>
      <c r="G818" s="399" t="s">
        <v>813</v>
      </c>
      <c r="H818" s="377">
        <v>1039</v>
      </c>
      <c r="I818" s="396" t="s">
        <v>648</v>
      </c>
      <c r="J818" s="397" t="str">
        <f>IF(ISBLANK(INDEX('Policy Characteristics'!D:D,MATCH($C818,'Policy Characteristics'!$C:$C,0))),"",INDEX('Policy Characteristics'!D:D,MATCH($C818,'Policy Characteristics'!$C:$C,0)))</f>
        <v>Industry Energy Efficiency Standards</v>
      </c>
      <c r="K818" s="394" t="str">
        <f>IF(ISBLANK(INDEX('Policy Characteristics'!E:E,MATCH($C818,'Policy Characteristics'!$C:$C,0))),"",INDEX('Policy Characteristics'!E:E,MATCH($C818,'Policy Characteristics'!$C:$C,0)))</f>
        <v>indst efficiency standards</v>
      </c>
      <c r="L818" s="398">
        <f>IF(ISBLANK(INDEX('Policy Characteristics'!F:F,MATCH($C818,'Policy Characteristics'!$C:$C,0))),"",INDEX('Policy Characteristics'!F:F,MATCH($C818,'Policy Characteristics'!$C:$C,0)))</f>
        <v>0</v>
      </c>
      <c r="M818" s="398">
        <f>IF(ISBLANK(INDEX('Policy Characteristics'!G:G,MATCH($C818,'Policy Characteristics'!$C:$C,0))),"",INDEX('Policy Characteristics'!G:G,MATCH($C818,'Policy Characteristics'!$C:$C,0)))</f>
        <v>0.25</v>
      </c>
      <c r="N818" s="398">
        <f>IF(ISBLANK(INDEX('Policy Characteristics'!H:H,MATCH($C818,'Policy Characteristics'!$C:$C,0))),"",INDEX('Policy Characteristics'!H:H,MATCH($C818,'Policy Characteristics'!$C:$C,0)))</f>
        <v>0.01</v>
      </c>
      <c r="O818" s="394" t="str">
        <f>IF(ISBLANK(INDEX('Policy Characteristics'!I:I,MATCH($C818,'Policy Characteristics'!$C:$C,0))),"",INDEX('Policy Characteristics'!I:I,MATCH($C818,'Policy Characteristics'!$C:$C,0)))</f>
        <v>% reduction in energy use</v>
      </c>
      <c r="P818" s="394" t="str">
        <f>IF(ISBLANK(INDEX('Policy Characteristics'!J:J,MATCH($C818,'Policy Characteristics'!$C:$C,0))),"",INDEX('Policy Characteristics'!J:J,MATCH($C818,'Policy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8" s="394" t="str">
        <f>IF(ISBLANK(INDEX('Policy Characteristics'!K:K,MATCH($C818,'Policy Characteristics'!$C:$C,0))),"",INDEX('Policy Characteristics'!K:K,MATCH($C818,'Policy Characteristics'!$C:$C,0)))</f>
        <v>industry-ag-main.html#eff-stds</v>
      </c>
      <c r="R818" s="394" t="str">
        <f>IF(ISBLANK(INDEX('Policy Characteristics'!L:L,MATCH($C818,'Policy Characteristics'!$C:$C,0))),"",INDEX('Policy Characteristics'!L:L,MATCH($C818,'Policy Characteristics'!$C:$C,0)))</f>
        <v>industry-energy-efficiency-standards.html</v>
      </c>
    </row>
    <row r="819" s="384" customFormat="1" customHeight="1" spans="1:18">
      <c r="A819" s="394" t="str">
        <f>IF(ISBLANK(INDEX('Policy Characteristics'!A:A,MATCH($C819,'Policy Characteristics'!$C:$C,0))),"",INDEX('Policy Characteristics'!A:A,MATCH($C819,'Policy Characteristics'!$C:$C,0)))</f>
        <v>Industry</v>
      </c>
      <c r="B819" s="395" t="str">
        <f>IF(ISBLANK(INDEX('Policy Characteristics'!B:B,MATCH($C819,'Policy Characteristics'!$C:$C,0))),"",INDEX('Policy Characteristics'!B:B,MATCH($C819,'Policy Characteristics'!$C:$C,0)))</f>
        <v>Industry Energy Efficiency Standards</v>
      </c>
      <c r="C819" s="394" t="str">
        <f t="shared" si="38"/>
        <v>Percentage Improvement in Eqpt Efficiency Standards above BAU</v>
      </c>
      <c r="D819" s="399" t="s">
        <v>754</v>
      </c>
      <c r="E819" s="399" t="s">
        <v>796</v>
      </c>
      <c r="F819" t="s">
        <v>755</v>
      </c>
      <c r="G819" s="399" t="s">
        <v>814</v>
      </c>
      <c r="H819" s="377">
        <v>1040</v>
      </c>
      <c r="I819" s="396" t="s">
        <v>648</v>
      </c>
      <c r="J819" s="397" t="str">
        <f>IF(ISBLANK(INDEX('Policy Characteristics'!D:D,MATCH($C819,'Policy Characteristics'!$C:$C,0))),"",INDEX('Policy Characteristics'!D:D,MATCH($C819,'Policy Characteristics'!$C:$C,0)))</f>
        <v>Industry Energy Efficiency Standards</v>
      </c>
      <c r="K819" s="394" t="str">
        <f>IF(ISBLANK(INDEX('Policy Characteristics'!E:E,MATCH($C819,'Policy Characteristics'!$C:$C,0))),"",INDEX('Policy Characteristics'!E:E,MATCH($C819,'Policy Characteristics'!$C:$C,0)))</f>
        <v>indst efficiency standards</v>
      </c>
      <c r="L819" s="398">
        <f>IF(ISBLANK(INDEX('Policy Characteristics'!F:F,MATCH($C819,'Policy Characteristics'!$C:$C,0))),"",INDEX('Policy Characteristics'!F:F,MATCH($C819,'Policy Characteristics'!$C:$C,0)))</f>
        <v>0</v>
      </c>
      <c r="M819" s="398">
        <f>IF(ISBLANK(INDEX('Policy Characteristics'!G:G,MATCH($C819,'Policy Characteristics'!$C:$C,0))),"",INDEX('Policy Characteristics'!G:G,MATCH($C819,'Policy Characteristics'!$C:$C,0)))</f>
        <v>0.25</v>
      </c>
      <c r="N819" s="398">
        <f>IF(ISBLANK(INDEX('Policy Characteristics'!H:H,MATCH($C819,'Policy Characteristics'!$C:$C,0))),"",INDEX('Policy Characteristics'!H:H,MATCH($C819,'Policy Characteristics'!$C:$C,0)))</f>
        <v>0.01</v>
      </c>
      <c r="O819" s="394" t="str">
        <f>IF(ISBLANK(INDEX('Policy Characteristics'!I:I,MATCH($C819,'Policy Characteristics'!$C:$C,0))),"",INDEX('Policy Characteristics'!I:I,MATCH($C819,'Policy Characteristics'!$C:$C,0)))</f>
        <v>% reduction in energy use</v>
      </c>
      <c r="P819" s="394" t="str">
        <f>IF(ISBLANK(INDEX('Policy Characteristics'!J:J,MATCH($C819,'Policy Characteristics'!$C:$C,0))),"",INDEX('Policy Characteristics'!J:J,MATCH($C819,'Policy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9" s="394" t="str">
        <f>IF(ISBLANK(INDEX('Policy Characteristics'!K:K,MATCH($C819,'Policy Characteristics'!$C:$C,0))),"",INDEX('Policy Characteristics'!K:K,MATCH($C819,'Policy Characteristics'!$C:$C,0)))</f>
        <v>industry-ag-main.html#eff-stds</v>
      </c>
      <c r="R819" s="394" t="str">
        <f>IF(ISBLANK(INDEX('Policy Characteristics'!L:L,MATCH($C819,'Policy Characteristics'!$C:$C,0))),"",INDEX('Policy Characteristics'!L:L,MATCH($C819,'Policy Characteristics'!$C:$C,0)))</f>
        <v>industry-energy-efficiency-standards.html</v>
      </c>
    </row>
    <row r="820" s="384" customFormat="1" customHeight="1" spans="1:18">
      <c r="A820" s="394" t="str">
        <f>IF(ISBLANK(INDEX('Policy Characteristics'!A:A,MATCH($C820,'Policy Characteristics'!$C:$C,0))),"",INDEX('Policy Characteristics'!A:A,MATCH($C820,'Policy Characteristics'!$C:$C,0)))</f>
        <v>Industry</v>
      </c>
      <c r="B820" s="395" t="str">
        <f>IF(ISBLANK(INDEX('Policy Characteristics'!B:B,MATCH($C820,'Policy Characteristics'!$C:$C,0))),"",INDEX('Policy Characteristics'!B:B,MATCH($C820,'Policy Characteristics'!$C:$C,0)))</f>
        <v>Industry Energy Efficiency Standards</v>
      </c>
      <c r="C820" s="394" t="str">
        <f t="shared" si="38"/>
        <v>Percentage Improvement in Eqpt Efficiency Standards above BAU</v>
      </c>
      <c r="D820" s="399" t="s">
        <v>754</v>
      </c>
      <c r="E820" s="399" t="s">
        <v>798</v>
      </c>
      <c r="F820" t="s">
        <v>755</v>
      </c>
      <c r="G820" s="399" t="s">
        <v>815</v>
      </c>
      <c r="H820" s="377">
        <v>1041</v>
      </c>
      <c r="I820" s="396" t="s">
        <v>648</v>
      </c>
      <c r="J820" s="397" t="str">
        <f>IF(ISBLANK(INDEX('Policy Characteristics'!D:D,MATCH($C820,'Policy Characteristics'!$C:$C,0))),"",INDEX('Policy Characteristics'!D:D,MATCH($C820,'Policy Characteristics'!$C:$C,0)))</f>
        <v>Industry Energy Efficiency Standards</v>
      </c>
      <c r="K820" s="394" t="str">
        <f>IF(ISBLANK(INDEX('Policy Characteristics'!E:E,MATCH($C820,'Policy Characteristics'!$C:$C,0))),"",INDEX('Policy Characteristics'!E:E,MATCH($C820,'Policy Characteristics'!$C:$C,0)))</f>
        <v>indst efficiency standards</v>
      </c>
      <c r="L820" s="398">
        <f>IF(ISBLANK(INDEX('Policy Characteristics'!F:F,MATCH($C820,'Policy Characteristics'!$C:$C,0))),"",INDEX('Policy Characteristics'!F:F,MATCH($C820,'Policy Characteristics'!$C:$C,0)))</f>
        <v>0</v>
      </c>
      <c r="M820" s="398">
        <f>IF(ISBLANK(INDEX('Policy Characteristics'!G:G,MATCH($C820,'Policy Characteristics'!$C:$C,0))),"",INDEX('Policy Characteristics'!G:G,MATCH($C820,'Policy Characteristics'!$C:$C,0)))</f>
        <v>0.25</v>
      </c>
      <c r="N820" s="398">
        <f>IF(ISBLANK(INDEX('Policy Characteristics'!H:H,MATCH($C820,'Policy Characteristics'!$C:$C,0))),"",INDEX('Policy Characteristics'!H:H,MATCH($C820,'Policy Characteristics'!$C:$C,0)))</f>
        <v>0.01</v>
      </c>
      <c r="O820" s="394" t="str">
        <f>IF(ISBLANK(INDEX('Policy Characteristics'!I:I,MATCH($C820,'Policy Characteristics'!$C:$C,0))),"",INDEX('Policy Characteristics'!I:I,MATCH($C820,'Policy Characteristics'!$C:$C,0)))</f>
        <v>% reduction in energy use</v>
      </c>
      <c r="P820" s="394" t="str">
        <f>IF(ISBLANK(INDEX('Policy Characteristics'!J:J,MATCH($C820,'Policy Characteristics'!$C:$C,0))),"",INDEX('Policy Characteristics'!J:J,MATCH($C820,'Policy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0" s="394" t="str">
        <f>IF(ISBLANK(INDEX('Policy Characteristics'!K:K,MATCH($C820,'Policy Characteristics'!$C:$C,0))),"",INDEX('Policy Characteristics'!K:K,MATCH($C820,'Policy Characteristics'!$C:$C,0)))</f>
        <v>industry-ag-main.html#eff-stds</v>
      </c>
      <c r="R820" s="394" t="str">
        <f>IF(ISBLANK(INDEX('Policy Characteristics'!L:L,MATCH($C820,'Policy Characteristics'!$C:$C,0))),"",INDEX('Policy Characteristics'!L:L,MATCH($C820,'Policy Characteristics'!$C:$C,0)))</f>
        <v>industry-energy-efficiency-standards.html</v>
      </c>
    </row>
    <row r="821" s="384" customFormat="1" customHeight="1" spans="1:18">
      <c r="A821" s="394" t="str">
        <f>IF(ISBLANK(INDEX('Policy Characteristics'!A:A,MATCH($C821,'Policy Characteristics'!$C:$C,0))),"",INDEX('Policy Characteristics'!A:A,MATCH($C821,'Policy Characteristics'!$C:$C,0)))</f>
        <v>Industry</v>
      </c>
      <c r="B821" s="395" t="str">
        <f>IF(ISBLANK(INDEX('Policy Characteristics'!B:B,MATCH($C821,'Policy Characteristics'!$C:$C,0))),"",INDEX('Policy Characteristics'!B:B,MATCH($C821,'Policy Characteristics'!$C:$C,0)))</f>
        <v>Industry Energy Efficiency Standards</v>
      </c>
      <c r="C821" s="394" t="str">
        <f t="shared" si="38"/>
        <v>Percentage Improvement in Eqpt Efficiency Standards above BAU</v>
      </c>
      <c r="D821" s="399" t="s">
        <v>754</v>
      </c>
      <c r="E821" s="399" t="s">
        <v>800</v>
      </c>
      <c r="F821" t="s">
        <v>755</v>
      </c>
      <c r="G821" s="399" t="s">
        <v>816</v>
      </c>
      <c r="H821" s="377">
        <v>1042</v>
      </c>
      <c r="I821" s="396" t="s">
        <v>648</v>
      </c>
      <c r="J821" s="397" t="str">
        <f>IF(ISBLANK(INDEX('Policy Characteristics'!D:D,MATCH($C821,'Policy Characteristics'!$C:$C,0))),"",INDEX('Policy Characteristics'!D:D,MATCH($C821,'Policy Characteristics'!$C:$C,0)))</f>
        <v>Industry Energy Efficiency Standards</v>
      </c>
      <c r="K821" s="394" t="str">
        <f>IF(ISBLANK(INDEX('Policy Characteristics'!E:E,MATCH($C821,'Policy Characteristics'!$C:$C,0))),"",INDEX('Policy Characteristics'!E:E,MATCH($C821,'Policy Characteristics'!$C:$C,0)))</f>
        <v>indst efficiency standards</v>
      </c>
      <c r="L821" s="398">
        <f>IF(ISBLANK(INDEX('Policy Characteristics'!F:F,MATCH($C821,'Policy Characteristics'!$C:$C,0))),"",INDEX('Policy Characteristics'!F:F,MATCH($C821,'Policy Characteristics'!$C:$C,0)))</f>
        <v>0</v>
      </c>
      <c r="M821" s="398">
        <f>IF(ISBLANK(INDEX('Policy Characteristics'!G:G,MATCH($C821,'Policy Characteristics'!$C:$C,0))),"",INDEX('Policy Characteristics'!G:G,MATCH($C821,'Policy Characteristics'!$C:$C,0)))</f>
        <v>0.25</v>
      </c>
      <c r="N821" s="398">
        <f>IF(ISBLANK(INDEX('Policy Characteristics'!H:H,MATCH($C821,'Policy Characteristics'!$C:$C,0))),"",INDEX('Policy Characteristics'!H:H,MATCH($C821,'Policy Characteristics'!$C:$C,0)))</f>
        <v>0.01</v>
      </c>
      <c r="O821" s="394" t="str">
        <f>IF(ISBLANK(INDEX('Policy Characteristics'!I:I,MATCH($C821,'Policy Characteristics'!$C:$C,0))),"",INDEX('Policy Characteristics'!I:I,MATCH($C821,'Policy Characteristics'!$C:$C,0)))</f>
        <v>% reduction in energy use</v>
      </c>
      <c r="P821" s="394" t="str">
        <f>IF(ISBLANK(INDEX('Policy Characteristics'!J:J,MATCH($C821,'Policy Characteristics'!$C:$C,0))),"",INDEX('Policy Characteristics'!J:J,MATCH($C821,'Policy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1" s="394" t="str">
        <f>IF(ISBLANK(INDEX('Policy Characteristics'!K:K,MATCH($C821,'Policy Characteristics'!$C:$C,0))),"",INDEX('Policy Characteristics'!K:K,MATCH($C821,'Policy Characteristics'!$C:$C,0)))</f>
        <v>industry-ag-main.html#eff-stds</v>
      </c>
      <c r="R821" s="394" t="str">
        <f>IF(ISBLANK(INDEX('Policy Characteristics'!L:L,MATCH($C821,'Policy Characteristics'!$C:$C,0))),"",INDEX('Policy Characteristics'!L:L,MATCH($C821,'Policy Characteristics'!$C:$C,0)))</f>
        <v>industry-energy-efficiency-standards.html</v>
      </c>
    </row>
    <row r="822" s="384" customFormat="1" customHeight="1" spans="1:18">
      <c r="A822" s="394" t="str">
        <f>IF(ISBLANK(INDEX('Policy Characteristics'!A:A,MATCH($C822,'Policy Characteristics'!$C:$C,0))),"",INDEX('Policy Characteristics'!A:A,MATCH($C822,'Policy Characteristics'!$C:$C,0)))</f>
        <v>Industry</v>
      </c>
      <c r="B822" s="395" t="str">
        <f>IF(ISBLANK(INDEX('Policy Characteristics'!B:B,MATCH($C822,'Policy Characteristics'!$C:$C,0))),"",INDEX('Policy Characteristics'!B:B,MATCH($C822,'Policy Characteristics'!$C:$C,0)))</f>
        <v>Industry Energy Efficiency Standards</v>
      </c>
      <c r="C822" s="394" t="str">
        <f t="shared" si="38"/>
        <v>Percentage Improvement in Eqpt Efficiency Standards above BAU</v>
      </c>
      <c r="D822" s="399" t="s">
        <v>754</v>
      </c>
      <c r="E822" s="399" t="s">
        <v>802</v>
      </c>
      <c r="F822" t="s">
        <v>755</v>
      </c>
      <c r="G822" s="399" t="s">
        <v>817</v>
      </c>
      <c r="H822" s="377">
        <v>1043</v>
      </c>
      <c r="I822" s="396" t="s">
        <v>648</v>
      </c>
      <c r="J822" s="397" t="str">
        <f>IF(ISBLANK(INDEX('Policy Characteristics'!D:D,MATCH($C822,'Policy Characteristics'!$C:$C,0))),"",INDEX('Policy Characteristics'!D:D,MATCH($C822,'Policy Characteristics'!$C:$C,0)))</f>
        <v>Industry Energy Efficiency Standards</v>
      </c>
      <c r="K822" s="394" t="str">
        <f>IF(ISBLANK(INDEX('Policy Characteristics'!E:E,MATCH($C822,'Policy Characteristics'!$C:$C,0))),"",INDEX('Policy Characteristics'!E:E,MATCH($C822,'Policy Characteristics'!$C:$C,0)))</f>
        <v>indst efficiency standards</v>
      </c>
      <c r="L822" s="398">
        <f>IF(ISBLANK(INDEX('Policy Characteristics'!F:F,MATCH($C822,'Policy Characteristics'!$C:$C,0))),"",INDEX('Policy Characteristics'!F:F,MATCH($C822,'Policy Characteristics'!$C:$C,0)))</f>
        <v>0</v>
      </c>
      <c r="M822" s="398">
        <f>IF(ISBLANK(INDEX('Policy Characteristics'!G:G,MATCH($C822,'Policy Characteristics'!$C:$C,0))),"",INDEX('Policy Characteristics'!G:G,MATCH($C822,'Policy Characteristics'!$C:$C,0)))</f>
        <v>0.25</v>
      </c>
      <c r="N822" s="398">
        <f>IF(ISBLANK(INDEX('Policy Characteristics'!H:H,MATCH($C822,'Policy Characteristics'!$C:$C,0))),"",INDEX('Policy Characteristics'!H:H,MATCH($C822,'Policy Characteristics'!$C:$C,0)))</f>
        <v>0.01</v>
      </c>
      <c r="O822" s="394" t="str">
        <f>IF(ISBLANK(INDEX('Policy Characteristics'!I:I,MATCH($C822,'Policy Characteristics'!$C:$C,0))),"",INDEX('Policy Characteristics'!I:I,MATCH($C822,'Policy Characteristics'!$C:$C,0)))</f>
        <v>% reduction in energy use</v>
      </c>
      <c r="P822" s="394" t="str">
        <f>IF(ISBLANK(INDEX('Policy Characteristics'!J:J,MATCH($C822,'Policy Characteristics'!$C:$C,0))),"",INDEX('Policy Characteristics'!J:J,MATCH($C822,'Policy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2" s="394" t="str">
        <f>IF(ISBLANK(INDEX('Policy Characteristics'!K:K,MATCH($C822,'Policy Characteristics'!$C:$C,0))),"",INDEX('Policy Characteristics'!K:K,MATCH($C822,'Policy Characteristics'!$C:$C,0)))</f>
        <v>industry-ag-main.html#eff-stds</v>
      </c>
      <c r="R822" s="394" t="str">
        <f>IF(ISBLANK(INDEX('Policy Characteristics'!L:L,MATCH($C822,'Policy Characteristics'!$C:$C,0))),"",INDEX('Policy Characteristics'!L:L,MATCH($C822,'Policy Characteristics'!$C:$C,0)))</f>
        <v>industry-energy-efficiency-standards.html</v>
      </c>
    </row>
    <row r="823" s="384" customFormat="1" customHeight="1" spans="1:18">
      <c r="A823" s="394" t="str">
        <f>IF(ISBLANK(INDEX('Policy Characteristics'!A:A,MATCH($C823,'Policy Characteristics'!$C:$C,0))),"",INDEX('Policy Characteristics'!A:A,MATCH($C823,'Policy Characteristics'!$C:$C,0)))</f>
        <v>Industry</v>
      </c>
      <c r="B823" s="395" t="str">
        <f>IF(ISBLANK(INDEX('Policy Characteristics'!B:B,MATCH($C823,'Policy Characteristics'!$C:$C,0))),"",INDEX('Policy Characteristics'!B:B,MATCH($C823,'Policy Characteristics'!$C:$C,0)))</f>
        <v>Industry Energy Efficiency Standards</v>
      </c>
      <c r="C823" s="394" t="str">
        <f t="shared" si="38"/>
        <v>Percentage Improvement in Eqpt Efficiency Standards above BAU</v>
      </c>
      <c r="D823" s="399" t="s">
        <v>754</v>
      </c>
      <c r="E823" s="399" t="s">
        <v>804</v>
      </c>
      <c r="F823" t="s">
        <v>755</v>
      </c>
      <c r="G823" s="399" t="s">
        <v>818</v>
      </c>
      <c r="H823" s="377">
        <v>1044</v>
      </c>
      <c r="I823" s="396" t="s">
        <v>648</v>
      </c>
      <c r="J823" s="397" t="str">
        <f>IF(ISBLANK(INDEX('Policy Characteristics'!D:D,MATCH($C823,'Policy Characteristics'!$C:$C,0))),"",INDEX('Policy Characteristics'!D:D,MATCH($C823,'Policy Characteristics'!$C:$C,0)))</f>
        <v>Industry Energy Efficiency Standards</v>
      </c>
      <c r="K823" s="394" t="str">
        <f>IF(ISBLANK(INDEX('Policy Characteristics'!E:E,MATCH($C823,'Policy Characteristics'!$C:$C,0))),"",INDEX('Policy Characteristics'!E:E,MATCH($C823,'Policy Characteristics'!$C:$C,0)))</f>
        <v>indst efficiency standards</v>
      </c>
      <c r="L823" s="398">
        <f>IF(ISBLANK(INDEX('Policy Characteristics'!F:F,MATCH($C823,'Policy Characteristics'!$C:$C,0))),"",INDEX('Policy Characteristics'!F:F,MATCH($C823,'Policy Characteristics'!$C:$C,0)))</f>
        <v>0</v>
      </c>
      <c r="M823" s="398">
        <f>IF(ISBLANK(INDEX('Policy Characteristics'!G:G,MATCH($C823,'Policy Characteristics'!$C:$C,0))),"",INDEX('Policy Characteristics'!G:G,MATCH($C823,'Policy Characteristics'!$C:$C,0)))</f>
        <v>0.25</v>
      </c>
      <c r="N823" s="398">
        <f>IF(ISBLANK(INDEX('Policy Characteristics'!H:H,MATCH($C823,'Policy Characteristics'!$C:$C,0))),"",INDEX('Policy Characteristics'!H:H,MATCH($C823,'Policy Characteristics'!$C:$C,0)))</f>
        <v>0.01</v>
      </c>
      <c r="O823" s="394" t="str">
        <f>IF(ISBLANK(INDEX('Policy Characteristics'!I:I,MATCH($C823,'Policy Characteristics'!$C:$C,0))),"",INDEX('Policy Characteristics'!I:I,MATCH($C823,'Policy Characteristics'!$C:$C,0)))</f>
        <v>% reduction in energy use</v>
      </c>
      <c r="P823" s="394" t="str">
        <f>IF(ISBLANK(INDEX('Policy Characteristics'!J:J,MATCH($C823,'Policy Characteristics'!$C:$C,0))),"",INDEX('Policy Characteristics'!J:J,MATCH($C823,'Policy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3" s="394" t="str">
        <f>IF(ISBLANK(INDEX('Policy Characteristics'!K:K,MATCH($C823,'Policy Characteristics'!$C:$C,0))),"",INDEX('Policy Characteristics'!K:K,MATCH($C823,'Policy Characteristics'!$C:$C,0)))</f>
        <v>industry-ag-main.html#eff-stds</v>
      </c>
      <c r="R823" s="394" t="str">
        <f>IF(ISBLANK(INDEX('Policy Characteristics'!L:L,MATCH($C823,'Policy Characteristics'!$C:$C,0))),"",INDEX('Policy Characteristics'!L:L,MATCH($C823,'Policy Characteristics'!$C:$C,0)))</f>
        <v>industry-energy-efficiency-standards.html</v>
      </c>
    </row>
    <row r="824" s="384" customFormat="1" customHeight="1" spans="1:18">
      <c r="A824" s="394" t="str">
        <f>IF(ISBLANK(INDEX('Policy Characteristics'!A:A,MATCH($C824,'Policy Characteristics'!$C:$C,0))),"",INDEX('Policy Characteristics'!A:A,MATCH($C824,'Policy Characteristics'!$C:$C,0)))</f>
        <v>Industry</v>
      </c>
      <c r="B824" s="395" t="str">
        <f>IF(ISBLANK(INDEX('Policy Characteristics'!B:B,MATCH($C824,'Policy Characteristics'!$C:$C,0))),"",INDEX('Policy Characteristics'!B:B,MATCH($C824,'Policy Characteristics'!$C:$C,0)))</f>
        <v>Industry Energy Efficiency Standards</v>
      </c>
      <c r="C824" s="394" t="str">
        <f t="shared" si="38"/>
        <v>Percentage Improvement in Eqpt Efficiency Standards above BAU</v>
      </c>
      <c r="D824" s="399" t="s">
        <v>754</v>
      </c>
      <c r="E824" s="399" t="s">
        <v>806</v>
      </c>
      <c r="F824" t="s">
        <v>755</v>
      </c>
      <c r="G824" s="399" t="s">
        <v>819</v>
      </c>
      <c r="H824" s="377">
        <v>1045</v>
      </c>
      <c r="I824" s="396" t="s">
        <v>648</v>
      </c>
      <c r="J824" s="397" t="str">
        <f>IF(ISBLANK(INDEX('Policy Characteristics'!D:D,MATCH($C824,'Policy Characteristics'!$C:$C,0))),"",INDEX('Policy Characteristics'!D:D,MATCH($C824,'Policy Characteristics'!$C:$C,0)))</f>
        <v>Industry Energy Efficiency Standards</v>
      </c>
      <c r="K824" s="394" t="str">
        <f>IF(ISBLANK(INDEX('Policy Characteristics'!E:E,MATCH($C824,'Policy Characteristics'!$C:$C,0))),"",INDEX('Policy Characteristics'!E:E,MATCH($C824,'Policy Characteristics'!$C:$C,0)))</f>
        <v>indst efficiency standards</v>
      </c>
      <c r="L824" s="398">
        <f>IF(ISBLANK(INDEX('Policy Characteristics'!F:F,MATCH($C824,'Policy Characteristics'!$C:$C,0))),"",INDEX('Policy Characteristics'!F:F,MATCH($C824,'Policy Characteristics'!$C:$C,0)))</f>
        <v>0</v>
      </c>
      <c r="M824" s="398">
        <f>IF(ISBLANK(INDEX('Policy Characteristics'!G:G,MATCH($C824,'Policy Characteristics'!$C:$C,0))),"",INDEX('Policy Characteristics'!G:G,MATCH($C824,'Policy Characteristics'!$C:$C,0)))</f>
        <v>0.25</v>
      </c>
      <c r="N824" s="398">
        <f>IF(ISBLANK(INDEX('Policy Characteristics'!H:H,MATCH($C824,'Policy Characteristics'!$C:$C,0))),"",INDEX('Policy Characteristics'!H:H,MATCH($C824,'Policy Characteristics'!$C:$C,0)))</f>
        <v>0.01</v>
      </c>
      <c r="O824" s="394" t="str">
        <f>IF(ISBLANK(INDEX('Policy Characteristics'!I:I,MATCH($C824,'Policy Characteristics'!$C:$C,0))),"",INDEX('Policy Characteristics'!I:I,MATCH($C824,'Policy Characteristics'!$C:$C,0)))</f>
        <v>% reduction in energy use</v>
      </c>
      <c r="P824" s="394" t="str">
        <f>IF(ISBLANK(INDEX('Policy Characteristics'!J:J,MATCH($C824,'Policy Characteristics'!$C:$C,0))),"",INDEX('Policy Characteristics'!J:J,MATCH($C824,'Policy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4" s="394" t="str">
        <f>IF(ISBLANK(INDEX('Policy Characteristics'!K:K,MATCH($C824,'Policy Characteristics'!$C:$C,0))),"",INDEX('Policy Characteristics'!K:K,MATCH($C824,'Policy Characteristics'!$C:$C,0)))</f>
        <v>industry-ag-main.html#eff-stds</v>
      </c>
      <c r="R824" s="394" t="str">
        <f>IF(ISBLANK(INDEX('Policy Characteristics'!L:L,MATCH($C824,'Policy Characteristics'!$C:$C,0))),"",INDEX('Policy Characteristics'!L:L,MATCH($C824,'Policy Characteristics'!$C:$C,0)))</f>
        <v>industry-energy-efficiency-standards.html</v>
      </c>
    </row>
    <row r="825" s="384" customFormat="1" customHeight="1" spans="1:18">
      <c r="A825" s="394" t="str">
        <f>IF(ISBLANK(INDEX('Policy Characteristics'!A:A,MATCH($C825,'Policy Characteristics'!$C:$C,0))),"",INDEX('Policy Characteristics'!A:A,MATCH($C825,'Policy Characteristics'!$C:$C,0)))</f>
        <v>Industry</v>
      </c>
      <c r="B825" s="395" t="str">
        <f>IF(ISBLANK(INDEX('Policy Characteristics'!B:B,MATCH($C825,'Policy Characteristics'!$C:$C,0))),"",INDEX('Policy Characteristics'!B:B,MATCH($C825,'Policy Characteristics'!$C:$C,0)))</f>
        <v>Industry Energy Efficiency Standards</v>
      </c>
      <c r="C825" s="394" t="str">
        <f t="shared" si="38"/>
        <v>Percentage Improvement in Eqpt Efficiency Standards above BAU</v>
      </c>
      <c r="D825" s="399" t="s">
        <v>754</v>
      </c>
      <c r="E825" s="399" t="s">
        <v>808</v>
      </c>
      <c r="F825" t="s">
        <v>755</v>
      </c>
      <c r="G825" s="399" t="s">
        <v>820</v>
      </c>
      <c r="H825" s="377">
        <v>1046</v>
      </c>
      <c r="I825" s="396" t="s">
        <v>648</v>
      </c>
      <c r="J825" s="397" t="str">
        <f>IF(ISBLANK(INDEX('Policy Characteristics'!D:D,MATCH($C825,'Policy Characteristics'!$C:$C,0))),"",INDEX('Policy Characteristics'!D:D,MATCH($C825,'Policy Characteristics'!$C:$C,0)))</f>
        <v>Industry Energy Efficiency Standards</v>
      </c>
      <c r="K825" s="394" t="str">
        <f>IF(ISBLANK(INDEX('Policy Characteristics'!E:E,MATCH($C825,'Policy Characteristics'!$C:$C,0))),"",INDEX('Policy Characteristics'!E:E,MATCH($C825,'Policy Characteristics'!$C:$C,0)))</f>
        <v>indst efficiency standards</v>
      </c>
      <c r="L825" s="398">
        <f>IF(ISBLANK(INDEX('Policy Characteristics'!F:F,MATCH($C825,'Policy Characteristics'!$C:$C,0))),"",INDEX('Policy Characteristics'!F:F,MATCH($C825,'Policy Characteristics'!$C:$C,0)))</f>
        <v>0</v>
      </c>
      <c r="M825" s="398">
        <f>IF(ISBLANK(INDEX('Policy Characteristics'!G:G,MATCH($C825,'Policy Characteristics'!$C:$C,0))),"",INDEX('Policy Characteristics'!G:G,MATCH($C825,'Policy Characteristics'!$C:$C,0)))</f>
        <v>0.25</v>
      </c>
      <c r="N825" s="398">
        <f>IF(ISBLANK(INDEX('Policy Characteristics'!H:H,MATCH($C825,'Policy Characteristics'!$C:$C,0))),"",INDEX('Policy Characteristics'!H:H,MATCH($C825,'Policy Characteristics'!$C:$C,0)))</f>
        <v>0.01</v>
      </c>
      <c r="O825" s="394" t="str">
        <f>IF(ISBLANK(INDEX('Policy Characteristics'!I:I,MATCH($C825,'Policy Characteristics'!$C:$C,0))),"",INDEX('Policy Characteristics'!I:I,MATCH($C825,'Policy Characteristics'!$C:$C,0)))</f>
        <v>% reduction in energy use</v>
      </c>
      <c r="P825" s="394" t="str">
        <f>IF(ISBLANK(INDEX('Policy Characteristics'!J:J,MATCH($C825,'Policy Characteristics'!$C:$C,0))),"",INDEX('Policy Characteristics'!J:J,MATCH($C825,'Policy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5" s="394" t="str">
        <f>IF(ISBLANK(INDEX('Policy Characteristics'!K:K,MATCH($C825,'Policy Characteristics'!$C:$C,0))),"",INDEX('Policy Characteristics'!K:K,MATCH($C825,'Policy Characteristics'!$C:$C,0)))</f>
        <v>industry-ag-main.html#eff-stds</v>
      </c>
      <c r="R825" s="394" t="str">
        <f>IF(ISBLANK(INDEX('Policy Characteristics'!L:L,MATCH($C825,'Policy Characteristics'!$C:$C,0))),"",INDEX('Policy Characteristics'!L:L,MATCH($C825,'Policy Characteristics'!$C:$C,0)))</f>
        <v>industry-energy-efficiency-standards.html</v>
      </c>
    </row>
    <row r="826" s="384" customFormat="1" customHeight="1" spans="1:18">
      <c r="A826" s="394" t="str">
        <f>IF(ISBLANK(INDEX('Policy Characteristics'!A:A,MATCH($C826,'Policy Characteristics'!$C:$C,0))),"",INDEX('Policy Characteristics'!A:A,MATCH($C826,'Policy Characteristics'!$C:$C,0)))</f>
        <v>Industry</v>
      </c>
      <c r="B826" s="395" t="str">
        <f>IF(ISBLANK(INDEX('Policy Characteristics'!B:B,MATCH($C826,'Policy Characteristics'!$C:$C,0))),"",INDEX('Policy Characteristics'!B:B,MATCH($C826,'Policy Characteristics'!$C:$C,0)))</f>
        <v>Industry Energy Efficiency Standards</v>
      </c>
      <c r="C826" s="394" t="str">
        <f t="shared" si="38"/>
        <v>Percentage Improvement in Eqpt Efficiency Standards above BAU</v>
      </c>
      <c r="D826" s="399" t="s">
        <v>754</v>
      </c>
      <c r="E826" s="399" t="s">
        <v>810</v>
      </c>
      <c r="F826" t="s">
        <v>755</v>
      </c>
      <c r="G826" s="399" t="s">
        <v>821</v>
      </c>
      <c r="H826" s="377">
        <v>1047</v>
      </c>
      <c r="I826" s="396" t="s">
        <v>648</v>
      </c>
      <c r="J826" s="397" t="str">
        <f>IF(ISBLANK(INDEX('Policy Characteristics'!D:D,MATCH($C826,'Policy Characteristics'!$C:$C,0))),"",INDEX('Policy Characteristics'!D:D,MATCH($C826,'Policy Characteristics'!$C:$C,0)))</f>
        <v>Industry Energy Efficiency Standards</v>
      </c>
      <c r="K826" s="394" t="str">
        <f>IF(ISBLANK(INDEX('Policy Characteristics'!E:E,MATCH($C826,'Policy Characteristics'!$C:$C,0))),"",INDEX('Policy Characteristics'!E:E,MATCH($C826,'Policy Characteristics'!$C:$C,0)))</f>
        <v>indst efficiency standards</v>
      </c>
      <c r="L826" s="398">
        <f>IF(ISBLANK(INDEX('Policy Characteristics'!F:F,MATCH($C826,'Policy Characteristics'!$C:$C,0))),"",INDEX('Policy Characteristics'!F:F,MATCH($C826,'Policy Characteristics'!$C:$C,0)))</f>
        <v>0</v>
      </c>
      <c r="M826" s="398">
        <f>IF(ISBLANK(INDEX('Policy Characteristics'!G:G,MATCH($C826,'Policy Characteristics'!$C:$C,0))),"",INDEX('Policy Characteristics'!G:G,MATCH($C826,'Policy Characteristics'!$C:$C,0)))</f>
        <v>0.25</v>
      </c>
      <c r="N826" s="398">
        <f>IF(ISBLANK(INDEX('Policy Characteristics'!H:H,MATCH($C826,'Policy Characteristics'!$C:$C,0))),"",INDEX('Policy Characteristics'!H:H,MATCH($C826,'Policy Characteristics'!$C:$C,0)))</f>
        <v>0.01</v>
      </c>
      <c r="O826" s="394" t="str">
        <f>IF(ISBLANK(INDEX('Policy Characteristics'!I:I,MATCH($C826,'Policy Characteristics'!$C:$C,0))),"",INDEX('Policy Characteristics'!I:I,MATCH($C826,'Policy Characteristics'!$C:$C,0)))</f>
        <v>% reduction in energy use</v>
      </c>
      <c r="P826" s="394" t="str">
        <f>IF(ISBLANK(INDEX('Policy Characteristics'!J:J,MATCH($C826,'Policy Characteristics'!$C:$C,0))),"",INDEX('Policy Characteristics'!J:J,MATCH($C826,'Policy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6" s="394" t="str">
        <f>IF(ISBLANK(INDEX('Policy Characteristics'!K:K,MATCH($C826,'Policy Characteristics'!$C:$C,0))),"",INDEX('Policy Characteristics'!K:K,MATCH($C826,'Policy Characteristics'!$C:$C,0)))</f>
        <v>industry-ag-main.html#eff-stds</v>
      </c>
      <c r="R826" s="394" t="str">
        <f>IF(ISBLANK(INDEX('Policy Characteristics'!L:L,MATCH($C826,'Policy Characteristics'!$C:$C,0))),"",INDEX('Policy Characteristics'!L:L,MATCH($C826,'Policy Characteristics'!$C:$C,0)))</f>
        <v>industry-energy-efficiency-standards.html</v>
      </c>
    </row>
    <row r="827" s="384" customFormat="1" customHeight="1" spans="1:18">
      <c r="A827" s="394" t="str">
        <f>IF(ISBLANK(INDEX('Policy Characteristics'!A:A,MATCH($C827,'Policy Characteristics'!$C:$C,0))),"",INDEX('Policy Characteristics'!A:A,MATCH($C827,'Policy Characteristics'!$C:$C,0)))</f>
        <v>Industry</v>
      </c>
      <c r="B827" s="395" t="str">
        <f>IF(ISBLANK(INDEX('Policy Characteristics'!B:B,MATCH($C827,'Policy Characteristics'!$C:$C,0))),"",INDEX('Policy Characteristics'!B:B,MATCH($C827,'Policy Characteristics'!$C:$C,0)))</f>
        <v>Industry Energy Efficiency Standards</v>
      </c>
      <c r="C827" s="394" t="str">
        <f t="shared" si="38"/>
        <v>Percentage Improvement in Eqpt Efficiency Standards above BAU</v>
      </c>
      <c r="D827" s="399" t="s">
        <v>756</v>
      </c>
      <c r="E827" s="399" t="s">
        <v>792</v>
      </c>
      <c r="F827" t="s">
        <v>757</v>
      </c>
      <c r="G827" s="399" t="s">
        <v>812</v>
      </c>
      <c r="H827" s="377">
        <v>1048</v>
      </c>
      <c r="I827" s="396" t="s">
        <v>648</v>
      </c>
      <c r="J827" s="397" t="str">
        <f>IF(ISBLANK(INDEX('Policy Characteristics'!D:D,MATCH($C827,'Policy Characteristics'!$C:$C,0))),"",INDEX('Policy Characteristics'!D:D,MATCH($C827,'Policy Characteristics'!$C:$C,0)))</f>
        <v>Industry Energy Efficiency Standards</v>
      </c>
      <c r="K827" s="394" t="str">
        <f>IF(ISBLANK(INDEX('Policy Characteristics'!E:E,MATCH($C827,'Policy Characteristics'!$C:$C,0))),"",INDEX('Policy Characteristics'!E:E,MATCH($C827,'Policy Characteristics'!$C:$C,0)))</f>
        <v>indst efficiency standards</v>
      </c>
      <c r="L827" s="398">
        <f>IF(ISBLANK(INDEX('Policy Characteristics'!F:F,MATCH($C827,'Policy Characteristics'!$C:$C,0))),"",INDEX('Policy Characteristics'!F:F,MATCH($C827,'Policy Characteristics'!$C:$C,0)))</f>
        <v>0</v>
      </c>
      <c r="M827" s="398">
        <f>IF(ISBLANK(INDEX('Policy Characteristics'!G:G,MATCH($C827,'Policy Characteristics'!$C:$C,0))),"",INDEX('Policy Characteristics'!G:G,MATCH($C827,'Policy Characteristics'!$C:$C,0)))</f>
        <v>0.25</v>
      </c>
      <c r="N827" s="398">
        <f>IF(ISBLANK(INDEX('Policy Characteristics'!H:H,MATCH($C827,'Policy Characteristics'!$C:$C,0))),"",INDEX('Policy Characteristics'!H:H,MATCH($C827,'Policy Characteristics'!$C:$C,0)))</f>
        <v>0.01</v>
      </c>
      <c r="O827" s="394" t="str">
        <f>IF(ISBLANK(INDEX('Policy Characteristics'!I:I,MATCH($C827,'Policy Characteristics'!$C:$C,0))),"",INDEX('Policy Characteristics'!I:I,MATCH($C827,'Policy Characteristics'!$C:$C,0)))</f>
        <v>% reduction in energy use</v>
      </c>
      <c r="P827" s="394" t="str">
        <f>IF(ISBLANK(INDEX('Policy Characteristics'!J:J,MATCH($C827,'Policy Characteristics'!$C:$C,0))),"",INDEX('Policy Characteristics'!J:J,MATCH($C827,'Policy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7" s="394" t="str">
        <f>IF(ISBLANK(INDEX('Policy Characteristics'!K:K,MATCH($C827,'Policy Characteristics'!$C:$C,0))),"",INDEX('Policy Characteristics'!K:K,MATCH($C827,'Policy Characteristics'!$C:$C,0)))</f>
        <v>industry-ag-main.html#eff-stds</v>
      </c>
      <c r="R827" s="394" t="str">
        <f>IF(ISBLANK(INDEX('Policy Characteristics'!L:L,MATCH($C827,'Policy Characteristics'!$C:$C,0))),"",INDEX('Policy Characteristics'!L:L,MATCH($C827,'Policy Characteristics'!$C:$C,0)))</f>
        <v>industry-energy-efficiency-standards.html</v>
      </c>
    </row>
    <row r="828" s="384" customFormat="1" customHeight="1" spans="1:18">
      <c r="A828" s="394" t="str">
        <f>IF(ISBLANK(INDEX('Policy Characteristics'!A:A,MATCH($C828,'Policy Characteristics'!$C:$C,0))),"",INDEX('Policy Characteristics'!A:A,MATCH($C828,'Policy Characteristics'!$C:$C,0)))</f>
        <v>Industry</v>
      </c>
      <c r="B828" s="395" t="str">
        <f>IF(ISBLANK(INDEX('Policy Characteristics'!B:B,MATCH($C828,'Policy Characteristics'!$C:$C,0))),"",INDEX('Policy Characteristics'!B:B,MATCH($C828,'Policy Characteristics'!$C:$C,0)))</f>
        <v>Industry Energy Efficiency Standards</v>
      </c>
      <c r="C828" s="394" t="str">
        <f t="shared" si="38"/>
        <v>Percentage Improvement in Eqpt Efficiency Standards above BAU</v>
      </c>
      <c r="D828" s="399" t="s">
        <v>756</v>
      </c>
      <c r="E828" s="399" t="s">
        <v>794</v>
      </c>
      <c r="F828" t="s">
        <v>757</v>
      </c>
      <c r="G828" s="399" t="s">
        <v>813</v>
      </c>
      <c r="H828" s="377">
        <v>1049</v>
      </c>
      <c r="I828" s="396" t="s">
        <v>648</v>
      </c>
      <c r="J828" s="397" t="str">
        <f>IF(ISBLANK(INDEX('Policy Characteristics'!D:D,MATCH($C828,'Policy Characteristics'!$C:$C,0))),"",INDEX('Policy Characteristics'!D:D,MATCH($C828,'Policy Characteristics'!$C:$C,0)))</f>
        <v>Industry Energy Efficiency Standards</v>
      </c>
      <c r="K828" s="394" t="str">
        <f>IF(ISBLANK(INDEX('Policy Characteristics'!E:E,MATCH($C828,'Policy Characteristics'!$C:$C,0))),"",INDEX('Policy Characteristics'!E:E,MATCH($C828,'Policy Characteristics'!$C:$C,0)))</f>
        <v>indst efficiency standards</v>
      </c>
      <c r="L828" s="398">
        <f>IF(ISBLANK(INDEX('Policy Characteristics'!F:F,MATCH($C828,'Policy Characteristics'!$C:$C,0))),"",INDEX('Policy Characteristics'!F:F,MATCH($C828,'Policy Characteristics'!$C:$C,0)))</f>
        <v>0</v>
      </c>
      <c r="M828" s="398">
        <f>IF(ISBLANK(INDEX('Policy Characteristics'!G:G,MATCH($C828,'Policy Characteristics'!$C:$C,0))),"",INDEX('Policy Characteristics'!G:G,MATCH($C828,'Policy Characteristics'!$C:$C,0)))</f>
        <v>0.25</v>
      </c>
      <c r="N828" s="398">
        <f>IF(ISBLANK(INDEX('Policy Characteristics'!H:H,MATCH($C828,'Policy Characteristics'!$C:$C,0))),"",INDEX('Policy Characteristics'!H:H,MATCH($C828,'Policy Characteristics'!$C:$C,0)))</f>
        <v>0.01</v>
      </c>
      <c r="O828" s="394" t="str">
        <f>IF(ISBLANK(INDEX('Policy Characteristics'!I:I,MATCH($C828,'Policy Characteristics'!$C:$C,0))),"",INDEX('Policy Characteristics'!I:I,MATCH($C828,'Policy Characteristics'!$C:$C,0)))</f>
        <v>% reduction in energy use</v>
      </c>
      <c r="P828" s="394" t="str">
        <f>IF(ISBLANK(INDEX('Policy Characteristics'!J:J,MATCH($C828,'Policy Characteristics'!$C:$C,0))),"",INDEX('Policy Characteristics'!J:J,MATCH($C828,'Policy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8" s="394" t="str">
        <f>IF(ISBLANK(INDEX('Policy Characteristics'!K:K,MATCH($C828,'Policy Characteristics'!$C:$C,0))),"",INDEX('Policy Characteristics'!K:K,MATCH($C828,'Policy Characteristics'!$C:$C,0)))</f>
        <v>industry-ag-main.html#eff-stds</v>
      </c>
      <c r="R828" s="394" t="str">
        <f>IF(ISBLANK(INDEX('Policy Characteristics'!L:L,MATCH($C828,'Policy Characteristics'!$C:$C,0))),"",INDEX('Policy Characteristics'!L:L,MATCH($C828,'Policy Characteristics'!$C:$C,0)))</f>
        <v>industry-energy-efficiency-standards.html</v>
      </c>
    </row>
    <row r="829" s="384" customFormat="1" customHeight="1" spans="1:18">
      <c r="A829" s="394" t="str">
        <f>IF(ISBLANK(INDEX('Policy Characteristics'!A:A,MATCH($C829,'Policy Characteristics'!$C:$C,0))),"",INDEX('Policy Characteristics'!A:A,MATCH($C829,'Policy Characteristics'!$C:$C,0)))</f>
        <v>Industry</v>
      </c>
      <c r="B829" s="395" t="str">
        <f>IF(ISBLANK(INDEX('Policy Characteristics'!B:B,MATCH($C829,'Policy Characteristics'!$C:$C,0))),"",INDEX('Policy Characteristics'!B:B,MATCH($C829,'Policy Characteristics'!$C:$C,0)))</f>
        <v>Industry Energy Efficiency Standards</v>
      </c>
      <c r="C829" s="394" t="str">
        <f t="shared" si="38"/>
        <v>Percentage Improvement in Eqpt Efficiency Standards above BAU</v>
      </c>
      <c r="D829" s="399" t="s">
        <v>756</v>
      </c>
      <c r="E829" s="399" t="s">
        <v>796</v>
      </c>
      <c r="F829" t="s">
        <v>757</v>
      </c>
      <c r="G829" s="399" t="s">
        <v>814</v>
      </c>
      <c r="H829" s="377">
        <v>1050</v>
      </c>
      <c r="I829" s="396" t="s">
        <v>648</v>
      </c>
      <c r="J829" s="397" t="str">
        <f>IF(ISBLANK(INDEX('Policy Characteristics'!D:D,MATCH($C829,'Policy Characteristics'!$C:$C,0))),"",INDEX('Policy Characteristics'!D:D,MATCH($C829,'Policy Characteristics'!$C:$C,0)))</f>
        <v>Industry Energy Efficiency Standards</v>
      </c>
      <c r="K829" s="394" t="str">
        <f>IF(ISBLANK(INDEX('Policy Characteristics'!E:E,MATCH($C829,'Policy Characteristics'!$C:$C,0))),"",INDEX('Policy Characteristics'!E:E,MATCH($C829,'Policy Characteristics'!$C:$C,0)))</f>
        <v>indst efficiency standards</v>
      </c>
      <c r="L829" s="398">
        <f>IF(ISBLANK(INDEX('Policy Characteristics'!F:F,MATCH($C829,'Policy Characteristics'!$C:$C,0))),"",INDEX('Policy Characteristics'!F:F,MATCH($C829,'Policy Characteristics'!$C:$C,0)))</f>
        <v>0</v>
      </c>
      <c r="M829" s="398">
        <f>IF(ISBLANK(INDEX('Policy Characteristics'!G:G,MATCH($C829,'Policy Characteristics'!$C:$C,0))),"",INDEX('Policy Characteristics'!G:G,MATCH($C829,'Policy Characteristics'!$C:$C,0)))</f>
        <v>0.25</v>
      </c>
      <c r="N829" s="398">
        <f>IF(ISBLANK(INDEX('Policy Characteristics'!H:H,MATCH($C829,'Policy Characteristics'!$C:$C,0))),"",INDEX('Policy Characteristics'!H:H,MATCH($C829,'Policy Characteristics'!$C:$C,0)))</f>
        <v>0.01</v>
      </c>
      <c r="O829" s="394" t="str">
        <f>IF(ISBLANK(INDEX('Policy Characteristics'!I:I,MATCH($C829,'Policy Characteristics'!$C:$C,0))),"",INDEX('Policy Characteristics'!I:I,MATCH($C829,'Policy Characteristics'!$C:$C,0)))</f>
        <v>% reduction in energy use</v>
      </c>
      <c r="P829" s="394" t="str">
        <f>IF(ISBLANK(INDEX('Policy Characteristics'!J:J,MATCH($C829,'Policy Characteristics'!$C:$C,0))),"",INDEX('Policy Characteristics'!J:J,MATCH($C829,'Policy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9" s="394" t="str">
        <f>IF(ISBLANK(INDEX('Policy Characteristics'!K:K,MATCH($C829,'Policy Characteristics'!$C:$C,0))),"",INDEX('Policy Characteristics'!K:K,MATCH($C829,'Policy Characteristics'!$C:$C,0)))</f>
        <v>industry-ag-main.html#eff-stds</v>
      </c>
      <c r="R829" s="394" t="str">
        <f>IF(ISBLANK(INDEX('Policy Characteristics'!L:L,MATCH($C829,'Policy Characteristics'!$C:$C,0))),"",INDEX('Policy Characteristics'!L:L,MATCH($C829,'Policy Characteristics'!$C:$C,0)))</f>
        <v>industry-energy-efficiency-standards.html</v>
      </c>
    </row>
    <row r="830" s="384" customFormat="1" customHeight="1" spans="1:18">
      <c r="A830" s="394" t="str">
        <f>IF(ISBLANK(INDEX('Policy Characteristics'!A:A,MATCH($C830,'Policy Characteristics'!$C:$C,0))),"",INDEX('Policy Characteristics'!A:A,MATCH($C830,'Policy Characteristics'!$C:$C,0)))</f>
        <v>Industry</v>
      </c>
      <c r="B830" s="395" t="str">
        <f>IF(ISBLANK(INDEX('Policy Characteristics'!B:B,MATCH($C830,'Policy Characteristics'!$C:$C,0))),"",INDEX('Policy Characteristics'!B:B,MATCH($C830,'Policy Characteristics'!$C:$C,0)))</f>
        <v>Industry Energy Efficiency Standards</v>
      </c>
      <c r="C830" s="394" t="str">
        <f t="shared" si="38"/>
        <v>Percentage Improvement in Eqpt Efficiency Standards above BAU</v>
      </c>
      <c r="D830" s="399" t="s">
        <v>756</v>
      </c>
      <c r="E830" s="399" t="s">
        <v>798</v>
      </c>
      <c r="F830" t="s">
        <v>757</v>
      </c>
      <c r="G830" s="399" t="s">
        <v>815</v>
      </c>
      <c r="H830" s="377">
        <v>1051</v>
      </c>
      <c r="I830" s="396" t="s">
        <v>648</v>
      </c>
      <c r="J830" s="397" t="str">
        <f>IF(ISBLANK(INDEX('Policy Characteristics'!D:D,MATCH($C830,'Policy Characteristics'!$C:$C,0))),"",INDEX('Policy Characteristics'!D:D,MATCH($C830,'Policy Characteristics'!$C:$C,0)))</f>
        <v>Industry Energy Efficiency Standards</v>
      </c>
      <c r="K830" s="394" t="str">
        <f>IF(ISBLANK(INDEX('Policy Characteristics'!E:E,MATCH($C830,'Policy Characteristics'!$C:$C,0))),"",INDEX('Policy Characteristics'!E:E,MATCH($C830,'Policy Characteristics'!$C:$C,0)))</f>
        <v>indst efficiency standards</v>
      </c>
      <c r="L830" s="398">
        <f>IF(ISBLANK(INDEX('Policy Characteristics'!F:F,MATCH($C830,'Policy Characteristics'!$C:$C,0))),"",INDEX('Policy Characteristics'!F:F,MATCH($C830,'Policy Characteristics'!$C:$C,0)))</f>
        <v>0</v>
      </c>
      <c r="M830" s="398">
        <f>IF(ISBLANK(INDEX('Policy Characteristics'!G:G,MATCH($C830,'Policy Characteristics'!$C:$C,0))),"",INDEX('Policy Characteristics'!G:G,MATCH($C830,'Policy Characteristics'!$C:$C,0)))</f>
        <v>0.25</v>
      </c>
      <c r="N830" s="398">
        <f>IF(ISBLANK(INDEX('Policy Characteristics'!H:H,MATCH($C830,'Policy Characteristics'!$C:$C,0))),"",INDEX('Policy Characteristics'!H:H,MATCH($C830,'Policy Characteristics'!$C:$C,0)))</f>
        <v>0.01</v>
      </c>
      <c r="O830" s="394" t="str">
        <f>IF(ISBLANK(INDEX('Policy Characteristics'!I:I,MATCH($C830,'Policy Characteristics'!$C:$C,0))),"",INDEX('Policy Characteristics'!I:I,MATCH($C830,'Policy Characteristics'!$C:$C,0)))</f>
        <v>% reduction in energy use</v>
      </c>
      <c r="P830" s="394" t="str">
        <f>IF(ISBLANK(INDEX('Policy Characteristics'!J:J,MATCH($C830,'Policy Characteristics'!$C:$C,0))),"",INDEX('Policy Characteristics'!J:J,MATCH($C830,'Policy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0" s="394" t="str">
        <f>IF(ISBLANK(INDEX('Policy Characteristics'!K:K,MATCH($C830,'Policy Characteristics'!$C:$C,0))),"",INDEX('Policy Characteristics'!K:K,MATCH($C830,'Policy Characteristics'!$C:$C,0)))</f>
        <v>industry-ag-main.html#eff-stds</v>
      </c>
      <c r="R830" s="394" t="str">
        <f>IF(ISBLANK(INDEX('Policy Characteristics'!L:L,MATCH($C830,'Policy Characteristics'!$C:$C,0))),"",INDEX('Policy Characteristics'!L:L,MATCH($C830,'Policy Characteristics'!$C:$C,0)))</f>
        <v>industry-energy-efficiency-standards.html</v>
      </c>
    </row>
    <row r="831" s="384" customFormat="1" customHeight="1" spans="1:18">
      <c r="A831" s="394" t="str">
        <f>IF(ISBLANK(INDEX('Policy Characteristics'!A:A,MATCH($C831,'Policy Characteristics'!$C:$C,0))),"",INDEX('Policy Characteristics'!A:A,MATCH($C831,'Policy Characteristics'!$C:$C,0)))</f>
        <v>Industry</v>
      </c>
      <c r="B831" s="395" t="str">
        <f>IF(ISBLANK(INDEX('Policy Characteristics'!B:B,MATCH($C831,'Policy Characteristics'!$C:$C,0))),"",INDEX('Policy Characteristics'!B:B,MATCH($C831,'Policy Characteristics'!$C:$C,0)))</f>
        <v>Industry Energy Efficiency Standards</v>
      </c>
      <c r="C831" s="394" t="str">
        <f t="shared" si="38"/>
        <v>Percentage Improvement in Eqpt Efficiency Standards above BAU</v>
      </c>
      <c r="D831" s="399" t="s">
        <v>756</v>
      </c>
      <c r="E831" s="399" t="s">
        <v>800</v>
      </c>
      <c r="F831" t="s">
        <v>757</v>
      </c>
      <c r="G831" s="399" t="s">
        <v>816</v>
      </c>
      <c r="H831" s="377">
        <v>1052</v>
      </c>
      <c r="I831" s="396" t="s">
        <v>648</v>
      </c>
      <c r="J831" s="397" t="str">
        <f>IF(ISBLANK(INDEX('Policy Characteristics'!D:D,MATCH($C831,'Policy Characteristics'!$C:$C,0))),"",INDEX('Policy Characteristics'!D:D,MATCH($C831,'Policy Characteristics'!$C:$C,0)))</f>
        <v>Industry Energy Efficiency Standards</v>
      </c>
      <c r="K831" s="394" t="str">
        <f>IF(ISBLANK(INDEX('Policy Characteristics'!E:E,MATCH($C831,'Policy Characteristics'!$C:$C,0))),"",INDEX('Policy Characteristics'!E:E,MATCH($C831,'Policy Characteristics'!$C:$C,0)))</f>
        <v>indst efficiency standards</v>
      </c>
      <c r="L831" s="398">
        <f>IF(ISBLANK(INDEX('Policy Characteristics'!F:F,MATCH($C831,'Policy Characteristics'!$C:$C,0))),"",INDEX('Policy Characteristics'!F:F,MATCH($C831,'Policy Characteristics'!$C:$C,0)))</f>
        <v>0</v>
      </c>
      <c r="M831" s="398">
        <f>IF(ISBLANK(INDEX('Policy Characteristics'!G:G,MATCH($C831,'Policy Characteristics'!$C:$C,0))),"",INDEX('Policy Characteristics'!G:G,MATCH($C831,'Policy Characteristics'!$C:$C,0)))</f>
        <v>0.25</v>
      </c>
      <c r="N831" s="398">
        <f>IF(ISBLANK(INDEX('Policy Characteristics'!H:H,MATCH($C831,'Policy Characteristics'!$C:$C,0))),"",INDEX('Policy Characteristics'!H:H,MATCH($C831,'Policy Characteristics'!$C:$C,0)))</f>
        <v>0.01</v>
      </c>
      <c r="O831" s="394" t="str">
        <f>IF(ISBLANK(INDEX('Policy Characteristics'!I:I,MATCH($C831,'Policy Characteristics'!$C:$C,0))),"",INDEX('Policy Characteristics'!I:I,MATCH($C831,'Policy Characteristics'!$C:$C,0)))</f>
        <v>% reduction in energy use</v>
      </c>
      <c r="P831" s="394" t="str">
        <f>IF(ISBLANK(INDEX('Policy Characteristics'!J:J,MATCH($C831,'Policy Characteristics'!$C:$C,0))),"",INDEX('Policy Characteristics'!J:J,MATCH($C831,'Policy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1" s="394" t="str">
        <f>IF(ISBLANK(INDEX('Policy Characteristics'!K:K,MATCH($C831,'Policy Characteristics'!$C:$C,0))),"",INDEX('Policy Characteristics'!K:K,MATCH($C831,'Policy Characteristics'!$C:$C,0)))</f>
        <v>industry-ag-main.html#eff-stds</v>
      </c>
      <c r="R831" s="394" t="str">
        <f>IF(ISBLANK(INDEX('Policy Characteristics'!L:L,MATCH($C831,'Policy Characteristics'!$C:$C,0))),"",INDEX('Policy Characteristics'!L:L,MATCH($C831,'Policy Characteristics'!$C:$C,0)))</f>
        <v>industry-energy-efficiency-standards.html</v>
      </c>
    </row>
    <row r="832" s="384" customFormat="1" customHeight="1" spans="1:18">
      <c r="A832" s="394" t="str">
        <f>IF(ISBLANK(INDEX('Policy Characteristics'!A:A,MATCH($C832,'Policy Characteristics'!$C:$C,0))),"",INDEX('Policy Characteristics'!A:A,MATCH($C832,'Policy Characteristics'!$C:$C,0)))</f>
        <v>Industry</v>
      </c>
      <c r="B832" s="395" t="str">
        <f>IF(ISBLANK(INDEX('Policy Characteristics'!B:B,MATCH($C832,'Policy Characteristics'!$C:$C,0))),"",INDEX('Policy Characteristics'!B:B,MATCH($C832,'Policy Characteristics'!$C:$C,0)))</f>
        <v>Industry Energy Efficiency Standards</v>
      </c>
      <c r="C832" s="394" t="str">
        <f t="shared" si="38"/>
        <v>Percentage Improvement in Eqpt Efficiency Standards above BAU</v>
      </c>
      <c r="D832" s="399" t="s">
        <v>756</v>
      </c>
      <c r="E832" s="399" t="s">
        <v>802</v>
      </c>
      <c r="F832" t="s">
        <v>757</v>
      </c>
      <c r="G832" s="399" t="s">
        <v>817</v>
      </c>
      <c r="H832" s="377">
        <v>1053</v>
      </c>
      <c r="I832" s="396" t="s">
        <v>648</v>
      </c>
      <c r="J832" s="397" t="str">
        <f>IF(ISBLANK(INDEX('Policy Characteristics'!D:D,MATCH($C832,'Policy Characteristics'!$C:$C,0))),"",INDEX('Policy Characteristics'!D:D,MATCH($C832,'Policy Characteristics'!$C:$C,0)))</f>
        <v>Industry Energy Efficiency Standards</v>
      </c>
      <c r="K832" s="394" t="str">
        <f>IF(ISBLANK(INDEX('Policy Characteristics'!E:E,MATCH($C832,'Policy Characteristics'!$C:$C,0))),"",INDEX('Policy Characteristics'!E:E,MATCH($C832,'Policy Characteristics'!$C:$C,0)))</f>
        <v>indst efficiency standards</v>
      </c>
      <c r="L832" s="398">
        <f>IF(ISBLANK(INDEX('Policy Characteristics'!F:F,MATCH($C832,'Policy Characteristics'!$C:$C,0))),"",INDEX('Policy Characteristics'!F:F,MATCH($C832,'Policy Characteristics'!$C:$C,0)))</f>
        <v>0</v>
      </c>
      <c r="M832" s="398">
        <f>IF(ISBLANK(INDEX('Policy Characteristics'!G:G,MATCH($C832,'Policy Characteristics'!$C:$C,0))),"",INDEX('Policy Characteristics'!G:G,MATCH($C832,'Policy Characteristics'!$C:$C,0)))</f>
        <v>0.25</v>
      </c>
      <c r="N832" s="398">
        <f>IF(ISBLANK(INDEX('Policy Characteristics'!H:H,MATCH($C832,'Policy Characteristics'!$C:$C,0))),"",INDEX('Policy Characteristics'!H:H,MATCH($C832,'Policy Characteristics'!$C:$C,0)))</f>
        <v>0.01</v>
      </c>
      <c r="O832" s="394" t="str">
        <f>IF(ISBLANK(INDEX('Policy Characteristics'!I:I,MATCH($C832,'Policy Characteristics'!$C:$C,0))),"",INDEX('Policy Characteristics'!I:I,MATCH($C832,'Policy Characteristics'!$C:$C,0)))</f>
        <v>% reduction in energy use</v>
      </c>
      <c r="P832" s="394" t="str">
        <f>IF(ISBLANK(INDEX('Policy Characteristics'!J:J,MATCH($C832,'Policy Characteristics'!$C:$C,0))),"",INDEX('Policy Characteristics'!J:J,MATCH($C832,'Policy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2" s="394" t="str">
        <f>IF(ISBLANK(INDEX('Policy Characteristics'!K:K,MATCH($C832,'Policy Characteristics'!$C:$C,0))),"",INDEX('Policy Characteristics'!K:K,MATCH($C832,'Policy Characteristics'!$C:$C,0)))</f>
        <v>industry-ag-main.html#eff-stds</v>
      </c>
      <c r="R832" s="394" t="str">
        <f>IF(ISBLANK(INDEX('Policy Characteristics'!L:L,MATCH($C832,'Policy Characteristics'!$C:$C,0))),"",INDEX('Policy Characteristics'!L:L,MATCH($C832,'Policy Characteristics'!$C:$C,0)))</f>
        <v>industry-energy-efficiency-standards.html</v>
      </c>
    </row>
    <row r="833" s="384" customFormat="1" customHeight="1" spans="1:18">
      <c r="A833" s="394" t="str">
        <f>IF(ISBLANK(INDEX('Policy Characteristics'!A:A,MATCH($C833,'Policy Characteristics'!$C:$C,0))),"",INDEX('Policy Characteristics'!A:A,MATCH($C833,'Policy Characteristics'!$C:$C,0)))</f>
        <v>Industry</v>
      </c>
      <c r="B833" s="395" t="str">
        <f>IF(ISBLANK(INDEX('Policy Characteristics'!B:B,MATCH($C833,'Policy Characteristics'!$C:$C,0))),"",INDEX('Policy Characteristics'!B:B,MATCH($C833,'Policy Characteristics'!$C:$C,0)))</f>
        <v>Industry Energy Efficiency Standards</v>
      </c>
      <c r="C833" s="394" t="str">
        <f t="shared" si="38"/>
        <v>Percentage Improvement in Eqpt Efficiency Standards above BAU</v>
      </c>
      <c r="D833" s="399" t="s">
        <v>756</v>
      </c>
      <c r="E833" s="399" t="s">
        <v>804</v>
      </c>
      <c r="F833" t="s">
        <v>757</v>
      </c>
      <c r="G833" s="399" t="s">
        <v>818</v>
      </c>
      <c r="H833" s="377">
        <v>1054</v>
      </c>
      <c r="I833" s="396" t="s">
        <v>648</v>
      </c>
      <c r="J833" s="397" t="str">
        <f>IF(ISBLANK(INDEX('Policy Characteristics'!D:D,MATCH($C833,'Policy Characteristics'!$C:$C,0))),"",INDEX('Policy Characteristics'!D:D,MATCH($C833,'Policy Characteristics'!$C:$C,0)))</f>
        <v>Industry Energy Efficiency Standards</v>
      </c>
      <c r="K833" s="394" t="str">
        <f>IF(ISBLANK(INDEX('Policy Characteristics'!E:E,MATCH($C833,'Policy Characteristics'!$C:$C,0))),"",INDEX('Policy Characteristics'!E:E,MATCH($C833,'Policy Characteristics'!$C:$C,0)))</f>
        <v>indst efficiency standards</v>
      </c>
      <c r="L833" s="398">
        <f>IF(ISBLANK(INDEX('Policy Characteristics'!F:F,MATCH($C833,'Policy Characteristics'!$C:$C,0))),"",INDEX('Policy Characteristics'!F:F,MATCH($C833,'Policy Characteristics'!$C:$C,0)))</f>
        <v>0</v>
      </c>
      <c r="M833" s="398">
        <f>IF(ISBLANK(INDEX('Policy Characteristics'!G:G,MATCH($C833,'Policy Characteristics'!$C:$C,0))),"",INDEX('Policy Characteristics'!G:G,MATCH($C833,'Policy Characteristics'!$C:$C,0)))</f>
        <v>0.25</v>
      </c>
      <c r="N833" s="398">
        <f>IF(ISBLANK(INDEX('Policy Characteristics'!H:H,MATCH($C833,'Policy Characteristics'!$C:$C,0))),"",INDEX('Policy Characteristics'!H:H,MATCH($C833,'Policy Characteristics'!$C:$C,0)))</f>
        <v>0.01</v>
      </c>
      <c r="O833" s="394" t="str">
        <f>IF(ISBLANK(INDEX('Policy Characteristics'!I:I,MATCH($C833,'Policy Characteristics'!$C:$C,0))),"",INDEX('Policy Characteristics'!I:I,MATCH($C833,'Policy Characteristics'!$C:$C,0)))</f>
        <v>% reduction in energy use</v>
      </c>
      <c r="P833" s="394" t="str">
        <f>IF(ISBLANK(INDEX('Policy Characteristics'!J:J,MATCH($C833,'Policy Characteristics'!$C:$C,0))),"",INDEX('Policy Characteristics'!J:J,MATCH($C833,'Policy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3" s="394" t="str">
        <f>IF(ISBLANK(INDEX('Policy Characteristics'!K:K,MATCH($C833,'Policy Characteristics'!$C:$C,0))),"",INDEX('Policy Characteristics'!K:K,MATCH($C833,'Policy Characteristics'!$C:$C,0)))</f>
        <v>industry-ag-main.html#eff-stds</v>
      </c>
      <c r="R833" s="394" t="str">
        <f>IF(ISBLANK(INDEX('Policy Characteristics'!L:L,MATCH($C833,'Policy Characteristics'!$C:$C,0))),"",INDEX('Policy Characteristics'!L:L,MATCH($C833,'Policy Characteristics'!$C:$C,0)))</f>
        <v>industry-energy-efficiency-standards.html</v>
      </c>
    </row>
    <row r="834" s="384" customFormat="1" customHeight="1" spans="1:18">
      <c r="A834" s="394" t="str">
        <f>IF(ISBLANK(INDEX('Policy Characteristics'!A:A,MATCH($C834,'Policy Characteristics'!$C:$C,0))),"",INDEX('Policy Characteristics'!A:A,MATCH($C834,'Policy Characteristics'!$C:$C,0)))</f>
        <v>Industry</v>
      </c>
      <c r="B834" s="395" t="str">
        <f>IF(ISBLANK(INDEX('Policy Characteristics'!B:B,MATCH($C834,'Policy Characteristics'!$C:$C,0))),"",INDEX('Policy Characteristics'!B:B,MATCH($C834,'Policy Characteristics'!$C:$C,0)))</f>
        <v>Industry Energy Efficiency Standards</v>
      </c>
      <c r="C834" s="394" t="str">
        <f t="shared" si="38"/>
        <v>Percentage Improvement in Eqpt Efficiency Standards above BAU</v>
      </c>
      <c r="D834" s="399" t="s">
        <v>756</v>
      </c>
      <c r="E834" s="399" t="s">
        <v>806</v>
      </c>
      <c r="F834" t="s">
        <v>757</v>
      </c>
      <c r="G834" s="399" t="s">
        <v>819</v>
      </c>
      <c r="H834" s="377">
        <v>1055</v>
      </c>
      <c r="I834" s="396" t="s">
        <v>648</v>
      </c>
      <c r="J834" s="397" t="str">
        <f>IF(ISBLANK(INDEX('Policy Characteristics'!D:D,MATCH($C834,'Policy Characteristics'!$C:$C,0))),"",INDEX('Policy Characteristics'!D:D,MATCH($C834,'Policy Characteristics'!$C:$C,0)))</f>
        <v>Industry Energy Efficiency Standards</v>
      </c>
      <c r="K834" s="394" t="str">
        <f>IF(ISBLANK(INDEX('Policy Characteristics'!E:E,MATCH($C834,'Policy Characteristics'!$C:$C,0))),"",INDEX('Policy Characteristics'!E:E,MATCH($C834,'Policy Characteristics'!$C:$C,0)))</f>
        <v>indst efficiency standards</v>
      </c>
      <c r="L834" s="398">
        <f>IF(ISBLANK(INDEX('Policy Characteristics'!F:F,MATCH($C834,'Policy Characteristics'!$C:$C,0))),"",INDEX('Policy Characteristics'!F:F,MATCH($C834,'Policy Characteristics'!$C:$C,0)))</f>
        <v>0</v>
      </c>
      <c r="M834" s="398">
        <f>IF(ISBLANK(INDEX('Policy Characteristics'!G:G,MATCH($C834,'Policy Characteristics'!$C:$C,0))),"",INDEX('Policy Characteristics'!G:G,MATCH($C834,'Policy Characteristics'!$C:$C,0)))</f>
        <v>0.25</v>
      </c>
      <c r="N834" s="398">
        <f>IF(ISBLANK(INDEX('Policy Characteristics'!H:H,MATCH($C834,'Policy Characteristics'!$C:$C,0))),"",INDEX('Policy Characteristics'!H:H,MATCH($C834,'Policy Characteristics'!$C:$C,0)))</f>
        <v>0.01</v>
      </c>
      <c r="O834" s="394" t="str">
        <f>IF(ISBLANK(INDEX('Policy Characteristics'!I:I,MATCH($C834,'Policy Characteristics'!$C:$C,0))),"",INDEX('Policy Characteristics'!I:I,MATCH($C834,'Policy Characteristics'!$C:$C,0)))</f>
        <v>% reduction in energy use</v>
      </c>
      <c r="P834" s="394" t="str">
        <f>IF(ISBLANK(INDEX('Policy Characteristics'!J:J,MATCH($C834,'Policy Characteristics'!$C:$C,0))),"",INDEX('Policy Characteristics'!J:J,MATCH($C834,'Policy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4" s="394" t="str">
        <f>IF(ISBLANK(INDEX('Policy Characteristics'!K:K,MATCH($C834,'Policy Characteristics'!$C:$C,0))),"",INDEX('Policy Characteristics'!K:K,MATCH($C834,'Policy Characteristics'!$C:$C,0)))</f>
        <v>industry-ag-main.html#eff-stds</v>
      </c>
      <c r="R834" s="394" t="str">
        <f>IF(ISBLANK(INDEX('Policy Characteristics'!L:L,MATCH($C834,'Policy Characteristics'!$C:$C,0))),"",INDEX('Policy Characteristics'!L:L,MATCH($C834,'Policy Characteristics'!$C:$C,0)))</f>
        <v>industry-energy-efficiency-standards.html</v>
      </c>
    </row>
    <row r="835" s="384" customFormat="1" customHeight="1" spans="1:18">
      <c r="A835" s="394" t="str">
        <f>IF(ISBLANK(INDEX('Policy Characteristics'!A:A,MATCH($C835,'Policy Characteristics'!$C:$C,0))),"",INDEX('Policy Characteristics'!A:A,MATCH($C835,'Policy Characteristics'!$C:$C,0)))</f>
        <v>Industry</v>
      </c>
      <c r="B835" s="395" t="str">
        <f>IF(ISBLANK(INDEX('Policy Characteristics'!B:B,MATCH($C835,'Policy Characteristics'!$C:$C,0))),"",INDEX('Policy Characteristics'!B:B,MATCH($C835,'Policy Characteristics'!$C:$C,0)))</f>
        <v>Industry Energy Efficiency Standards</v>
      </c>
      <c r="C835" s="394" t="str">
        <f t="shared" si="38"/>
        <v>Percentage Improvement in Eqpt Efficiency Standards above BAU</v>
      </c>
      <c r="D835" s="399" t="s">
        <v>756</v>
      </c>
      <c r="E835" s="399" t="s">
        <v>808</v>
      </c>
      <c r="F835" t="s">
        <v>757</v>
      </c>
      <c r="G835" s="399" t="s">
        <v>820</v>
      </c>
      <c r="H835" s="377">
        <v>1056</v>
      </c>
      <c r="I835" s="396" t="s">
        <v>648</v>
      </c>
      <c r="J835" s="397" t="str">
        <f>IF(ISBLANK(INDEX('Policy Characteristics'!D:D,MATCH($C835,'Policy Characteristics'!$C:$C,0))),"",INDEX('Policy Characteristics'!D:D,MATCH($C835,'Policy Characteristics'!$C:$C,0)))</f>
        <v>Industry Energy Efficiency Standards</v>
      </c>
      <c r="K835" s="394" t="str">
        <f>IF(ISBLANK(INDEX('Policy Characteristics'!E:E,MATCH($C835,'Policy Characteristics'!$C:$C,0))),"",INDEX('Policy Characteristics'!E:E,MATCH($C835,'Policy Characteristics'!$C:$C,0)))</f>
        <v>indst efficiency standards</v>
      </c>
      <c r="L835" s="398">
        <f>IF(ISBLANK(INDEX('Policy Characteristics'!F:F,MATCH($C835,'Policy Characteristics'!$C:$C,0))),"",INDEX('Policy Characteristics'!F:F,MATCH($C835,'Policy Characteristics'!$C:$C,0)))</f>
        <v>0</v>
      </c>
      <c r="M835" s="398">
        <f>IF(ISBLANK(INDEX('Policy Characteristics'!G:G,MATCH($C835,'Policy Characteristics'!$C:$C,0))),"",INDEX('Policy Characteristics'!G:G,MATCH($C835,'Policy Characteristics'!$C:$C,0)))</f>
        <v>0.25</v>
      </c>
      <c r="N835" s="398">
        <f>IF(ISBLANK(INDEX('Policy Characteristics'!H:H,MATCH($C835,'Policy Characteristics'!$C:$C,0))),"",INDEX('Policy Characteristics'!H:H,MATCH($C835,'Policy Characteristics'!$C:$C,0)))</f>
        <v>0.01</v>
      </c>
      <c r="O835" s="394" t="str">
        <f>IF(ISBLANK(INDEX('Policy Characteristics'!I:I,MATCH($C835,'Policy Characteristics'!$C:$C,0))),"",INDEX('Policy Characteristics'!I:I,MATCH($C835,'Policy Characteristics'!$C:$C,0)))</f>
        <v>% reduction in energy use</v>
      </c>
      <c r="P835" s="394" t="str">
        <f>IF(ISBLANK(INDEX('Policy Characteristics'!J:J,MATCH($C835,'Policy Characteristics'!$C:$C,0))),"",INDEX('Policy Characteristics'!J:J,MATCH($C835,'Policy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5" s="394" t="str">
        <f>IF(ISBLANK(INDEX('Policy Characteristics'!K:K,MATCH($C835,'Policy Characteristics'!$C:$C,0))),"",INDEX('Policy Characteristics'!K:K,MATCH($C835,'Policy Characteristics'!$C:$C,0)))</f>
        <v>industry-ag-main.html#eff-stds</v>
      </c>
      <c r="R835" s="394" t="str">
        <f>IF(ISBLANK(INDEX('Policy Characteristics'!L:L,MATCH($C835,'Policy Characteristics'!$C:$C,0))),"",INDEX('Policy Characteristics'!L:L,MATCH($C835,'Policy Characteristics'!$C:$C,0)))</f>
        <v>industry-energy-efficiency-standards.html</v>
      </c>
    </row>
    <row r="836" s="384" customFormat="1" customHeight="1" spans="1:18">
      <c r="A836" s="394" t="str">
        <f>IF(ISBLANK(INDEX('Policy Characteristics'!A:A,MATCH($C836,'Policy Characteristics'!$C:$C,0))),"",INDEX('Policy Characteristics'!A:A,MATCH($C836,'Policy Characteristics'!$C:$C,0)))</f>
        <v>Industry</v>
      </c>
      <c r="B836" s="395" t="str">
        <f>IF(ISBLANK(INDEX('Policy Characteristics'!B:B,MATCH($C836,'Policy Characteristics'!$C:$C,0))),"",INDEX('Policy Characteristics'!B:B,MATCH($C836,'Policy Characteristics'!$C:$C,0)))</f>
        <v>Industry Energy Efficiency Standards</v>
      </c>
      <c r="C836" s="394" t="str">
        <f t="shared" si="38"/>
        <v>Percentage Improvement in Eqpt Efficiency Standards above BAU</v>
      </c>
      <c r="D836" s="399" t="s">
        <v>756</v>
      </c>
      <c r="E836" s="399" t="s">
        <v>810</v>
      </c>
      <c r="F836" t="s">
        <v>757</v>
      </c>
      <c r="G836" s="399" t="s">
        <v>821</v>
      </c>
      <c r="H836" s="377">
        <v>1057</v>
      </c>
      <c r="I836" s="396" t="s">
        <v>648</v>
      </c>
      <c r="J836" s="397" t="str">
        <f>IF(ISBLANK(INDEX('Policy Characteristics'!D:D,MATCH($C836,'Policy Characteristics'!$C:$C,0))),"",INDEX('Policy Characteristics'!D:D,MATCH($C836,'Policy Characteristics'!$C:$C,0)))</f>
        <v>Industry Energy Efficiency Standards</v>
      </c>
      <c r="K836" s="394" t="str">
        <f>IF(ISBLANK(INDEX('Policy Characteristics'!E:E,MATCH($C836,'Policy Characteristics'!$C:$C,0))),"",INDEX('Policy Characteristics'!E:E,MATCH($C836,'Policy Characteristics'!$C:$C,0)))</f>
        <v>indst efficiency standards</v>
      </c>
      <c r="L836" s="398">
        <f>IF(ISBLANK(INDEX('Policy Characteristics'!F:F,MATCH($C836,'Policy Characteristics'!$C:$C,0))),"",INDEX('Policy Characteristics'!F:F,MATCH($C836,'Policy Characteristics'!$C:$C,0)))</f>
        <v>0</v>
      </c>
      <c r="M836" s="398">
        <f>IF(ISBLANK(INDEX('Policy Characteristics'!G:G,MATCH($C836,'Policy Characteristics'!$C:$C,0))),"",INDEX('Policy Characteristics'!G:G,MATCH($C836,'Policy Characteristics'!$C:$C,0)))</f>
        <v>0.25</v>
      </c>
      <c r="N836" s="398">
        <f>IF(ISBLANK(INDEX('Policy Characteristics'!H:H,MATCH($C836,'Policy Characteristics'!$C:$C,0))),"",INDEX('Policy Characteristics'!H:H,MATCH($C836,'Policy Characteristics'!$C:$C,0)))</f>
        <v>0.01</v>
      </c>
      <c r="O836" s="394" t="str">
        <f>IF(ISBLANK(INDEX('Policy Characteristics'!I:I,MATCH($C836,'Policy Characteristics'!$C:$C,0))),"",INDEX('Policy Characteristics'!I:I,MATCH($C836,'Policy Characteristics'!$C:$C,0)))</f>
        <v>% reduction in energy use</v>
      </c>
      <c r="P836" s="394" t="str">
        <f>IF(ISBLANK(INDEX('Policy Characteristics'!J:J,MATCH($C836,'Policy Characteristics'!$C:$C,0))),"",INDEX('Policy Characteristics'!J:J,MATCH($C836,'Policy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6" s="394" t="str">
        <f>IF(ISBLANK(INDEX('Policy Characteristics'!K:K,MATCH($C836,'Policy Characteristics'!$C:$C,0))),"",INDEX('Policy Characteristics'!K:K,MATCH($C836,'Policy Characteristics'!$C:$C,0)))</f>
        <v>industry-ag-main.html#eff-stds</v>
      </c>
      <c r="R836" s="394" t="str">
        <f>IF(ISBLANK(INDEX('Policy Characteristics'!L:L,MATCH($C836,'Policy Characteristics'!$C:$C,0))),"",INDEX('Policy Characteristics'!L:L,MATCH($C836,'Policy Characteristics'!$C:$C,0)))</f>
        <v>industry-energy-efficiency-standards.html</v>
      </c>
    </row>
    <row r="837" s="384" customFormat="1" customHeight="1" spans="1:18">
      <c r="A837" s="394" t="str">
        <f>IF(ISBLANK(INDEX('Policy Characteristics'!A:A,MATCH($C837,'Policy Characteristics'!$C:$C,0))),"",INDEX('Policy Characteristics'!A:A,MATCH($C837,'Policy Characteristics'!$C:$C,0)))</f>
        <v>Industry</v>
      </c>
      <c r="B837" s="395" t="str">
        <f>IF(ISBLANK(INDEX('Policy Characteristics'!B:B,MATCH($C837,'Policy Characteristics'!$C:$C,0))),"",INDEX('Policy Characteristics'!B:B,MATCH($C837,'Policy Characteristics'!$C:$C,0)))</f>
        <v>Industry Energy Efficiency Standards</v>
      </c>
      <c r="C837" s="394" t="str">
        <f t="shared" si="38"/>
        <v>Percentage Improvement in Eqpt Efficiency Standards above BAU</v>
      </c>
      <c r="D837" s="399" t="s">
        <v>758</v>
      </c>
      <c r="E837" s="399" t="s">
        <v>792</v>
      </c>
      <c r="F837" t="s">
        <v>759</v>
      </c>
      <c r="G837" s="399" t="s">
        <v>812</v>
      </c>
      <c r="H837" s="377">
        <v>1058</v>
      </c>
      <c r="I837" s="396" t="s">
        <v>648</v>
      </c>
      <c r="J837" s="397" t="str">
        <f>IF(ISBLANK(INDEX('Policy Characteristics'!D:D,MATCH($C837,'Policy Characteristics'!$C:$C,0))),"",INDEX('Policy Characteristics'!D:D,MATCH($C837,'Policy Characteristics'!$C:$C,0)))</f>
        <v>Industry Energy Efficiency Standards</v>
      </c>
      <c r="K837" s="394" t="str">
        <f>IF(ISBLANK(INDEX('Policy Characteristics'!E:E,MATCH($C837,'Policy Characteristics'!$C:$C,0))),"",INDEX('Policy Characteristics'!E:E,MATCH($C837,'Policy Characteristics'!$C:$C,0)))</f>
        <v>indst efficiency standards</v>
      </c>
      <c r="L837" s="398">
        <f>IF(ISBLANK(INDEX('Policy Characteristics'!F:F,MATCH($C837,'Policy Characteristics'!$C:$C,0))),"",INDEX('Policy Characteristics'!F:F,MATCH($C837,'Policy Characteristics'!$C:$C,0)))</f>
        <v>0</v>
      </c>
      <c r="M837" s="398">
        <f>IF(ISBLANK(INDEX('Policy Characteristics'!G:G,MATCH($C837,'Policy Characteristics'!$C:$C,0))),"",INDEX('Policy Characteristics'!G:G,MATCH($C837,'Policy Characteristics'!$C:$C,0)))</f>
        <v>0.25</v>
      </c>
      <c r="N837" s="398">
        <f>IF(ISBLANK(INDEX('Policy Characteristics'!H:H,MATCH($C837,'Policy Characteristics'!$C:$C,0))),"",INDEX('Policy Characteristics'!H:H,MATCH($C837,'Policy Characteristics'!$C:$C,0)))</f>
        <v>0.01</v>
      </c>
      <c r="O837" s="394" t="str">
        <f>IF(ISBLANK(INDEX('Policy Characteristics'!I:I,MATCH($C837,'Policy Characteristics'!$C:$C,0))),"",INDEX('Policy Characteristics'!I:I,MATCH($C837,'Policy Characteristics'!$C:$C,0)))</f>
        <v>% reduction in energy use</v>
      </c>
      <c r="P837" s="394" t="str">
        <f>IF(ISBLANK(INDEX('Policy Characteristics'!J:J,MATCH($C837,'Policy Characteristics'!$C:$C,0))),"",INDEX('Policy Characteristics'!J:J,MATCH($C837,'Policy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7" s="394" t="str">
        <f>IF(ISBLANK(INDEX('Policy Characteristics'!K:K,MATCH($C837,'Policy Characteristics'!$C:$C,0))),"",INDEX('Policy Characteristics'!K:K,MATCH($C837,'Policy Characteristics'!$C:$C,0)))</f>
        <v>industry-ag-main.html#eff-stds</v>
      </c>
      <c r="R837" s="394" t="str">
        <f>IF(ISBLANK(INDEX('Policy Characteristics'!L:L,MATCH($C837,'Policy Characteristics'!$C:$C,0))),"",INDEX('Policy Characteristics'!L:L,MATCH($C837,'Policy Characteristics'!$C:$C,0)))</f>
        <v>industry-energy-efficiency-standards.html</v>
      </c>
    </row>
    <row r="838" s="384" customFormat="1" customHeight="1" spans="1:18">
      <c r="A838" s="394" t="str">
        <f>IF(ISBLANK(INDEX('Policy Characteristics'!A:A,MATCH($C838,'Policy Characteristics'!$C:$C,0))),"",INDEX('Policy Characteristics'!A:A,MATCH($C838,'Policy Characteristics'!$C:$C,0)))</f>
        <v>Industry</v>
      </c>
      <c r="B838" s="395" t="str">
        <f>IF(ISBLANK(INDEX('Policy Characteristics'!B:B,MATCH($C838,'Policy Characteristics'!$C:$C,0))),"",INDEX('Policy Characteristics'!B:B,MATCH($C838,'Policy Characteristics'!$C:$C,0)))</f>
        <v>Industry Energy Efficiency Standards</v>
      </c>
      <c r="C838" s="394" t="str">
        <f t="shared" si="38"/>
        <v>Percentage Improvement in Eqpt Efficiency Standards above BAU</v>
      </c>
      <c r="D838" s="399" t="s">
        <v>758</v>
      </c>
      <c r="E838" s="399" t="s">
        <v>794</v>
      </c>
      <c r="F838" t="s">
        <v>759</v>
      </c>
      <c r="G838" s="399" t="s">
        <v>813</v>
      </c>
      <c r="H838" s="377">
        <v>1059</v>
      </c>
      <c r="I838" s="396" t="s">
        <v>648</v>
      </c>
      <c r="J838" s="397" t="str">
        <f>IF(ISBLANK(INDEX('Policy Characteristics'!D:D,MATCH($C838,'Policy Characteristics'!$C:$C,0))),"",INDEX('Policy Characteristics'!D:D,MATCH($C838,'Policy Characteristics'!$C:$C,0)))</f>
        <v>Industry Energy Efficiency Standards</v>
      </c>
      <c r="K838" s="394" t="str">
        <f>IF(ISBLANK(INDEX('Policy Characteristics'!E:E,MATCH($C838,'Policy Characteristics'!$C:$C,0))),"",INDEX('Policy Characteristics'!E:E,MATCH($C838,'Policy Characteristics'!$C:$C,0)))</f>
        <v>indst efficiency standards</v>
      </c>
      <c r="L838" s="398">
        <f>IF(ISBLANK(INDEX('Policy Characteristics'!F:F,MATCH($C838,'Policy Characteristics'!$C:$C,0))),"",INDEX('Policy Characteristics'!F:F,MATCH($C838,'Policy Characteristics'!$C:$C,0)))</f>
        <v>0</v>
      </c>
      <c r="M838" s="398">
        <f>IF(ISBLANK(INDEX('Policy Characteristics'!G:G,MATCH($C838,'Policy Characteristics'!$C:$C,0))),"",INDEX('Policy Characteristics'!G:G,MATCH($C838,'Policy Characteristics'!$C:$C,0)))</f>
        <v>0.25</v>
      </c>
      <c r="N838" s="398">
        <f>IF(ISBLANK(INDEX('Policy Characteristics'!H:H,MATCH($C838,'Policy Characteristics'!$C:$C,0))),"",INDEX('Policy Characteristics'!H:H,MATCH($C838,'Policy Characteristics'!$C:$C,0)))</f>
        <v>0.01</v>
      </c>
      <c r="O838" s="394" t="str">
        <f>IF(ISBLANK(INDEX('Policy Characteristics'!I:I,MATCH($C838,'Policy Characteristics'!$C:$C,0))),"",INDEX('Policy Characteristics'!I:I,MATCH($C838,'Policy Characteristics'!$C:$C,0)))</f>
        <v>% reduction in energy use</v>
      </c>
      <c r="P838" s="394" t="str">
        <f>IF(ISBLANK(INDEX('Policy Characteristics'!J:J,MATCH($C838,'Policy Characteristics'!$C:$C,0))),"",INDEX('Policy Characteristics'!J:J,MATCH($C838,'Policy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8" s="394" t="str">
        <f>IF(ISBLANK(INDEX('Policy Characteristics'!K:K,MATCH($C838,'Policy Characteristics'!$C:$C,0))),"",INDEX('Policy Characteristics'!K:K,MATCH($C838,'Policy Characteristics'!$C:$C,0)))</f>
        <v>industry-ag-main.html#eff-stds</v>
      </c>
      <c r="R838" s="394" t="str">
        <f>IF(ISBLANK(INDEX('Policy Characteristics'!L:L,MATCH($C838,'Policy Characteristics'!$C:$C,0))),"",INDEX('Policy Characteristics'!L:L,MATCH($C838,'Policy Characteristics'!$C:$C,0)))</f>
        <v>industry-energy-efficiency-standards.html</v>
      </c>
    </row>
    <row r="839" s="384" customFormat="1" customHeight="1" spans="1:18">
      <c r="A839" s="394" t="str">
        <f>IF(ISBLANK(INDEX('Policy Characteristics'!A:A,MATCH($C839,'Policy Characteristics'!$C:$C,0))),"",INDEX('Policy Characteristics'!A:A,MATCH($C839,'Policy Characteristics'!$C:$C,0)))</f>
        <v>Industry</v>
      </c>
      <c r="B839" s="395" t="str">
        <f>IF(ISBLANK(INDEX('Policy Characteristics'!B:B,MATCH($C839,'Policy Characteristics'!$C:$C,0))),"",INDEX('Policy Characteristics'!B:B,MATCH($C839,'Policy Characteristics'!$C:$C,0)))</f>
        <v>Industry Energy Efficiency Standards</v>
      </c>
      <c r="C839" s="394" t="str">
        <f t="shared" si="38"/>
        <v>Percentage Improvement in Eqpt Efficiency Standards above BAU</v>
      </c>
      <c r="D839" s="399" t="s">
        <v>758</v>
      </c>
      <c r="E839" s="399" t="s">
        <v>796</v>
      </c>
      <c r="F839" t="s">
        <v>759</v>
      </c>
      <c r="G839" s="399" t="s">
        <v>814</v>
      </c>
      <c r="H839" s="377">
        <v>1060</v>
      </c>
      <c r="I839" s="396" t="s">
        <v>648</v>
      </c>
      <c r="J839" s="397" t="str">
        <f>IF(ISBLANK(INDEX('Policy Characteristics'!D:D,MATCH($C839,'Policy Characteristics'!$C:$C,0))),"",INDEX('Policy Characteristics'!D:D,MATCH($C839,'Policy Characteristics'!$C:$C,0)))</f>
        <v>Industry Energy Efficiency Standards</v>
      </c>
      <c r="K839" s="394" t="str">
        <f>IF(ISBLANK(INDEX('Policy Characteristics'!E:E,MATCH($C839,'Policy Characteristics'!$C:$C,0))),"",INDEX('Policy Characteristics'!E:E,MATCH($C839,'Policy Characteristics'!$C:$C,0)))</f>
        <v>indst efficiency standards</v>
      </c>
      <c r="L839" s="398">
        <f>IF(ISBLANK(INDEX('Policy Characteristics'!F:F,MATCH($C839,'Policy Characteristics'!$C:$C,0))),"",INDEX('Policy Characteristics'!F:F,MATCH($C839,'Policy Characteristics'!$C:$C,0)))</f>
        <v>0</v>
      </c>
      <c r="M839" s="398">
        <f>IF(ISBLANK(INDEX('Policy Characteristics'!G:G,MATCH($C839,'Policy Characteristics'!$C:$C,0))),"",INDEX('Policy Characteristics'!G:G,MATCH($C839,'Policy Characteristics'!$C:$C,0)))</f>
        <v>0.25</v>
      </c>
      <c r="N839" s="398">
        <f>IF(ISBLANK(INDEX('Policy Characteristics'!H:H,MATCH($C839,'Policy Characteristics'!$C:$C,0))),"",INDEX('Policy Characteristics'!H:H,MATCH($C839,'Policy Characteristics'!$C:$C,0)))</f>
        <v>0.01</v>
      </c>
      <c r="O839" s="394" t="str">
        <f>IF(ISBLANK(INDEX('Policy Characteristics'!I:I,MATCH($C839,'Policy Characteristics'!$C:$C,0))),"",INDEX('Policy Characteristics'!I:I,MATCH($C839,'Policy Characteristics'!$C:$C,0)))</f>
        <v>% reduction in energy use</v>
      </c>
      <c r="P839" s="394" t="str">
        <f>IF(ISBLANK(INDEX('Policy Characteristics'!J:J,MATCH($C839,'Policy Characteristics'!$C:$C,0))),"",INDEX('Policy Characteristics'!J:J,MATCH($C839,'Policy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9" s="394" t="str">
        <f>IF(ISBLANK(INDEX('Policy Characteristics'!K:K,MATCH($C839,'Policy Characteristics'!$C:$C,0))),"",INDEX('Policy Characteristics'!K:K,MATCH($C839,'Policy Characteristics'!$C:$C,0)))</f>
        <v>industry-ag-main.html#eff-stds</v>
      </c>
      <c r="R839" s="394" t="str">
        <f>IF(ISBLANK(INDEX('Policy Characteristics'!L:L,MATCH($C839,'Policy Characteristics'!$C:$C,0))),"",INDEX('Policy Characteristics'!L:L,MATCH($C839,'Policy Characteristics'!$C:$C,0)))</f>
        <v>industry-energy-efficiency-standards.html</v>
      </c>
    </row>
    <row r="840" s="384" customFormat="1" customHeight="1" spans="1:18">
      <c r="A840" s="394" t="str">
        <f>IF(ISBLANK(INDEX('Policy Characteristics'!A:A,MATCH($C840,'Policy Characteristics'!$C:$C,0))),"",INDEX('Policy Characteristics'!A:A,MATCH($C840,'Policy Characteristics'!$C:$C,0)))</f>
        <v>Industry</v>
      </c>
      <c r="B840" s="395" t="str">
        <f>IF(ISBLANK(INDEX('Policy Characteristics'!B:B,MATCH($C840,'Policy Characteristics'!$C:$C,0))),"",INDEX('Policy Characteristics'!B:B,MATCH($C840,'Policy Characteristics'!$C:$C,0)))</f>
        <v>Industry Energy Efficiency Standards</v>
      </c>
      <c r="C840" s="394" t="str">
        <f t="shared" si="38"/>
        <v>Percentage Improvement in Eqpt Efficiency Standards above BAU</v>
      </c>
      <c r="D840" s="399" t="s">
        <v>758</v>
      </c>
      <c r="E840" s="399" t="s">
        <v>798</v>
      </c>
      <c r="F840" t="s">
        <v>759</v>
      </c>
      <c r="G840" s="399" t="s">
        <v>815</v>
      </c>
      <c r="H840" s="377">
        <v>1061</v>
      </c>
      <c r="I840" s="396" t="s">
        <v>648</v>
      </c>
      <c r="J840" s="397" t="str">
        <f>IF(ISBLANK(INDEX('Policy Characteristics'!D:D,MATCH($C840,'Policy Characteristics'!$C:$C,0))),"",INDEX('Policy Characteristics'!D:D,MATCH($C840,'Policy Characteristics'!$C:$C,0)))</f>
        <v>Industry Energy Efficiency Standards</v>
      </c>
      <c r="K840" s="394" t="str">
        <f>IF(ISBLANK(INDEX('Policy Characteristics'!E:E,MATCH($C840,'Policy Characteristics'!$C:$C,0))),"",INDEX('Policy Characteristics'!E:E,MATCH($C840,'Policy Characteristics'!$C:$C,0)))</f>
        <v>indst efficiency standards</v>
      </c>
      <c r="L840" s="398">
        <f>IF(ISBLANK(INDEX('Policy Characteristics'!F:F,MATCH($C840,'Policy Characteristics'!$C:$C,0))),"",INDEX('Policy Characteristics'!F:F,MATCH($C840,'Policy Characteristics'!$C:$C,0)))</f>
        <v>0</v>
      </c>
      <c r="M840" s="398">
        <f>IF(ISBLANK(INDEX('Policy Characteristics'!G:G,MATCH($C840,'Policy Characteristics'!$C:$C,0))),"",INDEX('Policy Characteristics'!G:G,MATCH($C840,'Policy Characteristics'!$C:$C,0)))</f>
        <v>0.25</v>
      </c>
      <c r="N840" s="398">
        <f>IF(ISBLANK(INDEX('Policy Characteristics'!H:H,MATCH($C840,'Policy Characteristics'!$C:$C,0))),"",INDEX('Policy Characteristics'!H:H,MATCH($C840,'Policy Characteristics'!$C:$C,0)))</f>
        <v>0.01</v>
      </c>
      <c r="O840" s="394" t="str">
        <f>IF(ISBLANK(INDEX('Policy Characteristics'!I:I,MATCH($C840,'Policy Characteristics'!$C:$C,0))),"",INDEX('Policy Characteristics'!I:I,MATCH($C840,'Policy Characteristics'!$C:$C,0)))</f>
        <v>% reduction in energy use</v>
      </c>
      <c r="P840" s="394" t="str">
        <f>IF(ISBLANK(INDEX('Policy Characteristics'!J:J,MATCH($C840,'Policy Characteristics'!$C:$C,0))),"",INDEX('Policy Characteristics'!J:J,MATCH($C840,'Policy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0" s="394" t="str">
        <f>IF(ISBLANK(INDEX('Policy Characteristics'!K:K,MATCH($C840,'Policy Characteristics'!$C:$C,0))),"",INDEX('Policy Characteristics'!K:K,MATCH($C840,'Policy Characteristics'!$C:$C,0)))</f>
        <v>industry-ag-main.html#eff-stds</v>
      </c>
      <c r="R840" s="394" t="str">
        <f>IF(ISBLANK(INDEX('Policy Characteristics'!L:L,MATCH($C840,'Policy Characteristics'!$C:$C,0))),"",INDEX('Policy Characteristics'!L:L,MATCH($C840,'Policy Characteristics'!$C:$C,0)))</f>
        <v>industry-energy-efficiency-standards.html</v>
      </c>
    </row>
    <row r="841" s="384" customFormat="1" customHeight="1" spans="1:18">
      <c r="A841" s="394" t="str">
        <f>IF(ISBLANK(INDEX('Policy Characteristics'!A:A,MATCH($C841,'Policy Characteristics'!$C:$C,0))),"",INDEX('Policy Characteristics'!A:A,MATCH($C841,'Policy Characteristics'!$C:$C,0)))</f>
        <v>Industry</v>
      </c>
      <c r="B841" s="395" t="str">
        <f>IF(ISBLANK(INDEX('Policy Characteristics'!B:B,MATCH($C841,'Policy Characteristics'!$C:$C,0))),"",INDEX('Policy Characteristics'!B:B,MATCH($C841,'Policy Characteristics'!$C:$C,0)))</f>
        <v>Industry Energy Efficiency Standards</v>
      </c>
      <c r="C841" s="394" t="str">
        <f t="shared" si="38"/>
        <v>Percentage Improvement in Eqpt Efficiency Standards above BAU</v>
      </c>
      <c r="D841" s="399" t="s">
        <v>758</v>
      </c>
      <c r="E841" s="399" t="s">
        <v>800</v>
      </c>
      <c r="F841" t="s">
        <v>759</v>
      </c>
      <c r="G841" s="399" t="s">
        <v>816</v>
      </c>
      <c r="H841" s="377">
        <v>1062</v>
      </c>
      <c r="I841" s="396" t="s">
        <v>648</v>
      </c>
      <c r="J841" s="397" t="str">
        <f>IF(ISBLANK(INDEX('Policy Characteristics'!D:D,MATCH($C841,'Policy Characteristics'!$C:$C,0))),"",INDEX('Policy Characteristics'!D:D,MATCH($C841,'Policy Characteristics'!$C:$C,0)))</f>
        <v>Industry Energy Efficiency Standards</v>
      </c>
      <c r="K841" s="394" t="str">
        <f>IF(ISBLANK(INDEX('Policy Characteristics'!E:E,MATCH($C841,'Policy Characteristics'!$C:$C,0))),"",INDEX('Policy Characteristics'!E:E,MATCH($C841,'Policy Characteristics'!$C:$C,0)))</f>
        <v>indst efficiency standards</v>
      </c>
      <c r="L841" s="398">
        <f>IF(ISBLANK(INDEX('Policy Characteristics'!F:F,MATCH($C841,'Policy Characteristics'!$C:$C,0))),"",INDEX('Policy Characteristics'!F:F,MATCH($C841,'Policy Characteristics'!$C:$C,0)))</f>
        <v>0</v>
      </c>
      <c r="M841" s="398">
        <f>IF(ISBLANK(INDEX('Policy Characteristics'!G:G,MATCH($C841,'Policy Characteristics'!$C:$C,0))),"",INDEX('Policy Characteristics'!G:G,MATCH($C841,'Policy Characteristics'!$C:$C,0)))</f>
        <v>0.25</v>
      </c>
      <c r="N841" s="398">
        <f>IF(ISBLANK(INDEX('Policy Characteristics'!H:H,MATCH($C841,'Policy Characteristics'!$C:$C,0))),"",INDEX('Policy Characteristics'!H:H,MATCH($C841,'Policy Characteristics'!$C:$C,0)))</f>
        <v>0.01</v>
      </c>
      <c r="O841" s="394" t="str">
        <f>IF(ISBLANK(INDEX('Policy Characteristics'!I:I,MATCH($C841,'Policy Characteristics'!$C:$C,0))),"",INDEX('Policy Characteristics'!I:I,MATCH($C841,'Policy Characteristics'!$C:$C,0)))</f>
        <v>% reduction in energy use</v>
      </c>
      <c r="P841" s="394" t="str">
        <f>IF(ISBLANK(INDEX('Policy Characteristics'!J:J,MATCH($C841,'Policy Characteristics'!$C:$C,0))),"",INDEX('Policy Characteristics'!J:J,MATCH($C841,'Policy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1" s="394" t="str">
        <f>IF(ISBLANK(INDEX('Policy Characteristics'!K:K,MATCH($C841,'Policy Characteristics'!$C:$C,0))),"",INDEX('Policy Characteristics'!K:K,MATCH($C841,'Policy Characteristics'!$C:$C,0)))</f>
        <v>industry-ag-main.html#eff-stds</v>
      </c>
      <c r="R841" s="394" t="str">
        <f>IF(ISBLANK(INDEX('Policy Characteristics'!L:L,MATCH($C841,'Policy Characteristics'!$C:$C,0))),"",INDEX('Policy Characteristics'!L:L,MATCH($C841,'Policy Characteristics'!$C:$C,0)))</f>
        <v>industry-energy-efficiency-standards.html</v>
      </c>
    </row>
    <row r="842" s="384" customFormat="1" customHeight="1" spans="1:18">
      <c r="A842" s="394" t="str">
        <f>IF(ISBLANK(INDEX('Policy Characteristics'!A:A,MATCH($C842,'Policy Characteristics'!$C:$C,0))),"",INDEX('Policy Characteristics'!A:A,MATCH($C842,'Policy Characteristics'!$C:$C,0)))</f>
        <v>Industry</v>
      </c>
      <c r="B842" s="395" t="str">
        <f>IF(ISBLANK(INDEX('Policy Characteristics'!B:B,MATCH($C842,'Policy Characteristics'!$C:$C,0))),"",INDEX('Policy Characteristics'!B:B,MATCH($C842,'Policy Characteristics'!$C:$C,0)))</f>
        <v>Industry Energy Efficiency Standards</v>
      </c>
      <c r="C842" s="394" t="str">
        <f t="shared" si="38"/>
        <v>Percentage Improvement in Eqpt Efficiency Standards above BAU</v>
      </c>
      <c r="D842" s="399" t="s">
        <v>758</v>
      </c>
      <c r="E842" s="399" t="s">
        <v>802</v>
      </c>
      <c r="F842" t="s">
        <v>759</v>
      </c>
      <c r="G842" s="399" t="s">
        <v>817</v>
      </c>
      <c r="H842" s="377">
        <v>1063</v>
      </c>
      <c r="I842" s="396" t="s">
        <v>648</v>
      </c>
      <c r="J842" s="397" t="str">
        <f>IF(ISBLANK(INDEX('Policy Characteristics'!D:D,MATCH($C842,'Policy Characteristics'!$C:$C,0))),"",INDEX('Policy Characteristics'!D:D,MATCH($C842,'Policy Characteristics'!$C:$C,0)))</f>
        <v>Industry Energy Efficiency Standards</v>
      </c>
      <c r="K842" s="394" t="str">
        <f>IF(ISBLANK(INDEX('Policy Characteristics'!E:E,MATCH($C842,'Policy Characteristics'!$C:$C,0))),"",INDEX('Policy Characteristics'!E:E,MATCH($C842,'Policy Characteristics'!$C:$C,0)))</f>
        <v>indst efficiency standards</v>
      </c>
      <c r="L842" s="398">
        <f>IF(ISBLANK(INDEX('Policy Characteristics'!F:F,MATCH($C842,'Policy Characteristics'!$C:$C,0))),"",INDEX('Policy Characteristics'!F:F,MATCH($C842,'Policy Characteristics'!$C:$C,0)))</f>
        <v>0</v>
      </c>
      <c r="M842" s="398">
        <f>IF(ISBLANK(INDEX('Policy Characteristics'!G:G,MATCH($C842,'Policy Characteristics'!$C:$C,0))),"",INDEX('Policy Characteristics'!G:G,MATCH($C842,'Policy Characteristics'!$C:$C,0)))</f>
        <v>0.25</v>
      </c>
      <c r="N842" s="398">
        <f>IF(ISBLANK(INDEX('Policy Characteristics'!H:H,MATCH($C842,'Policy Characteristics'!$C:$C,0))),"",INDEX('Policy Characteristics'!H:H,MATCH($C842,'Policy Characteristics'!$C:$C,0)))</f>
        <v>0.01</v>
      </c>
      <c r="O842" s="394" t="str">
        <f>IF(ISBLANK(INDEX('Policy Characteristics'!I:I,MATCH($C842,'Policy Characteristics'!$C:$C,0))),"",INDEX('Policy Characteristics'!I:I,MATCH($C842,'Policy Characteristics'!$C:$C,0)))</f>
        <v>% reduction in energy use</v>
      </c>
      <c r="P842" s="394" t="str">
        <f>IF(ISBLANK(INDEX('Policy Characteristics'!J:J,MATCH($C842,'Policy Characteristics'!$C:$C,0))),"",INDEX('Policy Characteristics'!J:J,MATCH($C842,'Policy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2" s="394" t="str">
        <f>IF(ISBLANK(INDEX('Policy Characteristics'!K:K,MATCH($C842,'Policy Characteristics'!$C:$C,0))),"",INDEX('Policy Characteristics'!K:K,MATCH($C842,'Policy Characteristics'!$C:$C,0)))</f>
        <v>industry-ag-main.html#eff-stds</v>
      </c>
      <c r="R842" s="394" t="str">
        <f>IF(ISBLANK(INDEX('Policy Characteristics'!L:L,MATCH($C842,'Policy Characteristics'!$C:$C,0))),"",INDEX('Policy Characteristics'!L:L,MATCH($C842,'Policy Characteristics'!$C:$C,0)))</f>
        <v>industry-energy-efficiency-standards.html</v>
      </c>
    </row>
    <row r="843" s="384" customFormat="1" customHeight="1" spans="1:18">
      <c r="A843" s="394" t="str">
        <f>IF(ISBLANK(INDEX('Policy Characteristics'!A:A,MATCH($C843,'Policy Characteristics'!$C:$C,0))),"",INDEX('Policy Characteristics'!A:A,MATCH($C843,'Policy Characteristics'!$C:$C,0)))</f>
        <v>Industry</v>
      </c>
      <c r="B843" s="395" t="str">
        <f>IF(ISBLANK(INDEX('Policy Characteristics'!B:B,MATCH($C843,'Policy Characteristics'!$C:$C,0))),"",INDEX('Policy Characteristics'!B:B,MATCH($C843,'Policy Characteristics'!$C:$C,0)))</f>
        <v>Industry Energy Efficiency Standards</v>
      </c>
      <c r="C843" s="394" t="str">
        <f t="shared" si="38"/>
        <v>Percentage Improvement in Eqpt Efficiency Standards above BAU</v>
      </c>
      <c r="D843" s="399" t="s">
        <v>758</v>
      </c>
      <c r="E843" s="399" t="s">
        <v>804</v>
      </c>
      <c r="F843" t="s">
        <v>759</v>
      </c>
      <c r="G843" s="399" t="s">
        <v>818</v>
      </c>
      <c r="H843" s="377">
        <v>1064</v>
      </c>
      <c r="I843" s="396" t="s">
        <v>648</v>
      </c>
      <c r="J843" s="397" t="str">
        <f>IF(ISBLANK(INDEX('Policy Characteristics'!D:D,MATCH($C843,'Policy Characteristics'!$C:$C,0))),"",INDEX('Policy Characteristics'!D:D,MATCH($C843,'Policy Characteristics'!$C:$C,0)))</f>
        <v>Industry Energy Efficiency Standards</v>
      </c>
      <c r="K843" s="394" t="str">
        <f>IF(ISBLANK(INDEX('Policy Characteristics'!E:E,MATCH($C843,'Policy Characteristics'!$C:$C,0))),"",INDEX('Policy Characteristics'!E:E,MATCH($C843,'Policy Characteristics'!$C:$C,0)))</f>
        <v>indst efficiency standards</v>
      </c>
      <c r="L843" s="398">
        <f>IF(ISBLANK(INDEX('Policy Characteristics'!F:F,MATCH($C843,'Policy Characteristics'!$C:$C,0))),"",INDEX('Policy Characteristics'!F:F,MATCH($C843,'Policy Characteristics'!$C:$C,0)))</f>
        <v>0</v>
      </c>
      <c r="M843" s="398">
        <f>IF(ISBLANK(INDEX('Policy Characteristics'!G:G,MATCH($C843,'Policy Characteristics'!$C:$C,0))),"",INDEX('Policy Characteristics'!G:G,MATCH($C843,'Policy Characteristics'!$C:$C,0)))</f>
        <v>0.25</v>
      </c>
      <c r="N843" s="398">
        <f>IF(ISBLANK(INDEX('Policy Characteristics'!H:H,MATCH($C843,'Policy Characteristics'!$C:$C,0))),"",INDEX('Policy Characteristics'!H:H,MATCH($C843,'Policy Characteristics'!$C:$C,0)))</f>
        <v>0.01</v>
      </c>
      <c r="O843" s="394" t="str">
        <f>IF(ISBLANK(INDEX('Policy Characteristics'!I:I,MATCH($C843,'Policy Characteristics'!$C:$C,0))),"",INDEX('Policy Characteristics'!I:I,MATCH($C843,'Policy Characteristics'!$C:$C,0)))</f>
        <v>% reduction in energy use</v>
      </c>
      <c r="P843" s="394" t="str">
        <f>IF(ISBLANK(INDEX('Policy Characteristics'!J:J,MATCH($C843,'Policy Characteristics'!$C:$C,0))),"",INDEX('Policy Characteristics'!J:J,MATCH($C843,'Policy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3" s="394" t="str">
        <f>IF(ISBLANK(INDEX('Policy Characteristics'!K:K,MATCH($C843,'Policy Characteristics'!$C:$C,0))),"",INDEX('Policy Characteristics'!K:K,MATCH($C843,'Policy Characteristics'!$C:$C,0)))</f>
        <v>industry-ag-main.html#eff-stds</v>
      </c>
      <c r="R843" s="394" t="str">
        <f>IF(ISBLANK(INDEX('Policy Characteristics'!L:L,MATCH($C843,'Policy Characteristics'!$C:$C,0))),"",INDEX('Policy Characteristics'!L:L,MATCH($C843,'Policy Characteristics'!$C:$C,0)))</f>
        <v>industry-energy-efficiency-standards.html</v>
      </c>
    </row>
    <row r="844" s="384" customFormat="1" customHeight="1" spans="1:18">
      <c r="A844" s="394" t="str">
        <f>IF(ISBLANK(INDEX('Policy Characteristics'!A:A,MATCH($C844,'Policy Characteristics'!$C:$C,0))),"",INDEX('Policy Characteristics'!A:A,MATCH($C844,'Policy Characteristics'!$C:$C,0)))</f>
        <v>Industry</v>
      </c>
      <c r="B844" s="395" t="str">
        <f>IF(ISBLANK(INDEX('Policy Characteristics'!B:B,MATCH($C844,'Policy Characteristics'!$C:$C,0))),"",INDEX('Policy Characteristics'!B:B,MATCH($C844,'Policy Characteristics'!$C:$C,0)))</f>
        <v>Industry Energy Efficiency Standards</v>
      </c>
      <c r="C844" s="394" t="str">
        <f t="shared" si="38"/>
        <v>Percentage Improvement in Eqpt Efficiency Standards above BAU</v>
      </c>
      <c r="D844" s="399" t="s">
        <v>758</v>
      </c>
      <c r="E844" s="399" t="s">
        <v>806</v>
      </c>
      <c r="F844" t="s">
        <v>759</v>
      </c>
      <c r="G844" s="399" t="s">
        <v>819</v>
      </c>
      <c r="H844" s="377">
        <v>1065</v>
      </c>
      <c r="I844" s="396" t="s">
        <v>648</v>
      </c>
      <c r="J844" s="397" t="str">
        <f>IF(ISBLANK(INDEX('Policy Characteristics'!D:D,MATCH($C844,'Policy Characteristics'!$C:$C,0))),"",INDEX('Policy Characteristics'!D:D,MATCH($C844,'Policy Characteristics'!$C:$C,0)))</f>
        <v>Industry Energy Efficiency Standards</v>
      </c>
      <c r="K844" s="394" t="str">
        <f>IF(ISBLANK(INDEX('Policy Characteristics'!E:E,MATCH($C844,'Policy Characteristics'!$C:$C,0))),"",INDEX('Policy Characteristics'!E:E,MATCH($C844,'Policy Characteristics'!$C:$C,0)))</f>
        <v>indst efficiency standards</v>
      </c>
      <c r="L844" s="398">
        <f>IF(ISBLANK(INDEX('Policy Characteristics'!F:F,MATCH($C844,'Policy Characteristics'!$C:$C,0))),"",INDEX('Policy Characteristics'!F:F,MATCH($C844,'Policy Characteristics'!$C:$C,0)))</f>
        <v>0</v>
      </c>
      <c r="M844" s="398">
        <f>IF(ISBLANK(INDEX('Policy Characteristics'!G:G,MATCH($C844,'Policy Characteristics'!$C:$C,0))),"",INDEX('Policy Characteristics'!G:G,MATCH($C844,'Policy Characteristics'!$C:$C,0)))</f>
        <v>0.25</v>
      </c>
      <c r="N844" s="398">
        <f>IF(ISBLANK(INDEX('Policy Characteristics'!H:H,MATCH($C844,'Policy Characteristics'!$C:$C,0))),"",INDEX('Policy Characteristics'!H:H,MATCH($C844,'Policy Characteristics'!$C:$C,0)))</f>
        <v>0.01</v>
      </c>
      <c r="O844" s="394" t="str">
        <f>IF(ISBLANK(INDEX('Policy Characteristics'!I:I,MATCH($C844,'Policy Characteristics'!$C:$C,0))),"",INDEX('Policy Characteristics'!I:I,MATCH($C844,'Policy Characteristics'!$C:$C,0)))</f>
        <v>% reduction in energy use</v>
      </c>
      <c r="P844" s="394" t="str">
        <f>IF(ISBLANK(INDEX('Policy Characteristics'!J:J,MATCH($C844,'Policy Characteristics'!$C:$C,0))),"",INDEX('Policy Characteristics'!J:J,MATCH($C844,'Policy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4" s="394" t="str">
        <f>IF(ISBLANK(INDEX('Policy Characteristics'!K:K,MATCH($C844,'Policy Characteristics'!$C:$C,0))),"",INDEX('Policy Characteristics'!K:K,MATCH($C844,'Policy Characteristics'!$C:$C,0)))</f>
        <v>industry-ag-main.html#eff-stds</v>
      </c>
      <c r="R844" s="394" t="str">
        <f>IF(ISBLANK(INDEX('Policy Characteristics'!L:L,MATCH($C844,'Policy Characteristics'!$C:$C,0))),"",INDEX('Policy Characteristics'!L:L,MATCH($C844,'Policy Characteristics'!$C:$C,0)))</f>
        <v>industry-energy-efficiency-standards.html</v>
      </c>
    </row>
    <row r="845" s="384" customFormat="1" customHeight="1" spans="1:18">
      <c r="A845" s="394" t="str">
        <f>IF(ISBLANK(INDEX('Policy Characteristics'!A:A,MATCH($C845,'Policy Characteristics'!$C:$C,0))),"",INDEX('Policy Characteristics'!A:A,MATCH($C845,'Policy Characteristics'!$C:$C,0)))</f>
        <v>Industry</v>
      </c>
      <c r="B845" s="395" t="str">
        <f>IF(ISBLANK(INDEX('Policy Characteristics'!B:B,MATCH($C845,'Policy Characteristics'!$C:$C,0))),"",INDEX('Policy Characteristics'!B:B,MATCH($C845,'Policy Characteristics'!$C:$C,0)))</f>
        <v>Industry Energy Efficiency Standards</v>
      </c>
      <c r="C845" s="394" t="str">
        <f t="shared" si="38"/>
        <v>Percentage Improvement in Eqpt Efficiency Standards above BAU</v>
      </c>
      <c r="D845" s="399" t="s">
        <v>758</v>
      </c>
      <c r="E845" s="399" t="s">
        <v>808</v>
      </c>
      <c r="F845" t="s">
        <v>759</v>
      </c>
      <c r="G845" s="399" t="s">
        <v>820</v>
      </c>
      <c r="H845" s="377">
        <v>1066</v>
      </c>
      <c r="I845" s="396" t="s">
        <v>648</v>
      </c>
      <c r="J845" s="397" t="str">
        <f>IF(ISBLANK(INDEX('Policy Characteristics'!D:D,MATCH($C845,'Policy Characteristics'!$C:$C,0))),"",INDEX('Policy Characteristics'!D:D,MATCH($C845,'Policy Characteristics'!$C:$C,0)))</f>
        <v>Industry Energy Efficiency Standards</v>
      </c>
      <c r="K845" s="394" t="str">
        <f>IF(ISBLANK(INDEX('Policy Characteristics'!E:E,MATCH($C845,'Policy Characteristics'!$C:$C,0))),"",INDEX('Policy Characteristics'!E:E,MATCH($C845,'Policy Characteristics'!$C:$C,0)))</f>
        <v>indst efficiency standards</v>
      </c>
      <c r="L845" s="398">
        <f>IF(ISBLANK(INDEX('Policy Characteristics'!F:F,MATCH($C845,'Policy Characteristics'!$C:$C,0))),"",INDEX('Policy Characteristics'!F:F,MATCH($C845,'Policy Characteristics'!$C:$C,0)))</f>
        <v>0</v>
      </c>
      <c r="M845" s="398">
        <f>IF(ISBLANK(INDEX('Policy Characteristics'!G:G,MATCH($C845,'Policy Characteristics'!$C:$C,0))),"",INDEX('Policy Characteristics'!G:G,MATCH($C845,'Policy Characteristics'!$C:$C,0)))</f>
        <v>0.25</v>
      </c>
      <c r="N845" s="398">
        <f>IF(ISBLANK(INDEX('Policy Characteristics'!H:H,MATCH($C845,'Policy Characteristics'!$C:$C,0))),"",INDEX('Policy Characteristics'!H:H,MATCH($C845,'Policy Characteristics'!$C:$C,0)))</f>
        <v>0.01</v>
      </c>
      <c r="O845" s="394" t="str">
        <f>IF(ISBLANK(INDEX('Policy Characteristics'!I:I,MATCH($C845,'Policy Characteristics'!$C:$C,0))),"",INDEX('Policy Characteristics'!I:I,MATCH($C845,'Policy Characteristics'!$C:$C,0)))</f>
        <v>% reduction in energy use</v>
      </c>
      <c r="P845" s="394" t="str">
        <f>IF(ISBLANK(INDEX('Policy Characteristics'!J:J,MATCH($C845,'Policy Characteristics'!$C:$C,0))),"",INDEX('Policy Characteristics'!J:J,MATCH($C845,'Policy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5" s="394" t="str">
        <f>IF(ISBLANK(INDEX('Policy Characteristics'!K:K,MATCH($C845,'Policy Characteristics'!$C:$C,0))),"",INDEX('Policy Characteristics'!K:K,MATCH($C845,'Policy Characteristics'!$C:$C,0)))</f>
        <v>industry-ag-main.html#eff-stds</v>
      </c>
      <c r="R845" s="394" t="str">
        <f>IF(ISBLANK(INDEX('Policy Characteristics'!L:L,MATCH($C845,'Policy Characteristics'!$C:$C,0))),"",INDEX('Policy Characteristics'!L:L,MATCH($C845,'Policy Characteristics'!$C:$C,0)))</f>
        <v>industry-energy-efficiency-standards.html</v>
      </c>
    </row>
    <row r="846" s="384" customFormat="1" customHeight="1" spans="1:18">
      <c r="A846" s="394" t="str">
        <f>IF(ISBLANK(INDEX('Policy Characteristics'!A:A,MATCH($C846,'Policy Characteristics'!$C:$C,0))),"",INDEX('Policy Characteristics'!A:A,MATCH($C846,'Policy Characteristics'!$C:$C,0)))</f>
        <v>Industry</v>
      </c>
      <c r="B846" s="395" t="str">
        <f>IF(ISBLANK(INDEX('Policy Characteristics'!B:B,MATCH($C846,'Policy Characteristics'!$C:$C,0))),"",INDEX('Policy Characteristics'!B:B,MATCH($C846,'Policy Characteristics'!$C:$C,0)))</f>
        <v>Industry Energy Efficiency Standards</v>
      </c>
      <c r="C846" s="394" t="str">
        <f t="shared" si="38"/>
        <v>Percentage Improvement in Eqpt Efficiency Standards above BAU</v>
      </c>
      <c r="D846" s="399" t="s">
        <v>758</v>
      </c>
      <c r="E846" s="399" t="s">
        <v>810</v>
      </c>
      <c r="F846" t="s">
        <v>759</v>
      </c>
      <c r="G846" s="399" t="s">
        <v>821</v>
      </c>
      <c r="H846" s="377">
        <v>1067</v>
      </c>
      <c r="I846" s="396" t="s">
        <v>648</v>
      </c>
      <c r="J846" s="397" t="str">
        <f>IF(ISBLANK(INDEX('Policy Characteristics'!D:D,MATCH($C846,'Policy Characteristics'!$C:$C,0))),"",INDEX('Policy Characteristics'!D:D,MATCH($C846,'Policy Characteristics'!$C:$C,0)))</f>
        <v>Industry Energy Efficiency Standards</v>
      </c>
      <c r="K846" s="394" t="str">
        <f>IF(ISBLANK(INDEX('Policy Characteristics'!E:E,MATCH($C846,'Policy Characteristics'!$C:$C,0))),"",INDEX('Policy Characteristics'!E:E,MATCH($C846,'Policy Characteristics'!$C:$C,0)))</f>
        <v>indst efficiency standards</v>
      </c>
      <c r="L846" s="398">
        <f>IF(ISBLANK(INDEX('Policy Characteristics'!F:F,MATCH($C846,'Policy Characteristics'!$C:$C,0))),"",INDEX('Policy Characteristics'!F:F,MATCH($C846,'Policy Characteristics'!$C:$C,0)))</f>
        <v>0</v>
      </c>
      <c r="M846" s="398">
        <f>IF(ISBLANK(INDEX('Policy Characteristics'!G:G,MATCH($C846,'Policy Characteristics'!$C:$C,0))),"",INDEX('Policy Characteristics'!G:G,MATCH($C846,'Policy Characteristics'!$C:$C,0)))</f>
        <v>0.25</v>
      </c>
      <c r="N846" s="398">
        <f>IF(ISBLANK(INDEX('Policy Characteristics'!H:H,MATCH($C846,'Policy Characteristics'!$C:$C,0))),"",INDEX('Policy Characteristics'!H:H,MATCH($C846,'Policy Characteristics'!$C:$C,0)))</f>
        <v>0.01</v>
      </c>
      <c r="O846" s="394" t="str">
        <f>IF(ISBLANK(INDEX('Policy Characteristics'!I:I,MATCH($C846,'Policy Characteristics'!$C:$C,0))),"",INDEX('Policy Characteristics'!I:I,MATCH($C846,'Policy Characteristics'!$C:$C,0)))</f>
        <v>% reduction in energy use</v>
      </c>
      <c r="P846" s="394" t="str">
        <f>IF(ISBLANK(INDEX('Policy Characteristics'!J:J,MATCH($C846,'Policy Characteristics'!$C:$C,0))),"",INDEX('Policy Characteristics'!J:J,MATCH($C846,'Policy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6" s="394" t="str">
        <f>IF(ISBLANK(INDEX('Policy Characteristics'!K:K,MATCH($C846,'Policy Characteristics'!$C:$C,0))),"",INDEX('Policy Characteristics'!K:K,MATCH($C846,'Policy Characteristics'!$C:$C,0)))</f>
        <v>industry-ag-main.html#eff-stds</v>
      </c>
      <c r="R846" s="394" t="str">
        <f>IF(ISBLANK(INDEX('Policy Characteristics'!L:L,MATCH($C846,'Policy Characteristics'!$C:$C,0))),"",INDEX('Policy Characteristics'!L:L,MATCH($C846,'Policy Characteristics'!$C:$C,0)))</f>
        <v>industry-energy-efficiency-standards.html</v>
      </c>
    </row>
    <row r="847" s="384" customFormat="1" customHeight="1" spans="1:18">
      <c r="A847" s="394" t="str">
        <f>IF(ISBLANK(INDEX('Policy Characteristics'!A:A,MATCH($C847,'Policy Characteristics'!$C:$C,0))),"",INDEX('Policy Characteristics'!A:A,MATCH($C847,'Policy Characteristics'!$C:$C,0)))</f>
        <v>Industry</v>
      </c>
      <c r="B847" s="395" t="str">
        <f>IF(ISBLANK(INDEX('Policy Characteristics'!B:B,MATCH($C847,'Policy Characteristics'!$C:$C,0))),"",INDEX('Policy Characteristics'!B:B,MATCH($C847,'Policy Characteristics'!$C:$C,0)))</f>
        <v>Industry Energy Efficiency Standards</v>
      </c>
      <c r="C847" s="394" t="str">
        <f t="shared" si="38"/>
        <v>Percentage Improvement in Eqpt Efficiency Standards above BAU</v>
      </c>
      <c r="D847" s="399" t="s">
        <v>760</v>
      </c>
      <c r="E847" s="399" t="s">
        <v>792</v>
      </c>
      <c r="F847" s="366" t="s">
        <v>761</v>
      </c>
      <c r="G847" s="399" t="s">
        <v>812</v>
      </c>
      <c r="H847" s="377">
        <v>1068</v>
      </c>
      <c r="I847" s="396" t="s">
        <v>648</v>
      </c>
      <c r="J847" s="397" t="str">
        <f>IF(ISBLANK(INDEX('Policy Characteristics'!D:D,MATCH($C847,'Policy Characteristics'!$C:$C,0))),"",INDEX('Policy Characteristics'!D:D,MATCH($C847,'Policy Characteristics'!$C:$C,0)))</f>
        <v>Industry Energy Efficiency Standards</v>
      </c>
      <c r="K847" s="394" t="str">
        <f>IF(ISBLANK(INDEX('Policy Characteristics'!E:E,MATCH($C847,'Policy Characteristics'!$C:$C,0))),"",INDEX('Policy Characteristics'!E:E,MATCH($C847,'Policy Characteristics'!$C:$C,0)))</f>
        <v>indst efficiency standards</v>
      </c>
      <c r="L847" s="398">
        <f>IF(ISBLANK(INDEX('Policy Characteristics'!F:F,MATCH($C847,'Policy Characteristics'!$C:$C,0))),"",INDEX('Policy Characteristics'!F:F,MATCH($C847,'Policy Characteristics'!$C:$C,0)))</f>
        <v>0</v>
      </c>
      <c r="M847" s="398">
        <f>IF(ISBLANK(INDEX('Policy Characteristics'!G:G,MATCH($C847,'Policy Characteristics'!$C:$C,0))),"",INDEX('Policy Characteristics'!G:G,MATCH($C847,'Policy Characteristics'!$C:$C,0)))</f>
        <v>0.25</v>
      </c>
      <c r="N847" s="398">
        <f>IF(ISBLANK(INDEX('Policy Characteristics'!H:H,MATCH($C847,'Policy Characteristics'!$C:$C,0))),"",INDEX('Policy Characteristics'!H:H,MATCH($C847,'Policy Characteristics'!$C:$C,0)))</f>
        <v>0.01</v>
      </c>
      <c r="O847" s="394" t="str">
        <f>IF(ISBLANK(INDEX('Policy Characteristics'!I:I,MATCH($C847,'Policy Characteristics'!$C:$C,0))),"",INDEX('Policy Characteristics'!I:I,MATCH($C847,'Policy Characteristics'!$C:$C,0)))</f>
        <v>% reduction in energy use</v>
      </c>
      <c r="P847" s="394" t="str">
        <f>IF(ISBLANK(INDEX('Policy Characteristics'!J:J,MATCH($C847,'Policy Characteristics'!$C:$C,0))),"",INDEX('Policy Characteristics'!J:J,MATCH($C847,'Policy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7" s="394" t="str">
        <f>IF(ISBLANK(INDEX('Policy Characteristics'!K:K,MATCH($C847,'Policy Characteristics'!$C:$C,0))),"",INDEX('Policy Characteristics'!K:K,MATCH($C847,'Policy Characteristics'!$C:$C,0)))</f>
        <v>industry-ag-main.html#eff-stds</v>
      </c>
      <c r="R847" s="394" t="str">
        <f>IF(ISBLANK(INDEX('Policy Characteristics'!L:L,MATCH($C847,'Policy Characteristics'!$C:$C,0))),"",INDEX('Policy Characteristics'!L:L,MATCH($C847,'Policy Characteristics'!$C:$C,0)))</f>
        <v>industry-energy-efficiency-standards.html</v>
      </c>
    </row>
    <row r="848" s="384" customFormat="1" customHeight="1" spans="1:18">
      <c r="A848" s="394" t="str">
        <f>IF(ISBLANK(INDEX('Policy Characteristics'!A:A,MATCH($C848,'Policy Characteristics'!$C:$C,0))),"",INDEX('Policy Characteristics'!A:A,MATCH($C848,'Policy Characteristics'!$C:$C,0)))</f>
        <v>Industry</v>
      </c>
      <c r="B848" s="395" t="str">
        <f>IF(ISBLANK(INDEX('Policy Characteristics'!B:B,MATCH($C848,'Policy Characteristics'!$C:$C,0))),"",INDEX('Policy Characteristics'!B:B,MATCH($C848,'Policy Characteristics'!$C:$C,0)))</f>
        <v>Industry Energy Efficiency Standards</v>
      </c>
      <c r="C848" s="394" t="str">
        <f t="shared" si="38"/>
        <v>Percentage Improvement in Eqpt Efficiency Standards above BAU</v>
      </c>
      <c r="D848" s="399" t="s">
        <v>760</v>
      </c>
      <c r="E848" s="399" t="s">
        <v>794</v>
      </c>
      <c r="F848" s="366" t="s">
        <v>761</v>
      </c>
      <c r="G848" s="399" t="s">
        <v>813</v>
      </c>
      <c r="H848" s="377">
        <v>1069</v>
      </c>
      <c r="I848" s="396" t="s">
        <v>648</v>
      </c>
      <c r="J848" s="397" t="str">
        <f>IF(ISBLANK(INDEX('Policy Characteristics'!D:D,MATCH($C848,'Policy Characteristics'!$C:$C,0))),"",INDEX('Policy Characteristics'!D:D,MATCH($C848,'Policy Characteristics'!$C:$C,0)))</f>
        <v>Industry Energy Efficiency Standards</v>
      </c>
      <c r="K848" s="394" t="str">
        <f>IF(ISBLANK(INDEX('Policy Characteristics'!E:E,MATCH($C848,'Policy Characteristics'!$C:$C,0))),"",INDEX('Policy Characteristics'!E:E,MATCH($C848,'Policy Characteristics'!$C:$C,0)))</f>
        <v>indst efficiency standards</v>
      </c>
      <c r="L848" s="398">
        <f>IF(ISBLANK(INDEX('Policy Characteristics'!F:F,MATCH($C848,'Policy Characteristics'!$C:$C,0))),"",INDEX('Policy Characteristics'!F:F,MATCH($C848,'Policy Characteristics'!$C:$C,0)))</f>
        <v>0</v>
      </c>
      <c r="M848" s="398">
        <f>IF(ISBLANK(INDEX('Policy Characteristics'!G:G,MATCH($C848,'Policy Characteristics'!$C:$C,0))),"",INDEX('Policy Characteristics'!G:G,MATCH($C848,'Policy Characteristics'!$C:$C,0)))</f>
        <v>0.25</v>
      </c>
      <c r="N848" s="398">
        <f>IF(ISBLANK(INDEX('Policy Characteristics'!H:H,MATCH($C848,'Policy Characteristics'!$C:$C,0))),"",INDEX('Policy Characteristics'!H:H,MATCH($C848,'Policy Characteristics'!$C:$C,0)))</f>
        <v>0.01</v>
      </c>
      <c r="O848" s="394" t="str">
        <f>IF(ISBLANK(INDEX('Policy Characteristics'!I:I,MATCH($C848,'Policy Characteristics'!$C:$C,0))),"",INDEX('Policy Characteristics'!I:I,MATCH($C848,'Policy Characteristics'!$C:$C,0)))</f>
        <v>% reduction in energy use</v>
      </c>
      <c r="P848" s="394" t="str">
        <f>IF(ISBLANK(INDEX('Policy Characteristics'!J:J,MATCH($C848,'Policy Characteristics'!$C:$C,0))),"",INDEX('Policy Characteristics'!J:J,MATCH($C848,'Policy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8" s="394" t="str">
        <f>IF(ISBLANK(INDEX('Policy Characteristics'!K:K,MATCH($C848,'Policy Characteristics'!$C:$C,0))),"",INDEX('Policy Characteristics'!K:K,MATCH($C848,'Policy Characteristics'!$C:$C,0)))</f>
        <v>industry-ag-main.html#eff-stds</v>
      </c>
      <c r="R848" s="394" t="str">
        <f>IF(ISBLANK(INDEX('Policy Characteristics'!L:L,MATCH($C848,'Policy Characteristics'!$C:$C,0))),"",INDEX('Policy Characteristics'!L:L,MATCH($C848,'Policy Characteristics'!$C:$C,0)))</f>
        <v>industry-energy-efficiency-standards.html</v>
      </c>
    </row>
    <row r="849" s="384" customFormat="1" customHeight="1" spans="1:18">
      <c r="A849" s="394" t="str">
        <f>IF(ISBLANK(INDEX('Policy Characteristics'!A:A,MATCH($C849,'Policy Characteristics'!$C:$C,0))),"",INDEX('Policy Characteristics'!A:A,MATCH($C849,'Policy Characteristics'!$C:$C,0)))</f>
        <v>Industry</v>
      </c>
      <c r="B849" s="395" t="str">
        <f>IF(ISBLANK(INDEX('Policy Characteristics'!B:B,MATCH($C849,'Policy Characteristics'!$C:$C,0))),"",INDEX('Policy Characteristics'!B:B,MATCH($C849,'Policy Characteristics'!$C:$C,0)))</f>
        <v>Industry Energy Efficiency Standards</v>
      </c>
      <c r="C849" s="394" t="str">
        <f t="shared" si="38"/>
        <v>Percentage Improvement in Eqpt Efficiency Standards above BAU</v>
      </c>
      <c r="D849" s="399" t="s">
        <v>760</v>
      </c>
      <c r="E849" s="399" t="s">
        <v>796</v>
      </c>
      <c r="F849" s="366" t="s">
        <v>761</v>
      </c>
      <c r="G849" s="399" t="s">
        <v>814</v>
      </c>
      <c r="H849" s="377">
        <v>1070</v>
      </c>
      <c r="I849" s="396" t="s">
        <v>648</v>
      </c>
      <c r="J849" s="397" t="str">
        <f>IF(ISBLANK(INDEX('Policy Characteristics'!D:D,MATCH($C849,'Policy Characteristics'!$C:$C,0))),"",INDEX('Policy Characteristics'!D:D,MATCH($C849,'Policy Characteristics'!$C:$C,0)))</f>
        <v>Industry Energy Efficiency Standards</v>
      </c>
      <c r="K849" s="394" t="str">
        <f>IF(ISBLANK(INDEX('Policy Characteristics'!E:E,MATCH($C849,'Policy Characteristics'!$C:$C,0))),"",INDEX('Policy Characteristics'!E:E,MATCH($C849,'Policy Characteristics'!$C:$C,0)))</f>
        <v>indst efficiency standards</v>
      </c>
      <c r="L849" s="398">
        <f>IF(ISBLANK(INDEX('Policy Characteristics'!F:F,MATCH($C849,'Policy Characteristics'!$C:$C,0))),"",INDEX('Policy Characteristics'!F:F,MATCH($C849,'Policy Characteristics'!$C:$C,0)))</f>
        <v>0</v>
      </c>
      <c r="M849" s="398">
        <f>IF(ISBLANK(INDEX('Policy Characteristics'!G:G,MATCH($C849,'Policy Characteristics'!$C:$C,0))),"",INDEX('Policy Characteristics'!G:G,MATCH($C849,'Policy Characteristics'!$C:$C,0)))</f>
        <v>0.25</v>
      </c>
      <c r="N849" s="398">
        <f>IF(ISBLANK(INDEX('Policy Characteristics'!H:H,MATCH($C849,'Policy Characteristics'!$C:$C,0))),"",INDEX('Policy Characteristics'!H:H,MATCH($C849,'Policy Characteristics'!$C:$C,0)))</f>
        <v>0.01</v>
      </c>
      <c r="O849" s="394" t="str">
        <f>IF(ISBLANK(INDEX('Policy Characteristics'!I:I,MATCH($C849,'Policy Characteristics'!$C:$C,0))),"",INDEX('Policy Characteristics'!I:I,MATCH($C849,'Policy Characteristics'!$C:$C,0)))</f>
        <v>% reduction in energy use</v>
      </c>
      <c r="P849" s="394" t="str">
        <f>IF(ISBLANK(INDEX('Policy Characteristics'!J:J,MATCH($C849,'Policy Characteristics'!$C:$C,0))),"",INDEX('Policy Characteristics'!J:J,MATCH($C849,'Policy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9" s="394" t="str">
        <f>IF(ISBLANK(INDEX('Policy Characteristics'!K:K,MATCH($C849,'Policy Characteristics'!$C:$C,0))),"",INDEX('Policy Characteristics'!K:K,MATCH($C849,'Policy Characteristics'!$C:$C,0)))</f>
        <v>industry-ag-main.html#eff-stds</v>
      </c>
      <c r="R849" s="394" t="str">
        <f>IF(ISBLANK(INDEX('Policy Characteristics'!L:L,MATCH($C849,'Policy Characteristics'!$C:$C,0))),"",INDEX('Policy Characteristics'!L:L,MATCH($C849,'Policy Characteristics'!$C:$C,0)))</f>
        <v>industry-energy-efficiency-standards.html</v>
      </c>
    </row>
    <row r="850" s="384" customFormat="1" customHeight="1" spans="1:18">
      <c r="A850" s="394" t="str">
        <f>IF(ISBLANK(INDEX('Policy Characteristics'!A:A,MATCH($C850,'Policy Characteristics'!$C:$C,0))),"",INDEX('Policy Characteristics'!A:A,MATCH($C850,'Policy Characteristics'!$C:$C,0)))</f>
        <v>Industry</v>
      </c>
      <c r="B850" s="395" t="str">
        <f>IF(ISBLANK(INDEX('Policy Characteristics'!B:B,MATCH($C850,'Policy Characteristics'!$C:$C,0))),"",INDEX('Policy Characteristics'!B:B,MATCH($C850,'Policy Characteristics'!$C:$C,0)))</f>
        <v>Industry Energy Efficiency Standards</v>
      </c>
      <c r="C850" s="394" t="str">
        <f t="shared" si="38"/>
        <v>Percentage Improvement in Eqpt Efficiency Standards above BAU</v>
      </c>
      <c r="D850" s="399" t="s">
        <v>760</v>
      </c>
      <c r="E850" s="399" t="s">
        <v>798</v>
      </c>
      <c r="F850" s="366" t="s">
        <v>761</v>
      </c>
      <c r="G850" s="399" t="s">
        <v>815</v>
      </c>
      <c r="H850" s="377">
        <v>1071</v>
      </c>
      <c r="I850" s="396" t="s">
        <v>648</v>
      </c>
      <c r="J850" s="397" t="str">
        <f>IF(ISBLANK(INDEX('Policy Characteristics'!D:D,MATCH($C850,'Policy Characteristics'!$C:$C,0))),"",INDEX('Policy Characteristics'!D:D,MATCH($C850,'Policy Characteristics'!$C:$C,0)))</f>
        <v>Industry Energy Efficiency Standards</v>
      </c>
      <c r="K850" s="394" t="str">
        <f>IF(ISBLANK(INDEX('Policy Characteristics'!E:E,MATCH($C850,'Policy Characteristics'!$C:$C,0))),"",INDEX('Policy Characteristics'!E:E,MATCH($C850,'Policy Characteristics'!$C:$C,0)))</f>
        <v>indst efficiency standards</v>
      </c>
      <c r="L850" s="398">
        <f>IF(ISBLANK(INDEX('Policy Characteristics'!F:F,MATCH($C850,'Policy Characteristics'!$C:$C,0))),"",INDEX('Policy Characteristics'!F:F,MATCH($C850,'Policy Characteristics'!$C:$C,0)))</f>
        <v>0</v>
      </c>
      <c r="M850" s="398">
        <f>IF(ISBLANK(INDEX('Policy Characteristics'!G:G,MATCH($C850,'Policy Characteristics'!$C:$C,0))),"",INDEX('Policy Characteristics'!G:G,MATCH($C850,'Policy Characteristics'!$C:$C,0)))</f>
        <v>0.25</v>
      </c>
      <c r="N850" s="398">
        <f>IF(ISBLANK(INDEX('Policy Characteristics'!H:H,MATCH($C850,'Policy Characteristics'!$C:$C,0))),"",INDEX('Policy Characteristics'!H:H,MATCH($C850,'Policy Characteristics'!$C:$C,0)))</f>
        <v>0.01</v>
      </c>
      <c r="O850" s="394" t="str">
        <f>IF(ISBLANK(INDEX('Policy Characteristics'!I:I,MATCH($C850,'Policy Characteristics'!$C:$C,0))),"",INDEX('Policy Characteristics'!I:I,MATCH($C850,'Policy Characteristics'!$C:$C,0)))</f>
        <v>% reduction in energy use</v>
      </c>
      <c r="P850" s="394" t="str">
        <f>IF(ISBLANK(INDEX('Policy Characteristics'!J:J,MATCH($C850,'Policy Characteristics'!$C:$C,0))),"",INDEX('Policy Characteristics'!J:J,MATCH($C850,'Policy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0" s="394" t="str">
        <f>IF(ISBLANK(INDEX('Policy Characteristics'!K:K,MATCH($C850,'Policy Characteristics'!$C:$C,0))),"",INDEX('Policy Characteristics'!K:K,MATCH($C850,'Policy Characteristics'!$C:$C,0)))</f>
        <v>industry-ag-main.html#eff-stds</v>
      </c>
      <c r="R850" s="394" t="str">
        <f>IF(ISBLANK(INDEX('Policy Characteristics'!L:L,MATCH($C850,'Policy Characteristics'!$C:$C,0))),"",INDEX('Policy Characteristics'!L:L,MATCH($C850,'Policy Characteristics'!$C:$C,0)))</f>
        <v>industry-energy-efficiency-standards.html</v>
      </c>
    </row>
    <row r="851" s="384" customFormat="1" customHeight="1" spans="1:18">
      <c r="A851" s="394" t="str">
        <f>IF(ISBLANK(INDEX('Policy Characteristics'!A:A,MATCH($C851,'Policy Characteristics'!$C:$C,0))),"",INDEX('Policy Characteristics'!A:A,MATCH($C851,'Policy Characteristics'!$C:$C,0)))</f>
        <v>Industry</v>
      </c>
      <c r="B851" s="395" t="str">
        <f>IF(ISBLANK(INDEX('Policy Characteristics'!B:B,MATCH($C851,'Policy Characteristics'!$C:$C,0))),"",INDEX('Policy Characteristics'!B:B,MATCH($C851,'Policy Characteristics'!$C:$C,0)))</f>
        <v>Industry Energy Efficiency Standards</v>
      </c>
      <c r="C851" s="394" t="str">
        <f t="shared" si="38"/>
        <v>Percentage Improvement in Eqpt Efficiency Standards above BAU</v>
      </c>
      <c r="D851" s="399" t="s">
        <v>760</v>
      </c>
      <c r="E851" s="399" t="s">
        <v>800</v>
      </c>
      <c r="F851" s="366" t="s">
        <v>761</v>
      </c>
      <c r="G851" s="399" t="s">
        <v>816</v>
      </c>
      <c r="H851" s="377">
        <v>1072</v>
      </c>
      <c r="I851" s="396" t="s">
        <v>648</v>
      </c>
      <c r="J851" s="397" t="str">
        <f>IF(ISBLANK(INDEX('Policy Characteristics'!D:D,MATCH($C851,'Policy Characteristics'!$C:$C,0))),"",INDEX('Policy Characteristics'!D:D,MATCH($C851,'Policy Characteristics'!$C:$C,0)))</f>
        <v>Industry Energy Efficiency Standards</v>
      </c>
      <c r="K851" s="394" t="str">
        <f>IF(ISBLANK(INDEX('Policy Characteristics'!E:E,MATCH($C851,'Policy Characteristics'!$C:$C,0))),"",INDEX('Policy Characteristics'!E:E,MATCH($C851,'Policy Characteristics'!$C:$C,0)))</f>
        <v>indst efficiency standards</v>
      </c>
      <c r="L851" s="398">
        <f>IF(ISBLANK(INDEX('Policy Characteristics'!F:F,MATCH($C851,'Policy Characteristics'!$C:$C,0))),"",INDEX('Policy Characteristics'!F:F,MATCH($C851,'Policy Characteristics'!$C:$C,0)))</f>
        <v>0</v>
      </c>
      <c r="M851" s="398">
        <f>IF(ISBLANK(INDEX('Policy Characteristics'!G:G,MATCH($C851,'Policy Characteristics'!$C:$C,0))),"",INDEX('Policy Characteristics'!G:G,MATCH($C851,'Policy Characteristics'!$C:$C,0)))</f>
        <v>0.25</v>
      </c>
      <c r="N851" s="398">
        <f>IF(ISBLANK(INDEX('Policy Characteristics'!H:H,MATCH($C851,'Policy Characteristics'!$C:$C,0))),"",INDEX('Policy Characteristics'!H:H,MATCH($C851,'Policy Characteristics'!$C:$C,0)))</f>
        <v>0.01</v>
      </c>
      <c r="O851" s="394" t="str">
        <f>IF(ISBLANK(INDEX('Policy Characteristics'!I:I,MATCH($C851,'Policy Characteristics'!$C:$C,0))),"",INDEX('Policy Characteristics'!I:I,MATCH($C851,'Policy Characteristics'!$C:$C,0)))</f>
        <v>% reduction in energy use</v>
      </c>
      <c r="P851" s="394" t="str">
        <f>IF(ISBLANK(INDEX('Policy Characteristics'!J:J,MATCH($C851,'Policy Characteristics'!$C:$C,0))),"",INDEX('Policy Characteristics'!J:J,MATCH($C851,'Policy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1" s="394" t="str">
        <f>IF(ISBLANK(INDEX('Policy Characteristics'!K:K,MATCH($C851,'Policy Characteristics'!$C:$C,0))),"",INDEX('Policy Characteristics'!K:K,MATCH($C851,'Policy Characteristics'!$C:$C,0)))</f>
        <v>industry-ag-main.html#eff-stds</v>
      </c>
      <c r="R851" s="394" t="str">
        <f>IF(ISBLANK(INDEX('Policy Characteristics'!L:L,MATCH($C851,'Policy Characteristics'!$C:$C,0))),"",INDEX('Policy Characteristics'!L:L,MATCH($C851,'Policy Characteristics'!$C:$C,0)))</f>
        <v>industry-energy-efficiency-standards.html</v>
      </c>
    </row>
    <row r="852" s="384" customFormat="1" customHeight="1" spans="1:18">
      <c r="A852" s="394" t="str">
        <f>IF(ISBLANK(INDEX('Policy Characteristics'!A:A,MATCH($C852,'Policy Characteristics'!$C:$C,0))),"",INDEX('Policy Characteristics'!A:A,MATCH($C852,'Policy Characteristics'!$C:$C,0)))</f>
        <v>Industry</v>
      </c>
      <c r="B852" s="395" t="str">
        <f>IF(ISBLANK(INDEX('Policy Characteristics'!B:B,MATCH($C852,'Policy Characteristics'!$C:$C,0))),"",INDEX('Policy Characteristics'!B:B,MATCH($C852,'Policy Characteristics'!$C:$C,0)))</f>
        <v>Industry Energy Efficiency Standards</v>
      </c>
      <c r="C852" s="394" t="str">
        <f t="shared" si="38"/>
        <v>Percentage Improvement in Eqpt Efficiency Standards above BAU</v>
      </c>
      <c r="D852" s="399" t="s">
        <v>760</v>
      </c>
      <c r="E852" s="399" t="s">
        <v>802</v>
      </c>
      <c r="F852" s="366" t="s">
        <v>761</v>
      </c>
      <c r="G852" s="399" t="s">
        <v>817</v>
      </c>
      <c r="H852" s="377">
        <v>1073</v>
      </c>
      <c r="I852" s="396" t="s">
        <v>648</v>
      </c>
      <c r="J852" s="397" t="str">
        <f>IF(ISBLANK(INDEX('Policy Characteristics'!D:D,MATCH($C852,'Policy Characteristics'!$C:$C,0))),"",INDEX('Policy Characteristics'!D:D,MATCH($C852,'Policy Characteristics'!$C:$C,0)))</f>
        <v>Industry Energy Efficiency Standards</v>
      </c>
      <c r="K852" s="394" t="str">
        <f>IF(ISBLANK(INDEX('Policy Characteristics'!E:E,MATCH($C852,'Policy Characteristics'!$C:$C,0))),"",INDEX('Policy Characteristics'!E:E,MATCH($C852,'Policy Characteristics'!$C:$C,0)))</f>
        <v>indst efficiency standards</v>
      </c>
      <c r="L852" s="398">
        <f>IF(ISBLANK(INDEX('Policy Characteristics'!F:F,MATCH($C852,'Policy Characteristics'!$C:$C,0))),"",INDEX('Policy Characteristics'!F:F,MATCH($C852,'Policy Characteristics'!$C:$C,0)))</f>
        <v>0</v>
      </c>
      <c r="M852" s="398">
        <f>IF(ISBLANK(INDEX('Policy Characteristics'!G:G,MATCH($C852,'Policy Characteristics'!$C:$C,0))),"",INDEX('Policy Characteristics'!G:G,MATCH($C852,'Policy Characteristics'!$C:$C,0)))</f>
        <v>0.25</v>
      </c>
      <c r="N852" s="398">
        <f>IF(ISBLANK(INDEX('Policy Characteristics'!H:H,MATCH($C852,'Policy Characteristics'!$C:$C,0))),"",INDEX('Policy Characteristics'!H:H,MATCH($C852,'Policy Characteristics'!$C:$C,0)))</f>
        <v>0.01</v>
      </c>
      <c r="O852" s="394" t="str">
        <f>IF(ISBLANK(INDEX('Policy Characteristics'!I:I,MATCH($C852,'Policy Characteristics'!$C:$C,0))),"",INDEX('Policy Characteristics'!I:I,MATCH($C852,'Policy Characteristics'!$C:$C,0)))</f>
        <v>% reduction in energy use</v>
      </c>
      <c r="P852" s="394" t="str">
        <f>IF(ISBLANK(INDEX('Policy Characteristics'!J:J,MATCH($C852,'Policy Characteristics'!$C:$C,0))),"",INDEX('Policy Characteristics'!J:J,MATCH($C852,'Policy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2" s="394" t="str">
        <f>IF(ISBLANK(INDEX('Policy Characteristics'!K:K,MATCH($C852,'Policy Characteristics'!$C:$C,0))),"",INDEX('Policy Characteristics'!K:K,MATCH($C852,'Policy Characteristics'!$C:$C,0)))</f>
        <v>industry-ag-main.html#eff-stds</v>
      </c>
      <c r="R852" s="394" t="str">
        <f>IF(ISBLANK(INDEX('Policy Characteristics'!L:L,MATCH($C852,'Policy Characteristics'!$C:$C,0))),"",INDEX('Policy Characteristics'!L:L,MATCH($C852,'Policy Characteristics'!$C:$C,0)))</f>
        <v>industry-energy-efficiency-standards.html</v>
      </c>
    </row>
    <row r="853" s="384" customFormat="1" customHeight="1" spans="1:18">
      <c r="A853" s="394" t="str">
        <f>IF(ISBLANK(INDEX('Policy Characteristics'!A:A,MATCH($C853,'Policy Characteristics'!$C:$C,0))),"",INDEX('Policy Characteristics'!A:A,MATCH($C853,'Policy Characteristics'!$C:$C,0)))</f>
        <v>Industry</v>
      </c>
      <c r="B853" s="395" t="str">
        <f>IF(ISBLANK(INDEX('Policy Characteristics'!B:B,MATCH($C853,'Policy Characteristics'!$C:$C,0))),"",INDEX('Policy Characteristics'!B:B,MATCH($C853,'Policy Characteristics'!$C:$C,0)))</f>
        <v>Industry Energy Efficiency Standards</v>
      </c>
      <c r="C853" s="394" t="str">
        <f t="shared" si="38"/>
        <v>Percentage Improvement in Eqpt Efficiency Standards above BAU</v>
      </c>
      <c r="D853" s="399" t="s">
        <v>760</v>
      </c>
      <c r="E853" s="399" t="s">
        <v>804</v>
      </c>
      <c r="F853" s="366" t="s">
        <v>761</v>
      </c>
      <c r="G853" s="399" t="s">
        <v>818</v>
      </c>
      <c r="H853" s="377">
        <v>1074</v>
      </c>
      <c r="I853" s="396" t="s">
        <v>648</v>
      </c>
      <c r="J853" s="397" t="str">
        <f>IF(ISBLANK(INDEX('Policy Characteristics'!D:D,MATCH($C853,'Policy Characteristics'!$C:$C,0))),"",INDEX('Policy Characteristics'!D:D,MATCH($C853,'Policy Characteristics'!$C:$C,0)))</f>
        <v>Industry Energy Efficiency Standards</v>
      </c>
      <c r="K853" s="394" t="str">
        <f>IF(ISBLANK(INDEX('Policy Characteristics'!E:E,MATCH($C853,'Policy Characteristics'!$C:$C,0))),"",INDEX('Policy Characteristics'!E:E,MATCH($C853,'Policy Characteristics'!$C:$C,0)))</f>
        <v>indst efficiency standards</v>
      </c>
      <c r="L853" s="398">
        <f>IF(ISBLANK(INDEX('Policy Characteristics'!F:F,MATCH($C853,'Policy Characteristics'!$C:$C,0))),"",INDEX('Policy Characteristics'!F:F,MATCH($C853,'Policy Characteristics'!$C:$C,0)))</f>
        <v>0</v>
      </c>
      <c r="M853" s="398">
        <f>IF(ISBLANK(INDEX('Policy Characteristics'!G:G,MATCH($C853,'Policy Characteristics'!$C:$C,0))),"",INDEX('Policy Characteristics'!G:G,MATCH($C853,'Policy Characteristics'!$C:$C,0)))</f>
        <v>0.25</v>
      </c>
      <c r="N853" s="398">
        <f>IF(ISBLANK(INDEX('Policy Characteristics'!H:H,MATCH($C853,'Policy Characteristics'!$C:$C,0))),"",INDEX('Policy Characteristics'!H:H,MATCH($C853,'Policy Characteristics'!$C:$C,0)))</f>
        <v>0.01</v>
      </c>
      <c r="O853" s="394" t="str">
        <f>IF(ISBLANK(INDEX('Policy Characteristics'!I:I,MATCH($C853,'Policy Characteristics'!$C:$C,0))),"",INDEX('Policy Characteristics'!I:I,MATCH($C853,'Policy Characteristics'!$C:$C,0)))</f>
        <v>% reduction in energy use</v>
      </c>
      <c r="P853" s="394" t="str">
        <f>IF(ISBLANK(INDEX('Policy Characteristics'!J:J,MATCH($C853,'Policy Characteristics'!$C:$C,0))),"",INDEX('Policy Characteristics'!J:J,MATCH($C853,'Policy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3" s="394" t="str">
        <f>IF(ISBLANK(INDEX('Policy Characteristics'!K:K,MATCH($C853,'Policy Characteristics'!$C:$C,0))),"",INDEX('Policy Characteristics'!K:K,MATCH($C853,'Policy Characteristics'!$C:$C,0)))</f>
        <v>industry-ag-main.html#eff-stds</v>
      </c>
      <c r="R853" s="394" t="str">
        <f>IF(ISBLANK(INDEX('Policy Characteristics'!L:L,MATCH($C853,'Policy Characteristics'!$C:$C,0))),"",INDEX('Policy Characteristics'!L:L,MATCH($C853,'Policy Characteristics'!$C:$C,0)))</f>
        <v>industry-energy-efficiency-standards.html</v>
      </c>
    </row>
    <row r="854" s="384" customFormat="1" customHeight="1" spans="1:18">
      <c r="A854" s="394" t="str">
        <f>IF(ISBLANK(INDEX('Policy Characteristics'!A:A,MATCH($C854,'Policy Characteristics'!$C:$C,0))),"",INDEX('Policy Characteristics'!A:A,MATCH($C854,'Policy Characteristics'!$C:$C,0)))</f>
        <v>Industry</v>
      </c>
      <c r="B854" s="395" t="str">
        <f>IF(ISBLANK(INDEX('Policy Characteristics'!B:B,MATCH($C854,'Policy Characteristics'!$C:$C,0))),"",INDEX('Policy Characteristics'!B:B,MATCH($C854,'Policy Characteristics'!$C:$C,0)))</f>
        <v>Industry Energy Efficiency Standards</v>
      </c>
      <c r="C854" s="394" t="str">
        <f t="shared" si="38"/>
        <v>Percentage Improvement in Eqpt Efficiency Standards above BAU</v>
      </c>
      <c r="D854" s="399" t="s">
        <v>760</v>
      </c>
      <c r="E854" s="399" t="s">
        <v>806</v>
      </c>
      <c r="F854" s="366" t="s">
        <v>761</v>
      </c>
      <c r="G854" s="399" t="s">
        <v>819</v>
      </c>
      <c r="H854" s="377">
        <v>1075</v>
      </c>
      <c r="I854" s="396" t="s">
        <v>648</v>
      </c>
      <c r="J854" s="397" t="str">
        <f>IF(ISBLANK(INDEX('Policy Characteristics'!D:D,MATCH($C854,'Policy Characteristics'!$C:$C,0))),"",INDEX('Policy Characteristics'!D:D,MATCH($C854,'Policy Characteristics'!$C:$C,0)))</f>
        <v>Industry Energy Efficiency Standards</v>
      </c>
      <c r="K854" s="394" t="str">
        <f>IF(ISBLANK(INDEX('Policy Characteristics'!E:E,MATCH($C854,'Policy Characteristics'!$C:$C,0))),"",INDEX('Policy Characteristics'!E:E,MATCH($C854,'Policy Characteristics'!$C:$C,0)))</f>
        <v>indst efficiency standards</v>
      </c>
      <c r="L854" s="398">
        <f>IF(ISBLANK(INDEX('Policy Characteristics'!F:F,MATCH($C854,'Policy Characteristics'!$C:$C,0))),"",INDEX('Policy Characteristics'!F:F,MATCH($C854,'Policy Characteristics'!$C:$C,0)))</f>
        <v>0</v>
      </c>
      <c r="M854" s="398">
        <f>IF(ISBLANK(INDEX('Policy Characteristics'!G:G,MATCH($C854,'Policy Characteristics'!$C:$C,0))),"",INDEX('Policy Characteristics'!G:G,MATCH($C854,'Policy Characteristics'!$C:$C,0)))</f>
        <v>0.25</v>
      </c>
      <c r="N854" s="398">
        <f>IF(ISBLANK(INDEX('Policy Characteristics'!H:H,MATCH($C854,'Policy Characteristics'!$C:$C,0))),"",INDEX('Policy Characteristics'!H:H,MATCH($C854,'Policy Characteristics'!$C:$C,0)))</f>
        <v>0.01</v>
      </c>
      <c r="O854" s="394" t="str">
        <f>IF(ISBLANK(INDEX('Policy Characteristics'!I:I,MATCH($C854,'Policy Characteristics'!$C:$C,0))),"",INDEX('Policy Characteristics'!I:I,MATCH($C854,'Policy Characteristics'!$C:$C,0)))</f>
        <v>% reduction in energy use</v>
      </c>
      <c r="P854" s="394" t="str">
        <f>IF(ISBLANK(INDEX('Policy Characteristics'!J:J,MATCH($C854,'Policy Characteristics'!$C:$C,0))),"",INDEX('Policy Characteristics'!J:J,MATCH($C854,'Policy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4" s="394" t="str">
        <f>IF(ISBLANK(INDEX('Policy Characteristics'!K:K,MATCH($C854,'Policy Characteristics'!$C:$C,0))),"",INDEX('Policy Characteristics'!K:K,MATCH($C854,'Policy Characteristics'!$C:$C,0)))</f>
        <v>industry-ag-main.html#eff-stds</v>
      </c>
      <c r="R854" s="394" t="str">
        <f>IF(ISBLANK(INDEX('Policy Characteristics'!L:L,MATCH($C854,'Policy Characteristics'!$C:$C,0))),"",INDEX('Policy Characteristics'!L:L,MATCH($C854,'Policy Characteristics'!$C:$C,0)))</f>
        <v>industry-energy-efficiency-standards.html</v>
      </c>
    </row>
    <row r="855" s="384" customFormat="1" customHeight="1" spans="1:18">
      <c r="A855" s="394" t="str">
        <f>IF(ISBLANK(INDEX('Policy Characteristics'!A:A,MATCH($C855,'Policy Characteristics'!$C:$C,0))),"",INDEX('Policy Characteristics'!A:A,MATCH($C855,'Policy Characteristics'!$C:$C,0)))</f>
        <v>Industry</v>
      </c>
      <c r="B855" s="395" t="str">
        <f>IF(ISBLANK(INDEX('Policy Characteristics'!B:B,MATCH($C855,'Policy Characteristics'!$C:$C,0))),"",INDEX('Policy Characteristics'!B:B,MATCH($C855,'Policy Characteristics'!$C:$C,0)))</f>
        <v>Industry Energy Efficiency Standards</v>
      </c>
      <c r="C855" s="394" t="str">
        <f t="shared" si="38"/>
        <v>Percentage Improvement in Eqpt Efficiency Standards above BAU</v>
      </c>
      <c r="D855" s="399" t="s">
        <v>760</v>
      </c>
      <c r="E855" s="399" t="s">
        <v>808</v>
      </c>
      <c r="F855" s="366" t="s">
        <v>761</v>
      </c>
      <c r="G855" s="399" t="s">
        <v>820</v>
      </c>
      <c r="H855" s="377">
        <v>1076</v>
      </c>
      <c r="I855" s="396" t="s">
        <v>648</v>
      </c>
      <c r="J855" s="397" t="str">
        <f>IF(ISBLANK(INDEX('Policy Characteristics'!D:D,MATCH($C855,'Policy Characteristics'!$C:$C,0))),"",INDEX('Policy Characteristics'!D:D,MATCH($C855,'Policy Characteristics'!$C:$C,0)))</f>
        <v>Industry Energy Efficiency Standards</v>
      </c>
      <c r="K855" s="394" t="str">
        <f>IF(ISBLANK(INDEX('Policy Characteristics'!E:E,MATCH($C855,'Policy Characteristics'!$C:$C,0))),"",INDEX('Policy Characteristics'!E:E,MATCH($C855,'Policy Characteristics'!$C:$C,0)))</f>
        <v>indst efficiency standards</v>
      </c>
      <c r="L855" s="398">
        <f>IF(ISBLANK(INDEX('Policy Characteristics'!F:F,MATCH($C855,'Policy Characteristics'!$C:$C,0))),"",INDEX('Policy Characteristics'!F:F,MATCH($C855,'Policy Characteristics'!$C:$C,0)))</f>
        <v>0</v>
      </c>
      <c r="M855" s="398">
        <f>IF(ISBLANK(INDEX('Policy Characteristics'!G:G,MATCH($C855,'Policy Characteristics'!$C:$C,0))),"",INDEX('Policy Characteristics'!G:G,MATCH($C855,'Policy Characteristics'!$C:$C,0)))</f>
        <v>0.25</v>
      </c>
      <c r="N855" s="398">
        <f>IF(ISBLANK(INDEX('Policy Characteristics'!H:H,MATCH($C855,'Policy Characteristics'!$C:$C,0))),"",INDEX('Policy Characteristics'!H:H,MATCH($C855,'Policy Characteristics'!$C:$C,0)))</f>
        <v>0.01</v>
      </c>
      <c r="O855" s="394" t="str">
        <f>IF(ISBLANK(INDEX('Policy Characteristics'!I:I,MATCH($C855,'Policy Characteristics'!$C:$C,0))),"",INDEX('Policy Characteristics'!I:I,MATCH($C855,'Policy Characteristics'!$C:$C,0)))</f>
        <v>% reduction in energy use</v>
      </c>
      <c r="P855" s="394" t="str">
        <f>IF(ISBLANK(INDEX('Policy Characteristics'!J:J,MATCH($C855,'Policy Characteristics'!$C:$C,0))),"",INDEX('Policy Characteristics'!J:J,MATCH($C855,'Policy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5" s="394" t="str">
        <f>IF(ISBLANK(INDEX('Policy Characteristics'!K:K,MATCH($C855,'Policy Characteristics'!$C:$C,0))),"",INDEX('Policy Characteristics'!K:K,MATCH($C855,'Policy Characteristics'!$C:$C,0)))</f>
        <v>industry-ag-main.html#eff-stds</v>
      </c>
      <c r="R855" s="394" t="str">
        <f>IF(ISBLANK(INDEX('Policy Characteristics'!L:L,MATCH($C855,'Policy Characteristics'!$C:$C,0))),"",INDEX('Policy Characteristics'!L:L,MATCH($C855,'Policy Characteristics'!$C:$C,0)))</f>
        <v>industry-energy-efficiency-standards.html</v>
      </c>
    </row>
    <row r="856" s="384" customFormat="1" customHeight="1" spans="1:18">
      <c r="A856" s="394" t="str">
        <f>IF(ISBLANK(INDEX('Policy Characteristics'!A:A,MATCH($C856,'Policy Characteristics'!$C:$C,0))),"",INDEX('Policy Characteristics'!A:A,MATCH($C856,'Policy Characteristics'!$C:$C,0)))</f>
        <v>Industry</v>
      </c>
      <c r="B856" s="395" t="str">
        <f>IF(ISBLANK(INDEX('Policy Characteristics'!B:B,MATCH($C856,'Policy Characteristics'!$C:$C,0))),"",INDEX('Policy Characteristics'!B:B,MATCH($C856,'Policy Characteristics'!$C:$C,0)))</f>
        <v>Industry Energy Efficiency Standards</v>
      </c>
      <c r="C856" s="394" t="str">
        <f t="shared" si="38"/>
        <v>Percentage Improvement in Eqpt Efficiency Standards above BAU</v>
      </c>
      <c r="D856" s="399" t="s">
        <v>760</v>
      </c>
      <c r="E856" s="399" t="s">
        <v>810</v>
      </c>
      <c r="F856" s="366" t="s">
        <v>761</v>
      </c>
      <c r="G856" s="399" t="s">
        <v>821</v>
      </c>
      <c r="H856" s="377">
        <v>1077</v>
      </c>
      <c r="I856" s="396" t="s">
        <v>648</v>
      </c>
      <c r="J856" s="397" t="str">
        <f>IF(ISBLANK(INDEX('Policy Characteristics'!D:D,MATCH($C856,'Policy Characteristics'!$C:$C,0))),"",INDEX('Policy Characteristics'!D:D,MATCH($C856,'Policy Characteristics'!$C:$C,0)))</f>
        <v>Industry Energy Efficiency Standards</v>
      </c>
      <c r="K856" s="394" t="str">
        <f>IF(ISBLANK(INDEX('Policy Characteristics'!E:E,MATCH($C856,'Policy Characteristics'!$C:$C,0))),"",INDEX('Policy Characteristics'!E:E,MATCH($C856,'Policy Characteristics'!$C:$C,0)))</f>
        <v>indst efficiency standards</v>
      </c>
      <c r="L856" s="398">
        <f>IF(ISBLANK(INDEX('Policy Characteristics'!F:F,MATCH($C856,'Policy Characteristics'!$C:$C,0))),"",INDEX('Policy Characteristics'!F:F,MATCH($C856,'Policy Characteristics'!$C:$C,0)))</f>
        <v>0</v>
      </c>
      <c r="M856" s="398">
        <f>IF(ISBLANK(INDEX('Policy Characteristics'!G:G,MATCH($C856,'Policy Characteristics'!$C:$C,0))),"",INDEX('Policy Characteristics'!G:G,MATCH($C856,'Policy Characteristics'!$C:$C,0)))</f>
        <v>0.25</v>
      </c>
      <c r="N856" s="398">
        <f>IF(ISBLANK(INDEX('Policy Characteristics'!H:H,MATCH($C856,'Policy Characteristics'!$C:$C,0))),"",INDEX('Policy Characteristics'!H:H,MATCH($C856,'Policy Characteristics'!$C:$C,0)))</f>
        <v>0.01</v>
      </c>
      <c r="O856" s="394" t="str">
        <f>IF(ISBLANK(INDEX('Policy Characteristics'!I:I,MATCH($C856,'Policy Characteristics'!$C:$C,0))),"",INDEX('Policy Characteristics'!I:I,MATCH($C856,'Policy Characteristics'!$C:$C,0)))</f>
        <v>% reduction in energy use</v>
      </c>
      <c r="P856" s="394" t="str">
        <f>IF(ISBLANK(INDEX('Policy Characteristics'!J:J,MATCH($C856,'Policy Characteristics'!$C:$C,0))),"",INDEX('Policy Characteristics'!J:J,MATCH($C856,'Policy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6" s="394" t="str">
        <f>IF(ISBLANK(INDEX('Policy Characteristics'!K:K,MATCH($C856,'Policy Characteristics'!$C:$C,0))),"",INDEX('Policy Characteristics'!K:K,MATCH($C856,'Policy Characteristics'!$C:$C,0)))</f>
        <v>industry-ag-main.html#eff-stds</v>
      </c>
      <c r="R856" s="394" t="str">
        <f>IF(ISBLANK(INDEX('Policy Characteristics'!L:L,MATCH($C856,'Policy Characteristics'!$C:$C,0))),"",INDEX('Policy Characteristics'!L:L,MATCH($C856,'Policy Characteristics'!$C:$C,0)))</f>
        <v>industry-energy-efficiency-standards.html</v>
      </c>
    </row>
    <row r="857" s="384" customFormat="1" customHeight="1" spans="1:18">
      <c r="A857" s="394" t="str">
        <f>IF(ISBLANK(INDEX('Policy Characteristics'!A:A,MATCH($C857,'Policy Characteristics'!$C:$C,0))),"",INDEX('Policy Characteristics'!A:A,MATCH($C857,'Policy Characteristics'!$C:$C,0)))</f>
        <v>Industry</v>
      </c>
      <c r="B857" s="395" t="str">
        <f>IF(ISBLANK(INDEX('Policy Characteristics'!B:B,MATCH($C857,'Policy Characteristics'!$C:$C,0))),"",INDEX('Policy Characteristics'!B:B,MATCH($C857,'Policy Characteristics'!$C:$C,0)))</f>
        <v>Industry Energy Efficiency Standards</v>
      </c>
      <c r="C857" s="394" t="str">
        <f t="shared" si="38"/>
        <v>Percentage Improvement in Eqpt Efficiency Standards above BAU</v>
      </c>
      <c r="D857" s="399" t="s">
        <v>762</v>
      </c>
      <c r="E857" s="399" t="s">
        <v>792</v>
      </c>
      <c r="F857" s="366" t="s">
        <v>763</v>
      </c>
      <c r="G857" s="399" t="s">
        <v>812</v>
      </c>
      <c r="H857" s="377">
        <v>1078</v>
      </c>
      <c r="I857" s="396" t="s">
        <v>648</v>
      </c>
      <c r="J857" s="397" t="str">
        <f>IF(ISBLANK(INDEX('Policy Characteristics'!D:D,MATCH($C857,'Policy Characteristics'!$C:$C,0))),"",INDEX('Policy Characteristics'!D:D,MATCH($C857,'Policy Characteristics'!$C:$C,0)))</f>
        <v>Industry Energy Efficiency Standards</v>
      </c>
      <c r="K857" s="394" t="str">
        <f>IF(ISBLANK(INDEX('Policy Characteristics'!E:E,MATCH($C857,'Policy Characteristics'!$C:$C,0))),"",INDEX('Policy Characteristics'!E:E,MATCH($C857,'Policy Characteristics'!$C:$C,0)))</f>
        <v>indst efficiency standards</v>
      </c>
      <c r="L857" s="398">
        <f>IF(ISBLANK(INDEX('Policy Characteristics'!F:F,MATCH($C857,'Policy Characteristics'!$C:$C,0))),"",INDEX('Policy Characteristics'!F:F,MATCH($C857,'Policy Characteristics'!$C:$C,0)))</f>
        <v>0</v>
      </c>
      <c r="M857" s="398">
        <f>IF(ISBLANK(INDEX('Policy Characteristics'!G:G,MATCH($C857,'Policy Characteristics'!$C:$C,0))),"",INDEX('Policy Characteristics'!G:G,MATCH($C857,'Policy Characteristics'!$C:$C,0)))</f>
        <v>0.25</v>
      </c>
      <c r="N857" s="398">
        <f>IF(ISBLANK(INDEX('Policy Characteristics'!H:H,MATCH($C857,'Policy Characteristics'!$C:$C,0))),"",INDEX('Policy Characteristics'!H:H,MATCH($C857,'Policy Characteristics'!$C:$C,0)))</f>
        <v>0.01</v>
      </c>
      <c r="O857" s="394" t="str">
        <f>IF(ISBLANK(INDEX('Policy Characteristics'!I:I,MATCH($C857,'Policy Characteristics'!$C:$C,0))),"",INDEX('Policy Characteristics'!I:I,MATCH($C857,'Policy Characteristics'!$C:$C,0)))</f>
        <v>% reduction in energy use</v>
      </c>
      <c r="P857" s="394" t="str">
        <f>IF(ISBLANK(INDEX('Policy Characteristics'!J:J,MATCH($C857,'Policy Characteristics'!$C:$C,0))),"",INDEX('Policy Characteristics'!J:J,MATCH($C857,'Policy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7" s="394" t="str">
        <f>IF(ISBLANK(INDEX('Policy Characteristics'!K:K,MATCH($C857,'Policy Characteristics'!$C:$C,0))),"",INDEX('Policy Characteristics'!K:K,MATCH($C857,'Policy Characteristics'!$C:$C,0)))</f>
        <v>industry-ag-main.html#eff-stds</v>
      </c>
      <c r="R857" s="394" t="str">
        <f>IF(ISBLANK(INDEX('Policy Characteristics'!L:L,MATCH($C857,'Policy Characteristics'!$C:$C,0))),"",INDEX('Policy Characteristics'!L:L,MATCH($C857,'Policy Characteristics'!$C:$C,0)))</f>
        <v>industry-energy-efficiency-standards.html</v>
      </c>
    </row>
    <row r="858" s="384" customFormat="1" customHeight="1" spans="1:18">
      <c r="A858" s="394" t="str">
        <f>IF(ISBLANK(INDEX('Policy Characteristics'!A:A,MATCH($C858,'Policy Characteristics'!$C:$C,0))),"",INDEX('Policy Characteristics'!A:A,MATCH($C858,'Policy Characteristics'!$C:$C,0)))</f>
        <v>Industry</v>
      </c>
      <c r="B858" s="395" t="str">
        <f>IF(ISBLANK(INDEX('Policy Characteristics'!B:B,MATCH($C858,'Policy Characteristics'!$C:$C,0))),"",INDEX('Policy Characteristics'!B:B,MATCH($C858,'Policy Characteristics'!$C:$C,0)))</f>
        <v>Industry Energy Efficiency Standards</v>
      </c>
      <c r="C858" s="394" t="str">
        <f t="shared" si="38"/>
        <v>Percentage Improvement in Eqpt Efficiency Standards above BAU</v>
      </c>
      <c r="D858" s="399" t="s">
        <v>762</v>
      </c>
      <c r="E858" s="399" t="s">
        <v>794</v>
      </c>
      <c r="F858" s="366" t="s">
        <v>763</v>
      </c>
      <c r="G858" s="399" t="s">
        <v>813</v>
      </c>
      <c r="H858" s="377">
        <v>1079</v>
      </c>
      <c r="I858" s="396" t="s">
        <v>648</v>
      </c>
      <c r="J858" s="397" t="str">
        <f>IF(ISBLANK(INDEX('Policy Characteristics'!D:D,MATCH($C858,'Policy Characteristics'!$C:$C,0))),"",INDEX('Policy Characteristics'!D:D,MATCH($C858,'Policy Characteristics'!$C:$C,0)))</f>
        <v>Industry Energy Efficiency Standards</v>
      </c>
      <c r="K858" s="394" t="str">
        <f>IF(ISBLANK(INDEX('Policy Characteristics'!E:E,MATCH($C858,'Policy Characteristics'!$C:$C,0))),"",INDEX('Policy Characteristics'!E:E,MATCH($C858,'Policy Characteristics'!$C:$C,0)))</f>
        <v>indst efficiency standards</v>
      </c>
      <c r="L858" s="398">
        <f>IF(ISBLANK(INDEX('Policy Characteristics'!F:F,MATCH($C858,'Policy Characteristics'!$C:$C,0))),"",INDEX('Policy Characteristics'!F:F,MATCH($C858,'Policy Characteristics'!$C:$C,0)))</f>
        <v>0</v>
      </c>
      <c r="M858" s="398">
        <f>IF(ISBLANK(INDEX('Policy Characteristics'!G:G,MATCH($C858,'Policy Characteristics'!$C:$C,0))),"",INDEX('Policy Characteristics'!G:G,MATCH($C858,'Policy Characteristics'!$C:$C,0)))</f>
        <v>0.25</v>
      </c>
      <c r="N858" s="398">
        <f>IF(ISBLANK(INDEX('Policy Characteristics'!H:H,MATCH($C858,'Policy Characteristics'!$C:$C,0))),"",INDEX('Policy Characteristics'!H:H,MATCH($C858,'Policy Characteristics'!$C:$C,0)))</f>
        <v>0.01</v>
      </c>
      <c r="O858" s="394" t="str">
        <f>IF(ISBLANK(INDEX('Policy Characteristics'!I:I,MATCH($C858,'Policy Characteristics'!$C:$C,0))),"",INDEX('Policy Characteristics'!I:I,MATCH($C858,'Policy Characteristics'!$C:$C,0)))</f>
        <v>% reduction in energy use</v>
      </c>
      <c r="P858" s="394" t="str">
        <f>IF(ISBLANK(INDEX('Policy Characteristics'!J:J,MATCH($C858,'Policy Characteristics'!$C:$C,0))),"",INDEX('Policy Characteristics'!J:J,MATCH($C858,'Policy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8" s="394" t="str">
        <f>IF(ISBLANK(INDEX('Policy Characteristics'!K:K,MATCH($C858,'Policy Characteristics'!$C:$C,0))),"",INDEX('Policy Characteristics'!K:K,MATCH($C858,'Policy Characteristics'!$C:$C,0)))</f>
        <v>industry-ag-main.html#eff-stds</v>
      </c>
      <c r="R858" s="394" t="str">
        <f>IF(ISBLANK(INDEX('Policy Characteristics'!L:L,MATCH($C858,'Policy Characteristics'!$C:$C,0))),"",INDEX('Policy Characteristics'!L:L,MATCH($C858,'Policy Characteristics'!$C:$C,0)))</f>
        <v>industry-energy-efficiency-standards.html</v>
      </c>
    </row>
    <row r="859" s="384" customFormat="1" customHeight="1" spans="1:18">
      <c r="A859" s="394" t="str">
        <f>IF(ISBLANK(INDEX('Policy Characteristics'!A:A,MATCH($C859,'Policy Characteristics'!$C:$C,0))),"",INDEX('Policy Characteristics'!A:A,MATCH($C859,'Policy Characteristics'!$C:$C,0)))</f>
        <v>Industry</v>
      </c>
      <c r="B859" s="395" t="str">
        <f>IF(ISBLANK(INDEX('Policy Characteristics'!B:B,MATCH($C859,'Policy Characteristics'!$C:$C,0))),"",INDEX('Policy Characteristics'!B:B,MATCH($C859,'Policy Characteristics'!$C:$C,0)))</f>
        <v>Industry Energy Efficiency Standards</v>
      </c>
      <c r="C859" s="394" t="str">
        <f t="shared" si="38"/>
        <v>Percentage Improvement in Eqpt Efficiency Standards above BAU</v>
      </c>
      <c r="D859" s="399" t="s">
        <v>762</v>
      </c>
      <c r="E859" s="399" t="s">
        <v>796</v>
      </c>
      <c r="F859" s="366" t="s">
        <v>763</v>
      </c>
      <c r="G859" s="399" t="s">
        <v>814</v>
      </c>
      <c r="H859" s="377">
        <v>1080</v>
      </c>
      <c r="I859" s="396" t="s">
        <v>648</v>
      </c>
      <c r="J859" s="397" t="str">
        <f>IF(ISBLANK(INDEX('Policy Characteristics'!D:D,MATCH($C859,'Policy Characteristics'!$C:$C,0))),"",INDEX('Policy Characteristics'!D:D,MATCH($C859,'Policy Characteristics'!$C:$C,0)))</f>
        <v>Industry Energy Efficiency Standards</v>
      </c>
      <c r="K859" s="394" t="str">
        <f>IF(ISBLANK(INDEX('Policy Characteristics'!E:E,MATCH($C859,'Policy Characteristics'!$C:$C,0))),"",INDEX('Policy Characteristics'!E:E,MATCH($C859,'Policy Characteristics'!$C:$C,0)))</f>
        <v>indst efficiency standards</v>
      </c>
      <c r="L859" s="398">
        <f>IF(ISBLANK(INDEX('Policy Characteristics'!F:F,MATCH($C859,'Policy Characteristics'!$C:$C,0))),"",INDEX('Policy Characteristics'!F:F,MATCH($C859,'Policy Characteristics'!$C:$C,0)))</f>
        <v>0</v>
      </c>
      <c r="M859" s="398">
        <f>IF(ISBLANK(INDEX('Policy Characteristics'!G:G,MATCH($C859,'Policy Characteristics'!$C:$C,0))),"",INDEX('Policy Characteristics'!G:G,MATCH($C859,'Policy Characteristics'!$C:$C,0)))</f>
        <v>0.25</v>
      </c>
      <c r="N859" s="398">
        <f>IF(ISBLANK(INDEX('Policy Characteristics'!H:H,MATCH($C859,'Policy Characteristics'!$C:$C,0))),"",INDEX('Policy Characteristics'!H:H,MATCH($C859,'Policy Characteristics'!$C:$C,0)))</f>
        <v>0.01</v>
      </c>
      <c r="O859" s="394" t="str">
        <f>IF(ISBLANK(INDEX('Policy Characteristics'!I:I,MATCH($C859,'Policy Characteristics'!$C:$C,0))),"",INDEX('Policy Characteristics'!I:I,MATCH($C859,'Policy Characteristics'!$C:$C,0)))</f>
        <v>% reduction in energy use</v>
      </c>
      <c r="P859" s="394" t="str">
        <f>IF(ISBLANK(INDEX('Policy Characteristics'!J:J,MATCH($C859,'Policy Characteristics'!$C:$C,0))),"",INDEX('Policy Characteristics'!J:J,MATCH($C859,'Policy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9" s="394" t="str">
        <f>IF(ISBLANK(INDEX('Policy Characteristics'!K:K,MATCH($C859,'Policy Characteristics'!$C:$C,0))),"",INDEX('Policy Characteristics'!K:K,MATCH($C859,'Policy Characteristics'!$C:$C,0)))</f>
        <v>industry-ag-main.html#eff-stds</v>
      </c>
      <c r="R859" s="394" t="str">
        <f>IF(ISBLANK(INDEX('Policy Characteristics'!L:L,MATCH($C859,'Policy Characteristics'!$C:$C,0))),"",INDEX('Policy Characteristics'!L:L,MATCH($C859,'Policy Characteristics'!$C:$C,0)))</f>
        <v>industry-energy-efficiency-standards.html</v>
      </c>
    </row>
    <row r="860" s="384" customFormat="1" customHeight="1" spans="1:18">
      <c r="A860" s="394" t="str">
        <f>IF(ISBLANK(INDEX('Policy Characteristics'!A:A,MATCH($C860,'Policy Characteristics'!$C:$C,0))),"",INDEX('Policy Characteristics'!A:A,MATCH($C860,'Policy Characteristics'!$C:$C,0)))</f>
        <v>Industry</v>
      </c>
      <c r="B860" s="395" t="str">
        <f>IF(ISBLANK(INDEX('Policy Characteristics'!B:B,MATCH($C860,'Policy Characteristics'!$C:$C,0))),"",INDEX('Policy Characteristics'!B:B,MATCH($C860,'Policy Characteristics'!$C:$C,0)))</f>
        <v>Industry Energy Efficiency Standards</v>
      </c>
      <c r="C860" s="394" t="str">
        <f t="shared" si="38"/>
        <v>Percentage Improvement in Eqpt Efficiency Standards above BAU</v>
      </c>
      <c r="D860" s="399" t="s">
        <v>762</v>
      </c>
      <c r="E860" s="399" t="s">
        <v>798</v>
      </c>
      <c r="F860" s="366" t="s">
        <v>763</v>
      </c>
      <c r="G860" s="399" t="s">
        <v>815</v>
      </c>
      <c r="H860" s="377">
        <v>1081</v>
      </c>
      <c r="I860" s="396" t="s">
        <v>648</v>
      </c>
      <c r="J860" s="397" t="str">
        <f>IF(ISBLANK(INDEX('Policy Characteristics'!D:D,MATCH($C860,'Policy Characteristics'!$C:$C,0))),"",INDEX('Policy Characteristics'!D:D,MATCH($C860,'Policy Characteristics'!$C:$C,0)))</f>
        <v>Industry Energy Efficiency Standards</v>
      </c>
      <c r="K860" s="394" t="str">
        <f>IF(ISBLANK(INDEX('Policy Characteristics'!E:E,MATCH($C860,'Policy Characteristics'!$C:$C,0))),"",INDEX('Policy Characteristics'!E:E,MATCH($C860,'Policy Characteristics'!$C:$C,0)))</f>
        <v>indst efficiency standards</v>
      </c>
      <c r="L860" s="398">
        <f>IF(ISBLANK(INDEX('Policy Characteristics'!F:F,MATCH($C860,'Policy Characteristics'!$C:$C,0))),"",INDEX('Policy Characteristics'!F:F,MATCH($C860,'Policy Characteristics'!$C:$C,0)))</f>
        <v>0</v>
      </c>
      <c r="M860" s="398">
        <f>IF(ISBLANK(INDEX('Policy Characteristics'!G:G,MATCH($C860,'Policy Characteristics'!$C:$C,0))),"",INDEX('Policy Characteristics'!G:G,MATCH($C860,'Policy Characteristics'!$C:$C,0)))</f>
        <v>0.25</v>
      </c>
      <c r="N860" s="398">
        <f>IF(ISBLANK(INDEX('Policy Characteristics'!H:H,MATCH($C860,'Policy Characteristics'!$C:$C,0))),"",INDEX('Policy Characteristics'!H:H,MATCH($C860,'Policy Characteristics'!$C:$C,0)))</f>
        <v>0.01</v>
      </c>
      <c r="O860" s="394" t="str">
        <f>IF(ISBLANK(INDEX('Policy Characteristics'!I:I,MATCH($C860,'Policy Characteristics'!$C:$C,0))),"",INDEX('Policy Characteristics'!I:I,MATCH($C860,'Policy Characteristics'!$C:$C,0)))</f>
        <v>% reduction in energy use</v>
      </c>
      <c r="P860" s="394" t="str">
        <f>IF(ISBLANK(INDEX('Policy Characteristics'!J:J,MATCH($C860,'Policy Characteristics'!$C:$C,0))),"",INDEX('Policy Characteristics'!J:J,MATCH($C860,'Policy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0" s="394" t="str">
        <f>IF(ISBLANK(INDEX('Policy Characteristics'!K:K,MATCH($C860,'Policy Characteristics'!$C:$C,0))),"",INDEX('Policy Characteristics'!K:K,MATCH($C860,'Policy Characteristics'!$C:$C,0)))</f>
        <v>industry-ag-main.html#eff-stds</v>
      </c>
      <c r="R860" s="394" t="str">
        <f>IF(ISBLANK(INDEX('Policy Characteristics'!L:L,MATCH($C860,'Policy Characteristics'!$C:$C,0))),"",INDEX('Policy Characteristics'!L:L,MATCH($C860,'Policy Characteristics'!$C:$C,0)))</f>
        <v>industry-energy-efficiency-standards.html</v>
      </c>
    </row>
    <row r="861" s="384" customFormat="1" customHeight="1" spans="1:18">
      <c r="A861" s="394" t="str">
        <f>IF(ISBLANK(INDEX('Policy Characteristics'!A:A,MATCH($C861,'Policy Characteristics'!$C:$C,0))),"",INDEX('Policy Characteristics'!A:A,MATCH($C861,'Policy Characteristics'!$C:$C,0)))</f>
        <v>Industry</v>
      </c>
      <c r="B861" s="395" t="str">
        <f>IF(ISBLANK(INDEX('Policy Characteristics'!B:B,MATCH($C861,'Policy Characteristics'!$C:$C,0))),"",INDEX('Policy Characteristics'!B:B,MATCH($C861,'Policy Characteristics'!$C:$C,0)))</f>
        <v>Industry Energy Efficiency Standards</v>
      </c>
      <c r="C861" s="394" t="str">
        <f t="shared" si="38"/>
        <v>Percentage Improvement in Eqpt Efficiency Standards above BAU</v>
      </c>
      <c r="D861" s="399" t="s">
        <v>762</v>
      </c>
      <c r="E861" s="399" t="s">
        <v>800</v>
      </c>
      <c r="F861" s="366" t="s">
        <v>763</v>
      </c>
      <c r="G861" s="399" t="s">
        <v>816</v>
      </c>
      <c r="H861" s="377">
        <v>1082</v>
      </c>
      <c r="I861" s="396" t="s">
        <v>648</v>
      </c>
      <c r="J861" s="397" t="str">
        <f>IF(ISBLANK(INDEX('Policy Characteristics'!D:D,MATCH($C861,'Policy Characteristics'!$C:$C,0))),"",INDEX('Policy Characteristics'!D:D,MATCH($C861,'Policy Characteristics'!$C:$C,0)))</f>
        <v>Industry Energy Efficiency Standards</v>
      </c>
      <c r="K861" s="394" t="str">
        <f>IF(ISBLANK(INDEX('Policy Characteristics'!E:E,MATCH($C861,'Policy Characteristics'!$C:$C,0))),"",INDEX('Policy Characteristics'!E:E,MATCH($C861,'Policy Characteristics'!$C:$C,0)))</f>
        <v>indst efficiency standards</v>
      </c>
      <c r="L861" s="398">
        <f>IF(ISBLANK(INDEX('Policy Characteristics'!F:F,MATCH($C861,'Policy Characteristics'!$C:$C,0))),"",INDEX('Policy Characteristics'!F:F,MATCH($C861,'Policy Characteristics'!$C:$C,0)))</f>
        <v>0</v>
      </c>
      <c r="M861" s="398">
        <f>IF(ISBLANK(INDEX('Policy Characteristics'!G:G,MATCH($C861,'Policy Characteristics'!$C:$C,0))),"",INDEX('Policy Characteristics'!G:G,MATCH($C861,'Policy Characteristics'!$C:$C,0)))</f>
        <v>0.25</v>
      </c>
      <c r="N861" s="398">
        <f>IF(ISBLANK(INDEX('Policy Characteristics'!H:H,MATCH($C861,'Policy Characteristics'!$C:$C,0))),"",INDEX('Policy Characteristics'!H:H,MATCH($C861,'Policy Characteristics'!$C:$C,0)))</f>
        <v>0.01</v>
      </c>
      <c r="O861" s="394" t="str">
        <f>IF(ISBLANK(INDEX('Policy Characteristics'!I:I,MATCH($C861,'Policy Characteristics'!$C:$C,0))),"",INDEX('Policy Characteristics'!I:I,MATCH($C861,'Policy Characteristics'!$C:$C,0)))</f>
        <v>% reduction in energy use</v>
      </c>
      <c r="P861" s="394" t="str">
        <f>IF(ISBLANK(INDEX('Policy Characteristics'!J:J,MATCH($C861,'Policy Characteristics'!$C:$C,0))),"",INDEX('Policy Characteristics'!J:J,MATCH($C861,'Policy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1" s="394" t="str">
        <f>IF(ISBLANK(INDEX('Policy Characteristics'!K:K,MATCH($C861,'Policy Characteristics'!$C:$C,0))),"",INDEX('Policy Characteristics'!K:K,MATCH($C861,'Policy Characteristics'!$C:$C,0)))</f>
        <v>industry-ag-main.html#eff-stds</v>
      </c>
      <c r="R861" s="394" t="str">
        <f>IF(ISBLANK(INDEX('Policy Characteristics'!L:L,MATCH($C861,'Policy Characteristics'!$C:$C,0))),"",INDEX('Policy Characteristics'!L:L,MATCH($C861,'Policy Characteristics'!$C:$C,0)))</f>
        <v>industry-energy-efficiency-standards.html</v>
      </c>
    </row>
    <row r="862" s="384" customFormat="1" customHeight="1" spans="1:18">
      <c r="A862" s="394" t="str">
        <f>IF(ISBLANK(INDEX('Policy Characteristics'!A:A,MATCH($C862,'Policy Characteristics'!$C:$C,0))),"",INDEX('Policy Characteristics'!A:A,MATCH($C862,'Policy Characteristics'!$C:$C,0)))</f>
        <v>Industry</v>
      </c>
      <c r="B862" s="395" t="str">
        <f>IF(ISBLANK(INDEX('Policy Characteristics'!B:B,MATCH($C862,'Policy Characteristics'!$C:$C,0))),"",INDEX('Policy Characteristics'!B:B,MATCH($C862,'Policy Characteristics'!$C:$C,0)))</f>
        <v>Industry Energy Efficiency Standards</v>
      </c>
      <c r="C862" s="394" t="str">
        <f t="shared" si="38"/>
        <v>Percentage Improvement in Eqpt Efficiency Standards above BAU</v>
      </c>
      <c r="D862" s="399" t="s">
        <v>762</v>
      </c>
      <c r="E862" s="399" t="s">
        <v>802</v>
      </c>
      <c r="F862" s="366" t="s">
        <v>763</v>
      </c>
      <c r="G862" s="399" t="s">
        <v>817</v>
      </c>
      <c r="H862" s="377">
        <v>1083</v>
      </c>
      <c r="I862" s="396" t="s">
        <v>648</v>
      </c>
      <c r="J862" s="397" t="str">
        <f>IF(ISBLANK(INDEX('Policy Characteristics'!D:D,MATCH($C862,'Policy Characteristics'!$C:$C,0))),"",INDEX('Policy Characteristics'!D:D,MATCH($C862,'Policy Characteristics'!$C:$C,0)))</f>
        <v>Industry Energy Efficiency Standards</v>
      </c>
      <c r="K862" s="394" t="str">
        <f>IF(ISBLANK(INDEX('Policy Characteristics'!E:E,MATCH($C862,'Policy Characteristics'!$C:$C,0))),"",INDEX('Policy Characteristics'!E:E,MATCH($C862,'Policy Characteristics'!$C:$C,0)))</f>
        <v>indst efficiency standards</v>
      </c>
      <c r="L862" s="398">
        <f>IF(ISBLANK(INDEX('Policy Characteristics'!F:F,MATCH($C862,'Policy Characteristics'!$C:$C,0))),"",INDEX('Policy Characteristics'!F:F,MATCH($C862,'Policy Characteristics'!$C:$C,0)))</f>
        <v>0</v>
      </c>
      <c r="M862" s="398">
        <f>IF(ISBLANK(INDEX('Policy Characteristics'!G:G,MATCH($C862,'Policy Characteristics'!$C:$C,0))),"",INDEX('Policy Characteristics'!G:G,MATCH($C862,'Policy Characteristics'!$C:$C,0)))</f>
        <v>0.25</v>
      </c>
      <c r="N862" s="398">
        <f>IF(ISBLANK(INDEX('Policy Characteristics'!H:H,MATCH($C862,'Policy Characteristics'!$C:$C,0))),"",INDEX('Policy Characteristics'!H:H,MATCH($C862,'Policy Characteristics'!$C:$C,0)))</f>
        <v>0.01</v>
      </c>
      <c r="O862" s="394" t="str">
        <f>IF(ISBLANK(INDEX('Policy Characteristics'!I:I,MATCH($C862,'Policy Characteristics'!$C:$C,0))),"",INDEX('Policy Characteristics'!I:I,MATCH($C862,'Policy Characteristics'!$C:$C,0)))</f>
        <v>% reduction in energy use</v>
      </c>
      <c r="P862" s="394" t="str">
        <f>IF(ISBLANK(INDEX('Policy Characteristics'!J:J,MATCH($C862,'Policy Characteristics'!$C:$C,0))),"",INDEX('Policy Characteristics'!J:J,MATCH($C862,'Policy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2" s="394" t="str">
        <f>IF(ISBLANK(INDEX('Policy Characteristics'!K:K,MATCH($C862,'Policy Characteristics'!$C:$C,0))),"",INDEX('Policy Characteristics'!K:K,MATCH($C862,'Policy Characteristics'!$C:$C,0)))</f>
        <v>industry-ag-main.html#eff-stds</v>
      </c>
      <c r="R862" s="394" t="str">
        <f>IF(ISBLANK(INDEX('Policy Characteristics'!L:L,MATCH($C862,'Policy Characteristics'!$C:$C,0))),"",INDEX('Policy Characteristics'!L:L,MATCH($C862,'Policy Characteristics'!$C:$C,0)))</f>
        <v>industry-energy-efficiency-standards.html</v>
      </c>
    </row>
    <row r="863" s="384" customFormat="1" customHeight="1" spans="1:18">
      <c r="A863" s="394" t="str">
        <f>IF(ISBLANK(INDEX('Policy Characteristics'!A:A,MATCH($C863,'Policy Characteristics'!$C:$C,0))),"",INDEX('Policy Characteristics'!A:A,MATCH($C863,'Policy Characteristics'!$C:$C,0)))</f>
        <v>Industry</v>
      </c>
      <c r="B863" s="395" t="str">
        <f>IF(ISBLANK(INDEX('Policy Characteristics'!B:B,MATCH($C863,'Policy Characteristics'!$C:$C,0))),"",INDEX('Policy Characteristics'!B:B,MATCH($C863,'Policy Characteristics'!$C:$C,0)))</f>
        <v>Industry Energy Efficiency Standards</v>
      </c>
      <c r="C863" s="394" t="str">
        <f t="shared" si="38"/>
        <v>Percentage Improvement in Eqpt Efficiency Standards above BAU</v>
      </c>
      <c r="D863" s="399" t="s">
        <v>762</v>
      </c>
      <c r="E863" s="399" t="s">
        <v>804</v>
      </c>
      <c r="F863" s="366" t="s">
        <v>763</v>
      </c>
      <c r="G863" s="399" t="s">
        <v>818</v>
      </c>
      <c r="H863" s="377">
        <v>1084</v>
      </c>
      <c r="I863" s="396" t="s">
        <v>648</v>
      </c>
      <c r="J863" s="397" t="str">
        <f>IF(ISBLANK(INDEX('Policy Characteristics'!D:D,MATCH($C863,'Policy Characteristics'!$C:$C,0))),"",INDEX('Policy Characteristics'!D:D,MATCH($C863,'Policy Characteristics'!$C:$C,0)))</f>
        <v>Industry Energy Efficiency Standards</v>
      </c>
      <c r="K863" s="394" t="str">
        <f>IF(ISBLANK(INDEX('Policy Characteristics'!E:E,MATCH($C863,'Policy Characteristics'!$C:$C,0))),"",INDEX('Policy Characteristics'!E:E,MATCH($C863,'Policy Characteristics'!$C:$C,0)))</f>
        <v>indst efficiency standards</v>
      </c>
      <c r="L863" s="398">
        <f>IF(ISBLANK(INDEX('Policy Characteristics'!F:F,MATCH($C863,'Policy Characteristics'!$C:$C,0))),"",INDEX('Policy Characteristics'!F:F,MATCH($C863,'Policy Characteristics'!$C:$C,0)))</f>
        <v>0</v>
      </c>
      <c r="M863" s="398">
        <f>IF(ISBLANK(INDEX('Policy Characteristics'!G:G,MATCH($C863,'Policy Characteristics'!$C:$C,0))),"",INDEX('Policy Characteristics'!G:G,MATCH($C863,'Policy Characteristics'!$C:$C,0)))</f>
        <v>0.25</v>
      </c>
      <c r="N863" s="398">
        <f>IF(ISBLANK(INDEX('Policy Characteristics'!H:H,MATCH($C863,'Policy Characteristics'!$C:$C,0))),"",INDEX('Policy Characteristics'!H:H,MATCH($C863,'Policy Characteristics'!$C:$C,0)))</f>
        <v>0.01</v>
      </c>
      <c r="O863" s="394" t="str">
        <f>IF(ISBLANK(INDEX('Policy Characteristics'!I:I,MATCH($C863,'Policy Characteristics'!$C:$C,0))),"",INDEX('Policy Characteristics'!I:I,MATCH($C863,'Policy Characteristics'!$C:$C,0)))</f>
        <v>% reduction in energy use</v>
      </c>
      <c r="P863" s="394" t="str">
        <f>IF(ISBLANK(INDEX('Policy Characteristics'!J:J,MATCH($C863,'Policy Characteristics'!$C:$C,0))),"",INDEX('Policy Characteristics'!J:J,MATCH($C863,'Policy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3" s="394" t="str">
        <f>IF(ISBLANK(INDEX('Policy Characteristics'!K:K,MATCH($C863,'Policy Characteristics'!$C:$C,0))),"",INDEX('Policy Characteristics'!K:K,MATCH($C863,'Policy Characteristics'!$C:$C,0)))</f>
        <v>industry-ag-main.html#eff-stds</v>
      </c>
      <c r="R863" s="394" t="str">
        <f>IF(ISBLANK(INDEX('Policy Characteristics'!L:L,MATCH($C863,'Policy Characteristics'!$C:$C,0))),"",INDEX('Policy Characteristics'!L:L,MATCH($C863,'Policy Characteristics'!$C:$C,0)))</f>
        <v>industry-energy-efficiency-standards.html</v>
      </c>
    </row>
    <row r="864" s="384" customFormat="1" customHeight="1" spans="1:18">
      <c r="A864" s="394" t="str">
        <f>IF(ISBLANK(INDEX('Policy Characteristics'!A:A,MATCH($C864,'Policy Characteristics'!$C:$C,0))),"",INDEX('Policy Characteristics'!A:A,MATCH($C864,'Policy Characteristics'!$C:$C,0)))</f>
        <v>Industry</v>
      </c>
      <c r="B864" s="395" t="str">
        <f>IF(ISBLANK(INDEX('Policy Characteristics'!B:B,MATCH($C864,'Policy Characteristics'!$C:$C,0))),"",INDEX('Policy Characteristics'!B:B,MATCH($C864,'Policy Characteristics'!$C:$C,0)))</f>
        <v>Industry Energy Efficiency Standards</v>
      </c>
      <c r="C864" s="394" t="str">
        <f t="shared" si="38"/>
        <v>Percentage Improvement in Eqpt Efficiency Standards above BAU</v>
      </c>
      <c r="D864" s="399" t="s">
        <v>762</v>
      </c>
      <c r="E864" s="399" t="s">
        <v>806</v>
      </c>
      <c r="F864" s="366" t="s">
        <v>763</v>
      </c>
      <c r="G864" s="399" t="s">
        <v>819</v>
      </c>
      <c r="H864" s="377">
        <v>1085</v>
      </c>
      <c r="I864" s="396" t="s">
        <v>648</v>
      </c>
      <c r="J864" s="397" t="str">
        <f>IF(ISBLANK(INDEX('Policy Characteristics'!D:D,MATCH($C864,'Policy Characteristics'!$C:$C,0))),"",INDEX('Policy Characteristics'!D:D,MATCH($C864,'Policy Characteristics'!$C:$C,0)))</f>
        <v>Industry Energy Efficiency Standards</v>
      </c>
      <c r="K864" s="394" t="str">
        <f>IF(ISBLANK(INDEX('Policy Characteristics'!E:E,MATCH($C864,'Policy Characteristics'!$C:$C,0))),"",INDEX('Policy Characteristics'!E:E,MATCH($C864,'Policy Characteristics'!$C:$C,0)))</f>
        <v>indst efficiency standards</v>
      </c>
      <c r="L864" s="398">
        <f>IF(ISBLANK(INDEX('Policy Characteristics'!F:F,MATCH($C864,'Policy Characteristics'!$C:$C,0))),"",INDEX('Policy Characteristics'!F:F,MATCH($C864,'Policy Characteristics'!$C:$C,0)))</f>
        <v>0</v>
      </c>
      <c r="M864" s="398">
        <f>IF(ISBLANK(INDEX('Policy Characteristics'!G:G,MATCH($C864,'Policy Characteristics'!$C:$C,0))),"",INDEX('Policy Characteristics'!G:G,MATCH($C864,'Policy Characteristics'!$C:$C,0)))</f>
        <v>0.25</v>
      </c>
      <c r="N864" s="398">
        <f>IF(ISBLANK(INDEX('Policy Characteristics'!H:H,MATCH($C864,'Policy Characteristics'!$C:$C,0))),"",INDEX('Policy Characteristics'!H:H,MATCH($C864,'Policy Characteristics'!$C:$C,0)))</f>
        <v>0.01</v>
      </c>
      <c r="O864" s="394" t="str">
        <f>IF(ISBLANK(INDEX('Policy Characteristics'!I:I,MATCH($C864,'Policy Characteristics'!$C:$C,0))),"",INDEX('Policy Characteristics'!I:I,MATCH($C864,'Policy Characteristics'!$C:$C,0)))</f>
        <v>% reduction in energy use</v>
      </c>
      <c r="P864" s="394" t="str">
        <f>IF(ISBLANK(INDEX('Policy Characteristics'!J:J,MATCH($C864,'Policy Characteristics'!$C:$C,0))),"",INDEX('Policy Characteristics'!J:J,MATCH($C864,'Policy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4" s="394" t="str">
        <f>IF(ISBLANK(INDEX('Policy Characteristics'!K:K,MATCH($C864,'Policy Characteristics'!$C:$C,0))),"",INDEX('Policy Characteristics'!K:K,MATCH($C864,'Policy Characteristics'!$C:$C,0)))</f>
        <v>industry-ag-main.html#eff-stds</v>
      </c>
      <c r="R864" s="394" t="str">
        <f>IF(ISBLANK(INDEX('Policy Characteristics'!L:L,MATCH($C864,'Policy Characteristics'!$C:$C,0))),"",INDEX('Policy Characteristics'!L:L,MATCH($C864,'Policy Characteristics'!$C:$C,0)))</f>
        <v>industry-energy-efficiency-standards.html</v>
      </c>
    </row>
    <row r="865" s="384" customFormat="1" customHeight="1" spans="1:18">
      <c r="A865" s="394" t="str">
        <f>IF(ISBLANK(INDEX('Policy Characteristics'!A:A,MATCH($C865,'Policy Characteristics'!$C:$C,0))),"",INDEX('Policy Characteristics'!A:A,MATCH($C865,'Policy Characteristics'!$C:$C,0)))</f>
        <v>Industry</v>
      </c>
      <c r="B865" s="395" t="str">
        <f>IF(ISBLANK(INDEX('Policy Characteristics'!B:B,MATCH($C865,'Policy Characteristics'!$C:$C,0))),"",INDEX('Policy Characteristics'!B:B,MATCH($C865,'Policy Characteristics'!$C:$C,0)))</f>
        <v>Industry Energy Efficiency Standards</v>
      </c>
      <c r="C865" s="394" t="str">
        <f t="shared" si="38"/>
        <v>Percentage Improvement in Eqpt Efficiency Standards above BAU</v>
      </c>
      <c r="D865" s="399" t="s">
        <v>762</v>
      </c>
      <c r="E865" s="399" t="s">
        <v>808</v>
      </c>
      <c r="F865" s="366" t="s">
        <v>763</v>
      </c>
      <c r="G865" s="399" t="s">
        <v>820</v>
      </c>
      <c r="H865" s="377">
        <v>1086</v>
      </c>
      <c r="I865" s="396" t="s">
        <v>648</v>
      </c>
      <c r="J865" s="397" t="str">
        <f>IF(ISBLANK(INDEX('Policy Characteristics'!D:D,MATCH($C865,'Policy Characteristics'!$C:$C,0))),"",INDEX('Policy Characteristics'!D:D,MATCH($C865,'Policy Characteristics'!$C:$C,0)))</f>
        <v>Industry Energy Efficiency Standards</v>
      </c>
      <c r="K865" s="394" t="str">
        <f>IF(ISBLANK(INDEX('Policy Characteristics'!E:E,MATCH($C865,'Policy Characteristics'!$C:$C,0))),"",INDEX('Policy Characteristics'!E:E,MATCH($C865,'Policy Characteristics'!$C:$C,0)))</f>
        <v>indst efficiency standards</v>
      </c>
      <c r="L865" s="398">
        <f>IF(ISBLANK(INDEX('Policy Characteristics'!F:F,MATCH($C865,'Policy Characteristics'!$C:$C,0))),"",INDEX('Policy Characteristics'!F:F,MATCH($C865,'Policy Characteristics'!$C:$C,0)))</f>
        <v>0</v>
      </c>
      <c r="M865" s="398">
        <f>IF(ISBLANK(INDEX('Policy Characteristics'!G:G,MATCH($C865,'Policy Characteristics'!$C:$C,0))),"",INDEX('Policy Characteristics'!G:G,MATCH($C865,'Policy Characteristics'!$C:$C,0)))</f>
        <v>0.25</v>
      </c>
      <c r="N865" s="398">
        <f>IF(ISBLANK(INDEX('Policy Characteristics'!H:H,MATCH($C865,'Policy Characteristics'!$C:$C,0))),"",INDEX('Policy Characteristics'!H:H,MATCH($C865,'Policy Characteristics'!$C:$C,0)))</f>
        <v>0.01</v>
      </c>
      <c r="O865" s="394" t="str">
        <f>IF(ISBLANK(INDEX('Policy Characteristics'!I:I,MATCH($C865,'Policy Characteristics'!$C:$C,0))),"",INDEX('Policy Characteristics'!I:I,MATCH($C865,'Policy Characteristics'!$C:$C,0)))</f>
        <v>% reduction in energy use</v>
      </c>
      <c r="P865" s="394" t="str">
        <f>IF(ISBLANK(INDEX('Policy Characteristics'!J:J,MATCH($C865,'Policy Characteristics'!$C:$C,0))),"",INDEX('Policy Characteristics'!J:J,MATCH($C865,'Policy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5" s="394" t="str">
        <f>IF(ISBLANK(INDEX('Policy Characteristics'!K:K,MATCH($C865,'Policy Characteristics'!$C:$C,0))),"",INDEX('Policy Characteristics'!K:K,MATCH($C865,'Policy Characteristics'!$C:$C,0)))</f>
        <v>industry-ag-main.html#eff-stds</v>
      </c>
      <c r="R865" s="394" t="str">
        <f>IF(ISBLANK(INDEX('Policy Characteristics'!L:L,MATCH($C865,'Policy Characteristics'!$C:$C,0))),"",INDEX('Policy Characteristics'!L:L,MATCH($C865,'Policy Characteristics'!$C:$C,0)))</f>
        <v>industry-energy-efficiency-standards.html</v>
      </c>
    </row>
    <row r="866" s="384" customFormat="1" customHeight="1" spans="1:18">
      <c r="A866" s="394" t="str">
        <f>IF(ISBLANK(INDEX('Policy Characteristics'!A:A,MATCH($C866,'Policy Characteristics'!$C:$C,0))),"",INDEX('Policy Characteristics'!A:A,MATCH($C866,'Policy Characteristics'!$C:$C,0)))</f>
        <v>Industry</v>
      </c>
      <c r="B866" s="395" t="str">
        <f>IF(ISBLANK(INDEX('Policy Characteristics'!B:B,MATCH($C866,'Policy Characteristics'!$C:$C,0))),"",INDEX('Policy Characteristics'!B:B,MATCH($C866,'Policy Characteristics'!$C:$C,0)))</f>
        <v>Industry Energy Efficiency Standards</v>
      </c>
      <c r="C866" s="394" t="str">
        <f t="shared" ref="C866:C929" si="39">C$737</f>
        <v>Percentage Improvement in Eqpt Efficiency Standards above BAU</v>
      </c>
      <c r="D866" s="399" t="s">
        <v>762</v>
      </c>
      <c r="E866" s="399" t="s">
        <v>810</v>
      </c>
      <c r="F866" s="366" t="s">
        <v>763</v>
      </c>
      <c r="G866" s="399" t="s">
        <v>821</v>
      </c>
      <c r="H866" s="377">
        <v>1087</v>
      </c>
      <c r="I866" s="396" t="s">
        <v>648</v>
      </c>
      <c r="J866" s="397" t="str">
        <f>IF(ISBLANK(INDEX('Policy Characteristics'!D:D,MATCH($C866,'Policy Characteristics'!$C:$C,0))),"",INDEX('Policy Characteristics'!D:D,MATCH($C866,'Policy Characteristics'!$C:$C,0)))</f>
        <v>Industry Energy Efficiency Standards</v>
      </c>
      <c r="K866" s="394" t="str">
        <f>IF(ISBLANK(INDEX('Policy Characteristics'!E:E,MATCH($C866,'Policy Characteristics'!$C:$C,0))),"",INDEX('Policy Characteristics'!E:E,MATCH($C866,'Policy Characteristics'!$C:$C,0)))</f>
        <v>indst efficiency standards</v>
      </c>
      <c r="L866" s="398">
        <f>IF(ISBLANK(INDEX('Policy Characteristics'!F:F,MATCH($C866,'Policy Characteristics'!$C:$C,0))),"",INDEX('Policy Characteristics'!F:F,MATCH($C866,'Policy Characteristics'!$C:$C,0)))</f>
        <v>0</v>
      </c>
      <c r="M866" s="398">
        <f>IF(ISBLANK(INDEX('Policy Characteristics'!G:G,MATCH($C866,'Policy Characteristics'!$C:$C,0))),"",INDEX('Policy Characteristics'!G:G,MATCH($C866,'Policy Characteristics'!$C:$C,0)))</f>
        <v>0.25</v>
      </c>
      <c r="N866" s="398">
        <f>IF(ISBLANK(INDEX('Policy Characteristics'!H:H,MATCH($C866,'Policy Characteristics'!$C:$C,0))),"",INDEX('Policy Characteristics'!H:H,MATCH($C866,'Policy Characteristics'!$C:$C,0)))</f>
        <v>0.01</v>
      </c>
      <c r="O866" s="394" t="str">
        <f>IF(ISBLANK(INDEX('Policy Characteristics'!I:I,MATCH($C866,'Policy Characteristics'!$C:$C,0))),"",INDEX('Policy Characteristics'!I:I,MATCH($C866,'Policy Characteristics'!$C:$C,0)))</f>
        <v>% reduction in energy use</v>
      </c>
      <c r="P866" s="394" t="str">
        <f>IF(ISBLANK(INDEX('Policy Characteristics'!J:J,MATCH($C866,'Policy Characteristics'!$C:$C,0))),"",INDEX('Policy Characteristics'!J:J,MATCH($C866,'Policy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6" s="394" t="str">
        <f>IF(ISBLANK(INDEX('Policy Characteristics'!K:K,MATCH($C866,'Policy Characteristics'!$C:$C,0))),"",INDEX('Policy Characteristics'!K:K,MATCH($C866,'Policy Characteristics'!$C:$C,0)))</f>
        <v>industry-ag-main.html#eff-stds</v>
      </c>
      <c r="R866" s="394" t="str">
        <f>IF(ISBLANK(INDEX('Policy Characteristics'!L:L,MATCH($C866,'Policy Characteristics'!$C:$C,0))),"",INDEX('Policy Characteristics'!L:L,MATCH($C866,'Policy Characteristics'!$C:$C,0)))</f>
        <v>industry-energy-efficiency-standards.html</v>
      </c>
    </row>
    <row r="867" s="384" customFormat="1" customHeight="1" spans="1:18">
      <c r="A867" s="394" t="str">
        <f>IF(ISBLANK(INDEX('Policy Characteristics'!A:A,MATCH($C867,'Policy Characteristics'!$C:$C,0))),"",INDEX('Policy Characteristics'!A:A,MATCH($C867,'Policy Characteristics'!$C:$C,0)))</f>
        <v>Industry</v>
      </c>
      <c r="B867" s="395" t="str">
        <f>IF(ISBLANK(INDEX('Policy Characteristics'!B:B,MATCH($C867,'Policy Characteristics'!$C:$C,0))),"",INDEX('Policy Characteristics'!B:B,MATCH($C867,'Policy Characteristics'!$C:$C,0)))</f>
        <v>Industry Energy Efficiency Standards</v>
      </c>
      <c r="C867" s="394" t="str">
        <f t="shared" si="39"/>
        <v>Percentage Improvement in Eqpt Efficiency Standards above BAU</v>
      </c>
      <c r="D867" s="399" t="s">
        <v>764</v>
      </c>
      <c r="E867" s="399" t="s">
        <v>792</v>
      </c>
      <c r="F867" t="s">
        <v>765</v>
      </c>
      <c r="G867" s="399" t="s">
        <v>812</v>
      </c>
      <c r="H867" s="377">
        <v>1088</v>
      </c>
      <c r="I867" s="396" t="s">
        <v>648</v>
      </c>
      <c r="J867" s="397" t="str">
        <f>IF(ISBLANK(INDEX('Policy Characteristics'!D:D,MATCH($C867,'Policy Characteristics'!$C:$C,0))),"",INDEX('Policy Characteristics'!D:D,MATCH($C867,'Policy Characteristics'!$C:$C,0)))</f>
        <v>Industry Energy Efficiency Standards</v>
      </c>
      <c r="K867" s="394" t="str">
        <f>IF(ISBLANK(INDEX('Policy Characteristics'!E:E,MATCH($C867,'Policy Characteristics'!$C:$C,0))),"",INDEX('Policy Characteristics'!E:E,MATCH($C867,'Policy Characteristics'!$C:$C,0)))</f>
        <v>indst efficiency standards</v>
      </c>
      <c r="L867" s="398">
        <f>IF(ISBLANK(INDEX('Policy Characteristics'!F:F,MATCH($C867,'Policy Characteristics'!$C:$C,0))),"",INDEX('Policy Characteristics'!F:F,MATCH($C867,'Policy Characteristics'!$C:$C,0)))</f>
        <v>0</v>
      </c>
      <c r="M867" s="398">
        <f>IF(ISBLANK(INDEX('Policy Characteristics'!G:G,MATCH($C867,'Policy Characteristics'!$C:$C,0))),"",INDEX('Policy Characteristics'!G:G,MATCH($C867,'Policy Characteristics'!$C:$C,0)))</f>
        <v>0.25</v>
      </c>
      <c r="N867" s="398">
        <f>IF(ISBLANK(INDEX('Policy Characteristics'!H:H,MATCH($C867,'Policy Characteristics'!$C:$C,0))),"",INDEX('Policy Characteristics'!H:H,MATCH($C867,'Policy Characteristics'!$C:$C,0)))</f>
        <v>0.01</v>
      </c>
      <c r="O867" s="394" t="str">
        <f>IF(ISBLANK(INDEX('Policy Characteristics'!I:I,MATCH($C867,'Policy Characteristics'!$C:$C,0))),"",INDEX('Policy Characteristics'!I:I,MATCH($C867,'Policy Characteristics'!$C:$C,0)))</f>
        <v>% reduction in energy use</v>
      </c>
      <c r="P867" s="394" t="str">
        <f>IF(ISBLANK(INDEX('Policy Characteristics'!J:J,MATCH($C867,'Policy Characteristics'!$C:$C,0))),"",INDEX('Policy Characteristics'!J:J,MATCH($C867,'Policy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7" s="394" t="str">
        <f>IF(ISBLANK(INDEX('Policy Characteristics'!K:K,MATCH($C867,'Policy Characteristics'!$C:$C,0))),"",INDEX('Policy Characteristics'!K:K,MATCH($C867,'Policy Characteristics'!$C:$C,0)))</f>
        <v>industry-ag-main.html#eff-stds</v>
      </c>
      <c r="R867" s="394" t="str">
        <f>IF(ISBLANK(INDEX('Policy Characteristics'!L:L,MATCH($C867,'Policy Characteristics'!$C:$C,0))),"",INDEX('Policy Characteristics'!L:L,MATCH($C867,'Policy Characteristics'!$C:$C,0)))</f>
        <v>industry-energy-efficiency-standards.html</v>
      </c>
    </row>
    <row r="868" s="384" customFormat="1" customHeight="1" spans="1:18">
      <c r="A868" s="394" t="str">
        <f>IF(ISBLANK(INDEX('Policy Characteristics'!A:A,MATCH($C868,'Policy Characteristics'!$C:$C,0))),"",INDEX('Policy Characteristics'!A:A,MATCH($C868,'Policy Characteristics'!$C:$C,0)))</f>
        <v>Industry</v>
      </c>
      <c r="B868" s="395" t="str">
        <f>IF(ISBLANK(INDEX('Policy Characteristics'!B:B,MATCH($C868,'Policy Characteristics'!$C:$C,0))),"",INDEX('Policy Characteristics'!B:B,MATCH($C868,'Policy Characteristics'!$C:$C,0)))</f>
        <v>Industry Energy Efficiency Standards</v>
      </c>
      <c r="C868" s="394" t="str">
        <f t="shared" si="39"/>
        <v>Percentage Improvement in Eqpt Efficiency Standards above BAU</v>
      </c>
      <c r="D868" s="399" t="s">
        <v>764</v>
      </c>
      <c r="E868" s="399" t="s">
        <v>794</v>
      </c>
      <c r="F868" t="s">
        <v>765</v>
      </c>
      <c r="G868" s="399" t="s">
        <v>813</v>
      </c>
      <c r="H868" s="377">
        <v>1089</v>
      </c>
      <c r="I868" s="396" t="s">
        <v>648</v>
      </c>
      <c r="J868" s="397" t="str">
        <f>IF(ISBLANK(INDEX('Policy Characteristics'!D:D,MATCH($C868,'Policy Characteristics'!$C:$C,0))),"",INDEX('Policy Characteristics'!D:D,MATCH($C868,'Policy Characteristics'!$C:$C,0)))</f>
        <v>Industry Energy Efficiency Standards</v>
      </c>
      <c r="K868" s="394" t="str">
        <f>IF(ISBLANK(INDEX('Policy Characteristics'!E:E,MATCH($C868,'Policy Characteristics'!$C:$C,0))),"",INDEX('Policy Characteristics'!E:E,MATCH($C868,'Policy Characteristics'!$C:$C,0)))</f>
        <v>indst efficiency standards</v>
      </c>
      <c r="L868" s="398">
        <f>IF(ISBLANK(INDEX('Policy Characteristics'!F:F,MATCH($C868,'Policy Characteristics'!$C:$C,0))),"",INDEX('Policy Characteristics'!F:F,MATCH($C868,'Policy Characteristics'!$C:$C,0)))</f>
        <v>0</v>
      </c>
      <c r="M868" s="398">
        <f>IF(ISBLANK(INDEX('Policy Characteristics'!G:G,MATCH($C868,'Policy Characteristics'!$C:$C,0))),"",INDEX('Policy Characteristics'!G:G,MATCH($C868,'Policy Characteristics'!$C:$C,0)))</f>
        <v>0.25</v>
      </c>
      <c r="N868" s="398">
        <f>IF(ISBLANK(INDEX('Policy Characteristics'!H:H,MATCH($C868,'Policy Characteristics'!$C:$C,0))),"",INDEX('Policy Characteristics'!H:H,MATCH($C868,'Policy Characteristics'!$C:$C,0)))</f>
        <v>0.01</v>
      </c>
      <c r="O868" s="394" t="str">
        <f>IF(ISBLANK(INDEX('Policy Characteristics'!I:I,MATCH($C868,'Policy Characteristics'!$C:$C,0))),"",INDEX('Policy Characteristics'!I:I,MATCH($C868,'Policy Characteristics'!$C:$C,0)))</f>
        <v>% reduction in energy use</v>
      </c>
      <c r="P868" s="394" t="str">
        <f>IF(ISBLANK(INDEX('Policy Characteristics'!J:J,MATCH($C868,'Policy Characteristics'!$C:$C,0))),"",INDEX('Policy Characteristics'!J:J,MATCH($C868,'Policy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8" s="394" t="str">
        <f>IF(ISBLANK(INDEX('Policy Characteristics'!K:K,MATCH($C868,'Policy Characteristics'!$C:$C,0))),"",INDEX('Policy Characteristics'!K:K,MATCH($C868,'Policy Characteristics'!$C:$C,0)))</f>
        <v>industry-ag-main.html#eff-stds</v>
      </c>
      <c r="R868" s="394" t="str">
        <f>IF(ISBLANK(INDEX('Policy Characteristics'!L:L,MATCH($C868,'Policy Characteristics'!$C:$C,0))),"",INDEX('Policy Characteristics'!L:L,MATCH($C868,'Policy Characteristics'!$C:$C,0)))</f>
        <v>industry-energy-efficiency-standards.html</v>
      </c>
    </row>
    <row r="869" s="384" customFormat="1" customHeight="1" spans="1:18">
      <c r="A869" s="394" t="str">
        <f>IF(ISBLANK(INDEX('Policy Characteristics'!A:A,MATCH($C869,'Policy Characteristics'!$C:$C,0))),"",INDEX('Policy Characteristics'!A:A,MATCH($C869,'Policy Characteristics'!$C:$C,0)))</f>
        <v>Industry</v>
      </c>
      <c r="B869" s="395" t="str">
        <f>IF(ISBLANK(INDEX('Policy Characteristics'!B:B,MATCH($C869,'Policy Characteristics'!$C:$C,0))),"",INDEX('Policy Characteristics'!B:B,MATCH($C869,'Policy Characteristics'!$C:$C,0)))</f>
        <v>Industry Energy Efficiency Standards</v>
      </c>
      <c r="C869" s="394" t="str">
        <f t="shared" si="39"/>
        <v>Percentage Improvement in Eqpt Efficiency Standards above BAU</v>
      </c>
      <c r="D869" s="399" t="s">
        <v>764</v>
      </c>
      <c r="E869" s="399" t="s">
        <v>796</v>
      </c>
      <c r="F869" t="s">
        <v>765</v>
      </c>
      <c r="G869" s="399" t="s">
        <v>814</v>
      </c>
      <c r="H869" s="377">
        <v>1090</v>
      </c>
      <c r="I869" s="396" t="s">
        <v>648</v>
      </c>
      <c r="J869" s="397" t="str">
        <f>IF(ISBLANK(INDEX('Policy Characteristics'!D:D,MATCH($C869,'Policy Characteristics'!$C:$C,0))),"",INDEX('Policy Characteristics'!D:D,MATCH($C869,'Policy Characteristics'!$C:$C,0)))</f>
        <v>Industry Energy Efficiency Standards</v>
      </c>
      <c r="K869" s="394" t="str">
        <f>IF(ISBLANK(INDEX('Policy Characteristics'!E:E,MATCH($C869,'Policy Characteristics'!$C:$C,0))),"",INDEX('Policy Characteristics'!E:E,MATCH($C869,'Policy Characteristics'!$C:$C,0)))</f>
        <v>indst efficiency standards</v>
      </c>
      <c r="L869" s="398">
        <f>IF(ISBLANK(INDEX('Policy Characteristics'!F:F,MATCH($C869,'Policy Characteristics'!$C:$C,0))),"",INDEX('Policy Characteristics'!F:F,MATCH($C869,'Policy Characteristics'!$C:$C,0)))</f>
        <v>0</v>
      </c>
      <c r="M869" s="398">
        <f>IF(ISBLANK(INDEX('Policy Characteristics'!G:G,MATCH($C869,'Policy Characteristics'!$C:$C,0))),"",INDEX('Policy Characteristics'!G:G,MATCH($C869,'Policy Characteristics'!$C:$C,0)))</f>
        <v>0.25</v>
      </c>
      <c r="N869" s="398">
        <f>IF(ISBLANK(INDEX('Policy Characteristics'!H:H,MATCH($C869,'Policy Characteristics'!$C:$C,0))),"",INDEX('Policy Characteristics'!H:H,MATCH($C869,'Policy Characteristics'!$C:$C,0)))</f>
        <v>0.01</v>
      </c>
      <c r="O869" s="394" t="str">
        <f>IF(ISBLANK(INDEX('Policy Characteristics'!I:I,MATCH($C869,'Policy Characteristics'!$C:$C,0))),"",INDEX('Policy Characteristics'!I:I,MATCH($C869,'Policy Characteristics'!$C:$C,0)))</f>
        <v>% reduction in energy use</v>
      </c>
      <c r="P869" s="394" t="str">
        <f>IF(ISBLANK(INDEX('Policy Characteristics'!J:J,MATCH($C869,'Policy Characteristics'!$C:$C,0))),"",INDEX('Policy Characteristics'!J:J,MATCH($C869,'Policy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9" s="394" t="str">
        <f>IF(ISBLANK(INDEX('Policy Characteristics'!K:K,MATCH($C869,'Policy Characteristics'!$C:$C,0))),"",INDEX('Policy Characteristics'!K:K,MATCH($C869,'Policy Characteristics'!$C:$C,0)))</f>
        <v>industry-ag-main.html#eff-stds</v>
      </c>
      <c r="R869" s="394" t="str">
        <f>IF(ISBLANK(INDEX('Policy Characteristics'!L:L,MATCH($C869,'Policy Characteristics'!$C:$C,0))),"",INDEX('Policy Characteristics'!L:L,MATCH($C869,'Policy Characteristics'!$C:$C,0)))</f>
        <v>industry-energy-efficiency-standards.html</v>
      </c>
    </row>
    <row r="870" s="384" customFormat="1" customHeight="1" spans="1:18">
      <c r="A870" s="394" t="str">
        <f>IF(ISBLANK(INDEX('Policy Characteristics'!A:A,MATCH($C870,'Policy Characteristics'!$C:$C,0))),"",INDEX('Policy Characteristics'!A:A,MATCH($C870,'Policy Characteristics'!$C:$C,0)))</f>
        <v>Industry</v>
      </c>
      <c r="B870" s="395" t="str">
        <f>IF(ISBLANK(INDEX('Policy Characteristics'!B:B,MATCH($C870,'Policy Characteristics'!$C:$C,0))),"",INDEX('Policy Characteristics'!B:B,MATCH($C870,'Policy Characteristics'!$C:$C,0)))</f>
        <v>Industry Energy Efficiency Standards</v>
      </c>
      <c r="C870" s="394" t="str">
        <f t="shared" si="39"/>
        <v>Percentage Improvement in Eqpt Efficiency Standards above BAU</v>
      </c>
      <c r="D870" s="399" t="s">
        <v>764</v>
      </c>
      <c r="E870" s="399" t="s">
        <v>798</v>
      </c>
      <c r="F870" t="s">
        <v>765</v>
      </c>
      <c r="G870" s="399" t="s">
        <v>815</v>
      </c>
      <c r="H870" s="377">
        <v>1091</v>
      </c>
      <c r="I870" s="396" t="s">
        <v>648</v>
      </c>
      <c r="J870" s="397" t="str">
        <f>IF(ISBLANK(INDEX('Policy Characteristics'!D:D,MATCH($C870,'Policy Characteristics'!$C:$C,0))),"",INDEX('Policy Characteristics'!D:D,MATCH($C870,'Policy Characteristics'!$C:$C,0)))</f>
        <v>Industry Energy Efficiency Standards</v>
      </c>
      <c r="K870" s="394" t="str">
        <f>IF(ISBLANK(INDEX('Policy Characteristics'!E:E,MATCH($C870,'Policy Characteristics'!$C:$C,0))),"",INDEX('Policy Characteristics'!E:E,MATCH($C870,'Policy Characteristics'!$C:$C,0)))</f>
        <v>indst efficiency standards</v>
      </c>
      <c r="L870" s="398">
        <f>IF(ISBLANK(INDEX('Policy Characteristics'!F:F,MATCH($C870,'Policy Characteristics'!$C:$C,0))),"",INDEX('Policy Characteristics'!F:F,MATCH($C870,'Policy Characteristics'!$C:$C,0)))</f>
        <v>0</v>
      </c>
      <c r="M870" s="398">
        <f>IF(ISBLANK(INDEX('Policy Characteristics'!G:G,MATCH($C870,'Policy Characteristics'!$C:$C,0))),"",INDEX('Policy Characteristics'!G:G,MATCH($C870,'Policy Characteristics'!$C:$C,0)))</f>
        <v>0.25</v>
      </c>
      <c r="N870" s="398">
        <f>IF(ISBLANK(INDEX('Policy Characteristics'!H:H,MATCH($C870,'Policy Characteristics'!$C:$C,0))),"",INDEX('Policy Characteristics'!H:H,MATCH($C870,'Policy Characteristics'!$C:$C,0)))</f>
        <v>0.01</v>
      </c>
      <c r="O870" s="394" t="str">
        <f>IF(ISBLANK(INDEX('Policy Characteristics'!I:I,MATCH($C870,'Policy Characteristics'!$C:$C,0))),"",INDEX('Policy Characteristics'!I:I,MATCH($C870,'Policy Characteristics'!$C:$C,0)))</f>
        <v>% reduction in energy use</v>
      </c>
      <c r="P870" s="394" t="str">
        <f>IF(ISBLANK(INDEX('Policy Characteristics'!J:J,MATCH($C870,'Policy Characteristics'!$C:$C,0))),"",INDEX('Policy Characteristics'!J:J,MATCH($C870,'Policy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0" s="394" t="str">
        <f>IF(ISBLANK(INDEX('Policy Characteristics'!K:K,MATCH($C870,'Policy Characteristics'!$C:$C,0))),"",INDEX('Policy Characteristics'!K:K,MATCH($C870,'Policy Characteristics'!$C:$C,0)))</f>
        <v>industry-ag-main.html#eff-stds</v>
      </c>
      <c r="R870" s="394" t="str">
        <f>IF(ISBLANK(INDEX('Policy Characteristics'!L:L,MATCH($C870,'Policy Characteristics'!$C:$C,0))),"",INDEX('Policy Characteristics'!L:L,MATCH($C870,'Policy Characteristics'!$C:$C,0)))</f>
        <v>industry-energy-efficiency-standards.html</v>
      </c>
    </row>
    <row r="871" s="384" customFormat="1" customHeight="1" spans="1:18">
      <c r="A871" s="394" t="str">
        <f>IF(ISBLANK(INDEX('Policy Characteristics'!A:A,MATCH($C871,'Policy Characteristics'!$C:$C,0))),"",INDEX('Policy Characteristics'!A:A,MATCH($C871,'Policy Characteristics'!$C:$C,0)))</f>
        <v>Industry</v>
      </c>
      <c r="B871" s="395" t="str">
        <f>IF(ISBLANK(INDEX('Policy Characteristics'!B:B,MATCH($C871,'Policy Characteristics'!$C:$C,0))),"",INDEX('Policy Characteristics'!B:B,MATCH($C871,'Policy Characteristics'!$C:$C,0)))</f>
        <v>Industry Energy Efficiency Standards</v>
      </c>
      <c r="C871" s="394" t="str">
        <f t="shared" si="39"/>
        <v>Percentage Improvement in Eqpt Efficiency Standards above BAU</v>
      </c>
      <c r="D871" s="399" t="s">
        <v>764</v>
      </c>
      <c r="E871" s="399" t="s">
        <v>800</v>
      </c>
      <c r="F871" t="s">
        <v>765</v>
      </c>
      <c r="G871" s="399" t="s">
        <v>816</v>
      </c>
      <c r="H871" s="377">
        <v>1092</v>
      </c>
      <c r="I871" s="396" t="s">
        <v>648</v>
      </c>
      <c r="J871" s="397" t="str">
        <f>IF(ISBLANK(INDEX('Policy Characteristics'!D:D,MATCH($C871,'Policy Characteristics'!$C:$C,0))),"",INDEX('Policy Characteristics'!D:D,MATCH($C871,'Policy Characteristics'!$C:$C,0)))</f>
        <v>Industry Energy Efficiency Standards</v>
      </c>
      <c r="K871" s="394" t="str">
        <f>IF(ISBLANK(INDEX('Policy Characteristics'!E:E,MATCH($C871,'Policy Characteristics'!$C:$C,0))),"",INDEX('Policy Characteristics'!E:E,MATCH($C871,'Policy Characteristics'!$C:$C,0)))</f>
        <v>indst efficiency standards</v>
      </c>
      <c r="L871" s="398">
        <f>IF(ISBLANK(INDEX('Policy Characteristics'!F:F,MATCH($C871,'Policy Characteristics'!$C:$C,0))),"",INDEX('Policy Characteristics'!F:F,MATCH($C871,'Policy Characteristics'!$C:$C,0)))</f>
        <v>0</v>
      </c>
      <c r="M871" s="398">
        <f>IF(ISBLANK(INDEX('Policy Characteristics'!G:G,MATCH($C871,'Policy Characteristics'!$C:$C,0))),"",INDEX('Policy Characteristics'!G:G,MATCH($C871,'Policy Characteristics'!$C:$C,0)))</f>
        <v>0.25</v>
      </c>
      <c r="N871" s="398">
        <f>IF(ISBLANK(INDEX('Policy Characteristics'!H:H,MATCH($C871,'Policy Characteristics'!$C:$C,0))),"",INDEX('Policy Characteristics'!H:H,MATCH($C871,'Policy Characteristics'!$C:$C,0)))</f>
        <v>0.01</v>
      </c>
      <c r="O871" s="394" t="str">
        <f>IF(ISBLANK(INDEX('Policy Characteristics'!I:I,MATCH($C871,'Policy Characteristics'!$C:$C,0))),"",INDEX('Policy Characteristics'!I:I,MATCH($C871,'Policy Characteristics'!$C:$C,0)))</f>
        <v>% reduction in energy use</v>
      </c>
      <c r="P871" s="394" t="str">
        <f>IF(ISBLANK(INDEX('Policy Characteristics'!J:J,MATCH($C871,'Policy Characteristics'!$C:$C,0))),"",INDEX('Policy Characteristics'!J:J,MATCH($C871,'Policy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1" s="394" t="str">
        <f>IF(ISBLANK(INDEX('Policy Characteristics'!K:K,MATCH($C871,'Policy Characteristics'!$C:$C,0))),"",INDEX('Policy Characteristics'!K:K,MATCH($C871,'Policy Characteristics'!$C:$C,0)))</f>
        <v>industry-ag-main.html#eff-stds</v>
      </c>
      <c r="R871" s="394" t="str">
        <f>IF(ISBLANK(INDEX('Policy Characteristics'!L:L,MATCH($C871,'Policy Characteristics'!$C:$C,0))),"",INDEX('Policy Characteristics'!L:L,MATCH($C871,'Policy Characteristics'!$C:$C,0)))</f>
        <v>industry-energy-efficiency-standards.html</v>
      </c>
    </row>
    <row r="872" s="384" customFormat="1" customHeight="1" spans="1:18">
      <c r="A872" s="394" t="str">
        <f>IF(ISBLANK(INDEX('Policy Characteristics'!A:A,MATCH($C872,'Policy Characteristics'!$C:$C,0))),"",INDEX('Policy Characteristics'!A:A,MATCH($C872,'Policy Characteristics'!$C:$C,0)))</f>
        <v>Industry</v>
      </c>
      <c r="B872" s="395" t="str">
        <f>IF(ISBLANK(INDEX('Policy Characteristics'!B:B,MATCH($C872,'Policy Characteristics'!$C:$C,0))),"",INDEX('Policy Characteristics'!B:B,MATCH($C872,'Policy Characteristics'!$C:$C,0)))</f>
        <v>Industry Energy Efficiency Standards</v>
      </c>
      <c r="C872" s="394" t="str">
        <f t="shared" si="39"/>
        <v>Percentage Improvement in Eqpt Efficiency Standards above BAU</v>
      </c>
      <c r="D872" s="399" t="s">
        <v>764</v>
      </c>
      <c r="E872" s="399" t="s">
        <v>802</v>
      </c>
      <c r="F872" t="s">
        <v>765</v>
      </c>
      <c r="G872" s="399" t="s">
        <v>817</v>
      </c>
      <c r="H872" s="377">
        <v>1093</v>
      </c>
      <c r="I872" s="396" t="s">
        <v>648</v>
      </c>
      <c r="J872" s="397" t="str">
        <f>IF(ISBLANK(INDEX('Policy Characteristics'!D:D,MATCH($C872,'Policy Characteristics'!$C:$C,0))),"",INDEX('Policy Characteristics'!D:D,MATCH($C872,'Policy Characteristics'!$C:$C,0)))</f>
        <v>Industry Energy Efficiency Standards</v>
      </c>
      <c r="K872" s="394" t="str">
        <f>IF(ISBLANK(INDEX('Policy Characteristics'!E:E,MATCH($C872,'Policy Characteristics'!$C:$C,0))),"",INDEX('Policy Characteristics'!E:E,MATCH($C872,'Policy Characteristics'!$C:$C,0)))</f>
        <v>indst efficiency standards</v>
      </c>
      <c r="L872" s="398">
        <f>IF(ISBLANK(INDEX('Policy Characteristics'!F:F,MATCH($C872,'Policy Characteristics'!$C:$C,0))),"",INDEX('Policy Characteristics'!F:F,MATCH($C872,'Policy Characteristics'!$C:$C,0)))</f>
        <v>0</v>
      </c>
      <c r="M872" s="398">
        <f>IF(ISBLANK(INDEX('Policy Characteristics'!G:G,MATCH($C872,'Policy Characteristics'!$C:$C,0))),"",INDEX('Policy Characteristics'!G:G,MATCH($C872,'Policy Characteristics'!$C:$C,0)))</f>
        <v>0.25</v>
      </c>
      <c r="N872" s="398">
        <f>IF(ISBLANK(INDEX('Policy Characteristics'!H:H,MATCH($C872,'Policy Characteristics'!$C:$C,0))),"",INDEX('Policy Characteristics'!H:H,MATCH($C872,'Policy Characteristics'!$C:$C,0)))</f>
        <v>0.01</v>
      </c>
      <c r="O872" s="394" t="str">
        <f>IF(ISBLANK(INDEX('Policy Characteristics'!I:I,MATCH($C872,'Policy Characteristics'!$C:$C,0))),"",INDEX('Policy Characteristics'!I:I,MATCH($C872,'Policy Characteristics'!$C:$C,0)))</f>
        <v>% reduction in energy use</v>
      </c>
      <c r="P872" s="394" t="str">
        <f>IF(ISBLANK(INDEX('Policy Characteristics'!J:J,MATCH($C872,'Policy Characteristics'!$C:$C,0))),"",INDEX('Policy Characteristics'!J:J,MATCH($C872,'Policy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2" s="394" t="str">
        <f>IF(ISBLANK(INDEX('Policy Characteristics'!K:K,MATCH($C872,'Policy Characteristics'!$C:$C,0))),"",INDEX('Policy Characteristics'!K:K,MATCH($C872,'Policy Characteristics'!$C:$C,0)))</f>
        <v>industry-ag-main.html#eff-stds</v>
      </c>
      <c r="R872" s="394" t="str">
        <f>IF(ISBLANK(INDEX('Policy Characteristics'!L:L,MATCH($C872,'Policy Characteristics'!$C:$C,0))),"",INDEX('Policy Characteristics'!L:L,MATCH($C872,'Policy Characteristics'!$C:$C,0)))</f>
        <v>industry-energy-efficiency-standards.html</v>
      </c>
    </row>
    <row r="873" s="384" customFormat="1" customHeight="1" spans="1:18">
      <c r="A873" s="394" t="str">
        <f>IF(ISBLANK(INDEX('Policy Characteristics'!A:A,MATCH($C873,'Policy Characteristics'!$C:$C,0))),"",INDEX('Policy Characteristics'!A:A,MATCH($C873,'Policy Characteristics'!$C:$C,0)))</f>
        <v>Industry</v>
      </c>
      <c r="B873" s="395" t="str">
        <f>IF(ISBLANK(INDEX('Policy Characteristics'!B:B,MATCH($C873,'Policy Characteristics'!$C:$C,0))),"",INDEX('Policy Characteristics'!B:B,MATCH($C873,'Policy Characteristics'!$C:$C,0)))</f>
        <v>Industry Energy Efficiency Standards</v>
      </c>
      <c r="C873" s="394" t="str">
        <f t="shared" si="39"/>
        <v>Percentage Improvement in Eqpt Efficiency Standards above BAU</v>
      </c>
      <c r="D873" s="399" t="s">
        <v>764</v>
      </c>
      <c r="E873" s="399" t="s">
        <v>804</v>
      </c>
      <c r="F873" t="s">
        <v>765</v>
      </c>
      <c r="G873" s="399" t="s">
        <v>818</v>
      </c>
      <c r="H873" s="377">
        <v>1094</v>
      </c>
      <c r="I873" s="396" t="s">
        <v>648</v>
      </c>
      <c r="J873" s="397" t="str">
        <f>IF(ISBLANK(INDEX('Policy Characteristics'!D:D,MATCH($C873,'Policy Characteristics'!$C:$C,0))),"",INDEX('Policy Characteristics'!D:D,MATCH($C873,'Policy Characteristics'!$C:$C,0)))</f>
        <v>Industry Energy Efficiency Standards</v>
      </c>
      <c r="K873" s="394" t="str">
        <f>IF(ISBLANK(INDEX('Policy Characteristics'!E:E,MATCH($C873,'Policy Characteristics'!$C:$C,0))),"",INDEX('Policy Characteristics'!E:E,MATCH($C873,'Policy Characteristics'!$C:$C,0)))</f>
        <v>indst efficiency standards</v>
      </c>
      <c r="L873" s="398">
        <f>IF(ISBLANK(INDEX('Policy Characteristics'!F:F,MATCH($C873,'Policy Characteristics'!$C:$C,0))),"",INDEX('Policy Characteristics'!F:F,MATCH($C873,'Policy Characteristics'!$C:$C,0)))</f>
        <v>0</v>
      </c>
      <c r="M873" s="398">
        <f>IF(ISBLANK(INDEX('Policy Characteristics'!G:G,MATCH($C873,'Policy Characteristics'!$C:$C,0))),"",INDEX('Policy Characteristics'!G:G,MATCH($C873,'Policy Characteristics'!$C:$C,0)))</f>
        <v>0.25</v>
      </c>
      <c r="N873" s="398">
        <f>IF(ISBLANK(INDEX('Policy Characteristics'!H:H,MATCH($C873,'Policy Characteristics'!$C:$C,0))),"",INDEX('Policy Characteristics'!H:H,MATCH($C873,'Policy Characteristics'!$C:$C,0)))</f>
        <v>0.01</v>
      </c>
      <c r="O873" s="394" t="str">
        <f>IF(ISBLANK(INDEX('Policy Characteristics'!I:I,MATCH($C873,'Policy Characteristics'!$C:$C,0))),"",INDEX('Policy Characteristics'!I:I,MATCH($C873,'Policy Characteristics'!$C:$C,0)))</f>
        <v>% reduction in energy use</v>
      </c>
      <c r="P873" s="394" t="str">
        <f>IF(ISBLANK(INDEX('Policy Characteristics'!J:J,MATCH($C873,'Policy Characteristics'!$C:$C,0))),"",INDEX('Policy Characteristics'!J:J,MATCH($C873,'Policy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3" s="394" t="str">
        <f>IF(ISBLANK(INDEX('Policy Characteristics'!K:K,MATCH($C873,'Policy Characteristics'!$C:$C,0))),"",INDEX('Policy Characteristics'!K:K,MATCH($C873,'Policy Characteristics'!$C:$C,0)))</f>
        <v>industry-ag-main.html#eff-stds</v>
      </c>
      <c r="R873" s="394" t="str">
        <f>IF(ISBLANK(INDEX('Policy Characteristics'!L:L,MATCH($C873,'Policy Characteristics'!$C:$C,0))),"",INDEX('Policy Characteristics'!L:L,MATCH($C873,'Policy Characteristics'!$C:$C,0)))</f>
        <v>industry-energy-efficiency-standards.html</v>
      </c>
    </row>
    <row r="874" s="384" customFormat="1" customHeight="1" spans="1:18">
      <c r="A874" s="394" t="str">
        <f>IF(ISBLANK(INDEX('Policy Characteristics'!A:A,MATCH($C874,'Policy Characteristics'!$C:$C,0))),"",INDEX('Policy Characteristics'!A:A,MATCH($C874,'Policy Characteristics'!$C:$C,0)))</f>
        <v>Industry</v>
      </c>
      <c r="B874" s="395" t="str">
        <f>IF(ISBLANK(INDEX('Policy Characteristics'!B:B,MATCH($C874,'Policy Characteristics'!$C:$C,0))),"",INDEX('Policy Characteristics'!B:B,MATCH($C874,'Policy Characteristics'!$C:$C,0)))</f>
        <v>Industry Energy Efficiency Standards</v>
      </c>
      <c r="C874" s="394" t="str">
        <f t="shared" si="39"/>
        <v>Percentage Improvement in Eqpt Efficiency Standards above BAU</v>
      </c>
      <c r="D874" s="399" t="s">
        <v>764</v>
      </c>
      <c r="E874" s="399" t="s">
        <v>806</v>
      </c>
      <c r="F874" t="s">
        <v>765</v>
      </c>
      <c r="G874" s="399" t="s">
        <v>819</v>
      </c>
      <c r="H874" s="377">
        <v>1095</v>
      </c>
      <c r="I874" s="396" t="s">
        <v>648</v>
      </c>
      <c r="J874" s="397" t="str">
        <f>IF(ISBLANK(INDEX('Policy Characteristics'!D:D,MATCH($C874,'Policy Characteristics'!$C:$C,0))),"",INDEX('Policy Characteristics'!D:D,MATCH($C874,'Policy Characteristics'!$C:$C,0)))</f>
        <v>Industry Energy Efficiency Standards</v>
      </c>
      <c r="K874" s="394" t="str">
        <f>IF(ISBLANK(INDEX('Policy Characteristics'!E:E,MATCH($C874,'Policy Characteristics'!$C:$C,0))),"",INDEX('Policy Characteristics'!E:E,MATCH($C874,'Policy Characteristics'!$C:$C,0)))</f>
        <v>indst efficiency standards</v>
      </c>
      <c r="L874" s="398">
        <f>IF(ISBLANK(INDEX('Policy Characteristics'!F:F,MATCH($C874,'Policy Characteristics'!$C:$C,0))),"",INDEX('Policy Characteristics'!F:F,MATCH($C874,'Policy Characteristics'!$C:$C,0)))</f>
        <v>0</v>
      </c>
      <c r="M874" s="398">
        <f>IF(ISBLANK(INDEX('Policy Characteristics'!G:G,MATCH($C874,'Policy Characteristics'!$C:$C,0))),"",INDEX('Policy Characteristics'!G:G,MATCH($C874,'Policy Characteristics'!$C:$C,0)))</f>
        <v>0.25</v>
      </c>
      <c r="N874" s="398">
        <f>IF(ISBLANK(INDEX('Policy Characteristics'!H:H,MATCH($C874,'Policy Characteristics'!$C:$C,0))),"",INDEX('Policy Characteristics'!H:H,MATCH($C874,'Policy Characteristics'!$C:$C,0)))</f>
        <v>0.01</v>
      </c>
      <c r="O874" s="394" t="str">
        <f>IF(ISBLANK(INDEX('Policy Characteristics'!I:I,MATCH($C874,'Policy Characteristics'!$C:$C,0))),"",INDEX('Policy Characteristics'!I:I,MATCH($C874,'Policy Characteristics'!$C:$C,0)))</f>
        <v>% reduction in energy use</v>
      </c>
      <c r="P874" s="394" t="str">
        <f>IF(ISBLANK(INDEX('Policy Characteristics'!J:J,MATCH($C874,'Policy Characteristics'!$C:$C,0))),"",INDEX('Policy Characteristics'!J:J,MATCH($C874,'Policy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4" s="394" t="str">
        <f>IF(ISBLANK(INDEX('Policy Characteristics'!K:K,MATCH($C874,'Policy Characteristics'!$C:$C,0))),"",INDEX('Policy Characteristics'!K:K,MATCH($C874,'Policy Characteristics'!$C:$C,0)))</f>
        <v>industry-ag-main.html#eff-stds</v>
      </c>
      <c r="R874" s="394" t="str">
        <f>IF(ISBLANK(INDEX('Policy Characteristics'!L:L,MATCH($C874,'Policy Characteristics'!$C:$C,0))),"",INDEX('Policy Characteristics'!L:L,MATCH($C874,'Policy Characteristics'!$C:$C,0)))</f>
        <v>industry-energy-efficiency-standards.html</v>
      </c>
    </row>
    <row r="875" s="384" customFormat="1" customHeight="1" spans="1:18">
      <c r="A875" s="394" t="str">
        <f>IF(ISBLANK(INDEX('Policy Characteristics'!A:A,MATCH($C875,'Policy Characteristics'!$C:$C,0))),"",INDEX('Policy Characteristics'!A:A,MATCH($C875,'Policy Characteristics'!$C:$C,0)))</f>
        <v>Industry</v>
      </c>
      <c r="B875" s="395" t="str">
        <f>IF(ISBLANK(INDEX('Policy Characteristics'!B:B,MATCH($C875,'Policy Characteristics'!$C:$C,0))),"",INDEX('Policy Characteristics'!B:B,MATCH($C875,'Policy Characteristics'!$C:$C,0)))</f>
        <v>Industry Energy Efficiency Standards</v>
      </c>
      <c r="C875" s="394" t="str">
        <f t="shared" si="39"/>
        <v>Percentage Improvement in Eqpt Efficiency Standards above BAU</v>
      </c>
      <c r="D875" s="399" t="s">
        <v>764</v>
      </c>
      <c r="E875" s="399" t="s">
        <v>808</v>
      </c>
      <c r="F875" t="s">
        <v>765</v>
      </c>
      <c r="G875" s="399" t="s">
        <v>820</v>
      </c>
      <c r="H875" s="377">
        <v>1096</v>
      </c>
      <c r="I875" s="396" t="s">
        <v>648</v>
      </c>
      <c r="J875" s="397" t="str">
        <f>IF(ISBLANK(INDEX('Policy Characteristics'!D:D,MATCH($C875,'Policy Characteristics'!$C:$C,0))),"",INDEX('Policy Characteristics'!D:D,MATCH($C875,'Policy Characteristics'!$C:$C,0)))</f>
        <v>Industry Energy Efficiency Standards</v>
      </c>
      <c r="K875" s="394" t="str">
        <f>IF(ISBLANK(INDEX('Policy Characteristics'!E:E,MATCH($C875,'Policy Characteristics'!$C:$C,0))),"",INDEX('Policy Characteristics'!E:E,MATCH($C875,'Policy Characteristics'!$C:$C,0)))</f>
        <v>indst efficiency standards</v>
      </c>
      <c r="L875" s="398">
        <f>IF(ISBLANK(INDEX('Policy Characteristics'!F:F,MATCH($C875,'Policy Characteristics'!$C:$C,0))),"",INDEX('Policy Characteristics'!F:F,MATCH($C875,'Policy Characteristics'!$C:$C,0)))</f>
        <v>0</v>
      </c>
      <c r="M875" s="398">
        <f>IF(ISBLANK(INDEX('Policy Characteristics'!G:G,MATCH($C875,'Policy Characteristics'!$C:$C,0))),"",INDEX('Policy Characteristics'!G:G,MATCH($C875,'Policy Characteristics'!$C:$C,0)))</f>
        <v>0.25</v>
      </c>
      <c r="N875" s="398">
        <f>IF(ISBLANK(INDEX('Policy Characteristics'!H:H,MATCH($C875,'Policy Characteristics'!$C:$C,0))),"",INDEX('Policy Characteristics'!H:H,MATCH($C875,'Policy Characteristics'!$C:$C,0)))</f>
        <v>0.01</v>
      </c>
      <c r="O875" s="394" t="str">
        <f>IF(ISBLANK(INDEX('Policy Characteristics'!I:I,MATCH($C875,'Policy Characteristics'!$C:$C,0))),"",INDEX('Policy Characteristics'!I:I,MATCH($C875,'Policy Characteristics'!$C:$C,0)))</f>
        <v>% reduction in energy use</v>
      </c>
      <c r="P875" s="394" t="str">
        <f>IF(ISBLANK(INDEX('Policy Characteristics'!J:J,MATCH($C875,'Policy Characteristics'!$C:$C,0))),"",INDEX('Policy Characteristics'!J:J,MATCH($C875,'Policy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5" s="394" t="str">
        <f>IF(ISBLANK(INDEX('Policy Characteristics'!K:K,MATCH($C875,'Policy Characteristics'!$C:$C,0))),"",INDEX('Policy Characteristics'!K:K,MATCH($C875,'Policy Characteristics'!$C:$C,0)))</f>
        <v>industry-ag-main.html#eff-stds</v>
      </c>
      <c r="R875" s="394" t="str">
        <f>IF(ISBLANK(INDEX('Policy Characteristics'!L:L,MATCH($C875,'Policy Characteristics'!$C:$C,0))),"",INDEX('Policy Characteristics'!L:L,MATCH($C875,'Policy Characteristics'!$C:$C,0)))</f>
        <v>industry-energy-efficiency-standards.html</v>
      </c>
    </row>
    <row r="876" s="384" customFormat="1" customHeight="1" spans="1:18">
      <c r="A876" s="394" t="str">
        <f>IF(ISBLANK(INDEX('Policy Characteristics'!A:A,MATCH($C876,'Policy Characteristics'!$C:$C,0))),"",INDEX('Policy Characteristics'!A:A,MATCH($C876,'Policy Characteristics'!$C:$C,0)))</f>
        <v>Industry</v>
      </c>
      <c r="B876" s="395" t="str">
        <f>IF(ISBLANK(INDEX('Policy Characteristics'!B:B,MATCH($C876,'Policy Characteristics'!$C:$C,0))),"",INDEX('Policy Characteristics'!B:B,MATCH($C876,'Policy Characteristics'!$C:$C,0)))</f>
        <v>Industry Energy Efficiency Standards</v>
      </c>
      <c r="C876" s="394" t="str">
        <f t="shared" si="39"/>
        <v>Percentage Improvement in Eqpt Efficiency Standards above BAU</v>
      </c>
      <c r="D876" s="399" t="s">
        <v>764</v>
      </c>
      <c r="E876" s="399" t="s">
        <v>810</v>
      </c>
      <c r="F876" t="s">
        <v>765</v>
      </c>
      <c r="G876" s="399" t="s">
        <v>821</v>
      </c>
      <c r="H876" s="377">
        <v>1097</v>
      </c>
      <c r="I876" s="396" t="s">
        <v>648</v>
      </c>
      <c r="J876" s="397" t="str">
        <f>IF(ISBLANK(INDEX('Policy Characteristics'!D:D,MATCH($C876,'Policy Characteristics'!$C:$C,0))),"",INDEX('Policy Characteristics'!D:D,MATCH($C876,'Policy Characteristics'!$C:$C,0)))</f>
        <v>Industry Energy Efficiency Standards</v>
      </c>
      <c r="K876" s="394" t="str">
        <f>IF(ISBLANK(INDEX('Policy Characteristics'!E:E,MATCH($C876,'Policy Characteristics'!$C:$C,0))),"",INDEX('Policy Characteristics'!E:E,MATCH($C876,'Policy Characteristics'!$C:$C,0)))</f>
        <v>indst efficiency standards</v>
      </c>
      <c r="L876" s="398">
        <f>IF(ISBLANK(INDEX('Policy Characteristics'!F:F,MATCH($C876,'Policy Characteristics'!$C:$C,0))),"",INDEX('Policy Characteristics'!F:F,MATCH($C876,'Policy Characteristics'!$C:$C,0)))</f>
        <v>0</v>
      </c>
      <c r="M876" s="398">
        <f>IF(ISBLANK(INDEX('Policy Characteristics'!G:G,MATCH($C876,'Policy Characteristics'!$C:$C,0))),"",INDEX('Policy Characteristics'!G:G,MATCH($C876,'Policy Characteristics'!$C:$C,0)))</f>
        <v>0.25</v>
      </c>
      <c r="N876" s="398">
        <f>IF(ISBLANK(INDEX('Policy Characteristics'!H:H,MATCH($C876,'Policy Characteristics'!$C:$C,0))),"",INDEX('Policy Characteristics'!H:H,MATCH($C876,'Policy Characteristics'!$C:$C,0)))</f>
        <v>0.01</v>
      </c>
      <c r="O876" s="394" t="str">
        <f>IF(ISBLANK(INDEX('Policy Characteristics'!I:I,MATCH($C876,'Policy Characteristics'!$C:$C,0))),"",INDEX('Policy Characteristics'!I:I,MATCH($C876,'Policy Characteristics'!$C:$C,0)))</f>
        <v>% reduction in energy use</v>
      </c>
      <c r="P876" s="394" t="str">
        <f>IF(ISBLANK(INDEX('Policy Characteristics'!J:J,MATCH($C876,'Policy Characteristics'!$C:$C,0))),"",INDEX('Policy Characteristics'!J:J,MATCH($C876,'Policy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6" s="394" t="str">
        <f>IF(ISBLANK(INDEX('Policy Characteristics'!K:K,MATCH($C876,'Policy Characteristics'!$C:$C,0))),"",INDEX('Policy Characteristics'!K:K,MATCH($C876,'Policy Characteristics'!$C:$C,0)))</f>
        <v>industry-ag-main.html#eff-stds</v>
      </c>
      <c r="R876" s="394" t="str">
        <f>IF(ISBLANK(INDEX('Policy Characteristics'!L:L,MATCH($C876,'Policy Characteristics'!$C:$C,0))),"",INDEX('Policy Characteristics'!L:L,MATCH($C876,'Policy Characteristics'!$C:$C,0)))</f>
        <v>industry-energy-efficiency-standards.html</v>
      </c>
    </row>
    <row r="877" s="384" customFormat="1" customHeight="1" spans="1:18">
      <c r="A877" s="394" t="str">
        <f>IF(ISBLANK(INDEX('Policy Characteristics'!A:A,MATCH($C877,'Policy Characteristics'!$C:$C,0))),"",INDEX('Policy Characteristics'!A:A,MATCH($C877,'Policy Characteristics'!$C:$C,0)))</f>
        <v>Industry</v>
      </c>
      <c r="B877" s="395" t="str">
        <f>IF(ISBLANK(INDEX('Policy Characteristics'!B:B,MATCH($C877,'Policy Characteristics'!$C:$C,0))),"",INDEX('Policy Characteristics'!B:B,MATCH($C877,'Policy Characteristics'!$C:$C,0)))</f>
        <v>Industry Energy Efficiency Standards</v>
      </c>
      <c r="C877" s="394" t="str">
        <f t="shared" si="39"/>
        <v>Percentage Improvement in Eqpt Efficiency Standards above BAU</v>
      </c>
      <c r="D877" s="399" t="s">
        <v>766</v>
      </c>
      <c r="E877" s="399" t="s">
        <v>792</v>
      </c>
      <c r="F877" t="s">
        <v>767</v>
      </c>
      <c r="G877" s="399" t="s">
        <v>812</v>
      </c>
      <c r="H877" s="377">
        <v>1098</v>
      </c>
      <c r="I877" s="396" t="s">
        <v>648</v>
      </c>
      <c r="J877" s="397" t="str">
        <f>IF(ISBLANK(INDEX('Policy Characteristics'!D:D,MATCH($C877,'Policy Characteristics'!$C:$C,0))),"",INDEX('Policy Characteristics'!D:D,MATCH($C877,'Policy Characteristics'!$C:$C,0)))</f>
        <v>Industry Energy Efficiency Standards</v>
      </c>
      <c r="K877" s="394" t="str">
        <f>IF(ISBLANK(INDEX('Policy Characteristics'!E:E,MATCH($C877,'Policy Characteristics'!$C:$C,0))),"",INDEX('Policy Characteristics'!E:E,MATCH($C877,'Policy Characteristics'!$C:$C,0)))</f>
        <v>indst efficiency standards</v>
      </c>
      <c r="L877" s="398">
        <f>IF(ISBLANK(INDEX('Policy Characteristics'!F:F,MATCH($C877,'Policy Characteristics'!$C:$C,0))),"",INDEX('Policy Characteristics'!F:F,MATCH($C877,'Policy Characteristics'!$C:$C,0)))</f>
        <v>0</v>
      </c>
      <c r="M877" s="398">
        <f>IF(ISBLANK(INDEX('Policy Characteristics'!G:G,MATCH($C877,'Policy Characteristics'!$C:$C,0))),"",INDEX('Policy Characteristics'!G:G,MATCH($C877,'Policy Characteristics'!$C:$C,0)))</f>
        <v>0.25</v>
      </c>
      <c r="N877" s="398">
        <f>IF(ISBLANK(INDEX('Policy Characteristics'!H:H,MATCH($C877,'Policy Characteristics'!$C:$C,0))),"",INDEX('Policy Characteristics'!H:H,MATCH($C877,'Policy Characteristics'!$C:$C,0)))</f>
        <v>0.01</v>
      </c>
      <c r="O877" s="394" t="str">
        <f>IF(ISBLANK(INDEX('Policy Characteristics'!I:I,MATCH($C877,'Policy Characteristics'!$C:$C,0))),"",INDEX('Policy Characteristics'!I:I,MATCH($C877,'Policy Characteristics'!$C:$C,0)))</f>
        <v>% reduction in energy use</v>
      </c>
      <c r="P877" s="394" t="str">
        <f>IF(ISBLANK(INDEX('Policy Characteristics'!J:J,MATCH($C877,'Policy Characteristics'!$C:$C,0))),"",INDEX('Policy Characteristics'!J:J,MATCH($C877,'Policy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7" s="394" t="str">
        <f>IF(ISBLANK(INDEX('Policy Characteristics'!K:K,MATCH($C877,'Policy Characteristics'!$C:$C,0))),"",INDEX('Policy Characteristics'!K:K,MATCH($C877,'Policy Characteristics'!$C:$C,0)))</f>
        <v>industry-ag-main.html#eff-stds</v>
      </c>
      <c r="R877" s="394" t="str">
        <f>IF(ISBLANK(INDEX('Policy Characteristics'!L:L,MATCH($C877,'Policy Characteristics'!$C:$C,0))),"",INDEX('Policy Characteristics'!L:L,MATCH($C877,'Policy Characteristics'!$C:$C,0)))</f>
        <v>industry-energy-efficiency-standards.html</v>
      </c>
    </row>
    <row r="878" s="384" customFormat="1" customHeight="1" spans="1:18">
      <c r="A878" s="394" t="str">
        <f>IF(ISBLANK(INDEX('Policy Characteristics'!A:A,MATCH($C878,'Policy Characteristics'!$C:$C,0))),"",INDEX('Policy Characteristics'!A:A,MATCH($C878,'Policy Characteristics'!$C:$C,0)))</f>
        <v>Industry</v>
      </c>
      <c r="B878" s="395" t="str">
        <f>IF(ISBLANK(INDEX('Policy Characteristics'!B:B,MATCH($C878,'Policy Characteristics'!$C:$C,0))),"",INDEX('Policy Characteristics'!B:B,MATCH($C878,'Policy Characteristics'!$C:$C,0)))</f>
        <v>Industry Energy Efficiency Standards</v>
      </c>
      <c r="C878" s="394" t="str">
        <f t="shared" si="39"/>
        <v>Percentage Improvement in Eqpt Efficiency Standards above BAU</v>
      </c>
      <c r="D878" s="399" t="s">
        <v>766</v>
      </c>
      <c r="E878" s="399" t="s">
        <v>794</v>
      </c>
      <c r="F878" t="s">
        <v>767</v>
      </c>
      <c r="G878" s="399" t="s">
        <v>813</v>
      </c>
      <c r="H878" s="377">
        <v>1099</v>
      </c>
      <c r="I878" s="396" t="s">
        <v>648</v>
      </c>
      <c r="J878" s="397" t="str">
        <f>IF(ISBLANK(INDEX('Policy Characteristics'!D:D,MATCH($C878,'Policy Characteristics'!$C:$C,0))),"",INDEX('Policy Characteristics'!D:D,MATCH($C878,'Policy Characteristics'!$C:$C,0)))</f>
        <v>Industry Energy Efficiency Standards</v>
      </c>
      <c r="K878" s="394" t="str">
        <f>IF(ISBLANK(INDEX('Policy Characteristics'!E:E,MATCH($C878,'Policy Characteristics'!$C:$C,0))),"",INDEX('Policy Characteristics'!E:E,MATCH($C878,'Policy Characteristics'!$C:$C,0)))</f>
        <v>indst efficiency standards</v>
      </c>
      <c r="L878" s="398">
        <f>IF(ISBLANK(INDEX('Policy Characteristics'!F:F,MATCH($C878,'Policy Characteristics'!$C:$C,0))),"",INDEX('Policy Characteristics'!F:F,MATCH($C878,'Policy Characteristics'!$C:$C,0)))</f>
        <v>0</v>
      </c>
      <c r="M878" s="398">
        <f>IF(ISBLANK(INDEX('Policy Characteristics'!G:G,MATCH($C878,'Policy Characteristics'!$C:$C,0))),"",INDEX('Policy Characteristics'!G:G,MATCH($C878,'Policy Characteristics'!$C:$C,0)))</f>
        <v>0.25</v>
      </c>
      <c r="N878" s="398">
        <f>IF(ISBLANK(INDEX('Policy Characteristics'!H:H,MATCH($C878,'Policy Characteristics'!$C:$C,0))),"",INDEX('Policy Characteristics'!H:H,MATCH($C878,'Policy Characteristics'!$C:$C,0)))</f>
        <v>0.01</v>
      </c>
      <c r="O878" s="394" t="str">
        <f>IF(ISBLANK(INDEX('Policy Characteristics'!I:I,MATCH($C878,'Policy Characteristics'!$C:$C,0))),"",INDEX('Policy Characteristics'!I:I,MATCH($C878,'Policy Characteristics'!$C:$C,0)))</f>
        <v>% reduction in energy use</v>
      </c>
      <c r="P878" s="394" t="str">
        <f>IF(ISBLANK(INDEX('Policy Characteristics'!J:J,MATCH($C878,'Policy Characteristics'!$C:$C,0))),"",INDEX('Policy Characteristics'!J:J,MATCH($C878,'Policy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8" s="394" t="str">
        <f>IF(ISBLANK(INDEX('Policy Characteristics'!K:K,MATCH($C878,'Policy Characteristics'!$C:$C,0))),"",INDEX('Policy Characteristics'!K:K,MATCH($C878,'Policy Characteristics'!$C:$C,0)))</f>
        <v>industry-ag-main.html#eff-stds</v>
      </c>
      <c r="R878" s="394" t="str">
        <f>IF(ISBLANK(INDEX('Policy Characteristics'!L:L,MATCH($C878,'Policy Characteristics'!$C:$C,0))),"",INDEX('Policy Characteristics'!L:L,MATCH($C878,'Policy Characteristics'!$C:$C,0)))</f>
        <v>industry-energy-efficiency-standards.html</v>
      </c>
    </row>
    <row r="879" s="384" customFormat="1" customHeight="1" spans="1:18">
      <c r="A879" s="394" t="str">
        <f>IF(ISBLANK(INDEX('Policy Characteristics'!A:A,MATCH($C879,'Policy Characteristics'!$C:$C,0))),"",INDEX('Policy Characteristics'!A:A,MATCH($C879,'Policy Characteristics'!$C:$C,0)))</f>
        <v>Industry</v>
      </c>
      <c r="B879" s="395" t="str">
        <f>IF(ISBLANK(INDEX('Policy Characteristics'!B:B,MATCH($C879,'Policy Characteristics'!$C:$C,0))),"",INDEX('Policy Characteristics'!B:B,MATCH($C879,'Policy Characteristics'!$C:$C,0)))</f>
        <v>Industry Energy Efficiency Standards</v>
      </c>
      <c r="C879" s="394" t="str">
        <f t="shared" si="39"/>
        <v>Percentage Improvement in Eqpt Efficiency Standards above BAU</v>
      </c>
      <c r="D879" s="399" t="s">
        <v>766</v>
      </c>
      <c r="E879" s="399" t="s">
        <v>796</v>
      </c>
      <c r="F879" t="s">
        <v>767</v>
      </c>
      <c r="G879" s="399" t="s">
        <v>814</v>
      </c>
      <c r="H879" s="377">
        <v>1100</v>
      </c>
      <c r="I879" s="396" t="s">
        <v>648</v>
      </c>
      <c r="J879" s="397" t="str">
        <f>IF(ISBLANK(INDEX('Policy Characteristics'!D:D,MATCH($C879,'Policy Characteristics'!$C:$C,0))),"",INDEX('Policy Characteristics'!D:D,MATCH($C879,'Policy Characteristics'!$C:$C,0)))</f>
        <v>Industry Energy Efficiency Standards</v>
      </c>
      <c r="K879" s="394" t="str">
        <f>IF(ISBLANK(INDEX('Policy Characteristics'!E:E,MATCH($C879,'Policy Characteristics'!$C:$C,0))),"",INDEX('Policy Characteristics'!E:E,MATCH($C879,'Policy Characteristics'!$C:$C,0)))</f>
        <v>indst efficiency standards</v>
      </c>
      <c r="L879" s="398">
        <f>IF(ISBLANK(INDEX('Policy Characteristics'!F:F,MATCH($C879,'Policy Characteristics'!$C:$C,0))),"",INDEX('Policy Characteristics'!F:F,MATCH($C879,'Policy Characteristics'!$C:$C,0)))</f>
        <v>0</v>
      </c>
      <c r="M879" s="398">
        <f>IF(ISBLANK(INDEX('Policy Characteristics'!G:G,MATCH($C879,'Policy Characteristics'!$C:$C,0))),"",INDEX('Policy Characteristics'!G:G,MATCH($C879,'Policy Characteristics'!$C:$C,0)))</f>
        <v>0.25</v>
      </c>
      <c r="N879" s="398">
        <f>IF(ISBLANK(INDEX('Policy Characteristics'!H:H,MATCH($C879,'Policy Characteristics'!$C:$C,0))),"",INDEX('Policy Characteristics'!H:H,MATCH($C879,'Policy Characteristics'!$C:$C,0)))</f>
        <v>0.01</v>
      </c>
      <c r="O879" s="394" t="str">
        <f>IF(ISBLANK(INDEX('Policy Characteristics'!I:I,MATCH($C879,'Policy Characteristics'!$C:$C,0))),"",INDEX('Policy Characteristics'!I:I,MATCH($C879,'Policy Characteristics'!$C:$C,0)))</f>
        <v>% reduction in energy use</v>
      </c>
      <c r="P879" s="394" t="str">
        <f>IF(ISBLANK(INDEX('Policy Characteristics'!J:J,MATCH($C879,'Policy Characteristics'!$C:$C,0))),"",INDEX('Policy Characteristics'!J:J,MATCH($C879,'Policy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9" s="394" t="str">
        <f>IF(ISBLANK(INDEX('Policy Characteristics'!K:K,MATCH($C879,'Policy Characteristics'!$C:$C,0))),"",INDEX('Policy Characteristics'!K:K,MATCH($C879,'Policy Characteristics'!$C:$C,0)))</f>
        <v>industry-ag-main.html#eff-stds</v>
      </c>
      <c r="R879" s="394" t="str">
        <f>IF(ISBLANK(INDEX('Policy Characteristics'!L:L,MATCH($C879,'Policy Characteristics'!$C:$C,0))),"",INDEX('Policy Characteristics'!L:L,MATCH($C879,'Policy Characteristics'!$C:$C,0)))</f>
        <v>industry-energy-efficiency-standards.html</v>
      </c>
    </row>
    <row r="880" s="384" customFormat="1" customHeight="1" spans="1:18">
      <c r="A880" s="394" t="str">
        <f>IF(ISBLANK(INDEX('Policy Characteristics'!A:A,MATCH($C880,'Policy Characteristics'!$C:$C,0))),"",INDEX('Policy Characteristics'!A:A,MATCH($C880,'Policy Characteristics'!$C:$C,0)))</f>
        <v>Industry</v>
      </c>
      <c r="B880" s="395" t="str">
        <f>IF(ISBLANK(INDEX('Policy Characteristics'!B:B,MATCH($C880,'Policy Characteristics'!$C:$C,0))),"",INDEX('Policy Characteristics'!B:B,MATCH($C880,'Policy Characteristics'!$C:$C,0)))</f>
        <v>Industry Energy Efficiency Standards</v>
      </c>
      <c r="C880" s="394" t="str">
        <f t="shared" si="39"/>
        <v>Percentage Improvement in Eqpt Efficiency Standards above BAU</v>
      </c>
      <c r="D880" s="399" t="s">
        <v>766</v>
      </c>
      <c r="E880" s="399" t="s">
        <v>798</v>
      </c>
      <c r="F880" t="s">
        <v>767</v>
      </c>
      <c r="G880" s="399" t="s">
        <v>815</v>
      </c>
      <c r="H880" s="377">
        <v>1101</v>
      </c>
      <c r="I880" s="396" t="s">
        <v>648</v>
      </c>
      <c r="J880" s="397" t="str">
        <f>IF(ISBLANK(INDEX('Policy Characteristics'!D:D,MATCH($C880,'Policy Characteristics'!$C:$C,0))),"",INDEX('Policy Characteristics'!D:D,MATCH($C880,'Policy Characteristics'!$C:$C,0)))</f>
        <v>Industry Energy Efficiency Standards</v>
      </c>
      <c r="K880" s="394" t="str">
        <f>IF(ISBLANK(INDEX('Policy Characteristics'!E:E,MATCH($C880,'Policy Characteristics'!$C:$C,0))),"",INDEX('Policy Characteristics'!E:E,MATCH($C880,'Policy Characteristics'!$C:$C,0)))</f>
        <v>indst efficiency standards</v>
      </c>
      <c r="L880" s="398">
        <f>IF(ISBLANK(INDEX('Policy Characteristics'!F:F,MATCH($C880,'Policy Characteristics'!$C:$C,0))),"",INDEX('Policy Characteristics'!F:F,MATCH($C880,'Policy Characteristics'!$C:$C,0)))</f>
        <v>0</v>
      </c>
      <c r="M880" s="398">
        <f>IF(ISBLANK(INDEX('Policy Characteristics'!G:G,MATCH($C880,'Policy Characteristics'!$C:$C,0))),"",INDEX('Policy Characteristics'!G:G,MATCH($C880,'Policy Characteristics'!$C:$C,0)))</f>
        <v>0.25</v>
      </c>
      <c r="N880" s="398">
        <f>IF(ISBLANK(INDEX('Policy Characteristics'!H:H,MATCH($C880,'Policy Characteristics'!$C:$C,0))),"",INDEX('Policy Characteristics'!H:H,MATCH($C880,'Policy Characteristics'!$C:$C,0)))</f>
        <v>0.01</v>
      </c>
      <c r="O880" s="394" t="str">
        <f>IF(ISBLANK(INDEX('Policy Characteristics'!I:I,MATCH($C880,'Policy Characteristics'!$C:$C,0))),"",INDEX('Policy Characteristics'!I:I,MATCH($C880,'Policy Characteristics'!$C:$C,0)))</f>
        <v>% reduction in energy use</v>
      </c>
      <c r="P880" s="394" t="str">
        <f>IF(ISBLANK(INDEX('Policy Characteristics'!J:J,MATCH($C880,'Policy Characteristics'!$C:$C,0))),"",INDEX('Policy Characteristics'!J:J,MATCH($C880,'Policy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0" s="394" t="str">
        <f>IF(ISBLANK(INDEX('Policy Characteristics'!K:K,MATCH($C880,'Policy Characteristics'!$C:$C,0))),"",INDEX('Policy Characteristics'!K:K,MATCH($C880,'Policy Characteristics'!$C:$C,0)))</f>
        <v>industry-ag-main.html#eff-stds</v>
      </c>
      <c r="R880" s="394" t="str">
        <f>IF(ISBLANK(INDEX('Policy Characteristics'!L:L,MATCH($C880,'Policy Characteristics'!$C:$C,0))),"",INDEX('Policy Characteristics'!L:L,MATCH($C880,'Policy Characteristics'!$C:$C,0)))</f>
        <v>industry-energy-efficiency-standards.html</v>
      </c>
    </row>
    <row r="881" s="384" customFormat="1" customHeight="1" spans="1:18">
      <c r="A881" s="394" t="str">
        <f>IF(ISBLANK(INDEX('Policy Characteristics'!A:A,MATCH($C881,'Policy Characteristics'!$C:$C,0))),"",INDEX('Policy Characteristics'!A:A,MATCH($C881,'Policy Characteristics'!$C:$C,0)))</f>
        <v>Industry</v>
      </c>
      <c r="B881" s="395" t="str">
        <f>IF(ISBLANK(INDEX('Policy Characteristics'!B:B,MATCH($C881,'Policy Characteristics'!$C:$C,0))),"",INDEX('Policy Characteristics'!B:B,MATCH($C881,'Policy Characteristics'!$C:$C,0)))</f>
        <v>Industry Energy Efficiency Standards</v>
      </c>
      <c r="C881" s="394" t="str">
        <f t="shared" si="39"/>
        <v>Percentage Improvement in Eqpt Efficiency Standards above BAU</v>
      </c>
      <c r="D881" s="399" t="s">
        <v>766</v>
      </c>
      <c r="E881" s="399" t="s">
        <v>800</v>
      </c>
      <c r="F881" t="s">
        <v>767</v>
      </c>
      <c r="G881" s="399" t="s">
        <v>816</v>
      </c>
      <c r="H881" s="377">
        <v>1102</v>
      </c>
      <c r="I881" s="396" t="s">
        <v>648</v>
      </c>
      <c r="J881" s="397" t="str">
        <f>IF(ISBLANK(INDEX('Policy Characteristics'!D:D,MATCH($C881,'Policy Characteristics'!$C:$C,0))),"",INDEX('Policy Characteristics'!D:D,MATCH($C881,'Policy Characteristics'!$C:$C,0)))</f>
        <v>Industry Energy Efficiency Standards</v>
      </c>
      <c r="K881" s="394" t="str">
        <f>IF(ISBLANK(INDEX('Policy Characteristics'!E:E,MATCH($C881,'Policy Characteristics'!$C:$C,0))),"",INDEX('Policy Characteristics'!E:E,MATCH($C881,'Policy Characteristics'!$C:$C,0)))</f>
        <v>indst efficiency standards</v>
      </c>
      <c r="L881" s="398">
        <f>IF(ISBLANK(INDEX('Policy Characteristics'!F:F,MATCH($C881,'Policy Characteristics'!$C:$C,0))),"",INDEX('Policy Characteristics'!F:F,MATCH($C881,'Policy Characteristics'!$C:$C,0)))</f>
        <v>0</v>
      </c>
      <c r="M881" s="398">
        <f>IF(ISBLANK(INDEX('Policy Characteristics'!G:G,MATCH($C881,'Policy Characteristics'!$C:$C,0))),"",INDEX('Policy Characteristics'!G:G,MATCH($C881,'Policy Characteristics'!$C:$C,0)))</f>
        <v>0.25</v>
      </c>
      <c r="N881" s="398">
        <f>IF(ISBLANK(INDEX('Policy Characteristics'!H:H,MATCH($C881,'Policy Characteristics'!$C:$C,0))),"",INDEX('Policy Characteristics'!H:H,MATCH($C881,'Policy Characteristics'!$C:$C,0)))</f>
        <v>0.01</v>
      </c>
      <c r="O881" s="394" t="str">
        <f>IF(ISBLANK(INDEX('Policy Characteristics'!I:I,MATCH($C881,'Policy Characteristics'!$C:$C,0))),"",INDEX('Policy Characteristics'!I:I,MATCH($C881,'Policy Characteristics'!$C:$C,0)))</f>
        <v>% reduction in energy use</v>
      </c>
      <c r="P881" s="394" t="str">
        <f>IF(ISBLANK(INDEX('Policy Characteristics'!J:J,MATCH($C881,'Policy Characteristics'!$C:$C,0))),"",INDEX('Policy Characteristics'!J:J,MATCH($C881,'Policy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1" s="394" t="str">
        <f>IF(ISBLANK(INDEX('Policy Characteristics'!K:K,MATCH($C881,'Policy Characteristics'!$C:$C,0))),"",INDEX('Policy Characteristics'!K:K,MATCH($C881,'Policy Characteristics'!$C:$C,0)))</f>
        <v>industry-ag-main.html#eff-stds</v>
      </c>
      <c r="R881" s="394" t="str">
        <f>IF(ISBLANK(INDEX('Policy Characteristics'!L:L,MATCH($C881,'Policy Characteristics'!$C:$C,0))),"",INDEX('Policy Characteristics'!L:L,MATCH($C881,'Policy Characteristics'!$C:$C,0)))</f>
        <v>industry-energy-efficiency-standards.html</v>
      </c>
    </row>
    <row r="882" s="384" customFormat="1" customHeight="1" spans="1:18">
      <c r="A882" s="394" t="str">
        <f>IF(ISBLANK(INDEX('Policy Characteristics'!A:A,MATCH($C882,'Policy Characteristics'!$C:$C,0))),"",INDEX('Policy Characteristics'!A:A,MATCH($C882,'Policy Characteristics'!$C:$C,0)))</f>
        <v>Industry</v>
      </c>
      <c r="B882" s="395" t="str">
        <f>IF(ISBLANK(INDEX('Policy Characteristics'!B:B,MATCH($C882,'Policy Characteristics'!$C:$C,0))),"",INDEX('Policy Characteristics'!B:B,MATCH($C882,'Policy Characteristics'!$C:$C,0)))</f>
        <v>Industry Energy Efficiency Standards</v>
      </c>
      <c r="C882" s="394" t="str">
        <f t="shared" si="39"/>
        <v>Percentage Improvement in Eqpt Efficiency Standards above BAU</v>
      </c>
      <c r="D882" s="399" t="s">
        <v>766</v>
      </c>
      <c r="E882" s="399" t="s">
        <v>802</v>
      </c>
      <c r="F882" t="s">
        <v>767</v>
      </c>
      <c r="G882" s="399" t="s">
        <v>817</v>
      </c>
      <c r="H882" s="377">
        <v>1103</v>
      </c>
      <c r="I882" s="396" t="s">
        <v>648</v>
      </c>
      <c r="J882" s="397" t="str">
        <f>IF(ISBLANK(INDEX('Policy Characteristics'!D:D,MATCH($C882,'Policy Characteristics'!$C:$C,0))),"",INDEX('Policy Characteristics'!D:D,MATCH($C882,'Policy Characteristics'!$C:$C,0)))</f>
        <v>Industry Energy Efficiency Standards</v>
      </c>
      <c r="K882" s="394" t="str">
        <f>IF(ISBLANK(INDEX('Policy Characteristics'!E:E,MATCH($C882,'Policy Characteristics'!$C:$C,0))),"",INDEX('Policy Characteristics'!E:E,MATCH($C882,'Policy Characteristics'!$C:$C,0)))</f>
        <v>indst efficiency standards</v>
      </c>
      <c r="L882" s="398">
        <f>IF(ISBLANK(INDEX('Policy Characteristics'!F:F,MATCH($C882,'Policy Characteristics'!$C:$C,0))),"",INDEX('Policy Characteristics'!F:F,MATCH($C882,'Policy Characteristics'!$C:$C,0)))</f>
        <v>0</v>
      </c>
      <c r="M882" s="398">
        <f>IF(ISBLANK(INDEX('Policy Characteristics'!G:G,MATCH($C882,'Policy Characteristics'!$C:$C,0))),"",INDEX('Policy Characteristics'!G:G,MATCH($C882,'Policy Characteristics'!$C:$C,0)))</f>
        <v>0.25</v>
      </c>
      <c r="N882" s="398">
        <f>IF(ISBLANK(INDEX('Policy Characteristics'!H:H,MATCH($C882,'Policy Characteristics'!$C:$C,0))),"",INDEX('Policy Characteristics'!H:H,MATCH($C882,'Policy Characteristics'!$C:$C,0)))</f>
        <v>0.01</v>
      </c>
      <c r="O882" s="394" t="str">
        <f>IF(ISBLANK(INDEX('Policy Characteristics'!I:I,MATCH($C882,'Policy Characteristics'!$C:$C,0))),"",INDEX('Policy Characteristics'!I:I,MATCH($C882,'Policy Characteristics'!$C:$C,0)))</f>
        <v>% reduction in energy use</v>
      </c>
      <c r="P882" s="394" t="str">
        <f>IF(ISBLANK(INDEX('Policy Characteristics'!J:J,MATCH($C882,'Policy Characteristics'!$C:$C,0))),"",INDEX('Policy Characteristics'!J:J,MATCH($C882,'Policy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2" s="394" t="str">
        <f>IF(ISBLANK(INDEX('Policy Characteristics'!K:K,MATCH($C882,'Policy Characteristics'!$C:$C,0))),"",INDEX('Policy Characteristics'!K:K,MATCH($C882,'Policy Characteristics'!$C:$C,0)))</f>
        <v>industry-ag-main.html#eff-stds</v>
      </c>
      <c r="R882" s="394" t="str">
        <f>IF(ISBLANK(INDEX('Policy Characteristics'!L:L,MATCH($C882,'Policy Characteristics'!$C:$C,0))),"",INDEX('Policy Characteristics'!L:L,MATCH($C882,'Policy Characteristics'!$C:$C,0)))</f>
        <v>industry-energy-efficiency-standards.html</v>
      </c>
    </row>
    <row r="883" s="384" customFormat="1" customHeight="1" spans="1:18">
      <c r="A883" s="394" t="str">
        <f>IF(ISBLANK(INDEX('Policy Characteristics'!A:A,MATCH($C883,'Policy Characteristics'!$C:$C,0))),"",INDEX('Policy Characteristics'!A:A,MATCH($C883,'Policy Characteristics'!$C:$C,0)))</f>
        <v>Industry</v>
      </c>
      <c r="B883" s="395" t="str">
        <f>IF(ISBLANK(INDEX('Policy Characteristics'!B:B,MATCH($C883,'Policy Characteristics'!$C:$C,0))),"",INDEX('Policy Characteristics'!B:B,MATCH($C883,'Policy Characteristics'!$C:$C,0)))</f>
        <v>Industry Energy Efficiency Standards</v>
      </c>
      <c r="C883" s="394" t="str">
        <f t="shared" si="39"/>
        <v>Percentage Improvement in Eqpt Efficiency Standards above BAU</v>
      </c>
      <c r="D883" s="399" t="s">
        <v>766</v>
      </c>
      <c r="E883" s="399" t="s">
        <v>804</v>
      </c>
      <c r="F883" t="s">
        <v>767</v>
      </c>
      <c r="G883" s="399" t="s">
        <v>818</v>
      </c>
      <c r="H883" s="377">
        <v>1104</v>
      </c>
      <c r="I883" s="396" t="s">
        <v>648</v>
      </c>
      <c r="J883" s="397" t="str">
        <f>IF(ISBLANK(INDEX('Policy Characteristics'!D:D,MATCH($C883,'Policy Characteristics'!$C:$C,0))),"",INDEX('Policy Characteristics'!D:D,MATCH($C883,'Policy Characteristics'!$C:$C,0)))</f>
        <v>Industry Energy Efficiency Standards</v>
      </c>
      <c r="K883" s="394" t="str">
        <f>IF(ISBLANK(INDEX('Policy Characteristics'!E:E,MATCH($C883,'Policy Characteristics'!$C:$C,0))),"",INDEX('Policy Characteristics'!E:E,MATCH($C883,'Policy Characteristics'!$C:$C,0)))</f>
        <v>indst efficiency standards</v>
      </c>
      <c r="L883" s="398">
        <f>IF(ISBLANK(INDEX('Policy Characteristics'!F:F,MATCH($C883,'Policy Characteristics'!$C:$C,0))),"",INDEX('Policy Characteristics'!F:F,MATCH($C883,'Policy Characteristics'!$C:$C,0)))</f>
        <v>0</v>
      </c>
      <c r="M883" s="398">
        <f>IF(ISBLANK(INDEX('Policy Characteristics'!G:G,MATCH($C883,'Policy Characteristics'!$C:$C,0))),"",INDEX('Policy Characteristics'!G:G,MATCH($C883,'Policy Characteristics'!$C:$C,0)))</f>
        <v>0.25</v>
      </c>
      <c r="N883" s="398">
        <f>IF(ISBLANK(INDEX('Policy Characteristics'!H:H,MATCH($C883,'Policy Characteristics'!$C:$C,0))),"",INDEX('Policy Characteristics'!H:H,MATCH($C883,'Policy Characteristics'!$C:$C,0)))</f>
        <v>0.01</v>
      </c>
      <c r="O883" s="394" t="str">
        <f>IF(ISBLANK(INDEX('Policy Characteristics'!I:I,MATCH($C883,'Policy Characteristics'!$C:$C,0))),"",INDEX('Policy Characteristics'!I:I,MATCH($C883,'Policy Characteristics'!$C:$C,0)))</f>
        <v>% reduction in energy use</v>
      </c>
      <c r="P883" s="394" t="str">
        <f>IF(ISBLANK(INDEX('Policy Characteristics'!J:J,MATCH($C883,'Policy Characteristics'!$C:$C,0))),"",INDEX('Policy Characteristics'!J:J,MATCH($C883,'Policy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3" s="394" t="str">
        <f>IF(ISBLANK(INDEX('Policy Characteristics'!K:K,MATCH($C883,'Policy Characteristics'!$C:$C,0))),"",INDEX('Policy Characteristics'!K:K,MATCH($C883,'Policy Characteristics'!$C:$C,0)))</f>
        <v>industry-ag-main.html#eff-stds</v>
      </c>
      <c r="R883" s="394" t="str">
        <f>IF(ISBLANK(INDEX('Policy Characteristics'!L:L,MATCH($C883,'Policy Characteristics'!$C:$C,0))),"",INDEX('Policy Characteristics'!L:L,MATCH($C883,'Policy Characteristics'!$C:$C,0)))</f>
        <v>industry-energy-efficiency-standards.html</v>
      </c>
    </row>
    <row r="884" s="384" customFormat="1" customHeight="1" spans="1:18">
      <c r="A884" s="394" t="str">
        <f>IF(ISBLANK(INDEX('Policy Characteristics'!A:A,MATCH($C884,'Policy Characteristics'!$C:$C,0))),"",INDEX('Policy Characteristics'!A:A,MATCH($C884,'Policy Characteristics'!$C:$C,0)))</f>
        <v>Industry</v>
      </c>
      <c r="B884" s="395" t="str">
        <f>IF(ISBLANK(INDEX('Policy Characteristics'!B:B,MATCH($C884,'Policy Characteristics'!$C:$C,0))),"",INDEX('Policy Characteristics'!B:B,MATCH($C884,'Policy Characteristics'!$C:$C,0)))</f>
        <v>Industry Energy Efficiency Standards</v>
      </c>
      <c r="C884" s="394" t="str">
        <f t="shared" si="39"/>
        <v>Percentage Improvement in Eqpt Efficiency Standards above BAU</v>
      </c>
      <c r="D884" s="399" t="s">
        <v>766</v>
      </c>
      <c r="E884" s="399" t="s">
        <v>806</v>
      </c>
      <c r="F884" t="s">
        <v>767</v>
      </c>
      <c r="G884" s="399" t="s">
        <v>819</v>
      </c>
      <c r="H884" s="377">
        <v>1105</v>
      </c>
      <c r="I884" s="396" t="s">
        <v>648</v>
      </c>
      <c r="J884" s="397" t="str">
        <f>IF(ISBLANK(INDEX('Policy Characteristics'!D:D,MATCH($C884,'Policy Characteristics'!$C:$C,0))),"",INDEX('Policy Characteristics'!D:D,MATCH($C884,'Policy Characteristics'!$C:$C,0)))</f>
        <v>Industry Energy Efficiency Standards</v>
      </c>
      <c r="K884" s="394" t="str">
        <f>IF(ISBLANK(INDEX('Policy Characteristics'!E:E,MATCH($C884,'Policy Characteristics'!$C:$C,0))),"",INDEX('Policy Characteristics'!E:E,MATCH($C884,'Policy Characteristics'!$C:$C,0)))</f>
        <v>indst efficiency standards</v>
      </c>
      <c r="L884" s="398">
        <f>IF(ISBLANK(INDEX('Policy Characteristics'!F:F,MATCH($C884,'Policy Characteristics'!$C:$C,0))),"",INDEX('Policy Characteristics'!F:F,MATCH($C884,'Policy Characteristics'!$C:$C,0)))</f>
        <v>0</v>
      </c>
      <c r="M884" s="398">
        <f>IF(ISBLANK(INDEX('Policy Characteristics'!G:G,MATCH($C884,'Policy Characteristics'!$C:$C,0))),"",INDEX('Policy Characteristics'!G:G,MATCH($C884,'Policy Characteristics'!$C:$C,0)))</f>
        <v>0.25</v>
      </c>
      <c r="N884" s="398">
        <f>IF(ISBLANK(INDEX('Policy Characteristics'!H:H,MATCH($C884,'Policy Characteristics'!$C:$C,0))),"",INDEX('Policy Characteristics'!H:H,MATCH($C884,'Policy Characteristics'!$C:$C,0)))</f>
        <v>0.01</v>
      </c>
      <c r="O884" s="394" t="str">
        <f>IF(ISBLANK(INDEX('Policy Characteristics'!I:I,MATCH($C884,'Policy Characteristics'!$C:$C,0))),"",INDEX('Policy Characteristics'!I:I,MATCH($C884,'Policy Characteristics'!$C:$C,0)))</f>
        <v>% reduction in energy use</v>
      </c>
      <c r="P884" s="394" t="str">
        <f>IF(ISBLANK(INDEX('Policy Characteristics'!J:J,MATCH($C884,'Policy Characteristics'!$C:$C,0))),"",INDEX('Policy Characteristics'!J:J,MATCH($C884,'Policy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4" s="394" t="str">
        <f>IF(ISBLANK(INDEX('Policy Characteristics'!K:K,MATCH($C884,'Policy Characteristics'!$C:$C,0))),"",INDEX('Policy Characteristics'!K:K,MATCH($C884,'Policy Characteristics'!$C:$C,0)))</f>
        <v>industry-ag-main.html#eff-stds</v>
      </c>
      <c r="R884" s="394" t="str">
        <f>IF(ISBLANK(INDEX('Policy Characteristics'!L:L,MATCH($C884,'Policy Characteristics'!$C:$C,0))),"",INDEX('Policy Characteristics'!L:L,MATCH($C884,'Policy Characteristics'!$C:$C,0)))</f>
        <v>industry-energy-efficiency-standards.html</v>
      </c>
    </row>
    <row r="885" s="384" customFormat="1" customHeight="1" spans="1:18">
      <c r="A885" s="394" t="str">
        <f>IF(ISBLANK(INDEX('Policy Characteristics'!A:A,MATCH($C885,'Policy Characteristics'!$C:$C,0))),"",INDEX('Policy Characteristics'!A:A,MATCH($C885,'Policy Characteristics'!$C:$C,0)))</f>
        <v>Industry</v>
      </c>
      <c r="B885" s="395" t="str">
        <f>IF(ISBLANK(INDEX('Policy Characteristics'!B:B,MATCH($C885,'Policy Characteristics'!$C:$C,0))),"",INDEX('Policy Characteristics'!B:B,MATCH($C885,'Policy Characteristics'!$C:$C,0)))</f>
        <v>Industry Energy Efficiency Standards</v>
      </c>
      <c r="C885" s="394" t="str">
        <f t="shared" si="39"/>
        <v>Percentage Improvement in Eqpt Efficiency Standards above BAU</v>
      </c>
      <c r="D885" s="399" t="s">
        <v>766</v>
      </c>
      <c r="E885" s="399" t="s">
        <v>808</v>
      </c>
      <c r="F885" t="s">
        <v>767</v>
      </c>
      <c r="G885" s="399" t="s">
        <v>820</v>
      </c>
      <c r="H885" s="377">
        <v>1106</v>
      </c>
      <c r="I885" s="396" t="s">
        <v>648</v>
      </c>
      <c r="J885" s="397" t="str">
        <f>IF(ISBLANK(INDEX('Policy Characteristics'!D:D,MATCH($C885,'Policy Characteristics'!$C:$C,0))),"",INDEX('Policy Characteristics'!D:D,MATCH($C885,'Policy Characteristics'!$C:$C,0)))</f>
        <v>Industry Energy Efficiency Standards</v>
      </c>
      <c r="K885" s="394" t="str">
        <f>IF(ISBLANK(INDEX('Policy Characteristics'!E:E,MATCH($C885,'Policy Characteristics'!$C:$C,0))),"",INDEX('Policy Characteristics'!E:E,MATCH($C885,'Policy Characteristics'!$C:$C,0)))</f>
        <v>indst efficiency standards</v>
      </c>
      <c r="L885" s="398">
        <f>IF(ISBLANK(INDEX('Policy Characteristics'!F:F,MATCH($C885,'Policy Characteristics'!$C:$C,0))),"",INDEX('Policy Characteristics'!F:F,MATCH($C885,'Policy Characteristics'!$C:$C,0)))</f>
        <v>0</v>
      </c>
      <c r="M885" s="398">
        <f>IF(ISBLANK(INDEX('Policy Characteristics'!G:G,MATCH($C885,'Policy Characteristics'!$C:$C,0))),"",INDEX('Policy Characteristics'!G:G,MATCH($C885,'Policy Characteristics'!$C:$C,0)))</f>
        <v>0.25</v>
      </c>
      <c r="N885" s="398">
        <f>IF(ISBLANK(INDEX('Policy Characteristics'!H:H,MATCH($C885,'Policy Characteristics'!$C:$C,0))),"",INDEX('Policy Characteristics'!H:H,MATCH($C885,'Policy Characteristics'!$C:$C,0)))</f>
        <v>0.01</v>
      </c>
      <c r="O885" s="394" t="str">
        <f>IF(ISBLANK(INDEX('Policy Characteristics'!I:I,MATCH($C885,'Policy Characteristics'!$C:$C,0))),"",INDEX('Policy Characteristics'!I:I,MATCH($C885,'Policy Characteristics'!$C:$C,0)))</f>
        <v>% reduction in energy use</v>
      </c>
      <c r="P885" s="394" t="str">
        <f>IF(ISBLANK(INDEX('Policy Characteristics'!J:J,MATCH($C885,'Policy Characteristics'!$C:$C,0))),"",INDEX('Policy Characteristics'!J:J,MATCH($C885,'Policy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5" s="394" t="str">
        <f>IF(ISBLANK(INDEX('Policy Characteristics'!K:K,MATCH($C885,'Policy Characteristics'!$C:$C,0))),"",INDEX('Policy Characteristics'!K:K,MATCH($C885,'Policy Characteristics'!$C:$C,0)))</f>
        <v>industry-ag-main.html#eff-stds</v>
      </c>
      <c r="R885" s="394" t="str">
        <f>IF(ISBLANK(INDEX('Policy Characteristics'!L:L,MATCH($C885,'Policy Characteristics'!$C:$C,0))),"",INDEX('Policy Characteristics'!L:L,MATCH($C885,'Policy Characteristics'!$C:$C,0)))</f>
        <v>industry-energy-efficiency-standards.html</v>
      </c>
    </row>
    <row r="886" s="384" customFormat="1" customHeight="1" spans="1:18">
      <c r="A886" s="394" t="str">
        <f>IF(ISBLANK(INDEX('Policy Characteristics'!A:A,MATCH($C886,'Policy Characteristics'!$C:$C,0))),"",INDEX('Policy Characteristics'!A:A,MATCH($C886,'Policy Characteristics'!$C:$C,0)))</f>
        <v>Industry</v>
      </c>
      <c r="B886" s="395" t="str">
        <f>IF(ISBLANK(INDEX('Policy Characteristics'!B:B,MATCH($C886,'Policy Characteristics'!$C:$C,0))),"",INDEX('Policy Characteristics'!B:B,MATCH($C886,'Policy Characteristics'!$C:$C,0)))</f>
        <v>Industry Energy Efficiency Standards</v>
      </c>
      <c r="C886" s="394" t="str">
        <f t="shared" si="39"/>
        <v>Percentage Improvement in Eqpt Efficiency Standards above BAU</v>
      </c>
      <c r="D886" s="399" t="s">
        <v>766</v>
      </c>
      <c r="E886" s="399" t="s">
        <v>810</v>
      </c>
      <c r="F886" t="s">
        <v>767</v>
      </c>
      <c r="G886" s="399" t="s">
        <v>821</v>
      </c>
      <c r="H886" s="377">
        <v>1107</v>
      </c>
      <c r="I886" s="396" t="s">
        <v>648</v>
      </c>
      <c r="J886" s="397" t="str">
        <f>IF(ISBLANK(INDEX('Policy Characteristics'!D:D,MATCH($C886,'Policy Characteristics'!$C:$C,0))),"",INDEX('Policy Characteristics'!D:D,MATCH($C886,'Policy Characteristics'!$C:$C,0)))</f>
        <v>Industry Energy Efficiency Standards</v>
      </c>
      <c r="K886" s="394" t="str">
        <f>IF(ISBLANK(INDEX('Policy Characteristics'!E:E,MATCH($C886,'Policy Characteristics'!$C:$C,0))),"",INDEX('Policy Characteristics'!E:E,MATCH($C886,'Policy Characteristics'!$C:$C,0)))</f>
        <v>indst efficiency standards</v>
      </c>
      <c r="L886" s="398">
        <f>IF(ISBLANK(INDEX('Policy Characteristics'!F:F,MATCH($C886,'Policy Characteristics'!$C:$C,0))),"",INDEX('Policy Characteristics'!F:F,MATCH($C886,'Policy Characteristics'!$C:$C,0)))</f>
        <v>0</v>
      </c>
      <c r="M886" s="398">
        <f>IF(ISBLANK(INDEX('Policy Characteristics'!G:G,MATCH($C886,'Policy Characteristics'!$C:$C,0))),"",INDEX('Policy Characteristics'!G:G,MATCH($C886,'Policy Characteristics'!$C:$C,0)))</f>
        <v>0.25</v>
      </c>
      <c r="N886" s="398">
        <f>IF(ISBLANK(INDEX('Policy Characteristics'!H:H,MATCH($C886,'Policy Characteristics'!$C:$C,0))),"",INDEX('Policy Characteristics'!H:H,MATCH($C886,'Policy Characteristics'!$C:$C,0)))</f>
        <v>0.01</v>
      </c>
      <c r="O886" s="394" t="str">
        <f>IF(ISBLANK(INDEX('Policy Characteristics'!I:I,MATCH($C886,'Policy Characteristics'!$C:$C,0))),"",INDEX('Policy Characteristics'!I:I,MATCH($C886,'Policy Characteristics'!$C:$C,0)))</f>
        <v>% reduction in energy use</v>
      </c>
      <c r="P886" s="394" t="str">
        <f>IF(ISBLANK(INDEX('Policy Characteristics'!J:J,MATCH($C886,'Policy Characteristics'!$C:$C,0))),"",INDEX('Policy Characteristics'!J:J,MATCH($C886,'Policy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6" s="394" t="str">
        <f>IF(ISBLANK(INDEX('Policy Characteristics'!K:K,MATCH($C886,'Policy Characteristics'!$C:$C,0))),"",INDEX('Policy Characteristics'!K:K,MATCH($C886,'Policy Characteristics'!$C:$C,0)))</f>
        <v>industry-ag-main.html#eff-stds</v>
      </c>
      <c r="R886" s="394" t="str">
        <f>IF(ISBLANK(INDEX('Policy Characteristics'!L:L,MATCH($C886,'Policy Characteristics'!$C:$C,0))),"",INDEX('Policy Characteristics'!L:L,MATCH($C886,'Policy Characteristics'!$C:$C,0)))</f>
        <v>industry-energy-efficiency-standards.html</v>
      </c>
    </row>
    <row r="887" s="384" customFormat="1" customHeight="1" spans="1:18">
      <c r="A887" s="394" t="str">
        <f>IF(ISBLANK(INDEX('Policy Characteristics'!A:A,MATCH($C887,'Policy Characteristics'!$C:$C,0))),"",INDEX('Policy Characteristics'!A:A,MATCH($C887,'Policy Characteristics'!$C:$C,0)))</f>
        <v>Industry</v>
      </c>
      <c r="B887" s="395" t="str">
        <f>IF(ISBLANK(INDEX('Policy Characteristics'!B:B,MATCH($C887,'Policy Characteristics'!$C:$C,0))),"",INDEX('Policy Characteristics'!B:B,MATCH($C887,'Policy Characteristics'!$C:$C,0)))</f>
        <v>Industry Energy Efficiency Standards</v>
      </c>
      <c r="C887" s="394" t="str">
        <f t="shared" si="39"/>
        <v>Percentage Improvement in Eqpt Efficiency Standards above BAU</v>
      </c>
      <c r="D887" s="399" t="s">
        <v>768</v>
      </c>
      <c r="E887" s="399" t="s">
        <v>792</v>
      </c>
      <c r="F887" t="s">
        <v>769</v>
      </c>
      <c r="G887" s="399" t="s">
        <v>812</v>
      </c>
      <c r="H887" s="377">
        <v>1108</v>
      </c>
      <c r="I887" s="396" t="s">
        <v>648</v>
      </c>
      <c r="J887" s="397" t="str">
        <f>IF(ISBLANK(INDEX('Policy Characteristics'!D:D,MATCH($C887,'Policy Characteristics'!$C:$C,0))),"",INDEX('Policy Characteristics'!D:D,MATCH($C887,'Policy Characteristics'!$C:$C,0)))</f>
        <v>Industry Energy Efficiency Standards</v>
      </c>
      <c r="K887" s="394" t="str">
        <f>IF(ISBLANK(INDEX('Policy Characteristics'!E:E,MATCH($C887,'Policy Characteristics'!$C:$C,0))),"",INDEX('Policy Characteristics'!E:E,MATCH($C887,'Policy Characteristics'!$C:$C,0)))</f>
        <v>indst efficiency standards</v>
      </c>
      <c r="L887" s="398">
        <f>IF(ISBLANK(INDEX('Policy Characteristics'!F:F,MATCH($C887,'Policy Characteristics'!$C:$C,0))),"",INDEX('Policy Characteristics'!F:F,MATCH($C887,'Policy Characteristics'!$C:$C,0)))</f>
        <v>0</v>
      </c>
      <c r="M887" s="398">
        <f>IF(ISBLANK(INDEX('Policy Characteristics'!G:G,MATCH($C887,'Policy Characteristics'!$C:$C,0))),"",INDEX('Policy Characteristics'!G:G,MATCH($C887,'Policy Characteristics'!$C:$C,0)))</f>
        <v>0.25</v>
      </c>
      <c r="N887" s="398">
        <f>IF(ISBLANK(INDEX('Policy Characteristics'!H:H,MATCH($C887,'Policy Characteristics'!$C:$C,0))),"",INDEX('Policy Characteristics'!H:H,MATCH($C887,'Policy Characteristics'!$C:$C,0)))</f>
        <v>0.01</v>
      </c>
      <c r="O887" s="394" t="str">
        <f>IF(ISBLANK(INDEX('Policy Characteristics'!I:I,MATCH($C887,'Policy Characteristics'!$C:$C,0))),"",INDEX('Policy Characteristics'!I:I,MATCH($C887,'Policy Characteristics'!$C:$C,0)))</f>
        <v>% reduction in energy use</v>
      </c>
      <c r="P887" s="394" t="str">
        <f>IF(ISBLANK(INDEX('Policy Characteristics'!J:J,MATCH($C887,'Policy Characteristics'!$C:$C,0))),"",INDEX('Policy Characteristics'!J:J,MATCH($C887,'Policy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7" s="394" t="str">
        <f>IF(ISBLANK(INDEX('Policy Characteristics'!K:K,MATCH($C887,'Policy Characteristics'!$C:$C,0))),"",INDEX('Policy Characteristics'!K:K,MATCH($C887,'Policy Characteristics'!$C:$C,0)))</f>
        <v>industry-ag-main.html#eff-stds</v>
      </c>
      <c r="R887" s="394" t="str">
        <f>IF(ISBLANK(INDEX('Policy Characteristics'!L:L,MATCH($C887,'Policy Characteristics'!$C:$C,0))),"",INDEX('Policy Characteristics'!L:L,MATCH($C887,'Policy Characteristics'!$C:$C,0)))</f>
        <v>industry-energy-efficiency-standards.html</v>
      </c>
    </row>
    <row r="888" s="384" customFormat="1" customHeight="1" spans="1:18">
      <c r="A888" s="394" t="str">
        <f>IF(ISBLANK(INDEX('Policy Characteristics'!A:A,MATCH($C888,'Policy Characteristics'!$C:$C,0))),"",INDEX('Policy Characteristics'!A:A,MATCH($C888,'Policy Characteristics'!$C:$C,0)))</f>
        <v>Industry</v>
      </c>
      <c r="B888" s="395" t="str">
        <f>IF(ISBLANK(INDEX('Policy Characteristics'!B:B,MATCH($C888,'Policy Characteristics'!$C:$C,0))),"",INDEX('Policy Characteristics'!B:B,MATCH($C888,'Policy Characteristics'!$C:$C,0)))</f>
        <v>Industry Energy Efficiency Standards</v>
      </c>
      <c r="C888" s="394" t="str">
        <f t="shared" si="39"/>
        <v>Percentage Improvement in Eqpt Efficiency Standards above BAU</v>
      </c>
      <c r="D888" s="399" t="s">
        <v>768</v>
      </c>
      <c r="E888" s="399" t="s">
        <v>794</v>
      </c>
      <c r="F888" t="s">
        <v>769</v>
      </c>
      <c r="G888" s="399" t="s">
        <v>813</v>
      </c>
      <c r="H888" s="377">
        <v>1109</v>
      </c>
      <c r="I888" s="396" t="s">
        <v>648</v>
      </c>
      <c r="J888" s="397" t="str">
        <f>IF(ISBLANK(INDEX('Policy Characteristics'!D:D,MATCH($C888,'Policy Characteristics'!$C:$C,0))),"",INDEX('Policy Characteristics'!D:D,MATCH($C888,'Policy Characteristics'!$C:$C,0)))</f>
        <v>Industry Energy Efficiency Standards</v>
      </c>
      <c r="K888" s="394" t="str">
        <f>IF(ISBLANK(INDEX('Policy Characteristics'!E:E,MATCH($C888,'Policy Characteristics'!$C:$C,0))),"",INDEX('Policy Characteristics'!E:E,MATCH($C888,'Policy Characteristics'!$C:$C,0)))</f>
        <v>indst efficiency standards</v>
      </c>
      <c r="L888" s="398">
        <f>IF(ISBLANK(INDEX('Policy Characteristics'!F:F,MATCH($C888,'Policy Characteristics'!$C:$C,0))),"",INDEX('Policy Characteristics'!F:F,MATCH($C888,'Policy Characteristics'!$C:$C,0)))</f>
        <v>0</v>
      </c>
      <c r="M888" s="398">
        <f>IF(ISBLANK(INDEX('Policy Characteristics'!G:G,MATCH($C888,'Policy Characteristics'!$C:$C,0))),"",INDEX('Policy Characteristics'!G:G,MATCH($C888,'Policy Characteristics'!$C:$C,0)))</f>
        <v>0.25</v>
      </c>
      <c r="N888" s="398">
        <f>IF(ISBLANK(INDEX('Policy Characteristics'!H:H,MATCH($C888,'Policy Characteristics'!$C:$C,0))),"",INDEX('Policy Characteristics'!H:H,MATCH($C888,'Policy Characteristics'!$C:$C,0)))</f>
        <v>0.01</v>
      </c>
      <c r="O888" s="394" t="str">
        <f>IF(ISBLANK(INDEX('Policy Characteristics'!I:I,MATCH($C888,'Policy Characteristics'!$C:$C,0))),"",INDEX('Policy Characteristics'!I:I,MATCH($C888,'Policy Characteristics'!$C:$C,0)))</f>
        <v>% reduction in energy use</v>
      </c>
      <c r="P888" s="394" t="str">
        <f>IF(ISBLANK(INDEX('Policy Characteristics'!J:J,MATCH($C888,'Policy Characteristics'!$C:$C,0))),"",INDEX('Policy Characteristics'!J:J,MATCH($C888,'Policy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8" s="394" t="str">
        <f>IF(ISBLANK(INDEX('Policy Characteristics'!K:K,MATCH($C888,'Policy Characteristics'!$C:$C,0))),"",INDEX('Policy Characteristics'!K:K,MATCH($C888,'Policy Characteristics'!$C:$C,0)))</f>
        <v>industry-ag-main.html#eff-stds</v>
      </c>
      <c r="R888" s="394" t="str">
        <f>IF(ISBLANK(INDEX('Policy Characteristics'!L:L,MATCH($C888,'Policy Characteristics'!$C:$C,0))),"",INDEX('Policy Characteristics'!L:L,MATCH($C888,'Policy Characteristics'!$C:$C,0)))</f>
        <v>industry-energy-efficiency-standards.html</v>
      </c>
    </row>
    <row r="889" s="384" customFormat="1" customHeight="1" spans="1:18">
      <c r="A889" s="394" t="str">
        <f>IF(ISBLANK(INDEX('Policy Characteristics'!A:A,MATCH($C889,'Policy Characteristics'!$C:$C,0))),"",INDEX('Policy Characteristics'!A:A,MATCH($C889,'Policy Characteristics'!$C:$C,0)))</f>
        <v>Industry</v>
      </c>
      <c r="B889" s="395" t="str">
        <f>IF(ISBLANK(INDEX('Policy Characteristics'!B:B,MATCH($C889,'Policy Characteristics'!$C:$C,0))),"",INDEX('Policy Characteristics'!B:B,MATCH($C889,'Policy Characteristics'!$C:$C,0)))</f>
        <v>Industry Energy Efficiency Standards</v>
      </c>
      <c r="C889" s="394" t="str">
        <f t="shared" si="39"/>
        <v>Percentage Improvement in Eqpt Efficiency Standards above BAU</v>
      </c>
      <c r="D889" s="399" t="s">
        <v>768</v>
      </c>
      <c r="E889" s="399" t="s">
        <v>796</v>
      </c>
      <c r="F889" t="s">
        <v>769</v>
      </c>
      <c r="G889" s="399" t="s">
        <v>814</v>
      </c>
      <c r="H889" s="377">
        <v>1110</v>
      </c>
      <c r="I889" s="396" t="s">
        <v>648</v>
      </c>
      <c r="J889" s="397" t="str">
        <f>IF(ISBLANK(INDEX('Policy Characteristics'!D:D,MATCH($C889,'Policy Characteristics'!$C:$C,0))),"",INDEX('Policy Characteristics'!D:D,MATCH($C889,'Policy Characteristics'!$C:$C,0)))</f>
        <v>Industry Energy Efficiency Standards</v>
      </c>
      <c r="K889" s="394" t="str">
        <f>IF(ISBLANK(INDEX('Policy Characteristics'!E:E,MATCH($C889,'Policy Characteristics'!$C:$C,0))),"",INDEX('Policy Characteristics'!E:E,MATCH($C889,'Policy Characteristics'!$C:$C,0)))</f>
        <v>indst efficiency standards</v>
      </c>
      <c r="L889" s="398">
        <f>IF(ISBLANK(INDEX('Policy Characteristics'!F:F,MATCH($C889,'Policy Characteristics'!$C:$C,0))),"",INDEX('Policy Characteristics'!F:F,MATCH($C889,'Policy Characteristics'!$C:$C,0)))</f>
        <v>0</v>
      </c>
      <c r="M889" s="398">
        <f>IF(ISBLANK(INDEX('Policy Characteristics'!G:G,MATCH($C889,'Policy Characteristics'!$C:$C,0))),"",INDEX('Policy Characteristics'!G:G,MATCH($C889,'Policy Characteristics'!$C:$C,0)))</f>
        <v>0.25</v>
      </c>
      <c r="N889" s="398">
        <f>IF(ISBLANK(INDEX('Policy Characteristics'!H:H,MATCH($C889,'Policy Characteristics'!$C:$C,0))),"",INDEX('Policy Characteristics'!H:H,MATCH($C889,'Policy Characteristics'!$C:$C,0)))</f>
        <v>0.01</v>
      </c>
      <c r="O889" s="394" t="str">
        <f>IF(ISBLANK(INDEX('Policy Characteristics'!I:I,MATCH($C889,'Policy Characteristics'!$C:$C,0))),"",INDEX('Policy Characteristics'!I:I,MATCH($C889,'Policy Characteristics'!$C:$C,0)))</f>
        <v>% reduction in energy use</v>
      </c>
      <c r="P889" s="394" t="str">
        <f>IF(ISBLANK(INDEX('Policy Characteristics'!J:J,MATCH($C889,'Policy Characteristics'!$C:$C,0))),"",INDEX('Policy Characteristics'!J:J,MATCH($C889,'Policy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9" s="394" t="str">
        <f>IF(ISBLANK(INDEX('Policy Characteristics'!K:K,MATCH($C889,'Policy Characteristics'!$C:$C,0))),"",INDEX('Policy Characteristics'!K:K,MATCH($C889,'Policy Characteristics'!$C:$C,0)))</f>
        <v>industry-ag-main.html#eff-stds</v>
      </c>
      <c r="R889" s="394" t="str">
        <f>IF(ISBLANK(INDEX('Policy Characteristics'!L:L,MATCH($C889,'Policy Characteristics'!$C:$C,0))),"",INDEX('Policy Characteristics'!L:L,MATCH($C889,'Policy Characteristics'!$C:$C,0)))</f>
        <v>industry-energy-efficiency-standards.html</v>
      </c>
    </row>
    <row r="890" s="384" customFormat="1" customHeight="1" spans="1:18">
      <c r="A890" s="394" t="str">
        <f>IF(ISBLANK(INDEX('Policy Characteristics'!A:A,MATCH($C890,'Policy Characteristics'!$C:$C,0))),"",INDEX('Policy Characteristics'!A:A,MATCH($C890,'Policy Characteristics'!$C:$C,0)))</f>
        <v>Industry</v>
      </c>
      <c r="B890" s="395" t="str">
        <f>IF(ISBLANK(INDEX('Policy Characteristics'!B:B,MATCH($C890,'Policy Characteristics'!$C:$C,0))),"",INDEX('Policy Characteristics'!B:B,MATCH($C890,'Policy Characteristics'!$C:$C,0)))</f>
        <v>Industry Energy Efficiency Standards</v>
      </c>
      <c r="C890" s="394" t="str">
        <f t="shared" si="39"/>
        <v>Percentage Improvement in Eqpt Efficiency Standards above BAU</v>
      </c>
      <c r="D890" s="399" t="s">
        <v>768</v>
      </c>
      <c r="E890" s="399" t="s">
        <v>798</v>
      </c>
      <c r="F890" t="s">
        <v>769</v>
      </c>
      <c r="G890" s="399" t="s">
        <v>815</v>
      </c>
      <c r="H890" s="377">
        <v>1111</v>
      </c>
      <c r="I890" s="396" t="s">
        <v>648</v>
      </c>
      <c r="J890" s="397" t="str">
        <f>IF(ISBLANK(INDEX('Policy Characteristics'!D:D,MATCH($C890,'Policy Characteristics'!$C:$C,0))),"",INDEX('Policy Characteristics'!D:D,MATCH($C890,'Policy Characteristics'!$C:$C,0)))</f>
        <v>Industry Energy Efficiency Standards</v>
      </c>
      <c r="K890" s="394" t="str">
        <f>IF(ISBLANK(INDEX('Policy Characteristics'!E:E,MATCH($C890,'Policy Characteristics'!$C:$C,0))),"",INDEX('Policy Characteristics'!E:E,MATCH($C890,'Policy Characteristics'!$C:$C,0)))</f>
        <v>indst efficiency standards</v>
      </c>
      <c r="L890" s="398">
        <f>IF(ISBLANK(INDEX('Policy Characteristics'!F:F,MATCH($C890,'Policy Characteristics'!$C:$C,0))),"",INDEX('Policy Characteristics'!F:F,MATCH($C890,'Policy Characteristics'!$C:$C,0)))</f>
        <v>0</v>
      </c>
      <c r="M890" s="398">
        <f>IF(ISBLANK(INDEX('Policy Characteristics'!G:G,MATCH($C890,'Policy Characteristics'!$C:$C,0))),"",INDEX('Policy Characteristics'!G:G,MATCH($C890,'Policy Characteristics'!$C:$C,0)))</f>
        <v>0.25</v>
      </c>
      <c r="N890" s="398">
        <f>IF(ISBLANK(INDEX('Policy Characteristics'!H:H,MATCH($C890,'Policy Characteristics'!$C:$C,0))),"",INDEX('Policy Characteristics'!H:H,MATCH($C890,'Policy Characteristics'!$C:$C,0)))</f>
        <v>0.01</v>
      </c>
      <c r="O890" s="394" t="str">
        <f>IF(ISBLANK(INDEX('Policy Characteristics'!I:I,MATCH($C890,'Policy Characteristics'!$C:$C,0))),"",INDEX('Policy Characteristics'!I:I,MATCH($C890,'Policy Characteristics'!$C:$C,0)))</f>
        <v>% reduction in energy use</v>
      </c>
      <c r="P890" s="394" t="str">
        <f>IF(ISBLANK(INDEX('Policy Characteristics'!J:J,MATCH($C890,'Policy Characteristics'!$C:$C,0))),"",INDEX('Policy Characteristics'!J:J,MATCH($C890,'Policy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0" s="394" t="str">
        <f>IF(ISBLANK(INDEX('Policy Characteristics'!K:K,MATCH($C890,'Policy Characteristics'!$C:$C,0))),"",INDEX('Policy Characteristics'!K:K,MATCH($C890,'Policy Characteristics'!$C:$C,0)))</f>
        <v>industry-ag-main.html#eff-stds</v>
      </c>
      <c r="R890" s="394" t="str">
        <f>IF(ISBLANK(INDEX('Policy Characteristics'!L:L,MATCH($C890,'Policy Characteristics'!$C:$C,0))),"",INDEX('Policy Characteristics'!L:L,MATCH($C890,'Policy Characteristics'!$C:$C,0)))</f>
        <v>industry-energy-efficiency-standards.html</v>
      </c>
    </row>
    <row r="891" s="384" customFormat="1" customHeight="1" spans="1:18">
      <c r="A891" s="394" t="str">
        <f>IF(ISBLANK(INDEX('Policy Characteristics'!A:A,MATCH($C891,'Policy Characteristics'!$C:$C,0))),"",INDEX('Policy Characteristics'!A:A,MATCH($C891,'Policy Characteristics'!$C:$C,0)))</f>
        <v>Industry</v>
      </c>
      <c r="B891" s="395" t="str">
        <f>IF(ISBLANK(INDEX('Policy Characteristics'!B:B,MATCH($C891,'Policy Characteristics'!$C:$C,0))),"",INDEX('Policy Characteristics'!B:B,MATCH($C891,'Policy Characteristics'!$C:$C,0)))</f>
        <v>Industry Energy Efficiency Standards</v>
      </c>
      <c r="C891" s="394" t="str">
        <f t="shared" si="39"/>
        <v>Percentage Improvement in Eqpt Efficiency Standards above BAU</v>
      </c>
      <c r="D891" s="399" t="s">
        <v>768</v>
      </c>
      <c r="E891" s="399" t="s">
        <v>800</v>
      </c>
      <c r="F891" t="s">
        <v>769</v>
      </c>
      <c r="G891" s="399" t="s">
        <v>816</v>
      </c>
      <c r="H891" s="377">
        <v>1112</v>
      </c>
      <c r="I891" s="396" t="s">
        <v>648</v>
      </c>
      <c r="J891" s="397" t="str">
        <f>IF(ISBLANK(INDEX('Policy Characteristics'!D:D,MATCH($C891,'Policy Characteristics'!$C:$C,0))),"",INDEX('Policy Characteristics'!D:D,MATCH($C891,'Policy Characteristics'!$C:$C,0)))</f>
        <v>Industry Energy Efficiency Standards</v>
      </c>
      <c r="K891" s="394" t="str">
        <f>IF(ISBLANK(INDEX('Policy Characteristics'!E:E,MATCH($C891,'Policy Characteristics'!$C:$C,0))),"",INDEX('Policy Characteristics'!E:E,MATCH($C891,'Policy Characteristics'!$C:$C,0)))</f>
        <v>indst efficiency standards</v>
      </c>
      <c r="L891" s="398">
        <f>IF(ISBLANK(INDEX('Policy Characteristics'!F:F,MATCH($C891,'Policy Characteristics'!$C:$C,0))),"",INDEX('Policy Characteristics'!F:F,MATCH($C891,'Policy Characteristics'!$C:$C,0)))</f>
        <v>0</v>
      </c>
      <c r="M891" s="398">
        <f>IF(ISBLANK(INDEX('Policy Characteristics'!G:G,MATCH($C891,'Policy Characteristics'!$C:$C,0))),"",INDEX('Policy Characteristics'!G:G,MATCH($C891,'Policy Characteristics'!$C:$C,0)))</f>
        <v>0.25</v>
      </c>
      <c r="N891" s="398">
        <f>IF(ISBLANK(INDEX('Policy Characteristics'!H:H,MATCH($C891,'Policy Characteristics'!$C:$C,0))),"",INDEX('Policy Characteristics'!H:H,MATCH($C891,'Policy Characteristics'!$C:$C,0)))</f>
        <v>0.01</v>
      </c>
      <c r="O891" s="394" t="str">
        <f>IF(ISBLANK(INDEX('Policy Characteristics'!I:I,MATCH($C891,'Policy Characteristics'!$C:$C,0))),"",INDEX('Policy Characteristics'!I:I,MATCH($C891,'Policy Characteristics'!$C:$C,0)))</f>
        <v>% reduction in energy use</v>
      </c>
      <c r="P891" s="394" t="str">
        <f>IF(ISBLANK(INDEX('Policy Characteristics'!J:J,MATCH($C891,'Policy Characteristics'!$C:$C,0))),"",INDEX('Policy Characteristics'!J:J,MATCH($C891,'Policy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1" s="394" t="str">
        <f>IF(ISBLANK(INDEX('Policy Characteristics'!K:K,MATCH($C891,'Policy Characteristics'!$C:$C,0))),"",INDEX('Policy Characteristics'!K:K,MATCH($C891,'Policy Characteristics'!$C:$C,0)))</f>
        <v>industry-ag-main.html#eff-stds</v>
      </c>
      <c r="R891" s="394" t="str">
        <f>IF(ISBLANK(INDEX('Policy Characteristics'!L:L,MATCH($C891,'Policy Characteristics'!$C:$C,0))),"",INDEX('Policy Characteristics'!L:L,MATCH($C891,'Policy Characteristics'!$C:$C,0)))</f>
        <v>industry-energy-efficiency-standards.html</v>
      </c>
    </row>
    <row r="892" s="384" customFormat="1" customHeight="1" spans="1:18">
      <c r="A892" s="394" t="str">
        <f>IF(ISBLANK(INDEX('Policy Characteristics'!A:A,MATCH($C892,'Policy Characteristics'!$C:$C,0))),"",INDEX('Policy Characteristics'!A:A,MATCH($C892,'Policy Characteristics'!$C:$C,0)))</f>
        <v>Industry</v>
      </c>
      <c r="B892" s="395" t="str">
        <f>IF(ISBLANK(INDEX('Policy Characteristics'!B:B,MATCH($C892,'Policy Characteristics'!$C:$C,0))),"",INDEX('Policy Characteristics'!B:B,MATCH($C892,'Policy Characteristics'!$C:$C,0)))</f>
        <v>Industry Energy Efficiency Standards</v>
      </c>
      <c r="C892" s="394" t="str">
        <f t="shared" si="39"/>
        <v>Percentage Improvement in Eqpt Efficiency Standards above BAU</v>
      </c>
      <c r="D892" s="399" t="s">
        <v>768</v>
      </c>
      <c r="E892" s="399" t="s">
        <v>802</v>
      </c>
      <c r="F892" t="s">
        <v>769</v>
      </c>
      <c r="G892" s="399" t="s">
        <v>817</v>
      </c>
      <c r="H892" s="377">
        <v>1113</v>
      </c>
      <c r="I892" s="396" t="s">
        <v>648</v>
      </c>
      <c r="J892" s="397" t="str">
        <f>IF(ISBLANK(INDEX('Policy Characteristics'!D:D,MATCH($C892,'Policy Characteristics'!$C:$C,0))),"",INDEX('Policy Characteristics'!D:D,MATCH($C892,'Policy Characteristics'!$C:$C,0)))</f>
        <v>Industry Energy Efficiency Standards</v>
      </c>
      <c r="K892" s="394" t="str">
        <f>IF(ISBLANK(INDEX('Policy Characteristics'!E:E,MATCH($C892,'Policy Characteristics'!$C:$C,0))),"",INDEX('Policy Characteristics'!E:E,MATCH($C892,'Policy Characteristics'!$C:$C,0)))</f>
        <v>indst efficiency standards</v>
      </c>
      <c r="L892" s="398">
        <f>IF(ISBLANK(INDEX('Policy Characteristics'!F:F,MATCH($C892,'Policy Characteristics'!$C:$C,0))),"",INDEX('Policy Characteristics'!F:F,MATCH($C892,'Policy Characteristics'!$C:$C,0)))</f>
        <v>0</v>
      </c>
      <c r="M892" s="398">
        <f>IF(ISBLANK(INDEX('Policy Characteristics'!G:G,MATCH($C892,'Policy Characteristics'!$C:$C,0))),"",INDEX('Policy Characteristics'!G:G,MATCH($C892,'Policy Characteristics'!$C:$C,0)))</f>
        <v>0.25</v>
      </c>
      <c r="N892" s="398">
        <f>IF(ISBLANK(INDEX('Policy Characteristics'!H:H,MATCH($C892,'Policy Characteristics'!$C:$C,0))),"",INDEX('Policy Characteristics'!H:H,MATCH($C892,'Policy Characteristics'!$C:$C,0)))</f>
        <v>0.01</v>
      </c>
      <c r="O892" s="394" t="str">
        <f>IF(ISBLANK(INDEX('Policy Characteristics'!I:I,MATCH($C892,'Policy Characteristics'!$C:$C,0))),"",INDEX('Policy Characteristics'!I:I,MATCH($C892,'Policy Characteristics'!$C:$C,0)))</f>
        <v>% reduction in energy use</v>
      </c>
      <c r="P892" s="394" t="str">
        <f>IF(ISBLANK(INDEX('Policy Characteristics'!J:J,MATCH($C892,'Policy Characteristics'!$C:$C,0))),"",INDEX('Policy Characteristics'!J:J,MATCH($C892,'Policy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2" s="394" t="str">
        <f>IF(ISBLANK(INDEX('Policy Characteristics'!K:K,MATCH($C892,'Policy Characteristics'!$C:$C,0))),"",INDEX('Policy Characteristics'!K:K,MATCH($C892,'Policy Characteristics'!$C:$C,0)))</f>
        <v>industry-ag-main.html#eff-stds</v>
      </c>
      <c r="R892" s="394" t="str">
        <f>IF(ISBLANK(INDEX('Policy Characteristics'!L:L,MATCH($C892,'Policy Characteristics'!$C:$C,0))),"",INDEX('Policy Characteristics'!L:L,MATCH($C892,'Policy Characteristics'!$C:$C,0)))</f>
        <v>industry-energy-efficiency-standards.html</v>
      </c>
    </row>
    <row r="893" s="384" customFormat="1" customHeight="1" spans="1:18">
      <c r="A893" s="394" t="str">
        <f>IF(ISBLANK(INDEX('Policy Characteristics'!A:A,MATCH($C893,'Policy Characteristics'!$C:$C,0))),"",INDEX('Policy Characteristics'!A:A,MATCH($C893,'Policy Characteristics'!$C:$C,0)))</f>
        <v>Industry</v>
      </c>
      <c r="B893" s="395" t="str">
        <f>IF(ISBLANK(INDEX('Policy Characteristics'!B:B,MATCH($C893,'Policy Characteristics'!$C:$C,0))),"",INDEX('Policy Characteristics'!B:B,MATCH($C893,'Policy Characteristics'!$C:$C,0)))</f>
        <v>Industry Energy Efficiency Standards</v>
      </c>
      <c r="C893" s="394" t="str">
        <f t="shared" si="39"/>
        <v>Percentage Improvement in Eqpt Efficiency Standards above BAU</v>
      </c>
      <c r="D893" s="399" t="s">
        <v>768</v>
      </c>
      <c r="E893" s="399" t="s">
        <v>804</v>
      </c>
      <c r="F893" t="s">
        <v>769</v>
      </c>
      <c r="G893" s="399" t="s">
        <v>818</v>
      </c>
      <c r="H893" s="377">
        <v>1114</v>
      </c>
      <c r="I893" s="396" t="s">
        <v>648</v>
      </c>
      <c r="J893" s="397" t="str">
        <f>IF(ISBLANK(INDEX('Policy Characteristics'!D:D,MATCH($C893,'Policy Characteristics'!$C:$C,0))),"",INDEX('Policy Characteristics'!D:D,MATCH($C893,'Policy Characteristics'!$C:$C,0)))</f>
        <v>Industry Energy Efficiency Standards</v>
      </c>
      <c r="K893" s="394" t="str">
        <f>IF(ISBLANK(INDEX('Policy Characteristics'!E:E,MATCH($C893,'Policy Characteristics'!$C:$C,0))),"",INDEX('Policy Characteristics'!E:E,MATCH($C893,'Policy Characteristics'!$C:$C,0)))</f>
        <v>indst efficiency standards</v>
      </c>
      <c r="L893" s="398">
        <f>IF(ISBLANK(INDEX('Policy Characteristics'!F:F,MATCH($C893,'Policy Characteristics'!$C:$C,0))),"",INDEX('Policy Characteristics'!F:F,MATCH($C893,'Policy Characteristics'!$C:$C,0)))</f>
        <v>0</v>
      </c>
      <c r="M893" s="398">
        <f>IF(ISBLANK(INDEX('Policy Characteristics'!G:G,MATCH($C893,'Policy Characteristics'!$C:$C,0))),"",INDEX('Policy Characteristics'!G:G,MATCH($C893,'Policy Characteristics'!$C:$C,0)))</f>
        <v>0.25</v>
      </c>
      <c r="N893" s="398">
        <f>IF(ISBLANK(INDEX('Policy Characteristics'!H:H,MATCH($C893,'Policy Characteristics'!$C:$C,0))),"",INDEX('Policy Characteristics'!H:H,MATCH($C893,'Policy Characteristics'!$C:$C,0)))</f>
        <v>0.01</v>
      </c>
      <c r="O893" s="394" t="str">
        <f>IF(ISBLANK(INDEX('Policy Characteristics'!I:I,MATCH($C893,'Policy Characteristics'!$C:$C,0))),"",INDEX('Policy Characteristics'!I:I,MATCH($C893,'Policy Characteristics'!$C:$C,0)))</f>
        <v>% reduction in energy use</v>
      </c>
      <c r="P893" s="394" t="str">
        <f>IF(ISBLANK(INDEX('Policy Characteristics'!J:J,MATCH($C893,'Policy Characteristics'!$C:$C,0))),"",INDEX('Policy Characteristics'!J:J,MATCH($C893,'Policy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3" s="394" t="str">
        <f>IF(ISBLANK(INDEX('Policy Characteristics'!K:K,MATCH($C893,'Policy Characteristics'!$C:$C,0))),"",INDEX('Policy Characteristics'!K:K,MATCH($C893,'Policy Characteristics'!$C:$C,0)))</f>
        <v>industry-ag-main.html#eff-stds</v>
      </c>
      <c r="R893" s="394" t="str">
        <f>IF(ISBLANK(INDEX('Policy Characteristics'!L:L,MATCH($C893,'Policy Characteristics'!$C:$C,0))),"",INDEX('Policy Characteristics'!L:L,MATCH($C893,'Policy Characteristics'!$C:$C,0)))</f>
        <v>industry-energy-efficiency-standards.html</v>
      </c>
    </row>
    <row r="894" s="384" customFormat="1" customHeight="1" spans="1:18">
      <c r="A894" s="394" t="str">
        <f>IF(ISBLANK(INDEX('Policy Characteristics'!A:A,MATCH($C894,'Policy Characteristics'!$C:$C,0))),"",INDEX('Policy Characteristics'!A:A,MATCH($C894,'Policy Characteristics'!$C:$C,0)))</f>
        <v>Industry</v>
      </c>
      <c r="B894" s="395" t="str">
        <f>IF(ISBLANK(INDEX('Policy Characteristics'!B:B,MATCH($C894,'Policy Characteristics'!$C:$C,0))),"",INDEX('Policy Characteristics'!B:B,MATCH($C894,'Policy Characteristics'!$C:$C,0)))</f>
        <v>Industry Energy Efficiency Standards</v>
      </c>
      <c r="C894" s="394" t="str">
        <f t="shared" si="39"/>
        <v>Percentage Improvement in Eqpt Efficiency Standards above BAU</v>
      </c>
      <c r="D894" s="399" t="s">
        <v>768</v>
      </c>
      <c r="E894" s="399" t="s">
        <v>806</v>
      </c>
      <c r="F894" t="s">
        <v>769</v>
      </c>
      <c r="G894" s="399" t="s">
        <v>819</v>
      </c>
      <c r="H894" s="377">
        <v>1115</v>
      </c>
      <c r="I894" s="396" t="s">
        <v>648</v>
      </c>
      <c r="J894" s="397" t="str">
        <f>IF(ISBLANK(INDEX('Policy Characteristics'!D:D,MATCH($C894,'Policy Characteristics'!$C:$C,0))),"",INDEX('Policy Characteristics'!D:D,MATCH($C894,'Policy Characteristics'!$C:$C,0)))</f>
        <v>Industry Energy Efficiency Standards</v>
      </c>
      <c r="K894" s="394" t="str">
        <f>IF(ISBLANK(INDEX('Policy Characteristics'!E:E,MATCH($C894,'Policy Characteristics'!$C:$C,0))),"",INDEX('Policy Characteristics'!E:E,MATCH($C894,'Policy Characteristics'!$C:$C,0)))</f>
        <v>indst efficiency standards</v>
      </c>
      <c r="L894" s="398">
        <f>IF(ISBLANK(INDEX('Policy Characteristics'!F:F,MATCH($C894,'Policy Characteristics'!$C:$C,0))),"",INDEX('Policy Characteristics'!F:F,MATCH($C894,'Policy Characteristics'!$C:$C,0)))</f>
        <v>0</v>
      </c>
      <c r="M894" s="398">
        <f>IF(ISBLANK(INDEX('Policy Characteristics'!G:G,MATCH($C894,'Policy Characteristics'!$C:$C,0))),"",INDEX('Policy Characteristics'!G:G,MATCH($C894,'Policy Characteristics'!$C:$C,0)))</f>
        <v>0.25</v>
      </c>
      <c r="N894" s="398">
        <f>IF(ISBLANK(INDEX('Policy Characteristics'!H:H,MATCH($C894,'Policy Characteristics'!$C:$C,0))),"",INDEX('Policy Characteristics'!H:H,MATCH($C894,'Policy Characteristics'!$C:$C,0)))</f>
        <v>0.01</v>
      </c>
      <c r="O894" s="394" t="str">
        <f>IF(ISBLANK(INDEX('Policy Characteristics'!I:I,MATCH($C894,'Policy Characteristics'!$C:$C,0))),"",INDEX('Policy Characteristics'!I:I,MATCH($C894,'Policy Characteristics'!$C:$C,0)))</f>
        <v>% reduction in energy use</v>
      </c>
      <c r="P894" s="394" t="str">
        <f>IF(ISBLANK(INDEX('Policy Characteristics'!J:J,MATCH($C894,'Policy Characteristics'!$C:$C,0))),"",INDEX('Policy Characteristics'!J:J,MATCH($C894,'Policy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4" s="394" t="str">
        <f>IF(ISBLANK(INDEX('Policy Characteristics'!K:K,MATCH($C894,'Policy Characteristics'!$C:$C,0))),"",INDEX('Policy Characteristics'!K:K,MATCH($C894,'Policy Characteristics'!$C:$C,0)))</f>
        <v>industry-ag-main.html#eff-stds</v>
      </c>
      <c r="R894" s="394" t="str">
        <f>IF(ISBLANK(INDEX('Policy Characteristics'!L:L,MATCH($C894,'Policy Characteristics'!$C:$C,0))),"",INDEX('Policy Characteristics'!L:L,MATCH($C894,'Policy Characteristics'!$C:$C,0)))</f>
        <v>industry-energy-efficiency-standards.html</v>
      </c>
    </row>
    <row r="895" s="384" customFormat="1" customHeight="1" spans="1:18">
      <c r="A895" s="394" t="str">
        <f>IF(ISBLANK(INDEX('Policy Characteristics'!A:A,MATCH($C895,'Policy Characteristics'!$C:$C,0))),"",INDEX('Policy Characteristics'!A:A,MATCH($C895,'Policy Characteristics'!$C:$C,0)))</f>
        <v>Industry</v>
      </c>
      <c r="B895" s="395" t="str">
        <f>IF(ISBLANK(INDEX('Policy Characteristics'!B:B,MATCH($C895,'Policy Characteristics'!$C:$C,0))),"",INDEX('Policy Characteristics'!B:B,MATCH($C895,'Policy Characteristics'!$C:$C,0)))</f>
        <v>Industry Energy Efficiency Standards</v>
      </c>
      <c r="C895" s="394" t="str">
        <f t="shared" si="39"/>
        <v>Percentage Improvement in Eqpt Efficiency Standards above BAU</v>
      </c>
      <c r="D895" s="399" t="s">
        <v>768</v>
      </c>
      <c r="E895" s="399" t="s">
        <v>808</v>
      </c>
      <c r="F895" t="s">
        <v>769</v>
      </c>
      <c r="G895" s="399" t="s">
        <v>820</v>
      </c>
      <c r="H895" s="377">
        <v>1116</v>
      </c>
      <c r="I895" s="396" t="s">
        <v>648</v>
      </c>
      <c r="J895" s="397" t="str">
        <f>IF(ISBLANK(INDEX('Policy Characteristics'!D:D,MATCH($C895,'Policy Characteristics'!$C:$C,0))),"",INDEX('Policy Characteristics'!D:D,MATCH($C895,'Policy Characteristics'!$C:$C,0)))</f>
        <v>Industry Energy Efficiency Standards</v>
      </c>
      <c r="K895" s="394" t="str">
        <f>IF(ISBLANK(INDEX('Policy Characteristics'!E:E,MATCH($C895,'Policy Characteristics'!$C:$C,0))),"",INDEX('Policy Characteristics'!E:E,MATCH($C895,'Policy Characteristics'!$C:$C,0)))</f>
        <v>indst efficiency standards</v>
      </c>
      <c r="L895" s="398">
        <f>IF(ISBLANK(INDEX('Policy Characteristics'!F:F,MATCH($C895,'Policy Characteristics'!$C:$C,0))),"",INDEX('Policy Characteristics'!F:F,MATCH($C895,'Policy Characteristics'!$C:$C,0)))</f>
        <v>0</v>
      </c>
      <c r="M895" s="398">
        <f>IF(ISBLANK(INDEX('Policy Characteristics'!G:G,MATCH($C895,'Policy Characteristics'!$C:$C,0))),"",INDEX('Policy Characteristics'!G:G,MATCH($C895,'Policy Characteristics'!$C:$C,0)))</f>
        <v>0.25</v>
      </c>
      <c r="N895" s="398">
        <f>IF(ISBLANK(INDEX('Policy Characteristics'!H:H,MATCH($C895,'Policy Characteristics'!$C:$C,0))),"",INDEX('Policy Characteristics'!H:H,MATCH($C895,'Policy Characteristics'!$C:$C,0)))</f>
        <v>0.01</v>
      </c>
      <c r="O895" s="394" t="str">
        <f>IF(ISBLANK(INDEX('Policy Characteristics'!I:I,MATCH($C895,'Policy Characteristics'!$C:$C,0))),"",INDEX('Policy Characteristics'!I:I,MATCH($C895,'Policy Characteristics'!$C:$C,0)))</f>
        <v>% reduction in energy use</v>
      </c>
      <c r="P895" s="394" t="str">
        <f>IF(ISBLANK(INDEX('Policy Characteristics'!J:J,MATCH($C895,'Policy Characteristics'!$C:$C,0))),"",INDEX('Policy Characteristics'!J:J,MATCH($C895,'Policy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5" s="394" t="str">
        <f>IF(ISBLANK(INDEX('Policy Characteristics'!K:K,MATCH($C895,'Policy Characteristics'!$C:$C,0))),"",INDEX('Policy Characteristics'!K:K,MATCH($C895,'Policy Characteristics'!$C:$C,0)))</f>
        <v>industry-ag-main.html#eff-stds</v>
      </c>
      <c r="R895" s="394" t="str">
        <f>IF(ISBLANK(INDEX('Policy Characteristics'!L:L,MATCH($C895,'Policy Characteristics'!$C:$C,0))),"",INDEX('Policy Characteristics'!L:L,MATCH($C895,'Policy Characteristics'!$C:$C,0)))</f>
        <v>industry-energy-efficiency-standards.html</v>
      </c>
    </row>
    <row r="896" s="384" customFormat="1" customHeight="1" spans="1:18">
      <c r="A896" s="394" t="str">
        <f>IF(ISBLANK(INDEX('Policy Characteristics'!A:A,MATCH($C896,'Policy Characteristics'!$C:$C,0))),"",INDEX('Policy Characteristics'!A:A,MATCH($C896,'Policy Characteristics'!$C:$C,0)))</f>
        <v>Industry</v>
      </c>
      <c r="B896" s="395" t="str">
        <f>IF(ISBLANK(INDEX('Policy Characteristics'!B:B,MATCH($C896,'Policy Characteristics'!$C:$C,0))),"",INDEX('Policy Characteristics'!B:B,MATCH($C896,'Policy Characteristics'!$C:$C,0)))</f>
        <v>Industry Energy Efficiency Standards</v>
      </c>
      <c r="C896" s="394" t="str">
        <f t="shared" si="39"/>
        <v>Percentage Improvement in Eqpt Efficiency Standards above BAU</v>
      </c>
      <c r="D896" s="399" t="s">
        <v>768</v>
      </c>
      <c r="E896" s="399" t="s">
        <v>810</v>
      </c>
      <c r="F896" t="s">
        <v>769</v>
      </c>
      <c r="G896" s="399" t="s">
        <v>821</v>
      </c>
      <c r="H896" s="377">
        <v>1117</v>
      </c>
      <c r="I896" s="396" t="s">
        <v>648</v>
      </c>
      <c r="J896" s="397" t="str">
        <f>IF(ISBLANK(INDEX('Policy Characteristics'!D:D,MATCH($C896,'Policy Characteristics'!$C:$C,0))),"",INDEX('Policy Characteristics'!D:D,MATCH($C896,'Policy Characteristics'!$C:$C,0)))</f>
        <v>Industry Energy Efficiency Standards</v>
      </c>
      <c r="K896" s="394" t="str">
        <f>IF(ISBLANK(INDEX('Policy Characteristics'!E:E,MATCH($C896,'Policy Characteristics'!$C:$C,0))),"",INDEX('Policy Characteristics'!E:E,MATCH($C896,'Policy Characteristics'!$C:$C,0)))</f>
        <v>indst efficiency standards</v>
      </c>
      <c r="L896" s="398">
        <f>IF(ISBLANK(INDEX('Policy Characteristics'!F:F,MATCH($C896,'Policy Characteristics'!$C:$C,0))),"",INDEX('Policy Characteristics'!F:F,MATCH($C896,'Policy Characteristics'!$C:$C,0)))</f>
        <v>0</v>
      </c>
      <c r="M896" s="398">
        <f>IF(ISBLANK(INDEX('Policy Characteristics'!G:G,MATCH($C896,'Policy Characteristics'!$C:$C,0))),"",INDEX('Policy Characteristics'!G:G,MATCH($C896,'Policy Characteristics'!$C:$C,0)))</f>
        <v>0.25</v>
      </c>
      <c r="N896" s="398">
        <f>IF(ISBLANK(INDEX('Policy Characteristics'!H:H,MATCH($C896,'Policy Characteristics'!$C:$C,0))),"",INDEX('Policy Characteristics'!H:H,MATCH($C896,'Policy Characteristics'!$C:$C,0)))</f>
        <v>0.01</v>
      </c>
      <c r="O896" s="394" t="str">
        <f>IF(ISBLANK(INDEX('Policy Characteristics'!I:I,MATCH($C896,'Policy Characteristics'!$C:$C,0))),"",INDEX('Policy Characteristics'!I:I,MATCH($C896,'Policy Characteristics'!$C:$C,0)))</f>
        <v>% reduction in energy use</v>
      </c>
      <c r="P896" s="394" t="str">
        <f>IF(ISBLANK(INDEX('Policy Characteristics'!J:J,MATCH($C896,'Policy Characteristics'!$C:$C,0))),"",INDEX('Policy Characteristics'!J:J,MATCH($C896,'Policy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6" s="394" t="str">
        <f>IF(ISBLANK(INDEX('Policy Characteristics'!K:K,MATCH($C896,'Policy Characteristics'!$C:$C,0))),"",INDEX('Policy Characteristics'!K:K,MATCH($C896,'Policy Characteristics'!$C:$C,0)))</f>
        <v>industry-ag-main.html#eff-stds</v>
      </c>
      <c r="R896" s="394" t="str">
        <f>IF(ISBLANK(INDEX('Policy Characteristics'!L:L,MATCH($C896,'Policy Characteristics'!$C:$C,0))),"",INDEX('Policy Characteristics'!L:L,MATCH($C896,'Policy Characteristics'!$C:$C,0)))</f>
        <v>industry-energy-efficiency-standards.html</v>
      </c>
    </row>
    <row r="897" s="384" customFormat="1" customHeight="1" spans="1:18">
      <c r="A897" s="394" t="str">
        <f>IF(ISBLANK(INDEX('Policy Characteristics'!A:A,MATCH($C897,'Policy Characteristics'!$C:$C,0))),"",INDEX('Policy Characteristics'!A:A,MATCH($C897,'Policy Characteristics'!$C:$C,0)))</f>
        <v>Industry</v>
      </c>
      <c r="B897" s="395" t="str">
        <f>IF(ISBLANK(INDEX('Policy Characteristics'!B:B,MATCH($C897,'Policy Characteristics'!$C:$C,0))),"",INDEX('Policy Characteristics'!B:B,MATCH($C897,'Policy Characteristics'!$C:$C,0)))</f>
        <v>Industry Energy Efficiency Standards</v>
      </c>
      <c r="C897" s="394" t="str">
        <f t="shared" si="39"/>
        <v>Percentage Improvement in Eqpt Efficiency Standards above BAU</v>
      </c>
      <c r="D897" s="399" t="s">
        <v>770</v>
      </c>
      <c r="E897" s="399" t="s">
        <v>792</v>
      </c>
      <c r="F897" t="s">
        <v>771</v>
      </c>
      <c r="G897" s="399" t="s">
        <v>812</v>
      </c>
      <c r="H897" s="377">
        <v>1118</v>
      </c>
      <c r="I897" s="396" t="s">
        <v>648</v>
      </c>
      <c r="J897" s="397" t="str">
        <f>IF(ISBLANK(INDEX('Policy Characteristics'!D:D,MATCH($C897,'Policy Characteristics'!$C:$C,0))),"",INDEX('Policy Characteristics'!D:D,MATCH($C897,'Policy Characteristics'!$C:$C,0)))</f>
        <v>Industry Energy Efficiency Standards</v>
      </c>
      <c r="K897" s="394" t="str">
        <f>IF(ISBLANK(INDEX('Policy Characteristics'!E:E,MATCH($C897,'Policy Characteristics'!$C:$C,0))),"",INDEX('Policy Characteristics'!E:E,MATCH($C897,'Policy Characteristics'!$C:$C,0)))</f>
        <v>indst efficiency standards</v>
      </c>
      <c r="L897" s="398">
        <f>IF(ISBLANK(INDEX('Policy Characteristics'!F:F,MATCH($C897,'Policy Characteristics'!$C:$C,0))),"",INDEX('Policy Characteristics'!F:F,MATCH($C897,'Policy Characteristics'!$C:$C,0)))</f>
        <v>0</v>
      </c>
      <c r="M897" s="398">
        <f>IF(ISBLANK(INDEX('Policy Characteristics'!G:G,MATCH($C897,'Policy Characteristics'!$C:$C,0))),"",INDEX('Policy Characteristics'!G:G,MATCH($C897,'Policy Characteristics'!$C:$C,0)))</f>
        <v>0.25</v>
      </c>
      <c r="N897" s="398">
        <f>IF(ISBLANK(INDEX('Policy Characteristics'!H:H,MATCH($C897,'Policy Characteristics'!$C:$C,0))),"",INDEX('Policy Characteristics'!H:H,MATCH($C897,'Policy Characteristics'!$C:$C,0)))</f>
        <v>0.01</v>
      </c>
      <c r="O897" s="394" t="str">
        <f>IF(ISBLANK(INDEX('Policy Characteristics'!I:I,MATCH($C897,'Policy Characteristics'!$C:$C,0))),"",INDEX('Policy Characteristics'!I:I,MATCH($C897,'Policy Characteristics'!$C:$C,0)))</f>
        <v>% reduction in energy use</v>
      </c>
      <c r="P897" s="394" t="str">
        <f>IF(ISBLANK(INDEX('Policy Characteristics'!J:J,MATCH($C897,'Policy Characteristics'!$C:$C,0))),"",INDEX('Policy Characteristics'!J:J,MATCH($C897,'Policy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7" s="394" t="str">
        <f>IF(ISBLANK(INDEX('Policy Characteristics'!K:K,MATCH($C897,'Policy Characteristics'!$C:$C,0))),"",INDEX('Policy Characteristics'!K:K,MATCH($C897,'Policy Characteristics'!$C:$C,0)))</f>
        <v>industry-ag-main.html#eff-stds</v>
      </c>
      <c r="R897" s="394" t="str">
        <f>IF(ISBLANK(INDEX('Policy Characteristics'!L:L,MATCH($C897,'Policy Characteristics'!$C:$C,0))),"",INDEX('Policy Characteristics'!L:L,MATCH($C897,'Policy Characteristics'!$C:$C,0)))</f>
        <v>industry-energy-efficiency-standards.html</v>
      </c>
    </row>
    <row r="898" s="384" customFormat="1" customHeight="1" spans="1:18">
      <c r="A898" s="394" t="str">
        <f>IF(ISBLANK(INDEX('Policy Characteristics'!A:A,MATCH($C898,'Policy Characteristics'!$C:$C,0))),"",INDEX('Policy Characteristics'!A:A,MATCH($C898,'Policy Characteristics'!$C:$C,0)))</f>
        <v>Industry</v>
      </c>
      <c r="B898" s="395" t="str">
        <f>IF(ISBLANK(INDEX('Policy Characteristics'!B:B,MATCH($C898,'Policy Characteristics'!$C:$C,0))),"",INDEX('Policy Characteristics'!B:B,MATCH($C898,'Policy Characteristics'!$C:$C,0)))</f>
        <v>Industry Energy Efficiency Standards</v>
      </c>
      <c r="C898" s="394" t="str">
        <f t="shared" si="39"/>
        <v>Percentage Improvement in Eqpt Efficiency Standards above BAU</v>
      </c>
      <c r="D898" s="399" t="s">
        <v>770</v>
      </c>
      <c r="E898" s="399" t="s">
        <v>794</v>
      </c>
      <c r="F898" t="s">
        <v>771</v>
      </c>
      <c r="G898" s="399" t="s">
        <v>813</v>
      </c>
      <c r="H898" s="377">
        <v>1119</v>
      </c>
      <c r="I898" s="396" t="s">
        <v>648</v>
      </c>
      <c r="J898" s="397" t="str">
        <f>IF(ISBLANK(INDEX('Policy Characteristics'!D:D,MATCH($C898,'Policy Characteristics'!$C:$C,0))),"",INDEX('Policy Characteristics'!D:D,MATCH($C898,'Policy Characteristics'!$C:$C,0)))</f>
        <v>Industry Energy Efficiency Standards</v>
      </c>
      <c r="K898" s="394" t="str">
        <f>IF(ISBLANK(INDEX('Policy Characteristics'!E:E,MATCH($C898,'Policy Characteristics'!$C:$C,0))),"",INDEX('Policy Characteristics'!E:E,MATCH($C898,'Policy Characteristics'!$C:$C,0)))</f>
        <v>indst efficiency standards</v>
      </c>
      <c r="L898" s="398">
        <f>IF(ISBLANK(INDEX('Policy Characteristics'!F:F,MATCH($C898,'Policy Characteristics'!$C:$C,0))),"",INDEX('Policy Characteristics'!F:F,MATCH($C898,'Policy Characteristics'!$C:$C,0)))</f>
        <v>0</v>
      </c>
      <c r="M898" s="398">
        <f>IF(ISBLANK(INDEX('Policy Characteristics'!G:G,MATCH($C898,'Policy Characteristics'!$C:$C,0))),"",INDEX('Policy Characteristics'!G:G,MATCH($C898,'Policy Characteristics'!$C:$C,0)))</f>
        <v>0.25</v>
      </c>
      <c r="N898" s="398">
        <f>IF(ISBLANK(INDEX('Policy Characteristics'!H:H,MATCH($C898,'Policy Characteristics'!$C:$C,0))),"",INDEX('Policy Characteristics'!H:H,MATCH($C898,'Policy Characteristics'!$C:$C,0)))</f>
        <v>0.01</v>
      </c>
      <c r="O898" s="394" t="str">
        <f>IF(ISBLANK(INDEX('Policy Characteristics'!I:I,MATCH($C898,'Policy Characteristics'!$C:$C,0))),"",INDEX('Policy Characteristics'!I:I,MATCH($C898,'Policy Characteristics'!$C:$C,0)))</f>
        <v>% reduction in energy use</v>
      </c>
      <c r="P898" s="394" t="str">
        <f>IF(ISBLANK(INDEX('Policy Characteristics'!J:J,MATCH($C898,'Policy Characteristics'!$C:$C,0))),"",INDEX('Policy Characteristics'!J:J,MATCH($C898,'Policy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8" s="394" t="str">
        <f>IF(ISBLANK(INDEX('Policy Characteristics'!K:K,MATCH($C898,'Policy Characteristics'!$C:$C,0))),"",INDEX('Policy Characteristics'!K:K,MATCH($C898,'Policy Characteristics'!$C:$C,0)))</f>
        <v>industry-ag-main.html#eff-stds</v>
      </c>
      <c r="R898" s="394" t="str">
        <f>IF(ISBLANK(INDEX('Policy Characteristics'!L:L,MATCH($C898,'Policy Characteristics'!$C:$C,0))),"",INDEX('Policy Characteristics'!L:L,MATCH($C898,'Policy Characteristics'!$C:$C,0)))</f>
        <v>industry-energy-efficiency-standards.html</v>
      </c>
    </row>
    <row r="899" s="384" customFormat="1" customHeight="1" spans="1:18">
      <c r="A899" s="394" t="str">
        <f>IF(ISBLANK(INDEX('Policy Characteristics'!A:A,MATCH($C899,'Policy Characteristics'!$C:$C,0))),"",INDEX('Policy Characteristics'!A:A,MATCH($C899,'Policy Characteristics'!$C:$C,0)))</f>
        <v>Industry</v>
      </c>
      <c r="B899" s="395" t="str">
        <f>IF(ISBLANK(INDEX('Policy Characteristics'!B:B,MATCH($C899,'Policy Characteristics'!$C:$C,0))),"",INDEX('Policy Characteristics'!B:B,MATCH($C899,'Policy Characteristics'!$C:$C,0)))</f>
        <v>Industry Energy Efficiency Standards</v>
      </c>
      <c r="C899" s="394" t="str">
        <f t="shared" si="39"/>
        <v>Percentage Improvement in Eqpt Efficiency Standards above BAU</v>
      </c>
      <c r="D899" s="399" t="s">
        <v>770</v>
      </c>
      <c r="E899" s="399" t="s">
        <v>796</v>
      </c>
      <c r="F899" t="s">
        <v>771</v>
      </c>
      <c r="G899" s="399" t="s">
        <v>814</v>
      </c>
      <c r="H899" s="377">
        <v>1120</v>
      </c>
      <c r="I899" s="396" t="s">
        <v>648</v>
      </c>
      <c r="J899" s="397" t="str">
        <f>IF(ISBLANK(INDEX('Policy Characteristics'!D:D,MATCH($C899,'Policy Characteristics'!$C:$C,0))),"",INDEX('Policy Characteristics'!D:D,MATCH($C899,'Policy Characteristics'!$C:$C,0)))</f>
        <v>Industry Energy Efficiency Standards</v>
      </c>
      <c r="K899" s="394" t="str">
        <f>IF(ISBLANK(INDEX('Policy Characteristics'!E:E,MATCH($C899,'Policy Characteristics'!$C:$C,0))),"",INDEX('Policy Characteristics'!E:E,MATCH($C899,'Policy Characteristics'!$C:$C,0)))</f>
        <v>indst efficiency standards</v>
      </c>
      <c r="L899" s="398">
        <f>IF(ISBLANK(INDEX('Policy Characteristics'!F:F,MATCH($C899,'Policy Characteristics'!$C:$C,0))),"",INDEX('Policy Characteristics'!F:F,MATCH($C899,'Policy Characteristics'!$C:$C,0)))</f>
        <v>0</v>
      </c>
      <c r="M899" s="398">
        <f>IF(ISBLANK(INDEX('Policy Characteristics'!G:G,MATCH($C899,'Policy Characteristics'!$C:$C,0))),"",INDEX('Policy Characteristics'!G:G,MATCH($C899,'Policy Characteristics'!$C:$C,0)))</f>
        <v>0.25</v>
      </c>
      <c r="N899" s="398">
        <f>IF(ISBLANK(INDEX('Policy Characteristics'!H:H,MATCH($C899,'Policy Characteristics'!$C:$C,0))),"",INDEX('Policy Characteristics'!H:H,MATCH($C899,'Policy Characteristics'!$C:$C,0)))</f>
        <v>0.01</v>
      </c>
      <c r="O899" s="394" t="str">
        <f>IF(ISBLANK(INDEX('Policy Characteristics'!I:I,MATCH($C899,'Policy Characteristics'!$C:$C,0))),"",INDEX('Policy Characteristics'!I:I,MATCH($C899,'Policy Characteristics'!$C:$C,0)))</f>
        <v>% reduction in energy use</v>
      </c>
      <c r="P899" s="394" t="str">
        <f>IF(ISBLANK(INDEX('Policy Characteristics'!J:J,MATCH($C899,'Policy Characteristics'!$C:$C,0))),"",INDEX('Policy Characteristics'!J:J,MATCH($C899,'Policy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9" s="394" t="str">
        <f>IF(ISBLANK(INDEX('Policy Characteristics'!K:K,MATCH($C899,'Policy Characteristics'!$C:$C,0))),"",INDEX('Policy Characteristics'!K:K,MATCH($C899,'Policy Characteristics'!$C:$C,0)))</f>
        <v>industry-ag-main.html#eff-stds</v>
      </c>
      <c r="R899" s="394" t="str">
        <f>IF(ISBLANK(INDEX('Policy Characteristics'!L:L,MATCH($C899,'Policy Characteristics'!$C:$C,0))),"",INDEX('Policy Characteristics'!L:L,MATCH($C899,'Policy Characteristics'!$C:$C,0)))</f>
        <v>industry-energy-efficiency-standards.html</v>
      </c>
    </row>
    <row r="900" s="384" customFormat="1" customHeight="1" spans="1:18">
      <c r="A900" s="394" t="str">
        <f>IF(ISBLANK(INDEX('Policy Characteristics'!A:A,MATCH($C900,'Policy Characteristics'!$C:$C,0))),"",INDEX('Policy Characteristics'!A:A,MATCH($C900,'Policy Characteristics'!$C:$C,0)))</f>
        <v>Industry</v>
      </c>
      <c r="B900" s="395" t="str">
        <f>IF(ISBLANK(INDEX('Policy Characteristics'!B:B,MATCH($C900,'Policy Characteristics'!$C:$C,0))),"",INDEX('Policy Characteristics'!B:B,MATCH($C900,'Policy Characteristics'!$C:$C,0)))</f>
        <v>Industry Energy Efficiency Standards</v>
      </c>
      <c r="C900" s="394" t="str">
        <f t="shared" si="39"/>
        <v>Percentage Improvement in Eqpt Efficiency Standards above BAU</v>
      </c>
      <c r="D900" s="399" t="s">
        <v>770</v>
      </c>
      <c r="E900" s="399" t="s">
        <v>798</v>
      </c>
      <c r="F900" t="s">
        <v>771</v>
      </c>
      <c r="G900" s="399" t="s">
        <v>815</v>
      </c>
      <c r="H900" s="377">
        <v>1121</v>
      </c>
      <c r="I900" s="396" t="s">
        <v>648</v>
      </c>
      <c r="J900" s="397" t="str">
        <f>IF(ISBLANK(INDEX('Policy Characteristics'!D:D,MATCH($C900,'Policy Characteristics'!$C:$C,0))),"",INDEX('Policy Characteristics'!D:D,MATCH($C900,'Policy Characteristics'!$C:$C,0)))</f>
        <v>Industry Energy Efficiency Standards</v>
      </c>
      <c r="K900" s="394" t="str">
        <f>IF(ISBLANK(INDEX('Policy Characteristics'!E:E,MATCH($C900,'Policy Characteristics'!$C:$C,0))),"",INDEX('Policy Characteristics'!E:E,MATCH($C900,'Policy Characteristics'!$C:$C,0)))</f>
        <v>indst efficiency standards</v>
      </c>
      <c r="L900" s="398">
        <f>IF(ISBLANK(INDEX('Policy Characteristics'!F:F,MATCH($C900,'Policy Characteristics'!$C:$C,0))),"",INDEX('Policy Characteristics'!F:F,MATCH($C900,'Policy Characteristics'!$C:$C,0)))</f>
        <v>0</v>
      </c>
      <c r="M900" s="398">
        <f>IF(ISBLANK(INDEX('Policy Characteristics'!G:G,MATCH($C900,'Policy Characteristics'!$C:$C,0))),"",INDEX('Policy Characteristics'!G:G,MATCH($C900,'Policy Characteristics'!$C:$C,0)))</f>
        <v>0.25</v>
      </c>
      <c r="N900" s="398">
        <f>IF(ISBLANK(INDEX('Policy Characteristics'!H:H,MATCH($C900,'Policy Characteristics'!$C:$C,0))),"",INDEX('Policy Characteristics'!H:H,MATCH($C900,'Policy Characteristics'!$C:$C,0)))</f>
        <v>0.01</v>
      </c>
      <c r="O900" s="394" t="str">
        <f>IF(ISBLANK(INDEX('Policy Characteristics'!I:I,MATCH($C900,'Policy Characteristics'!$C:$C,0))),"",INDEX('Policy Characteristics'!I:I,MATCH($C900,'Policy Characteristics'!$C:$C,0)))</f>
        <v>% reduction in energy use</v>
      </c>
      <c r="P900" s="394" t="str">
        <f>IF(ISBLANK(INDEX('Policy Characteristics'!J:J,MATCH($C900,'Policy Characteristics'!$C:$C,0))),"",INDEX('Policy Characteristics'!J:J,MATCH($C900,'Policy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0" s="394" t="str">
        <f>IF(ISBLANK(INDEX('Policy Characteristics'!K:K,MATCH($C900,'Policy Characteristics'!$C:$C,0))),"",INDEX('Policy Characteristics'!K:K,MATCH($C900,'Policy Characteristics'!$C:$C,0)))</f>
        <v>industry-ag-main.html#eff-stds</v>
      </c>
      <c r="R900" s="394" t="str">
        <f>IF(ISBLANK(INDEX('Policy Characteristics'!L:L,MATCH($C900,'Policy Characteristics'!$C:$C,0))),"",INDEX('Policy Characteristics'!L:L,MATCH($C900,'Policy Characteristics'!$C:$C,0)))</f>
        <v>industry-energy-efficiency-standards.html</v>
      </c>
    </row>
    <row r="901" s="384" customFormat="1" customHeight="1" spans="1:18">
      <c r="A901" s="394" t="str">
        <f>IF(ISBLANK(INDEX('Policy Characteristics'!A:A,MATCH($C901,'Policy Characteristics'!$C:$C,0))),"",INDEX('Policy Characteristics'!A:A,MATCH($C901,'Policy Characteristics'!$C:$C,0)))</f>
        <v>Industry</v>
      </c>
      <c r="B901" s="395" t="str">
        <f>IF(ISBLANK(INDEX('Policy Characteristics'!B:B,MATCH($C901,'Policy Characteristics'!$C:$C,0))),"",INDEX('Policy Characteristics'!B:B,MATCH($C901,'Policy Characteristics'!$C:$C,0)))</f>
        <v>Industry Energy Efficiency Standards</v>
      </c>
      <c r="C901" s="394" t="str">
        <f t="shared" si="39"/>
        <v>Percentage Improvement in Eqpt Efficiency Standards above BAU</v>
      </c>
      <c r="D901" s="399" t="s">
        <v>770</v>
      </c>
      <c r="E901" s="399" t="s">
        <v>800</v>
      </c>
      <c r="F901" t="s">
        <v>771</v>
      </c>
      <c r="G901" s="399" t="s">
        <v>816</v>
      </c>
      <c r="H901" s="377">
        <v>1122</v>
      </c>
      <c r="I901" s="396" t="s">
        <v>648</v>
      </c>
      <c r="J901" s="397" t="str">
        <f>IF(ISBLANK(INDEX('Policy Characteristics'!D:D,MATCH($C901,'Policy Characteristics'!$C:$C,0))),"",INDEX('Policy Characteristics'!D:D,MATCH($C901,'Policy Characteristics'!$C:$C,0)))</f>
        <v>Industry Energy Efficiency Standards</v>
      </c>
      <c r="K901" s="394" t="str">
        <f>IF(ISBLANK(INDEX('Policy Characteristics'!E:E,MATCH($C901,'Policy Characteristics'!$C:$C,0))),"",INDEX('Policy Characteristics'!E:E,MATCH($C901,'Policy Characteristics'!$C:$C,0)))</f>
        <v>indst efficiency standards</v>
      </c>
      <c r="L901" s="398">
        <f>IF(ISBLANK(INDEX('Policy Characteristics'!F:F,MATCH($C901,'Policy Characteristics'!$C:$C,0))),"",INDEX('Policy Characteristics'!F:F,MATCH($C901,'Policy Characteristics'!$C:$C,0)))</f>
        <v>0</v>
      </c>
      <c r="M901" s="398">
        <f>IF(ISBLANK(INDEX('Policy Characteristics'!G:G,MATCH($C901,'Policy Characteristics'!$C:$C,0))),"",INDEX('Policy Characteristics'!G:G,MATCH($C901,'Policy Characteristics'!$C:$C,0)))</f>
        <v>0.25</v>
      </c>
      <c r="N901" s="398">
        <f>IF(ISBLANK(INDEX('Policy Characteristics'!H:H,MATCH($C901,'Policy Characteristics'!$C:$C,0))),"",INDEX('Policy Characteristics'!H:H,MATCH($C901,'Policy Characteristics'!$C:$C,0)))</f>
        <v>0.01</v>
      </c>
      <c r="O901" s="394" t="str">
        <f>IF(ISBLANK(INDEX('Policy Characteristics'!I:I,MATCH($C901,'Policy Characteristics'!$C:$C,0))),"",INDEX('Policy Characteristics'!I:I,MATCH($C901,'Policy Characteristics'!$C:$C,0)))</f>
        <v>% reduction in energy use</v>
      </c>
      <c r="P901" s="394" t="str">
        <f>IF(ISBLANK(INDEX('Policy Characteristics'!J:J,MATCH($C901,'Policy Characteristics'!$C:$C,0))),"",INDEX('Policy Characteristics'!J:J,MATCH($C901,'Policy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1" s="394" t="str">
        <f>IF(ISBLANK(INDEX('Policy Characteristics'!K:K,MATCH($C901,'Policy Characteristics'!$C:$C,0))),"",INDEX('Policy Characteristics'!K:K,MATCH($C901,'Policy Characteristics'!$C:$C,0)))</f>
        <v>industry-ag-main.html#eff-stds</v>
      </c>
      <c r="R901" s="394" t="str">
        <f>IF(ISBLANK(INDEX('Policy Characteristics'!L:L,MATCH($C901,'Policy Characteristics'!$C:$C,0))),"",INDEX('Policy Characteristics'!L:L,MATCH($C901,'Policy Characteristics'!$C:$C,0)))</f>
        <v>industry-energy-efficiency-standards.html</v>
      </c>
    </row>
    <row r="902" s="384" customFormat="1" customHeight="1" spans="1:18">
      <c r="A902" s="394" t="str">
        <f>IF(ISBLANK(INDEX('Policy Characteristics'!A:A,MATCH($C902,'Policy Characteristics'!$C:$C,0))),"",INDEX('Policy Characteristics'!A:A,MATCH($C902,'Policy Characteristics'!$C:$C,0)))</f>
        <v>Industry</v>
      </c>
      <c r="B902" s="395" t="str">
        <f>IF(ISBLANK(INDEX('Policy Characteristics'!B:B,MATCH($C902,'Policy Characteristics'!$C:$C,0))),"",INDEX('Policy Characteristics'!B:B,MATCH($C902,'Policy Characteristics'!$C:$C,0)))</f>
        <v>Industry Energy Efficiency Standards</v>
      </c>
      <c r="C902" s="394" t="str">
        <f t="shared" si="39"/>
        <v>Percentage Improvement in Eqpt Efficiency Standards above BAU</v>
      </c>
      <c r="D902" s="399" t="s">
        <v>770</v>
      </c>
      <c r="E902" s="399" t="s">
        <v>802</v>
      </c>
      <c r="F902" t="s">
        <v>771</v>
      </c>
      <c r="G902" s="399" t="s">
        <v>817</v>
      </c>
      <c r="H902" s="377">
        <v>1123</v>
      </c>
      <c r="I902" s="396" t="s">
        <v>648</v>
      </c>
      <c r="J902" s="397" t="str">
        <f>IF(ISBLANK(INDEX('Policy Characteristics'!D:D,MATCH($C902,'Policy Characteristics'!$C:$C,0))),"",INDEX('Policy Characteristics'!D:D,MATCH($C902,'Policy Characteristics'!$C:$C,0)))</f>
        <v>Industry Energy Efficiency Standards</v>
      </c>
      <c r="K902" s="394" t="str">
        <f>IF(ISBLANK(INDEX('Policy Characteristics'!E:E,MATCH($C902,'Policy Characteristics'!$C:$C,0))),"",INDEX('Policy Characteristics'!E:E,MATCH($C902,'Policy Characteristics'!$C:$C,0)))</f>
        <v>indst efficiency standards</v>
      </c>
      <c r="L902" s="398">
        <f>IF(ISBLANK(INDEX('Policy Characteristics'!F:F,MATCH($C902,'Policy Characteristics'!$C:$C,0))),"",INDEX('Policy Characteristics'!F:F,MATCH($C902,'Policy Characteristics'!$C:$C,0)))</f>
        <v>0</v>
      </c>
      <c r="M902" s="398">
        <f>IF(ISBLANK(INDEX('Policy Characteristics'!G:G,MATCH($C902,'Policy Characteristics'!$C:$C,0))),"",INDEX('Policy Characteristics'!G:G,MATCH($C902,'Policy Characteristics'!$C:$C,0)))</f>
        <v>0.25</v>
      </c>
      <c r="N902" s="398">
        <f>IF(ISBLANK(INDEX('Policy Characteristics'!H:H,MATCH($C902,'Policy Characteristics'!$C:$C,0))),"",INDEX('Policy Characteristics'!H:H,MATCH($C902,'Policy Characteristics'!$C:$C,0)))</f>
        <v>0.01</v>
      </c>
      <c r="O902" s="394" t="str">
        <f>IF(ISBLANK(INDEX('Policy Characteristics'!I:I,MATCH($C902,'Policy Characteristics'!$C:$C,0))),"",INDEX('Policy Characteristics'!I:I,MATCH($C902,'Policy Characteristics'!$C:$C,0)))</f>
        <v>% reduction in energy use</v>
      </c>
      <c r="P902" s="394" t="str">
        <f>IF(ISBLANK(INDEX('Policy Characteristics'!J:J,MATCH($C902,'Policy Characteristics'!$C:$C,0))),"",INDEX('Policy Characteristics'!J:J,MATCH($C902,'Policy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2" s="394" t="str">
        <f>IF(ISBLANK(INDEX('Policy Characteristics'!K:K,MATCH($C902,'Policy Characteristics'!$C:$C,0))),"",INDEX('Policy Characteristics'!K:K,MATCH($C902,'Policy Characteristics'!$C:$C,0)))</f>
        <v>industry-ag-main.html#eff-stds</v>
      </c>
      <c r="R902" s="394" t="str">
        <f>IF(ISBLANK(INDEX('Policy Characteristics'!L:L,MATCH($C902,'Policy Characteristics'!$C:$C,0))),"",INDEX('Policy Characteristics'!L:L,MATCH($C902,'Policy Characteristics'!$C:$C,0)))</f>
        <v>industry-energy-efficiency-standards.html</v>
      </c>
    </row>
    <row r="903" s="384" customFormat="1" customHeight="1" spans="1:18">
      <c r="A903" s="394" t="str">
        <f>IF(ISBLANK(INDEX('Policy Characteristics'!A:A,MATCH($C903,'Policy Characteristics'!$C:$C,0))),"",INDEX('Policy Characteristics'!A:A,MATCH($C903,'Policy Characteristics'!$C:$C,0)))</f>
        <v>Industry</v>
      </c>
      <c r="B903" s="395" t="str">
        <f>IF(ISBLANK(INDEX('Policy Characteristics'!B:B,MATCH($C903,'Policy Characteristics'!$C:$C,0))),"",INDEX('Policy Characteristics'!B:B,MATCH($C903,'Policy Characteristics'!$C:$C,0)))</f>
        <v>Industry Energy Efficiency Standards</v>
      </c>
      <c r="C903" s="394" t="str">
        <f t="shared" si="39"/>
        <v>Percentage Improvement in Eqpt Efficiency Standards above BAU</v>
      </c>
      <c r="D903" s="399" t="s">
        <v>770</v>
      </c>
      <c r="E903" s="399" t="s">
        <v>804</v>
      </c>
      <c r="F903" t="s">
        <v>771</v>
      </c>
      <c r="G903" s="399" t="s">
        <v>818</v>
      </c>
      <c r="H903" s="377">
        <v>1124</v>
      </c>
      <c r="I903" s="396" t="s">
        <v>648</v>
      </c>
      <c r="J903" s="397" t="str">
        <f>IF(ISBLANK(INDEX('Policy Characteristics'!D:D,MATCH($C903,'Policy Characteristics'!$C:$C,0))),"",INDEX('Policy Characteristics'!D:D,MATCH($C903,'Policy Characteristics'!$C:$C,0)))</f>
        <v>Industry Energy Efficiency Standards</v>
      </c>
      <c r="K903" s="394" t="str">
        <f>IF(ISBLANK(INDEX('Policy Characteristics'!E:E,MATCH($C903,'Policy Characteristics'!$C:$C,0))),"",INDEX('Policy Characteristics'!E:E,MATCH($C903,'Policy Characteristics'!$C:$C,0)))</f>
        <v>indst efficiency standards</v>
      </c>
      <c r="L903" s="398">
        <f>IF(ISBLANK(INDEX('Policy Characteristics'!F:F,MATCH($C903,'Policy Characteristics'!$C:$C,0))),"",INDEX('Policy Characteristics'!F:F,MATCH($C903,'Policy Characteristics'!$C:$C,0)))</f>
        <v>0</v>
      </c>
      <c r="M903" s="398">
        <f>IF(ISBLANK(INDEX('Policy Characteristics'!G:G,MATCH($C903,'Policy Characteristics'!$C:$C,0))),"",INDEX('Policy Characteristics'!G:G,MATCH($C903,'Policy Characteristics'!$C:$C,0)))</f>
        <v>0.25</v>
      </c>
      <c r="N903" s="398">
        <f>IF(ISBLANK(INDEX('Policy Characteristics'!H:H,MATCH($C903,'Policy Characteristics'!$C:$C,0))),"",INDEX('Policy Characteristics'!H:H,MATCH($C903,'Policy Characteristics'!$C:$C,0)))</f>
        <v>0.01</v>
      </c>
      <c r="O903" s="394" t="str">
        <f>IF(ISBLANK(INDEX('Policy Characteristics'!I:I,MATCH($C903,'Policy Characteristics'!$C:$C,0))),"",INDEX('Policy Characteristics'!I:I,MATCH($C903,'Policy Characteristics'!$C:$C,0)))</f>
        <v>% reduction in energy use</v>
      </c>
      <c r="P903" s="394" t="str">
        <f>IF(ISBLANK(INDEX('Policy Characteristics'!J:J,MATCH($C903,'Policy Characteristics'!$C:$C,0))),"",INDEX('Policy Characteristics'!J:J,MATCH($C903,'Policy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3" s="394" t="str">
        <f>IF(ISBLANK(INDEX('Policy Characteristics'!K:K,MATCH($C903,'Policy Characteristics'!$C:$C,0))),"",INDEX('Policy Characteristics'!K:K,MATCH($C903,'Policy Characteristics'!$C:$C,0)))</f>
        <v>industry-ag-main.html#eff-stds</v>
      </c>
      <c r="R903" s="394" t="str">
        <f>IF(ISBLANK(INDEX('Policy Characteristics'!L:L,MATCH($C903,'Policy Characteristics'!$C:$C,0))),"",INDEX('Policy Characteristics'!L:L,MATCH($C903,'Policy Characteristics'!$C:$C,0)))</f>
        <v>industry-energy-efficiency-standards.html</v>
      </c>
    </row>
    <row r="904" s="384" customFormat="1" customHeight="1" spans="1:18">
      <c r="A904" s="394" t="str">
        <f>IF(ISBLANK(INDEX('Policy Characteristics'!A:A,MATCH($C904,'Policy Characteristics'!$C:$C,0))),"",INDEX('Policy Characteristics'!A:A,MATCH($C904,'Policy Characteristics'!$C:$C,0)))</f>
        <v>Industry</v>
      </c>
      <c r="B904" s="395" t="str">
        <f>IF(ISBLANK(INDEX('Policy Characteristics'!B:B,MATCH($C904,'Policy Characteristics'!$C:$C,0))),"",INDEX('Policy Characteristics'!B:B,MATCH($C904,'Policy Characteristics'!$C:$C,0)))</f>
        <v>Industry Energy Efficiency Standards</v>
      </c>
      <c r="C904" s="394" t="str">
        <f t="shared" si="39"/>
        <v>Percentage Improvement in Eqpt Efficiency Standards above BAU</v>
      </c>
      <c r="D904" s="399" t="s">
        <v>770</v>
      </c>
      <c r="E904" s="399" t="s">
        <v>806</v>
      </c>
      <c r="F904" t="s">
        <v>771</v>
      </c>
      <c r="G904" s="399" t="s">
        <v>819</v>
      </c>
      <c r="H904" s="377">
        <v>1125</v>
      </c>
      <c r="I904" s="396" t="s">
        <v>648</v>
      </c>
      <c r="J904" s="397" t="str">
        <f>IF(ISBLANK(INDEX('Policy Characteristics'!D:D,MATCH($C904,'Policy Characteristics'!$C:$C,0))),"",INDEX('Policy Characteristics'!D:D,MATCH($C904,'Policy Characteristics'!$C:$C,0)))</f>
        <v>Industry Energy Efficiency Standards</v>
      </c>
      <c r="K904" s="394" t="str">
        <f>IF(ISBLANK(INDEX('Policy Characteristics'!E:E,MATCH($C904,'Policy Characteristics'!$C:$C,0))),"",INDEX('Policy Characteristics'!E:E,MATCH($C904,'Policy Characteristics'!$C:$C,0)))</f>
        <v>indst efficiency standards</v>
      </c>
      <c r="L904" s="398">
        <f>IF(ISBLANK(INDEX('Policy Characteristics'!F:F,MATCH($C904,'Policy Characteristics'!$C:$C,0))),"",INDEX('Policy Characteristics'!F:F,MATCH($C904,'Policy Characteristics'!$C:$C,0)))</f>
        <v>0</v>
      </c>
      <c r="M904" s="398">
        <f>IF(ISBLANK(INDEX('Policy Characteristics'!G:G,MATCH($C904,'Policy Characteristics'!$C:$C,0))),"",INDEX('Policy Characteristics'!G:G,MATCH($C904,'Policy Characteristics'!$C:$C,0)))</f>
        <v>0.25</v>
      </c>
      <c r="N904" s="398">
        <f>IF(ISBLANK(INDEX('Policy Characteristics'!H:H,MATCH($C904,'Policy Characteristics'!$C:$C,0))),"",INDEX('Policy Characteristics'!H:H,MATCH($C904,'Policy Characteristics'!$C:$C,0)))</f>
        <v>0.01</v>
      </c>
      <c r="O904" s="394" t="str">
        <f>IF(ISBLANK(INDEX('Policy Characteristics'!I:I,MATCH($C904,'Policy Characteristics'!$C:$C,0))),"",INDEX('Policy Characteristics'!I:I,MATCH($C904,'Policy Characteristics'!$C:$C,0)))</f>
        <v>% reduction in energy use</v>
      </c>
      <c r="P904" s="394" t="str">
        <f>IF(ISBLANK(INDEX('Policy Characteristics'!J:J,MATCH($C904,'Policy Characteristics'!$C:$C,0))),"",INDEX('Policy Characteristics'!J:J,MATCH($C904,'Policy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4" s="394" t="str">
        <f>IF(ISBLANK(INDEX('Policy Characteristics'!K:K,MATCH($C904,'Policy Characteristics'!$C:$C,0))),"",INDEX('Policy Characteristics'!K:K,MATCH($C904,'Policy Characteristics'!$C:$C,0)))</f>
        <v>industry-ag-main.html#eff-stds</v>
      </c>
      <c r="R904" s="394" t="str">
        <f>IF(ISBLANK(INDEX('Policy Characteristics'!L:L,MATCH($C904,'Policy Characteristics'!$C:$C,0))),"",INDEX('Policy Characteristics'!L:L,MATCH($C904,'Policy Characteristics'!$C:$C,0)))</f>
        <v>industry-energy-efficiency-standards.html</v>
      </c>
    </row>
    <row r="905" s="384" customFormat="1" customHeight="1" spans="1:18">
      <c r="A905" s="394" t="str">
        <f>IF(ISBLANK(INDEX('Policy Characteristics'!A:A,MATCH($C905,'Policy Characteristics'!$C:$C,0))),"",INDEX('Policy Characteristics'!A:A,MATCH($C905,'Policy Characteristics'!$C:$C,0)))</f>
        <v>Industry</v>
      </c>
      <c r="B905" s="395" t="str">
        <f>IF(ISBLANK(INDEX('Policy Characteristics'!B:B,MATCH($C905,'Policy Characteristics'!$C:$C,0))),"",INDEX('Policy Characteristics'!B:B,MATCH($C905,'Policy Characteristics'!$C:$C,0)))</f>
        <v>Industry Energy Efficiency Standards</v>
      </c>
      <c r="C905" s="394" t="str">
        <f t="shared" si="39"/>
        <v>Percentage Improvement in Eqpt Efficiency Standards above BAU</v>
      </c>
      <c r="D905" s="399" t="s">
        <v>770</v>
      </c>
      <c r="E905" s="399" t="s">
        <v>808</v>
      </c>
      <c r="F905" t="s">
        <v>771</v>
      </c>
      <c r="G905" s="399" t="s">
        <v>820</v>
      </c>
      <c r="H905" s="377">
        <v>1126</v>
      </c>
      <c r="I905" s="396" t="s">
        <v>648</v>
      </c>
      <c r="J905" s="397" t="str">
        <f>IF(ISBLANK(INDEX('Policy Characteristics'!D:D,MATCH($C905,'Policy Characteristics'!$C:$C,0))),"",INDEX('Policy Characteristics'!D:D,MATCH($C905,'Policy Characteristics'!$C:$C,0)))</f>
        <v>Industry Energy Efficiency Standards</v>
      </c>
      <c r="K905" s="394" t="str">
        <f>IF(ISBLANK(INDEX('Policy Characteristics'!E:E,MATCH($C905,'Policy Characteristics'!$C:$C,0))),"",INDEX('Policy Characteristics'!E:E,MATCH($C905,'Policy Characteristics'!$C:$C,0)))</f>
        <v>indst efficiency standards</v>
      </c>
      <c r="L905" s="398">
        <f>IF(ISBLANK(INDEX('Policy Characteristics'!F:F,MATCH($C905,'Policy Characteristics'!$C:$C,0))),"",INDEX('Policy Characteristics'!F:F,MATCH($C905,'Policy Characteristics'!$C:$C,0)))</f>
        <v>0</v>
      </c>
      <c r="M905" s="398">
        <f>IF(ISBLANK(INDEX('Policy Characteristics'!G:G,MATCH($C905,'Policy Characteristics'!$C:$C,0))),"",INDEX('Policy Characteristics'!G:G,MATCH($C905,'Policy Characteristics'!$C:$C,0)))</f>
        <v>0.25</v>
      </c>
      <c r="N905" s="398">
        <f>IF(ISBLANK(INDEX('Policy Characteristics'!H:H,MATCH($C905,'Policy Characteristics'!$C:$C,0))),"",INDEX('Policy Characteristics'!H:H,MATCH($C905,'Policy Characteristics'!$C:$C,0)))</f>
        <v>0.01</v>
      </c>
      <c r="O905" s="394" t="str">
        <f>IF(ISBLANK(INDEX('Policy Characteristics'!I:I,MATCH($C905,'Policy Characteristics'!$C:$C,0))),"",INDEX('Policy Characteristics'!I:I,MATCH($C905,'Policy Characteristics'!$C:$C,0)))</f>
        <v>% reduction in energy use</v>
      </c>
      <c r="P905" s="394" t="str">
        <f>IF(ISBLANK(INDEX('Policy Characteristics'!J:J,MATCH($C905,'Policy Characteristics'!$C:$C,0))),"",INDEX('Policy Characteristics'!J:J,MATCH($C905,'Policy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5" s="394" t="str">
        <f>IF(ISBLANK(INDEX('Policy Characteristics'!K:K,MATCH($C905,'Policy Characteristics'!$C:$C,0))),"",INDEX('Policy Characteristics'!K:K,MATCH($C905,'Policy Characteristics'!$C:$C,0)))</f>
        <v>industry-ag-main.html#eff-stds</v>
      </c>
      <c r="R905" s="394" t="str">
        <f>IF(ISBLANK(INDEX('Policy Characteristics'!L:L,MATCH($C905,'Policy Characteristics'!$C:$C,0))),"",INDEX('Policy Characteristics'!L:L,MATCH($C905,'Policy Characteristics'!$C:$C,0)))</f>
        <v>industry-energy-efficiency-standards.html</v>
      </c>
    </row>
    <row r="906" s="384" customFormat="1" customHeight="1" spans="1:18">
      <c r="A906" s="394" t="str">
        <f>IF(ISBLANK(INDEX('Policy Characteristics'!A:A,MATCH($C906,'Policy Characteristics'!$C:$C,0))),"",INDEX('Policy Characteristics'!A:A,MATCH($C906,'Policy Characteristics'!$C:$C,0)))</f>
        <v>Industry</v>
      </c>
      <c r="B906" s="395" t="str">
        <f>IF(ISBLANK(INDEX('Policy Characteristics'!B:B,MATCH($C906,'Policy Characteristics'!$C:$C,0))),"",INDEX('Policy Characteristics'!B:B,MATCH($C906,'Policy Characteristics'!$C:$C,0)))</f>
        <v>Industry Energy Efficiency Standards</v>
      </c>
      <c r="C906" s="394" t="str">
        <f t="shared" si="39"/>
        <v>Percentage Improvement in Eqpt Efficiency Standards above BAU</v>
      </c>
      <c r="D906" s="399" t="s">
        <v>770</v>
      </c>
      <c r="E906" s="399" t="s">
        <v>810</v>
      </c>
      <c r="F906" t="s">
        <v>771</v>
      </c>
      <c r="G906" s="399" t="s">
        <v>821</v>
      </c>
      <c r="H906" s="377">
        <v>1127</v>
      </c>
      <c r="I906" s="396" t="s">
        <v>648</v>
      </c>
      <c r="J906" s="397" t="str">
        <f>IF(ISBLANK(INDEX('Policy Characteristics'!D:D,MATCH($C906,'Policy Characteristics'!$C:$C,0))),"",INDEX('Policy Characteristics'!D:D,MATCH($C906,'Policy Characteristics'!$C:$C,0)))</f>
        <v>Industry Energy Efficiency Standards</v>
      </c>
      <c r="K906" s="394" t="str">
        <f>IF(ISBLANK(INDEX('Policy Characteristics'!E:E,MATCH($C906,'Policy Characteristics'!$C:$C,0))),"",INDEX('Policy Characteristics'!E:E,MATCH($C906,'Policy Characteristics'!$C:$C,0)))</f>
        <v>indst efficiency standards</v>
      </c>
      <c r="L906" s="398">
        <f>IF(ISBLANK(INDEX('Policy Characteristics'!F:F,MATCH($C906,'Policy Characteristics'!$C:$C,0))),"",INDEX('Policy Characteristics'!F:F,MATCH($C906,'Policy Characteristics'!$C:$C,0)))</f>
        <v>0</v>
      </c>
      <c r="M906" s="398">
        <f>IF(ISBLANK(INDEX('Policy Characteristics'!G:G,MATCH($C906,'Policy Characteristics'!$C:$C,0))),"",INDEX('Policy Characteristics'!G:G,MATCH($C906,'Policy Characteristics'!$C:$C,0)))</f>
        <v>0.25</v>
      </c>
      <c r="N906" s="398">
        <f>IF(ISBLANK(INDEX('Policy Characteristics'!H:H,MATCH($C906,'Policy Characteristics'!$C:$C,0))),"",INDEX('Policy Characteristics'!H:H,MATCH($C906,'Policy Characteristics'!$C:$C,0)))</f>
        <v>0.01</v>
      </c>
      <c r="O906" s="394" t="str">
        <f>IF(ISBLANK(INDEX('Policy Characteristics'!I:I,MATCH($C906,'Policy Characteristics'!$C:$C,0))),"",INDEX('Policy Characteristics'!I:I,MATCH($C906,'Policy Characteristics'!$C:$C,0)))</f>
        <v>% reduction in energy use</v>
      </c>
      <c r="P906" s="394" t="str">
        <f>IF(ISBLANK(INDEX('Policy Characteristics'!J:J,MATCH($C906,'Policy Characteristics'!$C:$C,0))),"",INDEX('Policy Characteristics'!J:J,MATCH($C906,'Policy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6" s="394" t="str">
        <f>IF(ISBLANK(INDEX('Policy Characteristics'!K:K,MATCH($C906,'Policy Characteristics'!$C:$C,0))),"",INDEX('Policy Characteristics'!K:K,MATCH($C906,'Policy Characteristics'!$C:$C,0)))</f>
        <v>industry-ag-main.html#eff-stds</v>
      </c>
      <c r="R906" s="394" t="str">
        <f>IF(ISBLANK(INDEX('Policy Characteristics'!L:L,MATCH($C906,'Policy Characteristics'!$C:$C,0))),"",INDEX('Policy Characteristics'!L:L,MATCH($C906,'Policy Characteristics'!$C:$C,0)))</f>
        <v>industry-energy-efficiency-standards.html</v>
      </c>
    </row>
    <row r="907" s="384" customFormat="1" customHeight="1" spans="1:18">
      <c r="A907" s="394" t="str">
        <f>IF(ISBLANK(INDEX('Policy Characteristics'!A:A,MATCH($C907,'Policy Characteristics'!$C:$C,0))),"",INDEX('Policy Characteristics'!A:A,MATCH($C907,'Policy Characteristics'!$C:$C,0)))</f>
        <v>Industry</v>
      </c>
      <c r="B907" s="395" t="str">
        <f>IF(ISBLANK(INDEX('Policy Characteristics'!B:B,MATCH($C907,'Policy Characteristics'!$C:$C,0))),"",INDEX('Policy Characteristics'!B:B,MATCH($C907,'Policy Characteristics'!$C:$C,0)))</f>
        <v>Industry Energy Efficiency Standards</v>
      </c>
      <c r="C907" s="394" t="str">
        <f t="shared" si="39"/>
        <v>Percentage Improvement in Eqpt Efficiency Standards above BAU</v>
      </c>
      <c r="D907" s="399" t="s">
        <v>772</v>
      </c>
      <c r="E907" s="399" t="s">
        <v>792</v>
      </c>
      <c r="F907" t="s">
        <v>773</v>
      </c>
      <c r="G907" s="399" t="s">
        <v>812</v>
      </c>
      <c r="H907" s="377">
        <v>1128</v>
      </c>
      <c r="I907" s="396" t="s">
        <v>648</v>
      </c>
      <c r="J907" s="397" t="str">
        <f>IF(ISBLANK(INDEX('Policy Characteristics'!D:D,MATCH($C907,'Policy Characteristics'!$C:$C,0))),"",INDEX('Policy Characteristics'!D:D,MATCH($C907,'Policy Characteristics'!$C:$C,0)))</f>
        <v>Industry Energy Efficiency Standards</v>
      </c>
      <c r="K907" s="394" t="str">
        <f>IF(ISBLANK(INDEX('Policy Characteristics'!E:E,MATCH($C907,'Policy Characteristics'!$C:$C,0))),"",INDEX('Policy Characteristics'!E:E,MATCH($C907,'Policy Characteristics'!$C:$C,0)))</f>
        <v>indst efficiency standards</v>
      </c>
      <c r="L907" s="398">
        <f>IF(ISBLANK(INDEX('Policy Characteristics'!F:F,MATCH($C907,'Policy Characteristics'!$C:$C,0))),"",INDEX('Policy Characteristics'!F:F,MATCH($C907,'Policy Characteristics'!$C:$C,0)))</f>
        <v>0</v>
      </c>
      <c r="M907" s="398">
        <f>IF(ISBLANK(INDEX('Policy Characteristics'!G:G,MATCH($C907,'Policy Characteristics'!$C:$C,0))),"",INDEX('Policy Characteristics'!G:G,MATCH($C907,'Policy Characteristics'!$C:$C,0)))</f>
        <v>0.25</v>
      </c>
      <c r="N907" s="398">
        <f>IF(ISBLANK(INDEX('Policy Characteristics'!H:H,MATCH($C907,'Policy Characteristics'!$C:$C,0))),"",INDEX('Policy Characteristics'!H:H,MATCH($C907,'Policy Characteristics'!$C:$C,0)))</f>
        <v>0.01</v>
      </c>
      <c r="O907" s="394" t="str">
        <f>IF(ISBLANK(INDEX('Policy Characteristics'!I:I,MATCH($C907,'Policy Characteristics'!$C:$C,0))),"",INDEX('Policy Characteristics'!I:I,MATCH($C907,'Policy Characteristics'!$C:$C,0)))</f>
        <v>% reduction in energy use</v>
      </c>
      <c r="P907" s="394" t="str">
        <f>IF(ISBLANK(INDEX('Policy Characteristics'!J:J,MATCH($C907,'Policy Characteristics'!$C:$C,0))),"",INDEX('Policy Characteristics'!J:J,MATCH($C907,'Policy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7" s="394" t="str">
        <f>IF(ISBLANK(INDEX('Policy Characteristics'!K:K,MATCH($C907,'Policy Characteristics'!$C:$C,0))),"",INDEX('Policy Characteristics'!K:K,MATCH($C907,'Policy Characteristics'!$C:$C,0)))</f>
        <v>industry-ag-main.html#eff-stds</v>
      </c>
      <c r="R907" s="394" t="str">
        <f>IF(ISBLANK(INDEX('Policy Characteristics'!L:L,MATCH($C907,'Policy Characteristics'!$C:$C,0))),"",INDEX('Policy Characteristics'!L:L,MATCH($C907,'Policy Characteristics'!$C:$C,0)))</f>
        <v>industry-energy-efficiency-standards.html</v>
      </c>
    </row>
    <row r="908" s="384" customFormat="1" customHeight="1" spans="1:18">
      <c r="A908" s="394" t="str">
        <f>IF(ISBLANK(INDEX('Policy Characteristics'!A:A,MATCH($C908,'Policy Characteristics'!$C:$C,0))),"",INDEX('Policy Characteristics'!A:A,MATCH($C908,'Policy Characteristics'!$C:$C,0)))</f>
        <v>Industry</v>
      </c>
      <c r="B908" s="395" t="str">
        <f>IF(ISBLANK(INDEX('Policy Characteristics'!B:B,MATCH($C908,'Policy Characteristics'!$C:$C,0))),"",INDEX('Policy Characteristics'!B:B,MATCH($C908,'Policy Characteristics'!$C:$C,0)))</f>
        <v>Industry Energy Efficiency Standards</v>
      </c>
      <c r="C908" s="394" t="str">
        <f t="shared" si="39"/>
        <v>Percentage Improvement in Eqpt Efficiency Standards above BAU</v>
      </c>
      <c r="D908" s="399" t="s">
        <v>772</v>
      </c>
      <c r="E908" s="399" t="s">
        <v>794</v>
      </c>
      <c r="F908" t="s">
        <v>773</v>
      </c>
      <c r="G908" s="399" t="s">
        <v>813</v>
      </c>
      <c r="H908" s="377">
        <v>1129</v>
      </c>
      <c r="I908" s="396" t="s">
        <v>648</v>
      </c>
      <c r="J908" s="397" t="str">
        <f>IF(ISBLANK(INDEX('Policy Characteristics'!D:D,MATCH($C908,'Policy Characteristics'!$C:$C,0))),"",INDEX('Policy Characteristics'!D:D,MATCH($C908,'Policy Characteristics'!$C:$C,0)))</f>
        <v>Industry Energy Efficiency Standards</v>
      </c>
      <c r="K908" s="394" t="str">
        <f>IF(ISBLANK(INDEX('Policy Characteristics'!E:E,MATCH($C908,'Policy Characteristics'!$C:$C,0))),"",INDEX('Policy Characteristics'!E:E,MATCH($C908,'Policy Characteristics'!$C:$C,0)))</f>
        <v>indst efficiency standards</v>
      </c>
      <c r="L908" s="398">
        <f>IF(ISBLANK(INDEX('Policy Characteristics'!F:F,MATCH($C908,'Policy Characteristics'!$C:$C,0))),"",INDEX('Policy Characteristics'!F:F,MATCH($C908,'Policy Characteristics'!$C:$C,0)))</f>
        <v>0</v>
      </c>
      <c r="M908" s="398">
        <f>IF(ISBLANK(INDEX('Policy Characteristics'!G:G,MATCH($C908,'Policy Characteristics'!$C:$C,0))),"",INDEX('Policy Characteristics'!G:G,MATCH($C908,'Policy Characteristics'!$C:$C,0)))</f>
        <v>0.25</v>
      </c>
      <c r="N908" s="398">
        <f>IF(ISBLANK(INDEX('Policy Characteristics'!H:H,MATCH($C908,'Policy Characteristics'!$C:$C,0))),"",INDEX('Policy Characteristics'!H:H,MATCH($C908,'Policy Characteristics'!$C:$C,0)))</f>
        <v>0.01</v>
      </c>
      <c r="O908" s="394" t="str">
        <f>IF(ISBLANK(INDEX('Policy Characteristics'!I:I,MATCH($C908,'Policy Characteristics'!$C:$C,0))),"",INDEX('Policy Characteristics'!I:I,MATCH($C908,'Policy Characteristics'!$C:$C,0)))</f>
        <v>% reduction in energy use</v>
      </c>
      <c r="P908" s="394" t="str">
        <f>IF(ISBLANK(INDEX('Policy Characteristics'!J:J,MATCH($C908,'Policy Characteristics'!$C:$C,0))),"",INDEX('Policy Characteristics'!J:J,MATCH($C908,'Policy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8" s="394" t="str">
        <f>IF(ISBLANK(INDEX('Policy Characteristics'!K:K,MATCH($C908,'Policy Characteristics'!$C:$C,0))),"",INDEX('Policy Characteristics'!K:K,MATCH($C908,'Policy Characteristics'!$C:$C,0)))</f>
        <v>industry-ag-main.html#eff-stds</v>
      </c>
      <c r="R908" s="394" t="str">
        <f>IF(ISBLANK(INDEX('Policy Characteristics'!L:L,MATCH($C908,'Policy Characteristics'!$C:$C,0))),"",INDEX('Policy Characteristics'!L:L,MATCH($C908,'Policy Characteristics'!$C:$C,0)))</f>
        <v>industry-energy-efficiency-standards.html</v>
      </c>
    </row>
    <row r="909" s="384" customFormat="1" customHeight="1" spans="1:18">
      <c r="A909" s="394" t="str">
        <f>IF(ISBLANK(INDEX('Policy Characteristics'!A:A,MATCH($C909,'Policy Characteristics'!$C:$C,0))),"",INDEX('Policy Characteristics'!A:A,MATCH($C909,'Policy Characteristics'!$C:$C,0)))</f>
        <v>Industry</v>
      </c>
      <c r="B909" s="395" t="str">
        <f>IF(ISBLANK(INDEX('Policy Characteristics'!B:B,MATCH($C909,'Policy Characteristics'!$C:$C,0))),"",INDEX('Policy Characteristics'!B:B,MATCH($C909,'Policy Characteristics'!$C:$C,0)))</f>
        <v>Industry Energy Efficiency Standards</v>
      </c>
      <c r="C909" s="394" t="str">
        <f t="shared" si="39"/>
        <v>Percentage Improvement in Eqpt Efficiency Standards above BAU</v>
      </c>
      <c r="D909" s="399" t="s">
        <v>772</v>
      </c>
      <c r="E909" s="399" t="s">
        <v>796</v>
      </c>
      <c r="F909" t="s">
        <v>773</v>
      </c>
      <c r="G909" s="399" t="s">
        <v>814</v>
      </c>
      <c r="H909" s="377">
        <v>1130</v>
      </c>
      <c r="I909" s="396" t="s">
        <v>648</v>
      </c>
      <c r="J909" s="397" t="str">
        <f>IF(ISBLANK(INDEX('Policy Characteristics'!D:D,MATCH($C909,'Policy Characteristics'!$C:$C,0))),"",INDEX('Policy Characteristics'!D:D,MATCH($C909,'Policy Characteristics'!$C:$C,0)))</f>
        <v>Industry Energy Efficiency Standards</v>
      </c>
      <c r="K909" s="394" t="str">
        <f>IF(ISBLANK(INDEX('Policy Characteristics'!E:E,MATCH($C909,'Policy Characteristics'!$C:$C,0))),"",INDEX('Policy Characteristics'!E:E,MATCH($C909,'Policy Characteristics'!$C:$C,0)))</f>
        <v>indst efficiency standards</v>
      </c>
      <c r="L909" s="398">
        <f>IF(ISBLANK(INDEX('Policy Characteristics'!F:F,MATCH($C909,'Policy Characteristics'!$C:$C,0))),"",INDEX('Policy Characteristics'!F:F,MATCH($C909,'Policy Characteristics'!$C:$C,0)))</f>
        <v>0</v>
      </c>
      <c r="M909" s="398">
        <f>IF(ISBLANK(INDEX('Policy Characteristics'!G:G,MATCH($C909,'Policy Characteristics'!$C:$C,0))),"",INDEX('Policy Characteristics'!G:G,MATCH($C909,'Policy Characteristics'!$C:$C,0)))</f>
        <v>0.25</v>
      </c>
      <c r="N909" s="398">
        <f>IF(ISBLANK(INDEX('Policy Characteristics'!H:H,MATCH($C909,'Policy Characteristics'!$C:$C,0))),"",INDEX('Policy Characteristics'!H:H,MATCH($C909,'Policy Characteristics'!$C:$C,0)))</f>
        <v>0.01</v>
      </c>
      <c r="O909" s="394" t="str">
        <f>IF(ISBLANK(INDEX('Policy Characteristics'!I:I,MATCH($C909,'Policy Characteristics'!$C:$C,0))),"",INDEX('Policy Characteristics'!I:I,MATCH($C909,'Policy Characteristics'!$C:$C,0)))</f>
        <v>% reduction in energy use</v>
      </c>
      <c r="P909" s="394" t="str">
        <f>IF(ISBLANK(INDEX('Policy Characteristics'!J:J,MATCH($C909,'Policy Characteristics'!$C:$C,0))),"",INDEX('Policy Characteristics'!J:J,MATCH($C909,'Policy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9" s="394" t="str">
        <f>IF(ISBLANK(INDEX('Policy Characteristics'!K:K,MATCH($C909,'Policy Characteristics'!$C:$C,0))),"",INDEX('Policy Characteristics'!K:K,MATCH($C909,'Policy Characteristics'!$C:$C,0)))</f>
        <v>industry-ag-main.html#eff-stds</v>
      </c>
      <c r="R909" s="394" t="str">
        <f>IF(ISBLANK(INDEX('Policy Characteristics'!L:L,MATCH($C909,'Policy Characteristics'!$C:$C,0))),"",INDEX('Policy Characteristics'!L:L,MATCH($C909,'Policy Characteristics'!$C:$C,0)))</f>
        <v>industry-energy-efficiency-standards.html</v>
      </c>
    </row>
    <row r="910" s="384" customFormat="1" customHeight="1" spans="1:18">
      <c r="A910" s="394" t="str">
        <f>IF(ISBLANK(INDEX('Policy Characteristics'!A:A,MATCH($C910,'Policy Characteristics'!$C:$C,0))),"",INDEX('Policy Characteristics'!A:A,MATCH($C910,'Policy Characteristics'!$C:$C,0)))</f>
        <v>Industry</v>
      </c>
      <c r="B910" s="395" t="str">
        <f>IF(ISBLANK(INDEX('Policy Characteristics'!B:B,MATCH($C910,'Policy Characteristics'!$C:$C,0))),"",INDEX('Policy Characteristics'!B:B,MATCH($C910,'Policy Characteristics'!$C:$C,0)))</f>
        <v>Industry Energy Efficiency Standards</v>
      </c>
      <c r="C910" s="394" t="str">
        <f t="shared" si="39"/>
        <v>Percentage Improvement in Eqpt Efficiency Standards above BAU</v>
      </c>
      <c r="D910" s="399" t="s">
        <v>772</v>
      </c>
      <c r="E910" s="399" t="s">
        <v>798</v>
      </c>
      <c r="F910" t="s">
        <v>773</v>
      </c>
      <c r="G910" s="399" t="s">
        <v>815</v>
      </c>
      <c r="H910" s="377">
        <v>1131</v>
      </c>
      <c r="I910" s="396" t="s">
        <v>648</v>
      </c>
      <c r="J910" s="397" t="str">
        <f>IF(ISBLANK(INDEX('Policy Characteristics'!D:D,MATCH($C910,'Policy Characteristics'!$C:$C,0))),"",INDEX('Policy Characteristics'!D:D,MATCH($C910,'Policy Characteristics'!$C:$C,0)))</f>
        <v>Industry Energy Efficiency Standards</v>
      </c>
      <c r="K910" s="394" t="str">
        <f>IF(ISBLANK(INDEX('Policy Characteristics'!E:E,MATCH($C910,'Policy Characteristics'!$C:$C,0))),"",INDEX('Policy Characteristics'!E:E,MATCH($C910,'Policy Characteristics'!$C:$C,0)))</f>
        <v>indst efficiency standards</v>
      </c>
      <c r="L910" s="398">
        <f>IF(ISBLANK(INDEX('Policy Characteristics'!F:F,MATCH($C910,'Policy Characteristics'!$C:$C,0))),"",INDEX('Policy Characteristics'!F:F,MATCH($C910,'Policy Characteristics'!$C:$C,0)))</f>
        <v>0</v>
      </c>
      <c r="M910" s="398">
        <f>IF(ISBLANK(INDEX('Policy Characteristics'!G:G,MATCH($C910,'Policy Characteristics'!$C:$C,0))),"",INDEX('Policy Characteristics'!G:G,MATCH($C910,'Policy Characteristics'!$C:$C,0)))</f>
        <v>0.25</v>
      </c>
      <c r="N910" s="398">
        <f>IF(ISBLANK(INDEX('Policy Characteristics'!H:H,MATCH($C910,'Policy Characteristics'!$C:$C,0))),"",INDEX('Policy Characteristics'!H:H,MATCH($C910,'Policy Characteristics'!$C:$C,0)))</f>
        <v>0.01</v>
      </c>
      <c r="O910" s="394" t="str">
        <f>IF(ISBLANK(INDEX('Policy Characteristics'!I:I,MATCH($C910,'Policy Characteristics'!$C:$C,0))),"",INDEX('Policy Characteristics'!I:I,MATCH($C910,'Policy Characteristics'!$C:$C,0)))</f>
        <v>% reduction in energy use</v>
      </c>
      <c r="P910" s="394" t="str">
        <f>IF(ISBLANK(INDEX('Policy Characteristics'!J:J,MATCH($C910,'Policy Characteristics'!$C:$C,0))),"",INDEX('Policy Characteristics'!J:J,MATCH($C910,'Policy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0" s="394" t="str">
        <f>IF(ISBLANK(INDEX('Policy Characteristics'!K:K,MATCH($C910,'Policy Characteristics'!$C:$C,0))),"",INDEX('Policy Characteristics'!K:K,MATCH($C910,'Policy Characteristics'!$C:$C,0)))</f>
        <v>industry-ag-main.html#eff-stds</v>
      </c>
      <c r="R910" s="394" t="str">
        <f>IF(ISBLANK(INDEX('Policy Characteristics'!L:L,MATCH($C910,'Policy Characteristics'!$C:$C,0))),"",INDEX('Policy Characteristics'!L:L,MATCH($C910,'Policy Characteristics'!$C:$C,0)))</f>
        <v>industry-energy-efficiency-standards.html</v>
      </c>
    </row>
    <row r="911" s="384" customFormat="1" customHeight="1" spans="1:18">
      <c r="A911" s="394" t="str">
        <f>IF(ISBLANK(INDEX('Policy Characteristics'!A:A,MATCH($C911,'Policy Characteristics'!$C:$C,0))),"",INDEX('Policy Characteristics'!A:A,MATCH($C911,'Policy Characteristics'!$C:$C,0)))</f>
        <v>Industry</v>
      </c>
      <c r="B911" s="395" t="str">
        <f>IF(ISBLANK(INDEX('Policy Characteristics'!B:B,MATCH($C911,'Policy Characteristics'!$C:$C,0))),"",INDEX('Policy Characteristics'!B:B,MATCH($C911,'Policy Characteristics'!$C:$C,0)))</f>
        <v>Industry Energy Efficiency Standards</v>
      </c>
      <c r="C911" s="394" t="str">
        <f t="shared" si="39"/>
        <v>Percentage Improvement in Eqpt Efficiency Standards above BAU</v>
      </c>
      <c r="D911" s="399" t="s">
        <v>772</v>
      </c>
      <c r="E911" s="399" t="s">
        <v>800</v>
      </c>
      <c r="F911" t="s">
        <v>773</v>
      </c>
      <c r="G911" s="399" t="s">
        <v>816</v>
      </c>
      <c r="H911" s="377">
        <v>1132</v>
      </c>
      <c r="I911" s="396" t="s">
        <v>648</v>
      </c>
      <c r="J911" s="397" t="str">
        <f>IF(ISBLANK(INDEX('Policy Characteristics'!D:D,MATCH($C911,'Policy Characteristics'!$C:$C,0))),"",INDEX('Policy Characteristics'!D:D,MATCH($C911,'Policy Characteristics'!$C:$C,0)))</f>
        <v>Industry Energy Efficiency Standards</v>
      </c>
      <c r="K911" s="394" t="str">
        <f>IF(ISBLANK(INDEX('Policy Characteristics'!E:E,MATCH($C911,'Policy Characteristics'!$C:$C,0))),"",INDEX('Policy Characteristics'!E:E,MATCH($C911,'Policy Characteristics'!$C:$C,0)))</f>
        <v>indst efficiency standards</v>
      </c>
      <c r="L911" s="398">
        <f>IF(ISBLANK(INDEX('Policy Characteristics'!F:F,MATCH($C911,'Policy Characteristics'!$C:$C,0))),"",INDEX('Policy Characteristics'!F:F,MATCH($C911,'Policy Characteristics'!$C:$C,0)))</f>
        <v>0</v>
      </c>
      <c r="M911" s="398">
        <f>IF(ISBLANK(INDEX('Policy Characteristics'!G:G,MATCH($C911,'Policy Characteristics'!$C:$C,0))),"",INDEX('Policy Characteristics'!G:G,MATCH($C911,'Policy Characteristics'!$C:$C,0)))</f>
        <v>0.25</v>
      </c>
      <c r="N911" s="398">
        <f>IF(ISBLANK(INDEX('Policy Characteristics'!H:H,MATCH($C911,'Policy Characteristics'!$C:$C,0))),"",INDEX('Policy Characteristics'!H:H,MATCH($C911,'Policy Characteristics'!$C:$C,0)))</f>
        <v>0.01</v>
      </c>
      <c r="O911" s="394" t="str">
        <f>IF(ISBLANK(INDEX('Policy Characteristics'!I:I,MATCH($C911,'Policy Characteristics'!$C:$C,0))),"",INDEX('Policy Characteristics'!I:I,MATCH($C911,'Policy Characteristics'!$C:$C,0)))</f>
        <v>% reduction in energy use</v>
      </c>
      <c r="P911" s="394" t="str">
        <f>IF(ISBLANK(INDEX('Policy Characteristics'!J:J,MATCH($C911,'Policy Characteristics'!$C:$C,0))),"",INDEX('Policy Characteristics'!J:J,MATCH($C911,'Policy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1" s="394" t="str">
        <f>IF(ISBLANK(INDEX('Policy Characteristics'!K:K,MATCH($C911,'Policy Characteristics'!$C:$C,0))),"",INDEX('Policy Characteristics'!K:K,MATCH($C911,'Policy Characteristics'!$C:$C,0)))</f>
        <v>industry-ag-main.html#eff-stds</v>
      </c>
      <c r="R911" s="394" t="str">
        <f>IF(ISBLANK(INDEX('Policy Characteristics'!L:L,MATCH($C911,'Policy Characteristics'!$C:$C,0))),"",INDEX('Policy Characteristics'!L:L,MATCH($C911,'Policy Characteristics'!$C:$C,0)))</f>
        <v>industry-energy-efficiency-standards.html</v>
      </c>
    </row>
    <row r="912" s="384" customFormat="1" customHeight="1" spans="1:18">
      <c r="A912" s="394" t="str">
        <f>IF(ISBLANK(INDEX('Policy Characteristics'!A:A,MATCH($C912,'Policy Characteristics'!$C:$C,0))),"",INDEX('Policy Characteristics'!A:A,MATCH($C912,'Policy Characteristics'!$C:$C,0)))</f>
        <v>Industry</v>
      </c>
      <c r="B912" s="395" t="str">
        <f>IF(ISBLANK(INDEX('Policy Characteristics'!B:B,MATCH($C912,'Policy Characteristics'!$C:$C,0))),"",INDEX('Policy Characteristics'!B:B,MATCH($C912,'Policy Characteristics'!$C:$C,0)))</f>
        <v>Industry Energy Efficiency Standards</v>
      </c>
      <c r="C912" s="394" t="str">
        <f t="shared" si="39"/>
        <v>Percentage Improvement in Eqpt Efficiency Standards above BAU</v>
      </c>
      <c r="D912" s="399" t="s">
        <v>772</v>
      </c>
      <c r="E912" s="399" t="s">
        <v>802</v>
      </c>
      <c r="F912" t="s">
        <v>773</v>
      </c>
      <c r="G912" s="399" t="s">
        <v>817</v>
      </c>
      <c r="H912" s="377">
        <v>1133</v>
      </c>
      <c r="I912" s="396" t="s">
        <v>648</v>
      </c>
      <c r="J912" s="397" t="str">
        <f>IF(ISBLANK(INDEX('Policy Characteristics'!D:D,MATCH($C912,'Policy Characteristics'!$C:$C,0))),"",INDEX('Policy Characteristics'!D:D,MATCH($C912,'Policy Characteristics'!$C:$C,0)))</f>
        <v>Industry Energy Efficiency Standards</v>
      </c>
      <c r="K912" s="394" t="str">
        <f>IF(ISBLANK(INDEX('Policy Characteristics'!E:E,MATCH($C912,'Policy Characteristics'!$C:$C,0))),"",INDEX('Policy Characteristics'!E:E,MATCH($C912,'Policy Characteristics'!$C:$C,0)))</f>
        <v>indst efficiency standards</v>
      </c>
      <c r="L912" s="398">
        <f>IF(ISBLANK(INDEX('Policy Characteristics'!F:F,MATCH($C912,'Policy Characteristics'!$C:$C,0))),"",INDEX('Policy Characteristics'!F:F,MATCH($C912,'Policy Characteristics'!$C:$C,0)))</f>
        <v>0</v>
      </c>
      <c r="M912" s="398">
        <f>IF(ISBLANK(INDEX('Policy Characteristics'!G:G,MATCH($C912,'Policy Characteristics'!$C:$C,0))),"",INDEX('Policy Characteristics'!G:G,MATCH($C912,'Policy Characteristics'!$C:$C,0)))</f>
        <v>0.25</v>
      </c>
      <c r="N912" s="398">
        <f>IF(ISBLANK(INDEX('Policy Characteristics'!H:H,MATCH($C912,'Policy Characteristics'!$C:$C,0))),"",INDEX('Policy Characteristics'!H:H,MATCH($C912,'Policy Characteristics'!$C:$C,0)))</f>
        <v>0.01</v>
      </c>
      <c r="O912" s="394" t="str">
        <f>IF(ISBLANK(INDEX('Policy Characteristics'!I:I,MATCH($C912,'Policy Characteristics'!$C:$C,0))),"",INDEX('Policy Characteristics'!I:I,MATCH($C912,'Policy Characteristics'!$C:$C,0)))</f>
        <v>% reduction in energy use</v>
      </c>
      <c r="P912" s="394" t="str">
        <f>IF(ISBLANK(INDEX('Policy Characteristics'!J:J,MATCH($C912,'Policy Characteristics'!$C:$C,0))),"",INDEX('Policy Characteristics'!J:J,MATCH($C912,'Policy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2" s="394" t="str">
        <f>IF(ISBLANK(INDEX('Policy Characteristics'!K:K,MATCH($C912,'Policy Characteristics'!$C:$C,0))),"",INDEX('Policy Characteristics'!K:K,MATCH($C912,'Policy Characteristics'!$C:$C,0)))</f>
        <v>industry-ag-main.html#eff-stds</v>
      </c>
      <c r="R912" s="394" t="str">
        <f>IF(ISBLANK(INDEX('Policy Characteristics'!L:L,MATCH($C912,'Policy Characteristics'!$C:$C,0))),"",INDEX('Policy Characteristics'!L:L,MATCH($C912,'Policy Characteristics'!$C:$C,0)))</f>
        <v>industry-energy-efficiency-standards.html</v>
      </c>
    </row>
    <row r="913" s="384" customFormat="1" customHeight="1" spans="1:18">
      <c r="A913" s="394" t="str">
        <f>IF(ISBLANK(INDEX('Policy Characteristics'!A:A,MATCH($C913,'Policy Characteristics'!$C:$C,0))),"",INDEX('Policy Characteristics'!A:A,MATCH($C913,'Policy Characteristics'!$C:$C,0)))</f>
        <v>Industry</v>
      </c>
      <c r="B913" s="395" t="str">
        <f>IF(ISBLANK(INDEX('Policy Characteristics'!B:B,MATCH($C913,'Policy Characteristics'!$C:$C,0))),"",INDEX('Policy Characteristics'!B:B,MATCH($C913,'Policy Characteristics'!$C:$C,0)))</f>
        <v>Industry Energy Efficiency Standards</v>
      </c>
      <c r="C913" s="394" t="str">
        <f t="shared" si="39"/>
        <v>Percentage Improvement in Eqpt Efficiency Standards above BAU</v>
      </c>
      <c r="D913" s="399" t="s">
        <v>772</v>
      </c>
      <c r="E913" s="399" t="s">
        <v>804</v>
      </c>
      <c r="F913" t="s">
        <v>773</v>
      </c>
      <c r="G913" s="399" t="s">
        <v>818</v>
      </c>
      <c r="H913" s="377">
        <v>1134</v>
      </c>
      <c r="I913" s="396" t="s">
        <v>648</v>
      </c>
      <c r="J913" s="397" t="str">
        <f>IF(ISBLANK(INDEX('Policy Characteristics'!D:D,MATCH($C913,'Policy Characteristics'!$C:$C,0))),"",INDEX('Policy Characteristics'!D:D,MATCH($C913,'Policy Characteristics'!$C:$C,0)))</f>
        <v>Industry Energy Efficiency Standards</v>
      </c>
      <c r="K913" s="394" t="str">
        <f>IF(ISBLANK(INDEX('Policy Characteristics'!E:E,MATCH($C913,'Policy Characteristics'!$C:$C,0))),"",INDEX('Policy Characteristics'!E:E,MATCH($C913,'Policy Characteristics'!$C:$C,0)))</f>
        <v>indst efficiency standards</v>
      </c>
      <c r="L913" s="398">
        <f>IF(ISBLANK(INDEX('Policy Characteristics'!F:F,MATCH($C913,'Policy Characteristics'!$C:$C,0))),"",INDEX('Policy Characteristics'!F:F,MATCH($C913,'Policy Characteristics'!$C:$C,0)))</f>
        <v>0</v>
      </c>
      <c r="M913" s="398">
        <f>IF(ISBLANK(INDEX('Policy Characteristics'!G:G,MATCH($C913,'Policy Characteristics'!$C:$C,0))),"",INDEX('Policy Characteristics'!G:G,MATCH($C913,'Policy Characteristics'!$C:$C,0)))</f>
        <v>0.25</v>
      </c>
      <c r="N913" s="398">
        <f>IF(ISBLANK(INDEX('Policy Characteristics'!H:H,MATCH($C913,'Policy Characteristics'!$C:$C,0))),"",INDEX('Policy Characteristics'!H:H,MATCH($C913,'Policy Characteristics'!$C:$C,0)))</f>
        <v>0.01</v>
      </c>
      <c r="O913" s="394" t="str">
        <f>IF(ISBLANK(INDEX('Policy Characteristics'!I:I,MATCH($C913,'Policy Characteristics'!$C:$C,0))),"",INDEX('Policy Characteristics'!I:I,MATCH($C913,'Policy Characteristics'!$C:$C,0)))</f>
        <v>% reduction in energy use</v>
      </c>
      <c r="P913" s="394" t="str">
        <f>IF(ISBLANK(INDEX('Policy Characteristics'!J:J,MATCH($C913,'Policy Characteristics'!$C:$C,0))),"",INDEX('Policy Characteristics'!J:J,MATCH($C913,'Policy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3" s="394" t="str">
        <f>IF(ISBLANK(INDEX('Policy Characteristics'!K:K,MATCH($C913,'Policy Characteristics'!$C:$C,0))),"",INDEX('Policy Characteristics'!K:K,MATCH($C913,'Policy Characteristics'!$C:$C,0)))</f>
        <v>industry-ag-main.html#eff-stds</v>
      </c>
      <c r="R913" s="394" t="str">
        <f>IF(ISBLANK(INDEX('Policy Characteristics'!L:L,MATCH($C913,'Policy Characteristics'!$C:$C,0))),"",INDEX('Policy Characteristics'!L:L,MATCH($C913,'Policy Characteristics'!$C:$C,0)))</f>
        <v>industry-energy-efficiency-standards.html</v>
      </c>
    </row>
    <row r="914" s="384" customFormat="1" customHeight="1" spans="1:18">
      <c r="A914" s="394" t="str">
        <f>IF(ISBLANK(INDEX('Policy Characteristics'!A:A,MATCH($C914,'Policy Characteristics'!$C:$C,0))),"",INDEX('Policy Characteristics'!A:A,MATCH($C914,'Policy Characteristics'!$C:$C,0)))</f>
        <v>Industry</v>
      </c>
      <c r="B914" s="395" t="str">
        <f>IF(ISBLANK(INDEX('Policy Characteristics'!B:B,MATCH($C914,'Policy Characteristics'!$C:$C,0))),"",INDEX('Policy Characteristics'!B:B,MATCH($C914,'Policy Characteristics'!$C:$C,0)))</f>
        <v>Industry Energy Efficiency Standards</v>
      </c>
      <c r="C914" s="394" t="str">
        <f t="shared" si="39"/>
        <v>Percentage Improvement in Eqpt Efficiency Standards above BAU</v>
      </c>
      <c r="D914" s="399" t="s">
        <v>772</v>
      </c>
      <c r="E914" s="399" t="s">
        <v>806</v>
      </c>
      <c r="F914" t="s">
        <v>773</v>
      </c>
      <c r="G914" s="399" t="s">
        <v>819</v>
      </c>
      <c r="H914" s="377">
        <v>1135</v>
      </c>
      <c r="I914" s="396" t="s">
        <v>648</v>
      </c>
      <c r="J914" s="397" t="str">
        <f>IF(ISBLANK(INDEX('Policy Characteristics'!D:D,MATCH($C914,'Policy Characteristics'!$C:$C,0))),"",INDEX('Policy Characteristics'!D:D,MATCH($C914,'Policy Characteristics'!$C:$C,0)))</f>
        <v>Industry Energy Efficiency Standards</v>
      </c>
      <c r="K914" s="394" t="str">
        <f>IF(ISBLANK(INDEX('Policy Characteristics'!E:E,MATCH($C914,'Policy Characteristics'!$C:$C,0))),"",INDEX('Policy Characteristics'!E:E,MATCH($C914,'Policy Characteristics'!$C:$C,0)))</f>
        <v>indst efficiency standards</v>
      </c>
      <c r="L914" s="398">
        <f>IF(ISBLANK(INDEX('Policy Characteristics'!F:F,MATCH($C914,'Policy Characteristics'!$C:$C,0))),"",INDEX('Policy Characteristics'!F:F,MATCH($C914,'Policy Characteristics'!$C:$C,0)))</f>
        <v>0</v>
      </c>
      <c r="M914" s="398">
        <f>IF(ISBLANK(INDEX('Policy Characteristics'!G:G,MATCH($C914,'Policy Characteristics'!$C:$C,0))),"",INDEX('Policy Characteristics'!G:G,MATCH($C914,'Policy Characteristics'!$C:$C,0)))</f>
        <v>0.25</v>
      </c>
      <c r="N914" s="398">
        <f>IF(ISBLANK(INDEX('Policy Characteristics'!H:H,MATCH($C914,'Policy Characteristics'!$C:$C,0))),"",INDEX('Policy Characteristics'!H:H,MATCH($C914,'Policy Characteristics'!$C:$C,0)))</f>
        <v>0.01</v>
      </c>
      <c r="O914" s="394" t="str">
        <f>IF(ISBLANK(INDEX('Policy Characteristics'!I:I,MATCH($C914,'Policy Characteristics'!$C:$C,0))),"",INDEX('Policy Characteristics'!I:I,MATCH($C914,'Policy Characteristics'!$C:$C,0)))</f>
        <v>% reduction in energy use</v>
      </c>
      <c r="P914" s="394" t="str">
        <f>IF(ISBLANK(INDEX('Policy Characteristics'!J:J,MATCH($C914,'Policy Characteristics'!$C:$C,0))),"",INDEX('Policy Characteristics'!J:J,MATCH($C914,'Policy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4" s="394" t="str">
        <f>IF(ISBLANK(INDEX('Policy Characteristics'!K:K,MATCH($C914,'Policy Characteristics'!$C:$C,0))),"",INDEX('Policy Characteristics'!K:K,MATCH($C914,'Policy Characteristics'!$C:$C,0)))</f>
        <v>industry-ag-main.html#eff-stds</v>
      </c>
      <c r="R914" s="394" t="str">
        <f>IF(ISBLANK(INDEX('Policy Characteristics'!L:L,MATCH($C914,'Policy Characteristics'!$C:$C,0))),"",INDEX('Policy Characteristics'!L:L,MATCH($C914,'Policy Characteristics'!$C:$C,0)))</f>
        <v>industry-energy-efficiency-standards.html</v>
      </c>
    </row>
    <row r="915" s="384" customFormat="1" customHeight="1" spans="1:18">
      <c r="A915" s="394" t="str">
        <f>IF(ISBLANK(INDEX('Policy Characteristics'!A:A,MATCH($C915,'Policy Characteristics'!$C:$C,0))),"",INDEX('Policy Characteristics'!A:A,MATCH($C915,'Policy Characteristics'!$C:$C,0)))</f>
        <v>Industry</v>
      </c>
      <c r="B915" s="395" t="str">
        <f>IF(ISBLANK(INDEX('Policy Characteristics'!B:B,MATCH($C915,'Policy Characteristics'!$C:$C,0))),"",INDEX('Policy Characteristics'!B:B,MATCH($C915,'Policy Characteristics'!$C:$C,0)))</f>
        <v>Industry Energy Efficiency Standards</v>
      </c>
      <c r="C915" s="394" t="str">
        <f t="shared" si="39"/>
        <v>Percentage Improvement in Eqpt Efficiency Standards above BAU</v>
      </c>
      <c r="D915" s="399" t="s">
        <v>772</v>
      </c>
      <c r="E915" s="399" t="s">
        <v>808</v>
      </c>
      <c r="F915" t="s">
        <v>773</v>
      </c>
      <c r="G915" s="399" t="s">
        <v>820</v>
      </c>
      <c r="H915" s="377">
        <v>1136</v>
      </c>
      <c r="I915" s="396" t="s">
        <v>648</v>
      </c>
      <c r="J915" s="397" t="str">
        <f>IF(ISBLANK(INDEX('Policy Characteristics'!D:D,MATCH($C915,'Policy Characteristics'!$C:$C,0))),"",INDEX('Policy Characteristics'!D:D,MATCH($C915,'Policy Characteristics'!$C:$C,0)))</f>
        <v>Industry Energy Efficiency Standards</v>
      </c>
      <c r="K915" s="394" t="str">
        <f>IF(ISBLANK(INDEX('Policy Characteristics'!E:E,MATCH($C915,'Policy Characteristics'!$C:$C,0))),"",INDEX('Policy Characteristics'!E:E,MATCH($C915,'Policy Characteristics'!$C:$C,0)))</f>
        <v>indst efficiency standards</v>
      </c>
      <c r="L915" s="398">
        <f>IF(ISBLANK(INDEX('Policy Characteristics'!F:F,MATCH($C915,'Policy Characteristics'!$C:$C,0))),"",INDEX('Policy Characteristics'!F:F,MATCH($C915,'Policy Characteristics'!$C:$C,0)))</f>
        <v>0</v>
      </c>
      <c r="M915" s="398">
        <f>IF(ISBLANK(INDEX('Policy Characteristics'!G:G,MATCH($C915,'Policy Characteristics'!$C:$C,0))),"",INDEX('Policy Characteristics'!G:G,MATCH($C915,'Policy Characteristics'!$C:$C,0)))</f>
        <v>0.25</v>
      </c>
      <c r="N915" s="398">
        <f>IF(ISBLANK(INDEX('Policy Characteristics'!H:H,MATCH($C915,'Policy Characteristics'!$C:$C,0))),"",INDEX('Policy Characteristics'!H:H,MATCH($C915,'Policy Characteristics'!$C:$C,0)))</f>
        <v>0.01</v>
      </c>
      <c r="O915" s="394" t="str">
        <f>IF(ISBLANK(INDEX('Policy Characteristics'!I:I,MATCH($C915,'Policy Characteristics'!$C:$C,0))),"",INDEX('Policy Characteristics'!I:I,MATCH($C915,'Policy Characteristics'!$C:$C,0)))</f>
        <v>% reduction in energy use</v>
      </c>
      <c r="P915" s="394" t="str">
        <f>IF(ISBLANK(INDEX('Policy Characteristics'!J:J,MATCH($C915,'Policy Characteristics'!$C:$C,0))),"",INDEX('Policy Characteristics'!J:J,MATCH($C915,'Policy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5" s="394" t="str">
        <f>IF(ISBLANK(INDEX('Policy Characteristics'!K:K,MATCH($C915,'Policy Characteristics'!$C:$C,0))),"",INDEX('Policy Characteristics'!K:K,MATCH($C915,'Policy Characteristics'!$C:$C,0)))</f>
        <v>industry-ag-main.html#eff-stds</v>
      </c>
      <c r="R915" s="394" t="str">
        <f>IF(ISBLANK(INDEX('Policy Characteristics'!L:L,MATCH($C915,'Policy Characteristics'!$C:$C,0))),"",INDEX('Policy Characteristics'!L:L,MATCH($C915,'Policy Characteristics'!$C:$C,0)))</f>
        <v>industry-energy-efficiency-standards.html</v>
      </c>
    </row>
    <row r="916" s="384" customFormat="1" customHeight="1" spans="1:18">
      <c r="A916" s="394" t="str">
        <f>IF(ISBLANK(INDEX('Policy Characteristics'!A:A,MATCH($C916,'Policy Characteristics'!$C:$C,0))),"",INDEX('Policy Characteristics'!A:A,MATCH($C916,'Policy Characteristics'!$C:$C,0)))</f>
        <v>Industry</v>
      </c>
      <c r="B916" s="395" t="str">
        <f>IF(ISBLANK(INDEX('Policy Characteristics'!B:B,MATCH($C916,'Policy Characteristics'!$C:$C,0))),"",INDEX('Policy Characteristics'!B:B,MATCH($C916,'Policy Characteristics'!$C:$C,0)))</f>
        <v>Industry Energy Efficiency Standards</v>
      </c>
      <c r="C916" s="394" t="str">
        <f t="shared" si="39"/>
        <v>Percentage Improvement in Eqpt Efficiency Standards above BAU</v>
      </c>
      <c r="D916" s="399" t="s">
        <v>772</v>
      </c>
      <c r="E916" s="399" t="s">
        <v>810</v>
      </c>
      <c r="F916" t="s">
        <v>773</v>
      </c>
      <c r="G916" s="399" t="s">
        <v>821</v>
      </c>
      <c r="H916" s="377">
        <v>1137</v>
      </c>
      <c r="I916" s="396" t="s">
        <v>648</v>
      </c>
      <c r="J916" s="397" t="str">
        <f>IF(ISBLANK(INDEX('Policy Characteristics'!D:D,MATCH($C916,'Policy Characteristics'!$C:$C,0))),"",INDEX('Policy Characteristics'!D:D,MATCH($C916,'Policy Characteristics'!$C:$C,0)))</f>
        <v>Industry Energy Efficiency Standards</v>
      </c>
      <c r="K916" s="394" t="str">
        <f>IF(ISBLANK(INDEX('Policy Characteristics'!E:E,MATCH($C916,'Policy Characteristics'!$C:$C,0))),"",INDEX('Policy Characteristics'!E:E,MATCH($C916,'Policy Characteristics'!$C:$C,0)))</f>
        <v>indst efficiency standards</v>
      </c>
      <c r="L916" s="398">
        <f>IF(ISBLANK(INDEX('Policy Characteristics'!F:F,MATCH($C916,'Policy Characteristics'!$C:$C,0))),"",INDEX('Policy Characteristics'!F:F,MATCH($C916,'Policy Characteristics'!$C:$C,0)))</f>
        <v>0</v>
      </c>
      <c r="M916" s="398">
        <f>IF(ISBLANK(INDEX('Policy Characteristics'!G:G,MATCH($C916,'Policy Characteristics'!$C:$C,0))),"",INDEX('Policy Characteristics'!G:G,MATCH($C916,'Policy Characteristics'!$C:$C,0)))</f>
        <v>0.25</v>
      </c>
      <c r="N916" s="398">
        <f>IF(ISBLANK(INDEX('Policy Characteristics'!H:H,MATCH($C916,'Policy Characteristics'!$C:$C,0))),"",INDEX('Policy Characteristics'!H:H,MATCH($C916,'Policy Characteristics'!$C:$C,0)))</f>
        <v>0.01</v>
      </c>
      <c r="O916" s="394" t="str">
        <f>IF(ISBLANK(INDEX('Policy Characteristics'!I:I,MATCH($C916,'Policy Characteristics'!$C:$C,0))),"",INDEX('Policy Characteristics'!I:I,MATCH($C916,'Policy Characteristics'!$C:$C,0)))</f>
        <v>% reduction in energy use</v>
      </c>
      <c r="P916" s="394" t="str">
        <f>IF(ISBLANK(INDEX('Policy Characteristics'!J:J,MATCH($C916,'Policy Characteristics'!$C:$C,0))),"",INDEX('Policy Characteristics'!J:J,MATCH($C916,'Policy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6" s="394" t="str">
        <f>IF(ISBLANK(INDEX('Policy Characteristics'!K:K,MATCH($C916,'Policy Characteristics'!$C:$C,0))),"",INDEX('Policy Characteristics'!K:K,MATCH($C916,'Policy Characteristics'!$C:$C,0)))</f>
        <v>industry-ag-main.html#eff-stds</v>
      </c>
      <c r="R916" s="394" t="str">
        <f>IF(ISBLANK(INDEX('Policy Characteristics'!L:L,MATCH($C916,'Policy Characteristics'!$C:$C,0))),"",INDEX('Policy Characteristics'!L:L,MATCH($C916,'Policy Characteristics'!$C:$C,0)))</f>
        <v>industry-energy-efficiency-standards.html</v>
      </c>
    </row>
    <row r="917" s="384" customFormat="1" customHeight="1" spans="1:18">
      <c r="A917" s="394" t="str">
        <f>IF(ISBLANK(INDEX('Policy Characteristics'!A:A,MATCH($C917,'Policy Characteristics'!$C:$C,0))),"",INDEX('Policy Characteristics'!A:A,MATCH($C917,'Policy Characteristics'!$C:$C,0)))</f>
        <v>Industry</v>
      </c>
      <c r="B917" s="395" t="str">
        <f>IF(ISBLANK(INDEX('Policy Characteristics'!B:B,MATCH($C917,'Policy Characteristics'!$C:$C,0))),"",INDEX('Policy Characteristics'!B:B,MATCH($C917,'Policy Characteristics'!$C:$C,0)))</f>
        <v>Industry Energy Efficiency Standards</v>
      </c>
      <c r="C917" s="394" t="str">
        <f t="shared" si="39"/>
        <v>Percentage Improvement in Eqpt Efficiency Standards above BAU</v>
      </c>
      <c r="D917" s="399" t="s">
        <v>774</v>
      </c>
      <c r="E917" s="399" t="s">
        <v>792</v>
      </c>
      <c r="F917" t="s">
        <v>775</v>
      </c>
      <c r="G917" s="399" t="s">
        <v>812</v>
      </c>
      <c r="H917" s="377">
        <v>1138</v>
      </c>
      <c r="I917" s="396" t="s">
        <v>648</v>
      </c>
      <c r="J917" s="397" t="str">
        <f>IF(ISBLANK(INDEX('Policy Characteristics'!D:D,MATCH($C917,'Policy Characteristics'!$C:$C,0))),"",INDEX('Policy Characteristics'!D:D,MATCH($C917,'Policy Characteristics'!$C:$C,0)))</f>
        <v>Industry Energy Efficiency Standards</v>
      </c>
      <c r="K917" s="394" t="str">
        <f>IF(ISBLANK(INDEX('Policy Characteristics'!E:E,MATCH($C917,'Policy Characteristics'!$C:$C,0))),"",INDEX('Policy Characteristics'!E:E,MATCH($C917,'Policy Characteristics'!$C:$C,0)))</f>
        <v>indst efficiency standards</v>
      </c>
      <c r="L917" s="398">
        <f>IF(ISBLANK(INDEX('Policy Characteristics'!F:F,MATCH($C917,'Policy Characteristics'!$C:$C,0))),"",INDEX('Policy Characteristics'!F:F,MATCH($C917,'Policy Characteristics'!$C:$C,0)))</f>
        <v>0</v>
      </c>
      <c r="M917" s="398">
        <f>IF(ISBLANK(INDEX('Policy Characteristics'!G:G,MATCH($C917,'Policy Characteristics'!$C:$C,0))),"",INDEX('Policy Characteristics'!G:G,MATCH($C917,'Policy Characteristics'!$C:$C,0)))</f>
        <v>0.25</v>
      </c>
      <c r="N917" s="398">
        <f>IF(ISBLANK(INDEX('Policy Characteristics'!H:H,MATCH($C917,'Policy Characteristics'!$C:$C,0))),"",INDEX('Policy Characteristics'!H:H,MATCH($C917,'Policy Characteristics'!$C:$C,0)))</f>
        <v>0.01</v>
      </c>
      <c r="O917" s="394" t="str">
        <f>IF(ISBLANK(INDEX('Policy Characteristics'!I:I,MATCH($C917,'Policy Characteristics'!$C:$C,0))),"",INDEX('Policy Characteristics'!I:I,MATCH($C917,'Policy Characteristics'!$C:$C,0)))</f>
        <v>% reduction in energy use</v>
      </c>
      <c r="P917" s="394" t="str">
        <f>IF(ISBLANK(INDEX('Policy Characteristics'!J:J,MATCH($C917,'Policy Characteristics'!$C:$C,0))),"",INDEX('Policy Characteristics'!J:J,MATCH($C917,'Policy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7" s="394" t="str">
        <f>IF(ISBLANK(INDEX('Policy Characteristics'!K:K,MATCH($C917,'Policy Characteristics'!$C:$C,0))),"",INDEX('Policy Characteristics'!K:K,MATCH($C917,'Policy Characteristics'!$C:$C,0)))</f>
        <v>industry-ag-main.html#eff-stds</v>
      </c>
      <c r="R917" s="394" t="str">
        <f>IF(ISBLANK(INDEX('Policy Characteristics'!L:L,MATCH($C917,'Policy Characteristics'!$C:$C,0))),"",INDEX('Policy Characteristics'!L:L,MATCH($C917,'Policy Characteristics'!$C:$C,0)))</f>
        <v>industry-energy-efficiency-standards.html</v>
      </c>
    </row>
    <row r="918" s="384" customFormat="1" customHeight="1" spans="1:18">
      <c r="A918" s="394" t="str">
        <f>IF(ISBLANK(INDEX('Policy Characteristics'!A:A,MATCH($C918,'Policy Characteristics'!$C:$C,0))),"",INDEX('Policy Characteristics'!A:A,MATCH($C918,'Policy Characteristics'!$C:$C,0)))</f>
        <v>Industry</v>
      </c>
      <c r="B918" s="395" t="str">
        <f>IF(ISBLANK(INDEX('Policy Characteristics'!B:B,MATCH($C918,'Policy Characteristics'!$C:$C,0))),"",INDEX('Policy Characteristics'!B:B,MATCH($C918,'Policy Characteristics'!$C:$C,0)))</f>
        <v>Industry Energy Efficiency Standards</v>
      </c>
      <c r="C918" s="394" t="str">
        <f t="shared" si="39"/>
        <v>Percentage Improvement in Eqpt Efficiency Standards above BAU</v>
      </c>
      <c r="D918" s="399" t="s">
        <v>774</v>
      </c>
      <c r="E918" s="399" t="s">
        <v>794</v>
      </c>
      <c r="F918" t="s">
        <v>775</v>
      </c>
      <c r="G918" s="399" t="s">
        <v>813</v>
      </c>
      <c r="H918" s="377">
        <v>1139</v>
      </c>
      <c r="I918" s="396" t="s">
        <v>648</v>
      </c>
      <c r="J918" s="397" t="str">
        <f>IF(ISBLANK(INDEX('Policy Characteristics'!D:D,MATCH($C918,'Policy Characteristics'!$C:$C,0))),"",INDEX('Policy Characteristics'!D:D,MATCH($C918,'Policy Characteristics'!$C:$C,0)))</f>
        <v>Industry Energy Efficiency Standards</v>
      </c>
      <c r="K918" s="394" t="str">
        <f>IF(ISBLANK(INDEX('Policy Characteristics'!E:E,MATCH($C918,'Policy Characteristics'!$C:$C,0))),"",INDEX('Policy Characteristics'!E:E,MATCH($C918,'Policy Characteristics'!$C:$C,0)))</f>
        <v>indst efficiency standards</v>
      </c>
      <c r="L918" s="398">
        <f>IF(ISBLANK(INDEX('Policy Characteristics'!F:F,MATCH($C918,'Policy Characteristics'!$C:$C,0))),"",INDEX('Policy Characteristics'!F:F,MATCH($C918,'Policy Characteristics'!$C:$C,0)))</f>
        <v>0</v>
      </c>
      <c r="M918" s="398">
        <f>IF(ISBLANK(INDEX('Policy Characteristics'!G:G,MATCH($C918,'Policy Characteristics'!$C:$C,0))),"",INDEX('Policy Characteristics'!G:G,MATCH($C918,'Policy Characteristics'!$C:$C,0)))</f>
        <v>0.25</v>
      </c>
      <c r="N918" s="398">
        <f>IF(ISBLANK(INDEX('Policy Characteristics'!H:H,MATCH($C918,'Policy Characteristics'!$C:$C,0))),"",INDEX('Policy Characteristics'!H:H,MATCH($C918,'Policy Characteristics'!$C:$C,0)))</f>
        <v>0.01</v>
      </c>
      <c r="O918" s="394" t="str">
        <f>IF(ISBLANK(INDEX('Policy Characteristics'!I:I,MATCH($C918,'Policy Characteristics'!$C:$C,0))),"",INDEX('Policy Characteristics'!I:I,MATCH($C918,'Policy Characteristics'!$C:$C,0)))</f>
        <v>% reduction in energy use</v>
      </c>
      <c r="P918" s="394" t="str">
        <f>IF(ISBLANK(INDEX('Policy Characteristics'!J:J,MATCH($C918,'Policy Characteristics'!$C:$C,0))),"",INDEX('Policy Characteristics'!J:J,MATCH($C918,'Policy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8" s="394" t="str">
        <f>IF(ISBLANK(INDEX('Policy Characteristics'!K:K,MATCH($C918,'Policy Characteristics'!$C:$C,0))),"",INDEX('Policy Characteristics'!K:K,MATCH($C918,'Policy Characteristics'!$C:$C,0)))</f>
        <v>industry-ag-main.html#eff-stds</v>
      </c>
      <c r="R918" s="394" t="str">
        <f>IF(ISBLANK(INDEX('Policy Characteristics'!L:L,MATCH($C918,'Policy Characteristics'!$C:$C,0))),"",INDEX('Policy Characteristics'!L:L,MATCH($C918,'Policy Characteristics'!$C:$C,0)))</f>
        <v>industry-energy-efficiency-standards.html</v>
      </c>
    </row>
    <row r="919" s="384" customFormat="1" customHeight="1" spans="1:18">
      <c r="A919" s="394" t="str">
        <f>IF(ISBLANK(INDEX('Policy Characteristics'!A:A,MATCH($C919,'Policy Characteristics'!$C:$C,0))),"",INDEX('Policy Characteristics'!A:A,MATCH($C919,'Policy Characteristics'!$C:$C,0)))</f>
        <v>Industry</v>
      </c>
      <c r="B919" s="395" t="str">
        <f>IF(ISBLANK(INDEX('Policy Characteristics'!B:B,MATCH($C919,'Policy Characteristics'!$C:$C,0))),"",INDEX('Policy Characteristics'!B:B,MATCH($C919,'Policy Characteristics'!$C:$C,0)))</f>
        <v>Industry Energy Efficiency Standards</v>
      </c>
      <c r="C919" s="394" t="str">
        <f t="shared" si="39"/>
        <v>Percentage Improvement in Eqpt Efficiency Standards above BAU</v>
      </c>
      <c r="D919" s="399" t="s">
        <v>774</v>
      </c>
      <c r="E919" s="399" t="s">
        <v>796</v>
      </c>
      <c r="F919" t="s">
        <v>775</v>
      </c>
      <c r="G919" s="399" t="s">
        <v>814</v>
      </c>
      <c r="H919" s="377">
        <v>1140</v>
      </c>
      <c r="I919" s="396" t="s">
        <v>648</v>
      </c>
      <c r="J919" s="397" t="str">
        <f>IF(ISBLANK(INDEX('Policy Characteristics'!D:D,MATCH($C919,'Policy Characteristics'!$C:$C,0))),"",INDEX('Policy Characteristics'!D:D,MATCH($C919,'Policy Characteristics'!$C:$C,0)))</f>
        <v>Industry Energy Efficiency Standards</v>
      </c>
      <c r="K919" s="394" t="str">
        <f>IF(ISBLANK(INDEX('Policy Characteristics'!E:E,MATCH($C919,'Policy Characteristics'!$C:$C,0))),"",INDEX('Policy Characteristics'!E:E,MATCH($C919,'Policy Characteristics'!$C:$C,0)))</f>
        <v>indst efficiency standards</v>
      </c>
      <c r="L919" s="398">
        <f>IF(ISBLANK(INDEX('Policy Characteristics'!F:F,MATCH($C919,'Policy Characteristics'!$C:$C,0))),"",INDEX('Policy Characteristics'!F:F,MATCH($C919,'Policy Characteristics'!$C:$C,0)))</f>
        <v>0</v>
      </c>
      <c r="M919" s="398">
        <f>IF(ISBLANK(INDEX('Policy Characteristics'!G:G,MATCH($C919,'Policy Characteristics'!$C:$C,0))),"",INDEX('Policy Characteristics'!G:G,MATCH($C919,'Policy Characteristics'!$C:$C,0)))</f>
        <v>0.25</v>
      </c>
      <c r="N919" s="398">
        <f>IF(ISBLANK(INDEX('Policy Characteristics'!H:H,MATCH($C919,'Policy Characteristics'!$C:$C,0))),"",INDEX('Policy Characteristics'!H:H,MATCH($C919,'Policy Characteristics'!$C:$C,0)))</f>
        <v>0.01</v>
      </c>
      <c r="O919" s="394" t="str">
        <f>IF(ISBLANK(INDEX('Policy Characteristics'!I:I,MATCH($C919,'Policy Characteristics'!$C:$C,0))),"",INDEX('Policy Characteristics'!I:I,MATCH($C919,'Policy Characteristics'!$C:$C,0)))</f>
        <v>% reduction in energy use</v>
      </c>
      <c r="P919" s="394" t="str">
        <f>IF(ISBLANK(INDEX('Policy Characteristics'!J:J,MATCH($C919,'Policy Characteristics'!$C:$C,0))),"",INDEX('Policy Characteristics'!J:J,MATCH($C919,'Policy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9" s="394" t="str">
        <f>IF(ISBLANK(INDEX('Policy Characteristics'!K:K,MATCH($C919,'Policy Characteristics'!$C:$C,0))),"",INDEX('Policy Characteristics'!K:K,MATCH($C919,'Policy Characteristics'!$C:$C,0)))</f>
        <v>industry-ag-main.html#eff-stds</v>
      </c>
      <c r="R919" s="394" t="str">
        <f>IF(ISBLANK(INDEX('Policy Characteristics'!L:L,MATCH($C919,'Policy Characteristics'!$C:$C,0))),"",INDEX('Policy Characteristics'!L:L,MATCH($C919,'Policy Characteristics'!$C:$C,0)))</f>
        <v>industry-energy-efficiency-standards.html</v>
      </c>
    </row>
    <row r="920" s="384" customFormat="1" customHeight="1" spans="1:18">
      <c r="A920" s="394" t="str">
        <f>IF(ISBLANK(INDEX('Policy Characteristics'!A:A,MATCH($C920,'Policy Characteristics'!$C:$C,0))),"",INDEX('Policy Characteristics'!A:A,MATCH($C920,'Policy Characteristics'!$C:$C,0)))</f>
        <v>Industry</v>
      </c>
      <c r="B920" s="395" t="str">
        <f>IF(ISBLANK(INDEX('Policy Characteristics'!B:B,MATCH($C920,'Policy Characteristics'!$C:$C,0))),"",INDEX('Policy Characteristics'!B:B,MATCH($C920,'Policy Characteristics'!$C:$C,0)))</f>
        <v>Industry Energy Efficiency Standards</v>
      </c>
      <c r="C920" s="394" t="str">
        <f t="shared" si="39"/>
        <v>Percentage Improvement in Eqpt Efficiency Standards above BAU</v>
      </c>
      <c r="D920" s="399" t="s">
        <v>774</v>
      </c>
      <c r="E920" s="399" t="s">
        <v>798</v>
      </c>
      <c r="F920" t="s">
        <v>775</v>
      </c>
      <c r="G920" s="399" t="s">
        <v>815</v>
      </c>
      <c r="H920" s="377">
        <v>1141</v>
      </c>
      <c r="I920" s="396" t="s">
        <v>648</v>
      </c>
      <c r="J920" s="397" t="str">
        <f>IF(ISBLANK(INDEX('Policy Characteristics'!D:D,MATCH($C920,'Policy Characteristics'!$C:$C,0))),"",INDEX('Policy Characteristics'!D:D,MATCH($C920,'Policy Characteristics'!$C:$C,0)))</f>
        <v>Industry Energy Efficiency Standards</v>
      </c>
      <c r="K920" s="394" t="str">
        <f>IF(ISBLANK(INDEX('Policy Characteristics'!E:E,MATCH($C920,'Policy Characteristics'!$C:$C,0))),"",INDEX('Policy Characteristics'!E:E,MATCH($C920,'Policy Characteristics'!$C:$C,0)))</f>
        <v>indst efficiency standards</v>
      </c>
      <c r="L920" s="398">
        <f>IF(ISBLANK(INDEX('Policy Characteristics'!F:F,MATCH($C920,'Policy Characteristics'!$C:$C,0))),"",INDEX('Policy Characteristics'!F:F,MATCH($C920,'Policy Characteristics'!$C:$C,0)))</f>
        <v>0</v>
      </c>
      <c r="M920" s="398">
        <f>IF(ISBLANK(INDEX('Policy Characteristics'!G:G,MATCH($C920,'Policy Characteristics'!$C:$C,0))),"",INDEX('Policy Characteristics'!G:G,MATCH($C920,'Policy Characteristics'!$C:$C,0)))</f>
        <v>0.25</v>
      </c>
      <c r="N920" s="398">
        <f>IF(ISBLANK(INDEX('Policy Characteristics'!H:H,MATCH($C920,'Policy Characteristics'!$C:$C,0))),"",INDEX('Policy Characteristics'!H:H,MATCH($C920,'Policy Characteristics'!$C:$C,0)))</f>
        <v>0.01</v>
      </c>
      <c r="O920" s="394" t="str">
        <f>IF(ISBLANK(INDEX('Policy Characteristics'!I:I,MATCH($C920,'Policy Characteristics'!$C:$C,0))),"",INDEX('Policy Characteristics'!I:I,MATCH($C920,'Policy Characteristics'!$C:$C,0)))</f>
        <v>% reduction in energy use</v>
      </c>
      <c r="P920" s="394" t="str">
        <f>IF(ISBLANK(INDEX('Policy Characteristics'!J:J,MATCH($C920,'Policy Characteristics'!$C:$C,0))),"",INDEX('Policy Characteristics'!J:J,MATCH($C920,'Policy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0" s="394" t="str">
        <f>IF(ISBLANK(INDEX('Policy Characteristics'!K:K,MATCH($C920,'Policy Characteristics'!$C:$C,0))),"",INDEX('Policy Characteristics'!K:K,MATCH($C920,'Policy Characteristics'!$C:$C,0)))</f>
        <v>industry-ag-main.html#eff-stds</v>
      </c>
      <c r="R920" s="394" t="str">
        <f>IF(ISBLANK(INDEX('Policy Characteristics'!L:L,MATCH($C920,'Policy Characteristics'!$C:$C,0))),"",INDEX('Policy Characteristics'!L:L,MATCH($C920,'Policy Characteristics'!$C:$C,0)))</f>
        <v>industry-energy-efficiency-standards.html</v>
      </c>
    </row>
    <row r="921" s="384" customFormat="1" customHeight="1" spans="1:18">
      <c r="A921" s="394" t="str">
        <f>IF(ISBLANK(INDEX('Policy Characteristics'!A:A,MATCH($C921,'Policy Characteristics'!$C:$C,0))),"",INDEX('Policy Characteristics'!A:A,MATCH($C921,'Policy Characteristics'!$C:$C,0)))</f>
        <v>Industry</v>
      </c>
      <c r="B921" s="395" t="str">
        <f>IF(ISBLANK(INDEX('Policy Characteristics'!B:B,MATCH($C921,'Policy Characteristics'!$C:$C,0))),"",INDEX('Policy Characteristics'!B:B,MATCH($C921,'Policy Characteristics'!$C:$C,0)))</f>
        <v>Industry Energy Efficiency Standards</v>
      </c>
      <c r="C921" s="394" t="str">
        <f t="shared" si="39"/>
        <v>Percentage Improvement in Eqpt Efficiency Standards above BAU</v>
      </c>
      <c r="D921" s="399" t="s">
        <v>774</v>
      </c>
      <c r="E921" s="399" t="s">
        <v>800</v>
      </c>
      <c r="F921" t="s">
        <v>775</v>
      </c>
      <c r="G921" s="399" t="s">
        <v>816</v>
      </c>
      <c r="H921" s="377">
        <v>1142</v>
      </c>
      <c r="I921" s="396" t="s">
        <v>648</v>
      </c>
      <c r="J921" s="397" t="str">
        <f>IF(ISBLANK(INDEX('Policy Characteristics'!D:D,MATCH($C921,'Policy Characteristics'!$C:$C,0))),"",INDEX('Policy Characteristics'!D:D,MATCH($C921,'Policy Characteristics'!$C:$C,0)))</f>
        <v>Industry Energy Efficiency Standards</v>
      </c>
      <c r="K921" s="394" t="str">
        <f>IF(ISBLANK(INDEX('Policy Characteristics'!E:E,MATCH($C921,'Policy Characteristics'!$C:$C,0))),"",INDEX('Policy Characteristics'!E:E,MATCH($C921,'Policy Characteristics'!$C:$C,0)))</f>
        <v>indst efficiency standards</v>
      </c>
      <c r="L921" s="398">
        <f>IF(ISBLANK(INDEX('Policy Characteristics'!F:F,MATCH($C921,'Policy Characteristics'!$C:$C,0))),"",INDEX('Policy Characteristics'!F:F,MATCH($C921,'Policy Characteristics'!$C:$C,0)))</f>
        <v>0</v>
      </c>
      <c r="M921" s="398">
        <f>IF(ISBLANK(INDEX('Policy Characteristics'!G:G,MATCH($C921,'Policy Characteristics'!$C:$C,0))),"",INDEX('Policy Characteristics'!G:G,MATCH($C921,'Policy Characteristics'!$C:$C,0)))</f>
        <v>0.25</v>
      </c>
      <c r="N921" s="398">
        <f>IF(ISBLANK(INDEX('Policy Characteristics'!H:H,MATCH($C921,'Policy Characteristics'!$C:$C,0))),"",INDEX('Policy Characteristics'!H:H,MATCH($C921,'Policy Characteristics'!$C:$C,0)))</f>
        <v>0.01</v>
      </c>
      <c r="O921" s="394" t="str">
        <f>IF(ISBLANK(INDEX('Policy Characteristics'!I:I,MATCH($C921,'Policy Characteristics'!$C:$C,0))),"",INDEX('Policy Characteristics'!I:I,MATCH($C921,'Policy Characteristics'!$C:$C,0)))</f>
        <v>% reduction in energy use</v>
      </c>
      <c r="P921" s="394" t="str">
        <f>IF(ISBLANK(INDEX('Policy Characteristics'!J:J,MATCH($C921,'Policy Characteristics'!$C:$C,0))),"",INDEX('Policy Characteristics'!J:J,MATCH($C921,'Policy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1" s="394" t="str">
        <f>IF(ISBLANK(INDEX('Policy Characteristics'!K:K,MATCH($C921,'Policy Characteristics'!$C:$C,0))),"",INDEX('Policy Characteristics'!K:K,MATCH($C921,'Policy Characteristics'!$C:$C,0)))</f>
        <v>industry-ag-main.html#eff-stds</v>
      </c>
      <c r="R921" s="394" t="str">
        <f>IF(ISBLANK(INDEX('Policy Characteristics'!L:L,MATCH($C921,'Policy Characteristics'!$C:$C,0))),"",INDEX('Policy Characteristics'!L:L,MATCH($C921,'Policy Characteristics'!$C:$C,0)))</f>
        <v>industry-energy-efficiency-standards.html</v>
      </c>
    </row>
    <row r="922" s="384" customFormat="1" customHeight="1" spans="1:18">
      <c r="A922" s="394" t="str">
        <f>IF(ISBLANK(INDEX('Policy Characteristics'!A:A,MATCH($C922,'Policy Characteristics'!$C:$C,0))),"",INDEX('Policy Characteristics'!A:A,MATCH($C922,'Policy Characteristics'!$C:$C,0)))</f>
        <v>Industry</v>
      </c>
      <c r="B922" s="395" t="str">
        <f>IF(ISBLANK(INDEX('Policy Characteristics'!B:B,MATCH($C922,'Policy Characteristics'!$C:$C,0))),"",INDEX('Policy Characteristics'!B:B,MATCH($C922,'Policy Characteristics'!$C:$C,0)))</f>
        <v>Industry Energy Efficiency Standards</v>
      </c>
      <c r="C922" s="394" t="str">
        <f t="shared" si="39"/>
        <v>Percentage Improvement in Eqpt Efficiency Standards above BAU</v>
      </c>
      <c r="D922" s="399" t="s">
        <v>774</v>
      </c>
      <c r="E922" s="399" t="s">
        <v>802</v>
      </c>
      <c r="F922" t="s">
        <v>775</v>
      </c>
      <c r="G922" s="399" t="s">
        <v>817</v>
      </c>
      <c r="H922" s="377">
        <v>1143</v>
      </c>
      <c r="I922" s="396" t="s">
        <v>648</v>
      </c>
      <c r="J922" s="397" t="str">
        <f>IF(ISBLANK(INDEX('Policy Characteristics'!D:D,MATCH($C922,'Policy Characteristics'!$C:$C,0))),"",INDEX('Policy Characteristics'!D:D,MATCH($C922,'Policy Characteristics'!$C:$C,0)))</f>
        <v>Industry Energy Efficiency Standards</v>
      </c>
      <c r="K922" s="394" t="str">
        <f>IF(ISBLANK(INDEX('Policy Characteristics'!E:E,MATCH($C922,'Policy Characteristics'!$C:$C,0))),"",INDEX('Policy Characteristics'!E:E,MATCH($C922,'Policy Characteristics'!$C:$C,0)))</f>
        <v>indst efficiency standards</v>
      </c>
      <c r="L922" s="398">
        <f>IF(ISBLANK(INDEX('Policy Characteristics'!F:F,MATCH($C922,'Policy Characteristics'!$C:$C,0))),"",INDEX('Policy Characteristics'!F:F,MATCH($C922,'Policy Characteristics'!$C:$C,0)))</f>
        <v>0</v>
      </c>
      <c r="M922" s="398">
        <f>IF(ISBLANK(INDEX('Policy Characteristics'!G:G,MATCH($C922,'Policy Characteristics'!$C:$C,0))),"",INDEX('Policy Characteristics'!G:G,MATCH($C922,'Policy Characteristics'!$C:$C,0)))</f>
        <v>0.25</v>
      </c>
      <c r="N922" s="398">
        <f>IF(ISBLANK(INDEX('Policy Characteristics'!H:H,MATCH($C922,'Policy Characteristics'!$C:$C,0))),"",INDEX('Policy Characteristics'!H:H,MATCH($C922,'Policy Characteristics'!$C:$C,0)))</f>
        <v>0.01</v>
      </c>
      <c r="O922" s="394" t="str">
        <f>IF(ISBLANK(INDEX('Policy Characteristics'!I:I,MATCH($C922,'Policy Characteristics'!$C:$C,0))),"",INDEX('Policy Characteristics'!I:I,MATCH($C922,'Policy Characteristics'!$C:$C,0)))</f>
        <v>% reduction in energy use</v>
      </c>
      <c r="P922" s="394" t="str">
        <f>IF(ISBLANK(INDEX('Policy Characteristics'!J:J,MATCH($C922,'Policy Characteristics'!$C:$C,0))),"",INDEX('Policy Characteristics'!J:J,MATCH($C922,'Policy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2" s="394" t="str">
        <f>IF(ISBLANK(INDEX('Policy Characteristics'!K:K,MATCH($C922,'Policy Characteristics'!$C:$C,0))),"",INDEX('Policy Characteristics'!K:K,MATCH($C922,'Policy Characteristics'!$C:$C,0)))</f>
        <v>industry-ag-main.html#eff-stds</v>
      </c>
      <c r="R922" s="394" t="str">
        <f>IF(ISBLANK(INDEX('Policy Characteristics'!L:L,MATCH($C922,'Policy Characteristics'!$C:$C,0))),"",INDEX('Policy Characteristics'!L:L,MATCH($C922,'Policy Characteristics'!$C:$C,0)))</f>
        <v>industry-energy-efficiency-standards.html</v>
      </c>
    </row>
    <row r="923" s="384" customFormat="1" customHeight="1" spans="1:18">
      <c r="A923" s="394" t="str">
        <f>IF(ISBLANK(INDEX('Policy Characteristics'!A:A,MATCH($C923,'Policy Characteristics'!$C:$C,0))),"",INDEX('Policy Characteristics'!A:A,MATCH($C923,'Policy Characteristics'!$C:$C,0)))</f>
        <v>Industry</v>
      </c>
      <c r="B923" s="395" t="str">
        <f>IF(ISBLANK(INDEX('Policy Characteristics'!B:B,MATCH($C923,'Policy Characteristics'!$C:$C,0))),"",INDEX('Policy Characteristics'!B:B,MATCH($C923,'Policy Characteristics'!$C:$C,0)))</f>
        <v>Industry Energy Efficiency Standards</v>
      </c>
      <c r="C923" s="394" t="str">
        <f t="shared" si="39"/>
        <v>Percentage Improvement in Eqpt Efficiency Standards above BAU</v>
      </c>
      <c r="D923" s="399" t="s">
        <v>774</v>
      </c>
      <c r="E923" s="399" t="s">
        <v>804</v>
      </c>
      <c r="F923" t="s">
        <v>775</v>
      </c>
      <c r="G923" s="399" t="s">
        <v>818</v>
      </c>
      <c r="H923" s="377">
        <v>1144</v>
      </c>
      <c r="I923" s="396" t="s">
        <v>648</v>
      </c>
      <c r="J923" s="397" t="str">
        <f>IF(ISBLANK(INDEX('Policy Characteristics'!D:D,MATCH($C923,'Policy Characteristics'!$C:$C,0))),"",INDEX('Policy Characteristics'!D:D,MATCH($C923,'Policy Characteristics'!$C:$C,0)))</f>
        <v>Industry Energy Efficiency Standards</v>
      </c>
      <c r="K923" s="394" t="str">
        <f>IF(ISBLANK(INDEX('Policy Characteristics'!E:E,MATCH($C923,'Policy Characteristics'!$C:$C,0))),"",INDEX('Policy Characteristics'!E:E,MATCH($C923,'Policy Characteristics'!$C:$C,0)))</f>
        <v>indst efficiency standards</v>
      </c>
      <c r="L923" s="398">
        <f>IF(ISBLANK(INDEX('Policy Characteristics'!F:F,MATCH($C923,'Policy Characteristics'!$C:$C,0))),"",INDEX('Policy Characteristics'!F:F,MATCH($C923,'Policy Characteristics'!$C:$C,0)))</f>
        <v>0</v>
      </c>
      <c r="M923" s="398">
        <f>IF(ISBLANK(INDEX('Policy Characteristics'!G:G,MATCH($C923,'Policy Characteristics'!$C:$C,0))),"",INDEX('Policy Characteristics'!G:G,MATCH($C923,'Policy Characteristics'!$C:$C,0)))</f>
        <v>0.25</v>
      </c>
      <c r="N923" s="398">
        <f>IF(ISBLANK(INDEX('Policy Characteristics'!H:H,MATCH($C923,'Policy Characteristics'!$C:$C,0))),"",INDEX('Policy Characteristics'!H:H,MATCH($C923,'Policy Characteristics'!$C:$C,0)))</f>
        <v>0.01</v>
      </c>
      <c r="O923" s="394" t="str">
        <f>IF(ISBLANK(INDEX('Policy Characteristics'!I:I,MATCH($C923,'Policy Characteristics'!$C:$C,0))),"",INDEX('Policy Characteristics'!I:I,MATCH($C923,'Policy Characteristics'!$C:$C,0)))</f>
        <v>% reduction in energy use</v>
      </c>
      <c r="P923" s="394" t="str">
        <f>IF(ISBLANK(INDEX('Policy Characteristics'!J:J,MATCH($C923,'Policy Characteristics'!$C:$C,0))),"",INDEX('Policy Characteristics'!J:J,MATCH($C923,'Policy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3" s="394" t="str">
        <f>IF(ISBLANK(INDEX('Policy Characteristics'!K:K,MATCH($C923,'Policy Characteristics'!$C:$C,0))),"",INDEX('Policy Characteristics'!K:K,MATCH($C923,'Policy Characteristics'!$C:$C,0)))</f>
        <v>industry-ag-main.html#eff-stds</v>
      </c>
      <c r="R923" s="394" t="str">
        <f>IF(ISBLANK(INDEX('Policy Characteristics'!L:L,MATCH($C923,'Policy Characteristics'!$C:$C,0))),"",INDEX('Policy Characteristics'!L:L,MATCH($C923,'Policy Characteristics'!$C:$C,0)))</f>
        <v>industry-energy-efficiency-standards.html</v>
      </c>
    </row>
    <row r="924" s="384" customFormat="1" customHeight="1" spans="1:18">
      <c r="A924" s="394" t="str">
        <f>IF(ISBLANK(INDEX('Policy Characteristics'!A:A,MATCH($C924,'Policy Characteristics'!$C:$C,0))),"",INDEX('Policy Characteristics'!A:A,MATCH($C924,'Policy Characteristics'!$C:$C,0)))</f>
        <v>Industry</v>
      </c>
      <c r="B924" s="395" t="str">
        <f>IF(ISBLANK(INDEX('Policy Characteristics'!B:B,MATCH($C924,'Policy Characteristics'!$C:$C,0))),"",INDEX('Policy Characteristics'!B:B,MATCH($C924,'Policy Characteristics'!$C:$C,0)))</f>
        <v>Industry Energy Efficiency Standards</v>
      </c>
      <c r="C924" s="394" t="str">
        <f t="shared" si="39"/>
        <v>Percentage Improvement in Eqpt Efficiency Standards above BAU</v>
      </c>
      <c r="D924" s="399" t="s">
        <v>774</v>
      </c>
      <c r="E924" s="399" t="s">
        <v>806</v>
      </c>
      <c r="F924" t="s">
        <v>775</v>
      </c>
      <c r="G924" s="399" t="s">
        <v>819</v>
      </c>
      <c r="H924" s="377">
        <v>1145</v>
      </c>
      <c r="I924" s="396" t="s">
        <v>648</v>
      </c>
      <c r="J924" s="397" t="str">
        <f>IF(ISBLANK(INDEX('Policy Characteristics'!D:D,MATCH($C924,'Policy Characteristics'!$C:$C,0))),"",INDEX('Policy Characteristics'!D:D,MATCH($C924,'Policy Characteristics'!$C:$C,0)))</f>
        <v>Industry Energy Efficiency Standards</v>
      </c>
      <c r="K924" s="394" t="str">
        <f>IF(ISBLANK(INDEX('Policy Characteristics'!E:E,MATCH($C924,'Policy Characteristics'!$C:$C,0))),"",INDEX('Policy Characteristics'!E:E,MATCH($C924,'Policy Characteristics'!$C:$C,0)))</f>
        <v>indst efficiency standards</v>
      </c>
      <c r="L924" s="398">
        <f>IF(ISBLANK(INDEX('Policy Characteristics'!F:F,MATCH($C924,'Policy Characteristics'!$C:$C,0))),"",INDEX('Policy Characteristics'!F:F,MATCH($C924,'Policy Characteristics'!$C:$C,0)))</f>
        <v>0</v>
      </c>
      <c r="M924" s="398">
        <f>IF(ISBLANK(INDEX('Policy Characteristics'!G:G,MATCH($C924,'Policy Characteristics'!$C:$C,0))),"",INDEX('Policy Characteristics'!G:G,MATCH($C924,'Policy Characteristics'!$C:$C,0)))</f>
        <v>0.25</v>
      </c>
      <c r="N924" s="398">
        <f>IF(ISBLANK(INDEX('Policy Characteristics'!H:H,MATCH($C924,'Policy Characteristics'!$C:$C,0))),"",INDEX('Policy Characteristics'!H:H,MATCH($C924,'Policy Characteristics'!$C:$C,0)))</f>
        <v>0.01</v>
      </c>
      <c r="O924" s="394" t="str">
        <f>IF(ISBLANK(INDEX('Policy Characteristics'!I:I,MATCH($C924,'Policy Characteristics'!$C:$C,0))),"",INDEX('Policy Characteristics'!I:I,MATCH($C924,'Policy Characteristics'!$C:$C,0)))</f>
        <v>% reduction in energy use</v>
      </c>
      <c r="P924" s="394" t="str">
        <f>IF(ISBLANK(INDEX('Policy Characteristics'!J:J,MATCH($C924,'Policy Characteristics'!$C:$C,0))),"",INDEX('Policy Characteristics'!J:J,MATCH($C924,'Policy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4" s="394" t="str">
        <f>IF(ISBLANK(INDEX('Policy Characteristics'!K:K,MATCH($C924,'Policy Characteristics'!$C:$C,0))),"",INDEX('Policy Characteristics'!K:K,MATCH($C924,'Policy Characteristics'!$C:$C,0)))</f>
        <v>industry-ag-main.html#eff-stds</v>
      </c>
      <c r="R924" s="394" t="str">
        <f>IF(ISBLANK(INDEX('Policy Characteristics'!L:L,MATCH($C924,'Policy Characteristics'!$C:$C,0))),"",INDEX('Policy Characteristics'!L:L,MATCH($C924,'Policy Characteristics'!$C:$C,0)))</f>
        <v>industry-energy-efficiency-standards.html</v>
      </c>
    </row>
    <row r="925" s="384" customFormat="1" customHeight="1" spans="1:18">
      <c r="A925" s="394" t="str">
        <f>IF(ISBLANK(INDEX('Policy Characteristics'!A:A,MATCH($C925,'Policy Characteristics'!$C:$C,0))),"",INDEX('Policy Characteristics'!A:A,MATCH($C925,'Policy Characteristics'!$C:$C,0)))</f>
        <v>Industry</v>
      </c>
      <c r="B925" s="395" t="str">
        <f>IF(ISBLANK(INDEX('Policy Characteristics'!B:B,MATCH($C925,'Policy Characteristics'!$C:$C,0))),"",INDEX('Policy Characteristics'!B:B,MATCH($C925,'Policy Characteristics'!$C:$C,0)))</f>
        <v>Industry Energy Efficiency Standards</v>
      </c>
      <c r="C925" s="394" t="str">
        <f t="shared" si="39"/>
        <v>Percentage Improvement in Eqpt Efficiency Standards above BAU</v>
      </c>
      <c r="D925" s="399" t="s">
        <v>774</v>
      </c>
      <c r="E925" s="399" t="s">
        <v>808</v>
      </c>
      <c r="F925" t="s">
        <v>775</v>
      </c>
      <c r="G925" s="399" t="s">
        <v>820</v>
      </c>
      <c r="H925" s="377">
        <v>1146</v>
      </c>
      <c r="I925" s="396" t="s">
        <v>648</v>
      </c>
      <c r="J925" s="397" t="str">
        <f>IF(ISBLANK(INDEX('Policy Characteristics'!D:D,MATCH($C925,'Policy Characteristics'!$C:$C,0))),"",INDEX('Policy Characteristics'!D:D,MATCH($C925,'Policy Characteristics'!$C:$C,0)))</f>
        <v>Industry Energy Efficiency Standards</v>
      </c>
      <c r="K925" s="394" t="str">
        <f>IF(ISBLANK(INDEX('Policy Characteristics'!E:E,MATCH($C925,'Policy Characteristics'!$C:$C,0))),"",INDEX('Policy Characteristics'!E:E,MATCH($C925,'Policy Characteristics'!$C:$C,0)))</f>
        <v>indst efficiency standards</v>
      </c>
      <c r="L925" s="398">
        <f>IF(ISBLANK(INDEX('Policy Characteristics'!F:F,MATCH($C925,'Policy Characteristics'!$C:$C,0))),"",INDEX('Policy Characteristics'!F:F,MATCH($C925,'Policy Characteristics'!$C:$C,0)))</f>
        <v>0</v>
      </c>
      <c r="M925" s="398">
        <f>IF(ISBLANK(INDEX('Policy Characteristics'!G:G,MATCH($C925,'Policy Characteristics'!$C:$C,0))),"",INDEX('Policy Characteristics'!G:G,MATCH($C925,'Policy Characteristics'!$C:$C,0)))</f>
        <v>0.25</v>
      </c>
      <c r="N925" s="398">
        <f>IF(ISBLANK(INDEX('Policy Characteristics'!H:H,MATCH($C925,'Policy Characteristics'!$C:$C,0))),"",INDEX('Policy Characteristics'!H:H,MATCH($C925,'Policy Characteristics'!$C:$C,0)))</f>
        <v>0.01</v>
      </c>
      <c r="O925" s="394" t="str">
        <f>IF(ISBLANK(INDEX('Policy Characteristics'!I:I,MATCH($C925,'Policy Characteristics'!$C:$C,0))),"",INDEX('Policy Characteristics'!I:I,MATCH($C925,'Policy Characteristics'!$C:$C,0)))</f>
        <v>% reduction in energy use</v>
      </c>
      <c r="P925" s="394" t="str">
        <f>IF(ISBLANK(INDEX('Policy Characteristics'!J:J,MATCH($C925,'Policy Characteristics'!$C:$C,0))),"",INDEX('Policy Characteristics'!J:J,MATCH($C925,'Policy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5" s="394" t="str">
        <f>IF(ISBLANK(INDEX('Policy Characteristics'!K:K,MATCH($C925,'Policy Characteristics'!$C:$C,0))),"",INDEX('Policy Characteristics'!K:K,MATCH($C925,'Policy Characteristics'!$C:$C,0)))</f>
        <v>industry-ag-main.html#eff-stds</v>
      </c>
      <c r="R925" s="394" t="str">
        <f>IF(ISBLANK(INDEX('Policy Characteristics'!L:L,MATCH($C925,'Policy Characteristics'!$C:$C,0))),"",INDEX('Policy Characteristics'!L:L,MATCH($C925,'Policy Characteristics'!$C:$C,0)))</f>
        <v>industry-energy-efficiency-standards.html</v>
      </c>
    </row>
    <row r="926" s="384" customFormat="1" customHeight="1" spans="1:18">
      <c r="A926" s="394" t="str">
        <f>IF(ISBLANK(INDEX('Policy Characteristics'!A:A,MATCH($C926,'Policy Characteristics'!$C:$C,0))),"",INDEX('Policy Characteristics'!A:A,MATCH($C926,'Policy Characteristics'!$C:$C,0)))</f>
        <v>Industry</v>
      </c>
      <c r="B926" s="395" t="str">
        <f>IF(ISBLANK(INDEX('Policy Characteristics'!B:B,MATCH($C926,'Policy Characteristics'!$C:$C,0))),"",INDEX('Policy Characteristics'!B:B,MATCH($C926,'Policy Characteristics'!$C:$C,0)))</f>
        <v>Industry Energy Efficiency Standards</v>
      </c>
      <c r="C926" s="394" t="str">
        <f t="shared" si="39"/>
        <v>Percentage Improvement in Eqpt Efficiency Standards above BAU</v>
      </c>
      <c r="D926" s="399" t="s">
        <v>774</v>
      </c>
      <c r="E926" s="399" t="s">
        <v>810</v>
      </c>
      <c r="F926" t="s">
        <v>775</v>
      </c>
      <c r="G926" s="399" t="s">
        <v>821</v>
      </c>
      <c r="H926" s="377">
        <v>1147</v>
      </c>
      <c r="I926" s="396" t="s">
        <v>648</v>
      </c>
      <c r="J926" s="397" t="str">
        <f>IF(ISBLANK(INDEX('Policy Characteristics'!D:D,MATCH($C926,'Policy Characteristics'!$C:$C,0))),"",INDEX('Policy Characteristics'!D:D,MATCH($C926,'Policy Characteristics'!$C:$C,0)))</f>
        <v>Industry Energy Efficiency Standards</v>
      </c>
      <c r="K926" s="394" t="str">
        <f>IF(ISBLANK(INDEX('Policy Characteristics'!E:E,MATCH($C926,'Policy Characteristics'!$C:$C,0))),"",INDEX('Policy Characteristics'!E:E,MATCH($C926,'Policy Characteristics'!$C:$C,0)))</f>
        <v>indst efficiency standards</v>
      </c>
      <c r="L926" s="398">
        <f>IF(ISBLANK(INDEX('Policy Characteristics'!F:F,MATCH($C926,'Policy Characteristics'!$C:$C,0))),"",INDEX('Policy Characteristics'!F:F,MATCH($C926,'Policy Characteristics'!$C:$C,0)))</f>
        <v>0</v>
      </c>
      <c r="M926" s="398">
        <f>IF(ISBLANK(INDEX('Policy Characteristics'!G:G,MATCH($C926,'Policy Characteristics'!$C:$C,0))),"",INDEX('Policy Characteristics'!G:G,MATCH($C926,'Policy Characteristics'!$C:$C,0)))</f>
        <v>0.25</v>
      </c>
      <c r="N926" s="398">
        <f>IF(ISBLANK(INDEX('Policy Characteristics'!H:H,MATCH($C926,'Policy Characteristics'!$C:$C,0))),"",INDEX('Policy Characteristics'!H:H,MATCH($C926,'Policy Characteristics'!$C:$C,0)))</f>
        <v>0.01</v>
      </c>
      <c r="O926" s="394" t="str">
        <f>IF(ISBLANK(INDEX('Policy Characteristics'!I:I,MATCH($C926,'Policy Characteristics'!$C:$C,0))),"",INDEX('Policy Characteristics'!I:I,MATCH($C926,'Policy Characteristics'!$C:$C,0)))</f>
        <v>% reduction in energy use</v>
      </c>
      <c r="P926" s="394" t="str">
        <f>IF(ISBLANK(INDEX('Policy Characteristics'!J:J,MATCH($C926,'Policy Characteristics'!$C:$C,0))),"",INDEX('Policy Characteristics'!J:J,MATCH($C926,'Policy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6" s="394" t="str">
        <f>IF(ISBLANK(INDEX('Policy Characteristics'!K:K,MATCH($C926,'Policy Characteristics'!$C:$C,0))),"",INDEX('Policy Characteristics'!K:K,MATCH($C926,'Policy Characteristics'!$C:$C,0)))</f>
        <v>industry-ag-main.html#eff-stds</v>
      </c>
      <c r="R926" s="394" t="str">
        <f>IF(ISBLANK(INDEX('Policy Characteristics'!L:L,MATCH($C926,'Policy Characteristics'!$C:$C,0))),"",INDEX('Policy Characteristics'!L:L,MATCH($C926,'Policy Characteristics'!$C:$C,0)))</f>
        <v>industry-energy-efficiency-standards.html</v>
      </c>
    </row>
    <row r="927" s="384" customFormat="1" customHeight="1" spans="1:18">
      <c r="A927" s="394" t="str">
        <f>IF(ISBLANK(INDEX('Policy Characteristics'!A:A,MATCH($C927,'Policy Characteristics'!$C:$C,0))),"",INDEX('Policy Characteristics'!A:A,MATCH($C927,'Policy Characteristics'!$C:$C,0)))</f>
        <v>Industry</v>
      </c>
      <c r="B927" s="395" t="str">
        <f>IF(ISBLANK(INDEX('Policy Characteristics'!B:B,MATCH($C927,'Policy Characteristics'!$C:$C,0))),"",INDEX('Policy Characteristics'!B:B,MATCH($C927,'Policy Characteristics'!$C:$C,0)))</f>
        <v>Industry Energy Efficiency Standards</v>
      </c>
      <c r="C927" s="394" t="str">
        <f t="shared" si="39"/>
        <v>Percentage Improvement in Eqpt Efficiency Standards above BAU</v>
      </c>
      <c r="D927" s="399" t="s">
        <v>776</v>
      </c>
      <c r="E927" s="399" t="s">
        <v>792</v>
      </c>
      <c r="F927" t="s">
        <v>777</v>
      </c>
      <c r="G927" s="399" t="s">
        <v>812</v>
      </c>
      <c r="H927" s="377">
        <v>1148</v>
      </c>
      <c r="I927" s="396" t="s">
        <v>648</v>
      </c>
      <c r="J927" s="397" t="str">
        <f>IF(ISBLANK(INDEX('Policy Characteristics'!D:D,MATCH($C927,'Policy Characteristics'!$C:$C,0))),"",INDEX('Policy Characteristics'!D:D,MATCH($C927,'Policy Characteristics'!$C:$C,0)))</f>
        <v>Industry Energy Efficiency Standards</v>
      </c>
      <c r="K927" s="394" t="str">
        <f>IF(ISBLANK(INDEX('Policy Characteristics'!E:E,MATCH($C927,'Policy Characteristics'!$C:$C,0))),"",INDEX('Policy Characteristics'!E:E,MATCH($C927,'Policy Characteristics'!$C:$C,0)))</f>
        <v>indst efficiency standards</v>
      </c>
      <c r="L927" s="398">
        <f>IF(ISBLANK(INDEX('Policy Characteristics'!F:F,MATCH($C927,'Policy Characteristics'!$C:$C,0))),"",INDEX('Policy Characteristics'!F:F,MATCH($C927,'Policy Characteristics'!$C:$C,0)))</f>
        <v>0</v>
      </c>
      <c r="M927" s="398">
        <f>IF(ISBLANK(INDEX('Policy Characteristics'!G:G,MATCH($C927,'Policy Characteristics'!$C:$C,0))),"",INDEX('Policy Characteristics'!G:G,MATCH($C927,'Policy Characteristics'!$C:$C,0)))</f>
        <v>0.25</v>
      </c>
      <c r="N927" s="398">
        <f>IF(ISBLANK(INDEX('Policy Characteristics'!H:H,MATCH($C927,'Policy Characteristics'!$C:$C,0))),"",INDEX('Policy Characteristics'!H:H,MATCH($C927,'Policy Characteristics'!$C:$C,0)))</f>
        <v>0.01</v>
      </c>
      <c r="O927" s="394" t="str">
        <f>IF(ISBLANK(INDEX('Policy Characteristics'!I:I,MATCH($C927,'Policy Characteristics'!$C:$C,0))),"",INDEX('Policy Characteristics'!I:I,MATCH($C927,'Policy Characteristics'!$C:$C,0)))</f>
        <v>% reduction in energy use</v>
      </c>
      <c r="P927" s="394" t="str">
        <f>IF(ISBLANK(INDEX('Policy Characteristics'!J:J,MATCH($C927,'Policy Characteristics'!$C:$C,0))),"",INDEX('Policy Characteristics'!J:J,MATCH($C927,'Policy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7" s="394" t="str">
        <f>IF(ISBLANK(INDEX('Policy Characteristics'!K:K,MATCH($C927,'Policy Characteristics'!$C:$C,0))),"",INDEX('Policy Characteristics'!K:K,MATCH($C927,'Policy Characteristics'!$C:$C,0)))</f>
        <v>industry-ag-main.html#eff-stds</v>
      </c>
      <c r="R927" s="394" t="str">
        <f>IF(ISBLANK(INDEX('Policy Characteristics'!L:L,MATCH($C927,'Policy Characteristics'!$C:$C,0))),"",INDEX('Policy Characteristics'!L:L,MATCH($C927,'Policy Characteristics'!$C:$C,0)))</f>
        <v>industry-energy-efficiency-standards.html</v>
      </c>
    </row>
    <row r="928" s="384" customFormat="1" customHeight="1" spans="1:18">
      <c r="A928" s="394" t="str">
        <f>IF(ISBLANK(INDEX('Policy Characteristics'!A:A,MATCH($C928,'Policy Characteristics'!$C:$C,0))),"",INDEX('Policy Characteristics'!A:A,MATCH($C928,'Policy Characteristics'!$C:$C,0)))</f>
        <v>Industry</v>
      </c>
      <c r="B928" s="395" t="str">
        <f>IF(ISBLANK(INDEX('Policy Characteristics'!B:B,MATCH($C928,'Policy Characteristics'!$C:$C,0))),"",INDEX('Policy Characteristics'!B:B,MATCH($C928,'Policy Characteristics'!$C:$C,0)))</f>
        <v>Industry Energy Efficiency Standards</v>
      </c>
      <c r="C928" s="394" t="str">
        <f t="shared" si="39"/>
        <v>Percentage Improvement in Eqpt Efficiency Standards above BAU</v>
      </c>
      <c r="D928" s="399" t="s">
        <v>776</v>
      </c>
      <c r="E928" s="399" t="s">
        <v>794</v>
      </c>
      <c r="F928" t="s">
        <v>777</v>
      </c>
      <c r="G928" s="399" t="s">
        <v>813</v>
      </c>
      <c r="H928" s="377">
        <v>1149</v>
      </c>
      <c r="I928" s="396" t="s">
        <v>648</v>
      </c>
      <c r="J928" s="397" t="str">
        <f>IF(ISBLANK(INDEX('Policy Characteristics'!D:D,MATCH($C928,'Policy Characteristics'!$C:$C,0))),"",INDEX('Policy Characteristics'!D:D,MATCH($C928,'Policy Characteristics'!$C:$C,0)))</f>
        <v>Industry Energy Efficiency Standards</v>
      </c>
      <c r="K928" s="394" t="str">
        <f>IF(ISBLANK(INDEX('Policy Characteristics'!E:E,MATCH($C928,'Policy Characteristics'!$C:$C,0))),"",INDEX('Policy Characteristics'!E:E,MATCH($C928,'Policy Characteristics'!$C:$C,0)))</f>
        <v>indst efficiency standards</v>
      </c>
      <c r="L928" s="398">
        <f>IF(ISBLANK(INDEX('Policy Characteristics'!F:F,MATCH($C928,'Policy Characteristics'!$C:$C,0))),"",INDEX('Policy Characteristics'!F:F,MATCH($C928,'Policy Characteristics'!$C:$C,0)))</f>
        <v>0</v>
      </c>
      <c r="M928" s="398">
        <f>IF(ISBLANK(INDEX('Policy Characteristics'!G:G,MATCH($C928,'Policy Characteristics'!$C:$C,0))),"",INDEX('Policy Characteristics'!G:G,MATCH($C928,'Policy Characteristics'!$C:$C,0)))</f>
        <v>0.25</v>
      </c>
      <c r="N928" s="398">
        <f>IF(ISBLANK(INDEX('Policy Characteristics'!H:H,MATCH($C928,'Policy Characteristics'!$C:$C,0))),"",INDEX('Policy Characteristics'!H:H,MATCH($C928,'Policy Characteristics'!$C:$C,0)))</f>
        <v>0.01</v>
      </c>
      <c r="O928" s="394" t="str">
        <f>IF(ISBLANK(INDEX('Policy Characteristics'!I:I,MATCH($C928,'Policy Characteristics'!$C:$C,0))),"",INDEX('Policy Characteristics'!I:I,MATCH($C928,'Policy Characteristics'!$C:$C,0)))</f>
        <v>% reduction in energy use</v>
      </c>
      <c r="P928" s="394" t="str">
        <f>IF(ISBLANK(INDEX('Policy Characteristics'!J:J,MATCH($C928,'Policy Characteristics'!$C:$C,0))),"",INDEX('Policy Characteristics'!J:J,MATCH($C928,'Policy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8" s="394" t="str">
        <f>IF(ISBLANK(INDEX('Policy Characteristics'!K:K,MATCH($C928,'Policy Characteristics'!$C:$C,0))),"",INDEX('Policy Characteristics'!K:K,MATCH($C928,'Policy Characteristics'!$C:$C,0)))</f>
        <v>industry-ag-main.html#eff-stds</v>
      </c>
      <c r="R928" s="394" t="str">
        <f>IF(ISBLANK(INDEX('Policy Characteristics'!L:L,MATCH($C928,'Policy Characteristics'!$C:$C,0))),"",INDEX('Policy Characteristics'!L:L,MATCH($C928,'Policy Characteristics'!$C:$C,0)))</f>
        <v>industry-energy-efficiency-standards.html</v>
      </c>
    </row>
    <row r="929" s="384" customFormat="1" customHeight="1" spans="1:18">
      <c r="A929" s="394" t="str">
        <f>IF(ISBLANK(INDEX('Policy Characteristics'!A:A,MATCH($C929,'Policy Characteristics'!$C:$C,0))),"",INDEX('Policy Characteristics'!A:A,MATCH($C929,'Policy Characteristics'!$C:$C,0)))</f>
        <v>Industry</v>
      </c>
      <c r="B929" s="395" t="str">
        <f>IF(ISBLANK(INDEX('Policy Characteristics'!B:B,MATCH($C929,'Policy Characteristics'!$C:$C,0))),"",INDEX('Policy Characteristics'!B:B,MATCH($C929,'Policy Characteristics'!$C:$C,0)))</f>
        <v>Industry Energy Efficiency Standards</v>
      </c>
      <c r="C929" s="394" t="str">
        <f t="shared" si="39"/>
        <v>Percentage Improvement in Eqpt Efficiency Standards above BAU</v>
      </c>
      <c r="D929" s="399" t="s">
        <v>776</v>
      </c>
      <c r="E929" s="399" t="s">
        <v>796</v>
      </c>
      <c r="F929" t="s">
        <v>777</v>
      </c>
      <c r="G929" s="399" t="s">
        <v>814</v>
      </c>
      <c r="H929" s="377">
        <v>1150</v>
      </c>
      <c r="I929" s="396" t="s">
        <v>648</v>
      </c>
      <c r="J929" s="397" t="str">
        <f>IF(ISBLANK(INDEX('Policy Characteristics'!D:D,MATCH($C929,'Policy Characteristics'!$C:$C,0))),"",INDEX('Policy Characteristics'!D:D,MATCH($C929,'Policy Characteristics'!$C:$C,0)))</f>
        <v>Industry Energy Efficiency Standards</v>
      </c>
      <c r="K929" s="394" t="str">
        <f>IF(ISBLANK(INDEX('Policy Characteristics'!E:E,MATCH($C929,'Policy Characteristics'!$C:$C,0))),"",INDEX('Policy Characteristics'!E:E,MATCH($C929,'Policy Characteristics'!$C:$C,0)))</f>
        <v>indst efficiency standards</v>
      </c>
      <c r="L929" s="398">
        <f>IF(ISBLANK(INDEX('Policy Characteristics'!F:F,MATCH($C929,'Policy Characteristics'!$C:$C,0))),"",INDEX('Policy Characteristics'!F:F,MATCH($C929,'Policy Characteristics'!$C:$C,0)))</f>
        <v>0</v>
      </c>
      <c r="M929" s="398">
        <f>IF(ISBLANK(INDEX('Policy Characteristics'!G:G,MATCH($C929,'Policy Characteristics'!$C:$C,0))),"",INDEX('Policy Characteristics'!G:G,MATCH($C929,'Policy Characteristics'!$C:$C,0)))</f>
        <v>0.25</v>
      </c>
      <c r="N929" s="398">
        <f>IF(ISBLANK(INDEX('Policy Characteristics'!H:H,MATCH($C929,'Policy Characteristics'!$C:$C,0))),"",INDEX('Policy Characteristics'!H:H,MATCH($C929,'Policy Characteristics'!$C:$C,0)))</f>
        <v>0.01</v>
      </c>
      <c r="O929" s="394" t="str">
        <f>IF(ISBLANK(INDEX('Policy Characteristics'!I:I,MATCH($C929,'Policy Characteristics'!$C:$C,0))),"",INDEX('Policy Characteristics'!I:I,MATCH($C929,'Policy Characteristics'!$C:$C,0)))</f>
        <v>% reduction in energy use</v>
      </c>
      <c r="P929" s="394" t="str">
        <f>IF(ISBLANK(INDEX('Policy Characteristics'!J:J,MATCH($C929,'Policy Characteristics'!$C:$C,0))),"",INDEX('Policy Characteristics'!J:J,MATCH($C929,'Policy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9" s="394" t="str">
        <f>IF(ISBLANK(INDEX('Policy Characteristics'!K:K,MATCH($C929,'Policy Characteristics'!$C:$C,0))),"",INDEX('Policy Characteristics'!K:K,MATCH($C929,'Policy Characteristics'!$C:$C,0)))</f>
        <v>industry-ag-main.html#eff-stds</v>
      </c>
      <c r="R929" s="394" t="str">
        <f>IF(ISBLANK(INDEX('Policy Characteristics'!L:L,MATCH($C929,'Policy Characteristics'!$C:$C,0))),"",INDEX('Policy Characteristics'!L:L,MATCH($C929,'Policy Characteristics'!$C:$C,0)))</f>
        <v>industry-energy-efficiency-standards.html</v>
      </c>
    </row>
    <row r="930" s="384" customFormat="1" customHeight="1" spans="1:18">
      <c r="A930" s="394" t="str">
        <f>IF(ISBLANK(INDEX('Policy Characteristics'!A:A,MATCH($C930,'Policy Characteristics'!$C:$C,0))),"",INDEX('Policy Characteristics'!A:A,MATCH($C930,'Policy Characteristics'!$C:$C,0)))</f>
        <v>Industry</v>
      </c>
      <c r="B930" s="395" t="str">
        <f>IF(ISBLANK(INDEX('Policy Characteristics'!B:B,MATCH($C930,'Policy Characteristics'!$C:$C,0))),"",INDEX('Policy Characteristics'!B:B,MATCH($C930,'Policy Characteristics'!$C:$C,0)))</f>
        <v>Industry Energy Efficiency Standards</v>
      </c>
      <c r="C930" s="394" t="str">
        <f t="shared" ref="C930:C986" si="40">C$737</f>
        <v>Percentage Improvement in Eqpt Efficiency Standards above BAU</v>
      </c>
      <c r="D930" s="399" t="s">
        <v>776</v>
      </c>
      <c r="E930" s="399" t="s">
        <v>798</v>
      </c>
      <c r="F930" t="s">
        <v>777</v>
      </c>
      <c r="G930" s="399" t="s">
        <v>815</v>
      </c>
      <c r="H930" s="377">
        <v>1151</v>
      </c>
      <c r="I930" s="396" t="s">
        <v>648</v>
      </c>
      <c r="J930" s="397" t="str">
        <f>IF(ISBLANK(INDEX('Policy Characteristics'!D:D,MATCH($C930,'Policy Characteristics'!$C:$C,0))),"",INDEX('Policy Characteristics'!D:D,MATCH($C930,'Policy Characteristics'!$C:$C,0)))</f>
        <v>Industry Energy Efficiency Standards</v>
      </c>
      <c r="K930" s="394" t="str">
        <f>IF(ISBLANK(INDEX('Policy Characteristics'!E:E,MATCH($C930,'Policy Characteristics'!$C:$C,0))),"",INDEX('Policy Characteristics'!E:E,MATCH($C930,'Policy Characteristics'!$C:$C,0)))</f>
        <v>indst efficiency standards</v>
      </c>
      <c r="L930" s="398">
        <f>IF(ISBLANK(INDEX('Policy Characteristics'!F:F,MATCH($C930,'Policy Characteristics'!$C:$C,0))),"",INDEX('Policy Characteristics'!F:F,MATCH($C930,'Policy Characteristics'!$C:$C,0)))</f>
        <v>0</v>
      </c>
      <c r="M930" s="398">
        <f>IF(ISBLANK(INDEX('Policy Characteristics'!G:G,MATCH($C930,'Policy Characteristics'!$C:$C,0))),"",INDEX('Policy Characteristics'!G:G,MATCH($C930,'Policy Characteristics'!$C:$C,0)))</f>
        <v>0.25</v>
      </c>
      <c r="N930" s="398">
        <f>IF(ISBLANK(INDEX('Policy Characteristics'!H:H,MATCH($C930,'Policy Characteristics'!$C:$C,0))),"",INDEX('Policy Characteristics'!H:H,MATCH($C930,'Policy Characteristics'!$C:$C,0)))</f>
        <v>0.01</v>
      </c>
      <c r="O930" s="394" t="str">
        <f>IF(ISBLANK(INDEX('Policy Characteristics'!I:I,MATCH($C930,'Policy Characteristics'!$C:$C,0))),"",INDEX('Policy Characteristics'!I:I,MATCH($C930,'Policy Characteristics'!$C:$C,0)))</f>
        <v>% reduction in energy use</v>
      </c>
      <c r="P930" s="394" t="str">
        <f>IF(ISBLANK(INDEX('Policy Characteristics'!J:J,MATCH($C930,'Policy Characteristics'!$C:$C,0))),"",INDEX('Policy Characteristics'!J:J,MATCH($C930,'Policy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0" s="394" t="str">
        <f>IF(ISBLANK(INDEX('Policy Characteristics'!K:K,MATCH($C930,'Policy Characteristics'!$C:$C,0))),"",INDEX('Policy Characteristics'!K:K,MATCH($C930,'Policy Characteristics'!$C:$C,0)))</f>
        <v>industry-ag-main.html#eff-stds</v>
      </c>
      <c r="R930" s="394" t="str">
        <f>IF(ISBLANK(INDEX('Policy Characteristics'!L:L,MATCH($C930,'Policy Characteristics'!$C:$C,0))),"",INDEX('Policy Characteristics'!L:L,MATCH($C930,'Policy Characteristics'!$C:$C,0)))</f>
        <v>industry-energy-efficiency-standards.html</v>
      </c>
    </row>
    <row r="931" s="384" customFormat="1" customHeight="1" spans="1:18">
      <c r="A931" s="394" t="str">
        <f>IF(ISBLANK(INDEX('Policy Characteristics'!A:A,MATCH($C931,'Policy Characteristics'!$C:$C,0))),"",INDEX('Policy Characteristics'!A:A,MATCH($C931,'Policy Characteristics'!$C:$C,0)))</f>
        <v>Industry</v>
      </c>
      <c r="B931" s="395" t="str">
        <f>IF(ISBLANK(INDEX('Policy Characteristics'!B:B,MATCH($C931,'Policy Characteristics'!$C:$C,0))),"",INDEX('Policy Characteristics'!B:B,MATCH($C931,'Policy Characteristics'!$C:$C,0)))</f>
        <v>Industry Energy Efficiency Standards</v>
      </c>
      <c r="C931" s="394" t="str">
        <f t="shared" si="40"/>
        <v>Percentage Improvement in Eqpt Efficiency Standards above BAU</v>
      </c>
      <c r="D931" s="399" t="s">
        <v>776</v>
      </c>
      <c r="E931" s="399" t="s">
        <v>800</v>
      </c>
      <c r="F931" t="s">
        <v>777</v>
      </c>
      <c r="G931" s="399" t="s">
        <v>816</v>
      </c>
      <c r="H931" s="377">
        <v>1152</v>
      </c>
      <c r="I931" s="396" t="s">
        <v>648</v>
      </c>
      <c r="J931" s="397" t="str">
        <f>IF(ISBLANK(INDEX('Policy Characteristics'!D:D,MATCH($C931,'Policy Characteristics'!$C:$C,0))),"",INDEX('Policy Characteristics'!D:D,MATCH($C931,'Policy Characteristics'!$C:$C,0)))</f>
        <v>Industry Energy Efficiency Standards</v>
      </c>
      <c r="K931" s="394" t="str">
        <f>IF(ISBLANK(INDEX('Policy Characteristics'!E:E,MATCH($C931,'Policy Characteristics'!$C:$C,0))),"",INDEX('Policy Characteristics'!E:E,MATCH($C931,'Policy Characteristics'!$C:$C,0)))</f>
        <v>indst efficiency standards</v>
      </c>
      <c r="L931" s="398">
        <f>IF(ISBLANK(INDEX('Policy Characteristics'!F:F,MATCH($C931,'Policy Characteristics'!$C:$C,0))),"",INDEX('Policy Characteristics'!F:F,MATCH($C931,'Policy Characteristics'!$C:$C,0)))</f>
        <v>0</v>
      </c>
      <c r="M931" s="398">
        <f>IF(ISBLANK(INDEX('Policy Characteristics'!G:G,MATCH($C931,'Policy Characteristics'!$C:$C,0))),"",INDEX('Policy Characteristics'!G:G,MATCH($C931,'Policy Characteristics'!$C:$C,0)))</f>
        <v>0.25</v>
      </c>
      <c r="N931" s="398">
        <f>IF(ISBLANK(INDEX('Policy Characteristics'!H:H,MATCH($C931,'Policy Characteristics'!$C:$C,0))),"",INDEX('Policy Characteristics'!H:H,MATCH($C931,'Policy Characteristics'!$C:$C,0)))</f>
        <v>0.01</v>
      </c>
      <c r="O931" s="394" t="str">
        <f>IF(ISBLANK(INDEX('Policy Characteristics'!I:I,MATCH($C931,'Policy Characteristics'!$C:$C,0))),"",INDEX('Policy Characteristics'!I:I,MATCH($C931,'Policy Characteristics'!$C:$C,0)))</f>
        <v>% reduction in energy use</v>
      </c>
      <c r="P931" s="394" t="str">
        <f>IF(ISBLANK(INDEX('Policy Characteristics'!J:J,MATCH($C931,'Policy Characteristics'!$C:$C,0))),"",INDEX('Policy Characteristics'!J:J,MATCH($C931,'Policy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1" s="394" t="str">
        <f>IF(ISBLANK(INDEX('Policy Characteristics'!K:K,MATCH($C931,'Policy Characteristics'!$C:$C,0))),"",INDEX('Policy Characteristics'!K:K,MATCH($C931,'Policy Characteristics'!$C:$C,0)))</f>
        <v>industry-ag-main.html#eff-stds</v>
      </c>
      <c r="R931" s="394" t="str">
        <f>IF(ISBLANK(INDEX('Policy Characteristics'!L:L,MATCH($C931,'Policy Characteristics'!$C:$C,0))),"",INDEX('Policy Characteristics'!L:L,MATCH($C931,'Policy Characteristics'!$C:$C,0)))</f>
        <v>industry-energy-efficiency-standards.html</v>
      </c>
    </row>
    <row r="932" s="384" customFormat="1" customHeight="1" spans="1:18">
      <c r="A932" s="394" t="str">
        <f>IF(ISBLANK(INDEX('Policy Characteristics'!A:A,MATCH($C932,'Policy Characteristics'!$C:$C,0))),"",INDEX('Policy Characteristics'!A:A,MATCH($C932,'Policy Characteristics'!$C:$C,0)))</f>
        <v>Industry</v>
      </c>
      <c r="B932" s="395" t="str">
        <f>IF(ISBLANK(INDEX('Policy Characteristics'!B:B,MATCH($C932,'Policy Characteristics'!$C:$C,0))),"",INDEX('Policy Characteristics'!B:B,MATCH($C932,'Policy Characteristics'!$C:$C,0)))</f>
        <v>Industry Energy Efficiency Standards</v>
      </c>
      <c r="C932" s="394" t="str">
        <f t="shared" si="40"/>
        <v>Percentage Improvement in Eqpt Efficiency Standards above BAU</v>
      </c>
      <c r="D932" s="399" t="s">
        <v>776</v>
      </c>
      <c r="E932" s="399" t="s">
        <v>802</v>
      </c>
      <c r="F932" t="s">
        <v>777</v>
      </c>
      <c r="G932" s="399" t="s">
        <v>817</v>
      </c>
      <c r="H932" s="377">
        <v>1153</v>
      </c>
      <c r="I932" s="396" t="s">
        <v>648</v>
      </c>
      <c r="J932" s="397" t="str">
        <f>IF(ISBLANK(INDEX('Policy Characteristics'!D:D,MATCH($C932,'Policy Characteristics'!$C:$C,0))),"",INDEX('Policy Characteristics'!D:D,MATCH($C932,'Policy Characteristics'!$C:$C,0)))</f>
        <v>Industry Energy Efficiency Standards</v>
      </c>
      <c r="K932" s="394" t="str">
        <f>IF(ISBLANK(INDEX('Policy Characteristics'!E:E,MATCH($C932,'Policy Characteristics'!$C:$C,0))),"",INDEX('Policy Characteristics'!E:E,MATCH($C932,'Policy Characteristics'!$C:$C,0)))</f>
        <v>indst efficiency standards</v>
      </c>
      <c r="L932" s="398">
        <f>IF(ISBLANK(INDEX('Policy Characteristics'!F:F,MATCH($C932,'Policy Characteristics'!$C:$C,0))),"",INDEX('Policy Characteristics'!F:F,MATCH($C932,'Policy Characteristics'!$C:$C,0)))</f>
        <v>0</v>
      </c>
      <c r="M932" s="398">
        <f>IF(ISBLANK(INDEX('Policy Characteristics'!G:G,MATCH($C932,'Policy Characteristics'!$C:$C,0))),"",INDEX('Policy Characteristics'!G:G,MATCH($C932,'Policy Characteristics'!$C:$C,0)))</f>
        <v>0.25</v>
      </c>
      <c r="N932" s="398">
        <f>IF(ISBLANK(INDEX('Policy Characteristics'!H:H,MATCH($C932,'Policy Characteristics'!$C:$C,0))),"",INDEX('Policy Characteristics'!H:H,MATCH($C932,'Policy Characteristics'!$C:$C,0)))</f>
        <v>0.01</v>
      </c>
      <c r="O932" s="394" t="str">
        <f>IF(ISBLANK(INDEX('Policy Characteristics'!I:I,MATCH($C932,'Policy Characteristics'!$C:$C,0))),"",INDEX('Policy Characteristics'!I:I,MATCH($C932,'Policy Characteristics'!$C:$C,0)))</f>
        <v>% reduction in energy use</v>
      </c>
      <c r="P932" s="394" t="str">
        <f>IF(ISBLANK(INDEX('Policy Characteristics'!J:J,MATCH($C932,'Policy Characteristics'!$C:$C,0))),"",INDEX('Policy Characteristics'!J:J,MATCH($C932,'Policy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2" s="394" t="str">
        <f>IF(ISBLANK(INDEX('Policy Characteristics'!K:K,MATCH($C932,'Policy Characteristics'!$C:$C,0))),"",INDEX('Policy Characteristics'!K:K,MATCH($C932,'Policy Characteristics'!$C:$C,0)))</f>
        <v>industry-ag-main.html#eff-stds</v>
      </c>
      <c r="R932" s="394" t="str">
        <f>IF(ISBLANK(INDEX('Policy Characteristics'!L:L,MATCH($C932,'Policy Characteristics'!$C:$C,0))),"",INDEX('Policy Characteristics'!L:L,MATCH($C932,'Policy Characteristics'!$C:$C,0)))</f>
        <v>industry-energy-efficiency-standards.html</v>
      </c>
    </row>
    <row r="933" s="384" customFormat="1" customHeight="1" spans="1:18">
      <c r="A933" s="394" t="str">
        <f>IF(ISBLANK(INDEX('Policy Characteristics'!A:A,MATCH($C933,'Policy Characteristics'!$C:$C,0))),"",INDEX('Policy Characteristics'!A:A,MATCH($C933,'Policy Characteristics'!$C:$C,0)))</f>
        <v>Industry</v>
      </c>
      <c r="B933" s="395" t="str">
        <f>IF(ISBLANK(INDEX('Policy Characteristics'!B:B,MATCH($C933,'Policy Characteristics'!$C:$C,0))),"",INDEX('Policy Characteristics'!B:B,MATCH($C933,'Policy Characteristics'!$C:$C,0)))</f>
        <v>Industry Energy Efficiency Standards</v>
      </c>
      <c r="C933" s="394" t="str">
        <f t="shared" si="40"/>
        <v>Percentage Improvement in Eqpt Efficiency Standards above BAU</v>
      </c>
      <c r="D933" s="399" t="s">
        <v>776</v>
      </c>
      <c r="E933" s="399" t="s">
        <v>804</v>
      </c>
      <c r="F933" t="s">
        <v>777</v>
      </c>
      <c r="G933" s="399" t="s">
        <v>818</v>
      </c>
      <c r="H933" s="377">
        <v>1154</v>
      </c>
      <c r="I933" s="396" t="s">
        <v>648</v>
      </c>
      <c r="J933" s="397" t="str">
        <f>IF(ISBLANK(INDEX('Policy Characteristics'!D:D,MATCH($C933,'Policy Characteristics'!$C:$C,0))),"",INDEX('Policy Characteristics'!D:D,MATCH($C933,'Policy Characteristics'!$C:$C,0)))</f>
        <v>Industry Energy Efficiency Standards</v>
      </c>
      <c r="K933" s="394" t="str">
        <f>IF(ISBLANK(INDEX('Policy Characteristics'!E:E,MATCH($C933,'Policy Characteristics'!$C:$C,0))),"",INDEX('Policy Characteristics'!E:E,MATCH($C933,'Policy Characteristics'!$C:$C,0)))</f>
        <v>indst efficiency standards</v>
      </c>
      <c r="L933" s="398">
        <f>IF(ISBLANK(INDEX('Policy Characteristics'!F:F,MATCH($C933,'Policy Characteristics'!$C:$C,0))),"",INDEX('Policy Characteristics'!F:F,MATCH($C933,'Policy Characteristics'!$C:$C,0)))</f>
        <v>0</v>
      </c>
      <c r="M933" s="398">
        <f>IF(ISBLANK(INDEX('Policy Characteristics'!G:G,MATCH($C933,'Policy Characteristics'!$C:$C,0))),"",INDEX('Policy Characteristics'!G:G,MATCH($C933,'Policy Characteristics'!$C:$C,0)))</f>
        <v>0.25</v>
      </c>
      <c r="N933" s="398">
        <f>IF(ISBLANK(INDEX('Policy Characteristics'!H:H,MATCH($C933,'Policy Characteristics'!$C:$C,0))),"",INDEX('Policy Characteristics'!H:H,MATCH($C933,'Policy Characteristics'!$C:$C,0)))</f>
        <v>0.01</v>
      </c>
      <c r="O933" s="394" t="str">
        <f>IF(ISBLANK(INDEX('Policy Characteristics'!I:I,MATCH($C933,'Policy Characteristics'!$C:$C,0))),"",INDEX('Policy Characteristics'!I:I,MATCH($C933,'Policy Characteristics'!$C:$C,0)))</f>
        <v>% reduction in energy use</v>
      </c>
      <c r="P933" s="394" t="str">
        <f>IF(ISBLANK(INDEX('Policy Characteristics'!J:J,MATCH($C933,'Policy Characteristics'!$C:$C,0))),"",INDEX('Policy Characteristics'!J:J,MATCH($C933,'Policy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3" s="394" t="str">
        <f>IF(ISBLANK(INDEX('Policy Characteristics'!K:K,MATCH($C933,'Policy Characteristics'!$C:$C,0))),"",INDEX('Policy Characteristics'!K:K,MATCH($C933,'Policy Characteristics'!$C:$C,0)))</f>
        <v>industry-ag-main.html#eff-stds</v>
      </c>
      <c r="R933" s="394" t="str">
        <f>IF(ISBLANK(INDEX('Policy Characteristics'!L:L,MATCH($C933,'Policy Characteristics'!$C:$C,0))),"",INDEX('Policy Characteristics'!L:L,MATCH($C933,'Policy Characteristics'!$C:$C,0)))</f>
        <v>industry-energy-efficiency-standards.html</v>
      </c>
    </row>
    <row r="934" s="384" customFormat="1" customHeight="1" spans="1:18">
      <c r="A934" s="394" t="str">
        <f>IF(ISBLANK(INDEX('Policy Characteristics'!A:A,MATCH($C934,'Policy Characteristics'!$C:$C,0))),"",INDEX('Policy Characteristics'!A:A,MATCH($C934,'Policy Characteristics'!$C:$C,0)))</f>
        <v>Industry</v>
      </c>
      <c r="B934" s="395" t="str">
        <f>IF(ISBLANK(INDEX('Policy Characteristics'!B:B,MATCH($C934,'Policy Characteristics'!$C:$C,0))),"",INDEX('Policy Characteristics'!B:B,MATCH($C934,'Policy Characteristics'!$C:$C,0)))</f>
        <v>Industry Energy Efficiency Standards</v>
      </c>
      <c r="C934" s="394" t="str">
        <f t="shared" si="40"/>
        <v>Percentage Improvement in Eqpt Efficiency Standards above BAU</v>
      </c>
      <c r="D934" s="399" t="s">
        <v>776</v>
      </c>
      <c r="E934" s="399" t="s">
        <v>806</v>
      </c>
      <c r="F934" t="s">
        <v>777</v>
      </c>
      <c r="G934" s="399" t="s">
        <v>819</v>
      </c>
      <c r="H934" s="377">
        <v>1155</v>
      </c>
      <c r="I934" s="396" t="s">
        <v>648</v>
      </c>
      <c r="J934" s="397" t="str">
        <f>IF(ISBLANK(INDEX('Policy Characteristics'!D:D,MATCH($C934,'Policy Characteristics'!$C:$C,0))),"",INDEX('Policy Characteristics'!D:D,MATCH($C934,'Policy Characteristics'!$C:$C,0)))</f>
        <v>Industry Energy Efficiency Standards</v>
      </c>
      <c r="K934" s="394" t="str">
        <f>IF(ISBLANK(INDEX('Policy Characteristics'!E:E,MATCH($C934,'Policy Characteristics'!$C:$C,0))),"",INDEX('Policy Characteristics'!E:E,MATCH($C934,'Policy Characteristics'!$C:$C,0)))</f>
        <v>indst efficiency standards</v>
      </c>
      <c r="L934" s="398">
        <f>IF(ISBLANK(INDEX('Policy Characteristics'!F:F,MATCH($C934,'Policy Characteristics'!$C:$C,0))),"",INDEX('Policy Characteristics'!F:F,MATCH($C934,'Policy Characteristics'!$C:$C,0)))</f>
        <v>0</v>
      </c>
      <c r="M934" s="398">
        <f>IF(ISBLANK(INDEX('Policy Characteristics'!G:G,MATCH($C934,'Policy Characteristics'!$C:$C,0))),"",INDEX('Policy Characteristics'!G:G,MATCH($C934,'Policy Characteristics'!$C:$C,0)))</f>
        <v>0.25</v>
      </c>
      <c r="N934" s="398">
        <f>IF(ISBLANK(INDEX('Policy Characteristics'!H:H,MATCH($C934,'Policy Characteristics'!$C:$C,0))),"",INDEX('Policy Characteristics'!H:H,MATCH($C934,'Policy Characteristics'!$C:$C,0)))</f>
        <v>0.01</v>
      </c>
      <c r="O934" s="394" t="str">
        <f>IF(ISBLANK(INDEX('Policy Characteristics'!I:I,MATCH($C934,'Policy Characteristics'!$C:$C,0))),"",INDEX('Policy Characteristics'!I:I,MATCH($C934,'Policy Characteristics'!$C:$C,0)))</f>
        <v>% reduction in energy use</v>
      </c>
      <c r="P934" s="394" t="str">
        <f>IF(ISBLANK(INDEX('Policy Characteristics'!J:J,MATCH($C934,'Policy Characteristics'!$C:$C,0))),"",INDEX('Policy Characteristics'!J:J,MATCH($C934,'Policy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4" s="394" t="str">
        <f>IF(ISBLANK(INDEX('Policy Characteristics'!K:K,MATCH($C934,'Policy Characteristics'!$C:$C,0))),"",INDEX('Policy Characteristics'!K:K,MATCH($C934,'Policy Characteristics'!$C:$C,0)))</f>
        <v>industry-ag-main.html#eff-stds</v>
      </c>
      <c r="R934" s="394" t="str">
        <f>IF(ISBLANK(INDEX('Policy Characteristics'!L:L,MATCH($C934,'Policy Characteristics'!$C:$C,0))),"",INDEX('Policy Characteristics'!L:L,MATCH($C934,'Policy Characteristics'!$C:$C,0)))</f>
        <v>industry-energy-efficiency-standards.html</v>
      </c>
    </row>
    <row r="935" s="384" customFormat="1" customHeight="1" spans="1:18">
      <c r="A935" s="394" t="str">
        <f>IF(ISBLANK(INDEX('Policy Characteristics'!A:A,MATCH($C935,'Policy Characteristics'!$C:$C,0))),"",INDEX('Policy Characteristics'!A:A,MATCH($C935,'Policy Characteristics'!$C:$C,0)))</f>
        <v>Industry</v>
      </c>
      <c r="B935" s="395" t="str">
        <f>IF(ISBLANK(INDEX('Policy Characteristics'!B:B,MATCH($C935,'Policy Characteristics'!$C:$C,0))),"",INDEX('Policy Characteristics'!B:B,MATCH($C935,'Policy Characteristics'!$C:$C,0)))</f>
        <v>Industry Energy Efficiency Standards</v>
      </c>
      <c r="C935" s="394" t="str">
        <f t="shared" si="40"/>
        <v>Percentage Improvement in Eqpt Efficiency Standards above BAU</v>
      </c>
      <c r="D935" s="399" t="s">
        <v>776</v>
      </c>
      <c r="E935" s="399" t="s">
        <v>808</v>
      </c>
      <c r="F935" t="s">
        <v>777</v>
      </c>
      <c r="G935" s="399" t="s">
        <v>820</v>
      </c>
      <c r="H935" s="377">
        <v>1156</v>
      </c>
      <c r="I935" s="396" t="s">
        <v>648</v>
      </c>
      <c r="J935" s="397" t="str">
        <f>IF(ISBLANK(INDEX('Policy Characteristics'!D:D,MATCH($C935,'Policy Characteristics'!$C:$C,0))),"",INDEX('Policy Characteristics'!D:D,MATCH($C935,'Policy Characteristics'!$C:$C,0)))</f>
        <v>Industry Energy Efficiency Standards</v>
      </c>
      <c r="K935" s="394" t="str">
        <f>IF(ISBLANK(INDEX('Policy Characteristics'!E:E,MATCH($C935,'Policy Characteristics'!$C:$C,0))),"",INDEX('Policy Characteristics'!E:E,MATCH($C935,'Policy Characteristics'!$C:$C,0)))</f>
        <v>indst efficiency standards</v>
      </c>
      <c r="L935" s="398">
        <f>IF(ISBLANK(INDEX('Policy Characteristics'!F:F,MATCH($C935,'Policy Characteristics'!$C:$C,0))),"",INDEX('Policy Characteristics'!F:F,MATCH($C935,'Policy Characteristics'!$C:$C,0)))</f>
        <v>0</v>
      </c>
      <c r="M935" s="398">
        <f>IF(ISBLANK(INDEX('Policy Characteristics'!G:G,MATCH($C935,'Policy Characteristics'!$C:$C,0))),"",INDEX('Policy Characteristics'!G:G,MATCH($C935,'Policy Characteristics'!$C:$C,0)))</f>
        <v>0.25</v>
      </c>
      <c r="N935" s="398">
        <f>IF(ISBLANK(INDEX('Policy Characteristics'!H:H,MATCH($C935,'Policy Characteristics'!$C:$C,0))),"",INDEX('Policy Characteristics'!H:H,MATCH($C935,'Policy Characteristics'!$C:$C,0)))</f>
        <v>0.01</v>
      </c>
      <c r="O935" s="394" t="str">
        <f>IF(ISBLANK(INDEX('Policy Characteristics'!I:I,MATCH($C935,'Policy Characteristics'!$C:$C,0))),"",INDEX('Policy Characteristics'!I:I,MATCH($C935,'Policy Characteristics'!$C:$C,0)))</f>
        <v>% reduction in energy use</v>
      </c>
      <c r="P935" s="394" t="str">
        <f>IF(ISBLANK(INDEX('Policy Characteristics'!J:J,MATCH($C935,'Policy Characteristics'!$C:$C,0))),"",INDEX('Policy Characteristics'!J:J,MATCH($C935,'Policy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5" s="394" t="str">
        <f>IF(ISBLANK(INDEX('Policy Characteristics'!K:K,MATCH($C935,'Policy Characteristics'!$C:$C,0))),"",INDEX('Policy Characteristics'!K:K,MATCH($C935,'Policy Characteristics'!$C:$C,0)))</f>
        <v>industry-ag-main.html#eff-stds</v>
      </c>
      <c r="R935" s="394" t="str">
        <f>IF(ISBLANK(INDEX('Policy Characteristics'!L:L,MATCH($C935,'Policy Characteristics'!$C:$C,0))),"",INDEX('Policy Characteristics'!L:L,MATCH($C935,'Policy Characteristics'!$C:$C,0)))</f>
        <v>industry-energy-efficiency-standards.html</v>
      </c>
    </row>
    <row r="936" s="384" customFormat="1" customHeight="1" spans="1:18">
      <c r="A936" s="394" t="str">
        <f>IF(ISBLANK(INDEX('Policy Characteristics'!A:A,MATCH($C936,'Policy Characteristics'!$C:$C,0))),"",INDEX('Policy Characteristics'!A:A,MATCH($C936,'Policy Characteristics'!$C:$C,0)))</f>
        <v>Industry</v>
      </c>
      <c r="B936" s="395" t="str">
        <f>IF(ISBLANK(INDEX('Policy Characteristics'!B:B,MATCH($C936,'Policy Characteristics'!$C:$C,0))),"",INDEX('Policy Characteristics'!B:B,MATCH($C936,'Policy Characteristics'!$C:$C,0)))</f>
        <v>Industry Energy Efficiency Standards</v>
      </c>
      <c r="C936" s="394" t="str">
        <f t="shared" si="40"/>
        <v>Percentage Improvement in Eqpt Efficiency Standards above BAU</v>
      </c>
      <c r="D936" s="399" t="s">
        <v>776</v>
      </c>
      <c r="E936" s="399" t="s">
        <v>810</v>
      </c>
      <c r="F936" t="s">
        <v>777</v>
      </c>
      <c r="G936" s="399" t="s">
        <v>821</v>
      </c>
      <c r="H936" s="377">
        <v>1157</v>
      </c>
      <c r="I936" s="396" t="s">
        <v>648</v>
      </c>
      <c r="J936" s="397" t="str">
        <f>IF(ISBLANK(INDEX('Policy Characteristics'!D:D,MATCH($C936,'Policy Characteristics'!$C:$C,0))),"",INDEX('Policy Characteristics'!D:D,MATCH($C936,'Policy Characteristics'!$C:$C,0)))</f>
        <v>Industry Energy Efficiency Standards</v>
      </c>
      <c r="K936" s="394" t="str">
        <f>IF(ISBLANK(INDEX('Policy Characteristics'!E:E,MATCH($C936,'Policy Characteristics'!$C:$C,0))),"",INDEX('Policy Characteristics'!E:E,MATCH($C936,'Policy Characteristics'!$C:$C,0)))</f>
        <v>indst efficiency standards</v>
      </c>
      <c r="L936" s="398">
        <f>IF(ISBLANK(INDEX('Policy Characteristics'!F:F,MATCH($C936,'Policy Characteristics'!$C:$C,0))),"",INDEX('Policy Characteristics'!F:F,MATCH($C936,'Policy Characteristics'!$C:$C,0)))</f>
        <v>0</v>
      </c>
      <c r="M936" s="398">
        <f>IF(ISBLANK(INDEX('Policy Characteristics'!G:G,MATCH($C936,'Policy Characteristics'!$C:$C,0))),"",INDEX('Policy Characteristics'!G:G,MATCH($C936,'Policy Characteristics'!$C:$C,0)))</f>
        <v>0.25</v>
      </c>
      <c r="N936" s="398">
        <f>IF(ISBLANK(INDEX('Policy Characteristics'!H:H,MATCH($C936,'Policy Characteristics'!$C:$C,0))),"",INDEX('Policy Characteristics'!H:H,MATCH($C936,'Policy Characteristics'!$C:$C,0)))</f>
        <v>0.01</v>
      </c>
      <c r="O936" s="394" t="str">
        <f>IF(ISBLANK(INDEX('Policy Characteristics'!I:I,MATCH($C936,'Policy Characteristics'!$C:$C,0))),"",INDEX('Policy Characteristics'!I:I,MATCH($C936,'Policy Characteristics'!$C:$C,0)))</f>
        <v>% reduction in energy use</v>
      </c>
      <c r="P936" s="394" t="str">
        <f>IF(ISBLANK(INDEX('Policy Characteristics'!J:J,MATCH($C936,'Policy Characteristics'!$C:$C,0))),"",INDEX('Policy Characteristics'!J:J,MATCH($C936,'Policy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6" s="394" t="str">
        <f>IF(ISBLANK(INDEX('Policy Characteristics'!K:K,MATCH($C936,'Policy Characteristics'!$C:$C,0))),"",INDEX('Policy Characteristics'!K:K,MATCH($C936,'Policy Characteristics'!$C:$C,0)))</f>
        <v>industry-ag-main.html#eff-stds</v>
      </c>
      <c r="R936" s="394" t="str">
        <f>IF(ISBLANK(INDEX('Policy Characteristics'!L:L,MATCH($C936,'Policy Characteristics'!$C:$C,0))),"",INDEX('Policy Characteristics'!L:L,MATCH($C936,'Policy Characteristics'!$C:$C,0)))</f>
        <v>industry-energy-efficiency-standards.html</v>
      </c>
    </row>
    <row r="937" s="384" customFormat="1" customHeight="1" spans="1:18">
      <c r="A937" s="394" t="str">
        <f>IF(ISBLANK(INDEX('Policy Characteristics'!A:A,MATCH($C937,'Policy Characteristics'!$C:$C,0))),"",INDEX('Policy Characteristics'!A:A,MATCH($C937,'Policy Characteristics'!$C:$C,0)))</f>
        <v>Industry</v>
      </c>
      <c r="B937" s="395" t="str">
        <f>IF(ISBLANK(INDEX('Policy Characteristics'!B:B,MATCH($C937,'Policy Characteristics'!$C:$C,0))),"",INDEX('Policy Characteristics'!B:B,MATCH($C937,'Policy Characteristics'!$C:$C,0)))</f>
        <v>Industry Energy Efficiency Standards</v>
      </c>
      <c r="C937" s="394" t="str">
        <f t="shared" si="40"/>
        <v>Percentage Improvement in Eqpt Efficiency Standards above BAU</v>
      </c>
      <c r="D937" s="399" t="s">
        <v>778</v>
      </c>
      <c r="E937" s="399" t="s">
        <v>792</v>
      </c>
      <c r="F937" t="s">
        <v>779</v>
      </c>
      <c r="G937" s="399" t="s">
        <v>812</v>
      </c>
      <c r="H937" s="377">
        <v>1158</v>
      </c>
      <c r="I937" s="396" t="s">
        <v>648</v>
      </c>
      <c r="J937" s="397" t="str">
        <f>IF(ISBLANK(INDEX('Policy Characteristics'!D:D,MATCH($C937,'Policy Characteristics'!$C:$C,0))),"",INDEX('Policy Characteristics'!D:D,MATCH($C937,'Policy Characteristics'!$C:$C,0)))</f>
        <v>Industry Energy Efficiency Standards</v>
      </c>
      <c r="K937" s="394" t="str">
        <f>IF(ISBLANK(INDEX('Policy Characteristics'!E:E,MATCH($C937,'Policy Characteristics'!$C:$C,0))),"",INDEX('Policy Characteristics'!E:E,MATCH($C937,'Policy Characteristics'!$C:$C,0)))</f>
        <v>indst efficiency standards</v>
      </c>
      <c r="L937" s="398">
        <f>IF(ISBLANK(INDEX('Policy Characteristics'!F:F,MATCH($C937,'Policy Characteristics'!$C:$C,0))),"",INDEX('Policy Characteristics'!F:F,MATCH($C937,'Policy Characteristics'!$C:$C,0)))</f>
        <v>0</v>
      </c>
      <c r="M937" s="398">
        <f>IF(ISBLANK(INDEX('Policy Characteristics'!G:G,MATCH($C937,'Policy Characteristics'!$C:$C,0))),"",INDEX('Policy Characteristics'!G:G,MATCH($C937,'Policy Characteristics'!$C:$C,0)))</f>
        <v>0.25</v>
      </c>
      <c r="N937" s="398">
        <f>IF(ISBLANK(INDEX('Policy Characteristics'!H:H,MATCH($C937,'Policy Characteristics'!$C:$C,0))),"",INDEX('Policy Characteristics'!H:H,MATCH($C937,'Policy Characteristics'!$C:$C,0)))</f>
        <v>0.01</v>
      </c>
      <c r="O937" s="394" t="str">
        <f>IF(ISBLANK(INDEX('Policy Characteristics'!I:I,MATCH($C937,'Policy Characteristics'!$C:$C,0))),"",INDEX('Policy Characteristics'!I:I,MATCH($C937,'Policy Characteristics'!$C:$C,0)))</f>
        <v>% reduction in energy use</v>
      </c>
      <c r="P937" s="394" t="str">
        <f>IF(ISBLANK(INDEX('Policy Characteristics'!J:J,MATCH($C937,'Policy Characteristics'!$C:$C,0))),"",INDEX('Policy Characteristics'!J:J,MATCH($C937,'Policy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7" s="394" t="str">
        <f>IF(ISBLANK(INDEX('Policy Characteristics'!K:K,MATCH($C937,'Policy Characteristics'!$C:$C,0))),"",INDEX('Policy Characteristics'!K:K,MATCH($C937,'Policy Characteristics'!$C:$C,0)))</f>
        <v>industry-ag-main.html#eff-stds</v>
      </c>
      <c r="R937" s="394" t="str">
        <f>IF(ISBLANK(INDEX('Policy Characteristics'!L:L,MATCH($C937,'Policy Characteristics'!$C:$C,0))),"",INDEX('Policy Characteristics'!L:L,MATCH($C937,'Policy Characteristics'!$C:$C,0)))</f>
        <v>industry-energy-efficiency-standards.html</v>
      </c>
    </row>
    <row r="938" s="384" customFormat="1" customHeight="1" spans="1:18">
      <c r="A938" s="394" t="str">
        <f>IF(ISBLANK(INDEX('Policy Characteristics'!A:A,MATCH($C938,'Policy Characteristics'!$C:$C,0))),"",INDEX('Policy Characteristics'!A:A,MATCH($C938,'Policy Characteristics'!$C:$C,0)))</f>
        <v>Industry</v>
      </c>
      <c r="B938" s="395" t="str">
        <f>IF(ISBLANK(INDEX('Policy Characteristics'!B:B,MATCH($C938,'Policy Characteristics'!$C:$C,0))),"",INDEX('Policy Characteristics'!B:B,MATCH($C938,'Policy Characteristics'!$C:$C,0)))</f>
        <v>Industry Energy Efficiency Standards</v>
      </c>
      <c r="C938" s="394" t="str">
        <f t="shared" si="40"/>
        <v>Percentage Improvement in Eqpt Efficiency Standards above BAU</v>
      </c>
      <c r="D938" s="399" t="s">
        <v>778</v>
      </c>
      <c r="E938" s="399" t="s">
        <v>794</v>
      </c>
      <c r="F938" t="s">
        <v>779</v>
      </c>
      <c r="G938" s="399" t="s">
        <v>813</v>
      </c>
      <c r="H938" s="377">
        <v>1159</v>
      </c>
      <c r="I938" s="396" t="s">
        <v>648</v>
      </c>
      <c r="J938" s="397" t="str">
        <f>IF(ISBLANK(INDEX('Policy Characteristics'!D:D,MATCH($C938,'Policy Characteristics'!$C:$C,0))),"",INDEX('Policy Characteristics'!D:D,MATCH($C938,'Policy Characteristics'!$C:$C,0)))</f>
        <v>Industry Energy Efficiency Standards</v>
      </c>
      <c r="K938" s="394" t="str">
        <f>IF(ISBLANK(INDEX('Policy Characteristics'!E:E,MATCH($C938,'Policy Characteristics'!$C:$C,0))),"",INDEX('Policy Characteristics'!E:E,MATCH($C938,'Policy Characteristics'!$C:$C,0)))</f>
        <v>indst efficiency standards</v>
      </c>
      <c r="L938" s="398">
        <f>IF(ISBLANK(INDEX('Policy Characteristics'!F:F,MATCH($C938,'Policy Characteristics'!$C:$C,0))),"",INDEX('Policy Characteristics'!F:F,MATCH($C938,'Policy Characteristics'!$C:$C,0)))</f>
        <v>0</v>
      </c>
      <c r="M938" s="398">
        <f>IF(ISBLANK(INDEX('Policy Characteristics'!G:G,MATCH($C938,'Policy Characteristics'!$C:$C,0))),"",INDEX('Policy Characteristics'!G:G,MATCH($C938,'Policy Characteristics'!$C:$C,0)))</f>
        <v>0.25</v>
      </c>
      <c r="N938" s="398">
        <f>IF(ISBLANK(INDEX('Policy Characteristics'!H:H,MATCH($C938,'Policy Characteristics'!$C:$C,0))),"",INDEX('Policy Characteristics'!H:H,MATCH($C938,'Policy Characteristics'!$C:$C,0)))</f>
        <v>0.01</v>
      </c>
      <c r="O938" s="394" t="str">
        <f>IF(ISBLANK(INDEX('Policy Characteristics'!I:I,MATCH($C938,'Policy Characteristics'!$C:$C,0))),"",INDEX('Policy Characteristics'!I:I,MATCH($C938,'Policy Characteristics'!$C:$C,0)))</f>
        <v>% reduction in energy use</v>
      </c>
      <c r="P938" s="394" t="str">
        <f>IF(ISBLANK(INDEX('Policy Characteristics'!J:J,MATCH($C938,'Policy Characteristics'!$C:$C,0))),"",INDEX('Policy Characteristics'!J:J,MATCH($C938,'Policy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8" s="394" t="str">
        <f>IF(ISBLANK(INDEX('Policy Characteristics'!K:K,MATCH($C938,'Policy Characteristics'!$C:$C,0))),"",INDEX('Policy Characteristics'!K:K,MATCH($C938,'Policy Characteristics'!$C:$C,0)))</f>
        <v>industry-ag-main.html#eff-stds</v>
      </c>
      <c r="R938" s="394" t="str">
        <f>IF(ISBLANK(INDEX('Policy Characteristics'!L:L,MATCH($C938,'Policy Characteristics'!$C:$C,0))),"",INDEX('Policy Characteristics'!L:L,MATCH($C938,'Policy Characteristics'!$C:$C,0)))</f>
        <v>industry-energy-efficiency-standards.html</v>
      </c>
    </row>
    <row r="939" s="384" customFormat="1" customHeight="1" spans="1:18">
      <c r="A939" s="394" t="str">
        <f>IF(ISBLANK(INDEX('Policy Characteristics'!A:A,MATCH($C939,'Policy Characteristics'!$C:$C,0))),"",INDEX('Policy Characteristics'!A:A,MATCH($C939,'Policy Characteristics'!$C:$C,0)))</f>
        <v>Industry</v>
      </c>
      <c r="B939" s="395" t="str">
        <f>IF(ISBLANK(INDEX('Policy Characteristics'!B:B,MATCH($C939,'Policy Characteristics'!$C:$C,0))),"",INDEX('Policy Characteristics'!B:B,MATCH($C939,'Policy Characteristics'!$C:$C,0)))</f>
        <v>Industry Energy Efficiency Standards</v>
      </c>
      <c r="C939" s="394" t="str">
        <f t="shared" si="40"/>
        <v>Percentage Improvement in Eqpt Efficiency Standards above BAU</v>
      </c>
      <c r="D939" s="399" t="s">
        <v>778</v>
      </c>
      <c r="E939" s="399" t="s">
        <v>796</v>
      </c>
      <c r="F939" t="s">
        <v>779</v>
      </c>
      <c r="G939" s="399" t="s">
        <v>814</v>
      </c>
      <c r="H939" s="377">
        <v>1160</v>
      </c>
      <c r="I939" s="396" t="s">
        <v>648</v>
      </c>
      <c r="J939" s="397" t="str">
        <f>IF(ISBLANK(INDEX('Policy Characteristics'!D:D,MATCH($C939,'Policy Characteristics'!$C:$C,0))),"",INDEX('Policy Characteristics'!D:D,MATCH($C939,'Policy Characteristics'!$C:$C,0)))</f>
        <v>Industry Energy Efficiency Standards</v>
      </c>
      <c r="K939" s="394" t="str">
        <f>IF(ISBLANK(INDEX('Policy Characteristics'!E:E,MATCH($C939,'Policy Characteristics'!$C:$C,0))),"",INDEX('Policy Characteristics'!E:E,MATCH($C939,'Policy Characteristics'!$C:$C,0)))</f>
        <v>indst efficiency standards</v>
      </c>
      <c r="L939" s="398">
        <f>IF(ISBLANK(INDEX('Policy Characteristics'!F:F,MATCH($C939,'Policy Characteristics'!$C:$C,0))),"",INDEX('Policy Characteristics'!F:F,MATCH($C939,'Policy Characteristics'!$C:$C,0)))</f>
        <v>0</v>
      </c>
      <c r="M939" s="398">
        <f>IF(ISBLANK(INDEX('Policy Characteristics'!G:G,MATCH($C939,'Policy Characteristics'!$C:$C,0))),"",INDEX('Policy Characteristics'!G:G,MATCH($C939,'Policy Characteristics'!$C:$C,0)))</f>
        <v>0.25</v>
      </c>
      <c r="N939" s="398">
        <f>IF(ISBLANK(INDEX('Policy Characteristics'!H:H,MATCH($C939,'Policy Characteristics'!$C:$C,0))),"",INDEX('Policy Characteristics'!H:H,MATCH($C939,'Policy Characteristics'!$C:$C,0)))</f>
        <v>0.01</v>
      </c>
      <c r="O939" s="394" t="str">
        <f>IF(ISBLANK(INDEX('Policy Characteristics'!I:I,MATCH($C939,'Policy Characteristics'!$C:$C,0))),"",INDEX('Policy Characteristics'!I:I,MATCH($C939,'Policy Characteristics'!$C:$C,0)))</f>
        <v>% reduction in energy use</v>
      </c>
      <c r="P939" s="394" t="str">
        <f>IF(ISBLANK(INDEX('Policy Characteristics'!J:J,MATCH($C939,'Policy Characteristics'!$C:$C,0))),"",INDEX('Policy Characteristics'!J:J,MATCH($C939,'Policy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9" s="394" t="str">
        <f>IF(ISBLANK(INDEX('Policy Characteristics'!K:K,MATCH($C939,'Policy Characteristics'!$C:$C,0))),"",INDEX('Policy Characteristics'!K:K,MATCH($C939,'Policy Characteristics'!$C:$C,0)))</f>
        <v>industry-ag-main.html#eff-stds</v>
      </c>
      <c r="R939" s="394" t="str">
        <f>IF(ISBLANK(INDEX('Policy Characteristics'!L:L,MATCH($C939,'Policy Characteristics'!$C:$C,0))),"",INDEX('Policy Characteristics'!L:L,MATCH($C939,'Policy Characteristics'!$C:$C,0)))</f>
        <v>industry-energy-efficiency-standards.html</v>
      </c>
    </row>
    <row r="940" s="384" customFormat="1" customHeight="1" spans="1:18">
      <c r="A940" s="394" t="str">
        <f>IF(ISBLANK(INDEX('Policy Characteristics'!A:A,MATCH($C940,'Policy Characteristics'!$C:$C,0))),"",INDEX('Policy Characteristics'!A:A,MATCH($C940,'Policy Characteristics'!$C:$C,0)))</f>
        <v>Industry</v>
      </c>
      <c r="B940" s="395" t="str">
        <f>IF(ISBLANK(INDEX('Policy Characteristics'!B:B,MATCH($C940,'Policy Characteristics'!$C:$C,0))),"",INDEX('Policy Characteristics'!B:B,MATCH($C940,'Policy Characteristics'!$C:$C,0)))</f>
        <v>Industry Energy Efficiency Standards</v>
      </c>
      <c r="C940" s="394" t="str">
        <f t="shared" si="40"/>
        <v>Percentage Improvement in Eqpt Efficiency Standards above BAU</v>
      </c>
      <c r="D940" s="399" t="s">
        <v>778</v>
      </c>
      <c r="E940" s="399" t="s">
        <v>798</v>
      </c>
      <c r="F940" t="s">
        <v>779</v>
      </c>
      <c r="G940" s="399" t="s">
        <v>815</v>
      </c>
      <c r="H940" s="377">
        <v>1161</v>
      </c>
      <c r="I940" s="396" t="s">
        <v>648</v>
      </c>
      <c r="J940" s="397" t="str">
        <f>IF(ISBLANK(INDEX('Policy Characteristics'!D:D,MATCH($C940,'Policy Characteristics'!$C:$C,0))),"",INDEX('Policy Characteristics'!D:D,MATCH($C940,'Policy Characteristics'!$C:$C,0)))</f>
        <v>Industry Energy Efficiency Standards</v>
      </c>
      <c r="K940" s="394" t="str">
        <f>IF(ISBLANK(INDEX('Policy Characteristics'!E:E,MATCH($C940,'Policy Characteristics'!$C:$C,0))),"",INDEX('Policy Characteristics'!E:E,MATCH($C940,'Policy Characteristics'!$C:$C,0)))</f>
        <v>indst efficiency standards</v>
      </c>
      <c r="L940" s="398">
        <f>IF(ISBLANK(INDEX('Policy Characteristics'!F:F,MATCH($C940,'Policy Characteristics'!$C:$C,0))),"",INDEX('Policy Characteristics'!F:F,MATCH($C940,'Policy Characteristics'!$C:$C,0)))</f>
        <v>0</v>
      </c>
      <c r="M940" s="398">
        <f>IF(ISBLANK(INDEX('Policy Characteristics'!G:G,MATCH($C940,'Policy Characteristics'!$C:$C,0))),"",INDEX('Policy Characteristics'!G:G,MATCH($C940,'Policy Characteristics'!$C:$C,0)))</f>
        <v>0.25</v>
      </c>
      <c r="N940" s="398">
        <f>IF(ISBLANK(INDEX('Policy Characteristics'!H:H,MATCH($C940,'Policy Characteristics'!$C:$C,0))),"",INDEX('Policy Characteristics'!H:H,MATCH($C940,'Policy Characteristics'!$C:$C,0)))</f>
        <v>0.01</v>
      </c>
      <c r="O940" s="394" t="str">
        <f>IF(ISBLANK(INDEX('Policy Characteristics'!I:I,MATCH($C940,'Policy Characteristics'!$C:$C,0))),"",INDEX('Policy Characteristics'!I:I,MATCH($C940,'Policy Characteristics'!$C:$C,0)))</f>
        <v>% reduction in energy use</v>
      </c>
      <c r="P940" s="394" t="str">
        <f>IF(ISBLANK(INDEX('Policy Characteristics'!J:J,MATCH($C940,'Policy Characteristics'!$C:$C,0))),"",INDEX('Policy Characteristics'!J:J,MATCH($C940,'Policy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0" s="394" t="str">
        <f>IF(ISBLANK(INDEX('Policy Characteristics'!K:K,MATCH($C940,'Policy Characteristics'!$C:$C,0))),"",INDEX('Policy Characteristics'!K:K,MATCH($C940,'Policy Characteristics'!$C:$C,0)))</f>
        <v>industry-ag-main.html#eff-stds</v>
      </c>
      <c r="R940" s="394" t="str">
        <f>IF(ISBLANK(INDEX('Policy Characteristics'!L:L,MATCH($C940,'Policy Characteristics'!$C:$C,0))),"",INDEX('Policy Characteristics'!L:L,MATCH($C940,'Policy Characteristics'!$C:$C,0)))</f>
        <v>industry-energy-efficiency-standards.html</v>
      </c>
    </row>
    <row r="941" s="384" customFormat="1" customHeight="1" spans="1:18">
      <c r="A941" s="394" t="str">
        <f>IF(ISBLANK(INDEX('Policy Characteristics'!A:A,MATCH($C941,'Policy Characteristics'!$C:$C,0))),"",INDEX('Policy Characteristics'!A:A,MATCH($C941,'Policy Characteristics'!$C:$C,0)))</f>
        <v>Industry</v>
      </c>
      <c r="B941" s="395" t="str">
        <f>IF(ISBLANK(INDEX('Policy Characteristics'!B:B,MATCH($C941,'Policy Characteristics'!$C:$C,0))),"",INDEX('Policy Characteristics'!B:B,MATCH($C941,'Policy Characteristics'!$C:$C,0)))</f>
        <v>Industry Energy Efficiency Standards</v>
      </c>
      <c r="C941" s="394" t="str">
        <f t="shared" si="40"/>
        <v>Percentage Improvement in Eqpt Efficiency Standards above BAU</v>
      </c>
      <c r="D941" s="399" t="s">
        <v>778</v>
      </c>
      <c r="E941" s="399" t="s">
        <v>800</v>
      </c>
      <c r="F941" t="s">
        <v>779</v>
      </c>
      <c r="G941" s="399" t="s">
        <v>816</v>
      </c>
      <c r="H941" s="377">
        <v>1162</v>
      </c>
      <c r="I941" s="396" t="s">
        <v>648</v>
      </c>
      <c r="J941" s="397" t="str">
        <f>IF(ISBLANK(INDEX('Policy Characteristics'!D:D,MATCH($C941,'Policy Characteristics'!$C:$C,0))),"",INDEX('Policy Characteristics'!D:D,MATCH($C941,'Policy Characteristics'!$C:$C,0)))</f>
        <v>Industry Energy Efficiency Standards</v>
      </c>
      <c r="K941" s="394" t="str">
        <f>IF(ISBLANK(INDEX('Policy Characteristics'!E:E,MATCH($C941,'Policy Characteristics'!$C:$C,0))),"",INDEX('Policy Characteristics'!E:E,MATCH($C941,'Policy Characteristics'!$C:$C,0)))</f>
        <v>indst efficiency standards</v>
      </c>
      <c r="L941" s="398">
        <f>IF(ISBLANK(INDEX('Policy Characteristics'!F:F,MATCH($C941,'Policy Characteristics'!$C:$C,0))),"",INDEX('Policy Characteristics'!F:F,MATCH($C941,'Policy Characteristics'!$C:$C,0)))</f>
        <v>0</v>
      </c>
      <c r="M941" s="398">
        <f>IF(ISBLANK(INDEX('Policy Characteristics'!G:G,MATCH($C941,'Policy Characteristics'!$C:$C,0))),"",INDEX('Policy Characteristics'!G:G,MATCH($C941,'Policy Characteristics'!$C:$C,0)))</f>
        <v>0.25</v>
      </c>
      <c r="N941" s="398">
        <f>IF(ISBLANK(INDEX('Policy Characteristics'!H:H,MATCH($C941,'Policy Characteristics'!$C:$C,0))),"",INDEX('Policy Characteristics'!H:H,MATCH($C941,'Policy Characteristics'!$C:$C,0)))</f>
        <v>0.01</v>
      </c>
      <c r="O941" s="394" t="str">
        <f>IF(ISBLANK(INDEX('Policy Characteristics'!I:I,MATCH($C941,'Policy Characteristics'!$C:$C,0))),"",INDEX('Policy Characteristics'!I:I,MATCH($C941,'Policy Characteristics'!$C:$C,0)))</f>
        <v>% reduction in energy use</v>
      </c>
      <c r="P941" s="394" t="str">
        <f>IF(ISBLANK(INDEX('Policy Characteristics'!J:J,MATCH($C941,'Policy Characteristics'!$C:$C,0))),"",INDEX('Policy Characteristics'!J:J,MATCH($C941,'Policy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1" s="394" t="str">
        <f>IF(ISBLANK(INDEX('Policy Characteristics'!K:K,MATCH($C941,'Policy Characteristics'!$C:$C,0))),"",INDEX('Policy Characteristics'!K:K,MATCH($C941,'Policy Characteristics'!$C:$C,0)))</f>
        <v>industry-ag-main.html#eff-stds</v>
      </c>
      <c r="R941" s="394" t="str">
        <f>IF(ISBLANK(INDEX('Policy Characteristics'!L:L,MATCH($C941,'Policy Characteristics'!$C:$C,0))),"",INDEX('Policy Characteristics'!L:L,MATCH($C941,'Policy Characteristics'!$C:$C,0)))</f>
        <v>industry-energy-efficiency-standards.html</v>
      </c>
    </row>
    <row r="942" s="384" customFormat="1" customHeight="1" spans="1:18">
      <c r="A942" s="394" t="str">
        <f>IF(ISBLANK(INDEX('Policy Characteristics'!A:A,MATCH($C942,'Policy Characteristics'!$C:$C,0))),"",INDEX('Policy Characteristics'!A:A,MATCH($C942,'Policy Characteristics'!$C:$C,0)))</f>
        <v>Industry</v>
      </c>
      <c r="B942" s="395" t="str">
        <f>IF(ISBLANK(INDEX('Policy Characteristics'!B:B,MATCH($C942,'Policy Characteristics'!$C:$C,0))),"",INDEX('Policy Characteristics'!B:B,MATCH($C942,'Policy Characteristics'!$C:$C,0)))</f>
        <v>Industry Energy Efficiency Standards</v>
      </c>
      <c r="C942" s="394" t="str">
        <f t="shared" si="40"/>
        <v>Percentage Improvement in Eqpt Efficiency Standards above BAU</v>
      </c>
      <c r="D942" s="399" t="s">
        <v>778</v>
      </c>
      <c r="E942" s="399" t="s">
        <v>802</v>
      </c>
      <c r="F942" t="s">
        <v>779</v>
      </c>
      <c r="G942" s="399" t="s">
        <v>817</v>
      </c>
      <c r="H942" s="377">
        <v>1163</v>
      </c>
      <c r="I942" s="396" t="s">
        <v>648</v>
      </c>
      <c r="J942" s="397" t="str">
        <f>IF(ISBLANK(INDEX('Policy Characteristics'!D:D,MATCH($C942,'Policy Characteristics'!$C:$C,0))),"",INDEX('Policy Characteristics'!D:D,MATCH($C942,'Policy Characteristics'!$C:$C,0)))</f>
        <v>Industry Energy Efficiency Standards</v>
      </c>
      <c r="K942" s="394" t="str">
        <f>IF(ISBLANK(INDEX('Policy Characteristics'!E:E,MATCH($C942,'Policy Characteristics'!$C:$C,0))),"",INDEX('Policy Characteristics'!E:E,MATCH($C942,'Policy Characteristics'!$C:$C,0)))</f>
        <v>indst efficiency standards</v>
      </c>
      <c r="L942" s="398">
        <f>IF(ISBLANK(INDEX('Policy Characteristics'!F:F,MATCH($C942,'Policy Characteristics'!$C:$C,0))),"",INDEX('Policy Characteristics'!F:F,MATCH($C942,'Policy Characteristics'!$C:$C,0)))</f>
        <v>0</v>
      </c>
      <c r="M942" s="398">
        <f>IF(ISBLANK(INDEX('Policy Characteristics'!G:G,MATCH($C942,'Policy Characteristics'!$C:$C,0))),"",INDEX('Policy Characteristics'!G:G,MATCH($C942,'Policy Characteristics'!$C:$C,0)))</f>
        <v>0.25</v>
      </c>
      <c r="N942" s="398">
        <f>IF(ISBLANK(INDEX('Policy Characteristics'!H:H,MATCH($C942,'Policy Characteristics'!$C:$C,0))),"",INDEX('Policy Characteristics'!H:H,MATCH($C942,'Policy Characteristics'!$C:$C,0)))</f>
        <v>0.01</v>
      </c>
      <c r="O942" s="394" t="str">
        <f>IF(ISBLANK(INDEX('Policy Characteristics'!I:I,MATCH($C942,'Policy Characteristics'!$C:$C,0))),"",INDEX('Policy Characteristics'!I:I,MATCH($C942,'Policy Characteristics'!$C:$C,0)))</f>
        <v>% reduction in energy use</v>
      </c>
      <c r="P942" s="394" t="str">
        <f>IF(ISBLANK(INDEX('Policy Characteristics'!J:J,MATCH($C942,'Policy Characteristics'!$C:$C,0))),"",INDEX('Policy Characteristics'!J:J,MATCH($C942,'Policy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2" s="394" t="str">
        <f>IF(ISBLANK(INDEX('Policy Characteristics'!K:K,MATCH($C942,'Policy Characteristics'!$C:$C,0))),"",INDEX('Policy Characteristics'!K:K,MATCH($C942,'Policy Characteristics'!$C:$C,0)))</f>
        <v>industry-ag-main.html#eff-stds</v>
      </c>
      <c r="R942" s="394" t="str">
        <f>IF(ISBLANK(INDEX('Policy Characteristics'!L:L,MATCH($C942,'Policy Characteristics'!$C:$C,0))),"",INDEX('Policy Characteristics'!L:L,MATCH($C942,'Policy Characteristics'!$C:$C,0)))</f>
        <v>industry-energy-efficiency-standards.html</v>
      </c>
    </row>
    <row r="943" s="384" customFormat="1" customHeight="1" spans="1:18">
      <c r="A943" s="394" t="str">
        <f>IF(ISBLANK(INDEX('Policy Characteristics'!A:A,MATCH($C943,'Policy Characteristics'!$C:$C,0))),"",INDEX('Policy Characteristics'!A:A,MATCH($C943,'Policy Characteristics'!$C:$C,0)))</f>
        <v>Industry</v>
      </c>
      <c r="B943" s="395" t="str">
        <f>IF(ISBLANK(INDEX('Policy Characteristics'!B:B,MATCH($C943,'Policy Characteristics'!$C:$C,0))),"",INDEX('Policy Characteristics'!B:B,MATCH($C943,'Policy Characteristics'!$C:$C,0)))</f>
        <v>Industry Energy Efficiency Standards</v>
      </c>
      <c r="C943" s="394" t="str">
        <f t="shared" si="40"/>
        <v>Percentage Improvement in Eqpt Efficiency Standards above BAU</v>
      </c>
      <c r="D943" s="399" t="s">
        <v>778</v>
      </c>
      <c r="E943" s="399" t="s">
        <v>804</v>
      </c>
      <c r="F943" t="s">
        <v>779</v>
      </c>
      <c r="G943" s="399" t="s">
        <v>818</v>
      </c>
      <c r="H943" s="377">
        <v>1164</v>
      </c>
      <c r="I943" s="396" t="s">
        <v>648</v>
      </c>
      <c r="J943" s="397" t="str">
        <f>IF(ISBLANK(INDEX('Policy Characteristics'!D:D,MATCH($C943,'Policy Characteristics'!$C:$C,0))),"",INDEX('Policy Characteristics'!D:D,MATCH($C943,'Policy Characteristics'!$C:$C,0)))</f>
        <v>Industry Energy Efficiency Standards</v>
      </c>
      <c r="K943" s="394" t="str">
        <f>IF(ISBLANK(INDEX('Policy Characteristics'!E:E,MATCH($C943,'Policy Characteristics'!$C:$C,0))),"",INDEX('Policy Characteristics'!E:E,MATCH($C943,'Policy Characteristics'!$C:$C,0)))</f>
        <v>indst efficiency standards</v>
      </c>
      <c r="L943" s="398">
        <f>IF(ISBLANK(INDEX('Policy Characteristics'!F:F,MATCH($C943,'Policy Characteristics'!$C:$C,0))),"",INDEX('Policy Characteristics'!F:F,MATCH($C943,'Policy Characteristics'!$C:$C,0)))</f>
        <v>0</v>
      </c>
      <c r="M943" s="398">
        <f>IF(ISBLANK(INDEX('Policy Characteristics'!G:G,MATCH($C943,'Policy Characteristics'!$C:$C,0))),"",INDEX('Policy Characteristics'!G:G,MATCH($C943,'Policy Characteristics'!$C:$C,0)))</f>
        <v>0.25</v>
      </c>
      <c r="N943" s="398">
        <f>IF(ISBLANK(INDEX('Policy Characteristics'!H:H,MATCH($C943,'Policy Characteristics'!$C:$C,0))),"",INDEX('Policy Characteristics'!H:H,MATCH($C943,'Policy Characteristics'!$C:$C,0)))</f>
        <v>0.01</v>
      </c>
      <c r="O943" s="394" t="str">
        <f>IF(ISBLANK(INDEX('Policy Characteristics'!I:I,MATCH($C943,'Policy Characteristics'!$C:$C,0))),"",INDEX('Policy Characteristics'!I:I,MATCH($C943,'Policy Characteristics'!$C:$C,0)))</f>
        <v>% reduction in energy use</v>
      </c>
      <c r="P943" s="394" t="str">
        <f>IF(ISBLANK(INDEX('Policy Characteristics'!J:J,MATCH($C943,'Policy Characteristics'!$C:$C,0))),"",INDEX('Policy Characteristics'!J:J,MATCH($C943,'Policy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3" s="394" t="str">
        <f>IF(ISBLANK(INDEX('Policy Characteristics'!K:K,MATCH($C943,'Policy Characteristics'!$C:$C,0))),"",INDEX('Policy Characteristics'!K:K,MATCH($C943,'Policy Characteristics'!$C:$C,0)))</f>
        <v>industry-ag-main.html#eff-stds</v>
      </c>
      <c r="R943" s="394" t="str">
        <f>IF(ISBLANK(INDEX('Policy Characteristics'!L:L,MATCH($C943,'Policy Characteristics'!$C:$C,0))),"",INDEX('Policy Characteristics'!L:L,MATCH($C943,'Policy Characteristics'!$C:$C,0)))</f>
        <v>industry-energy-efficiency-standards.html</v>
      </c>
    </row>
    <row r="944" s="384" customFormat="1" customHeight="1" spans="1:18">
      <c r="A944" s="394" t="str">
        <f>IF(ISBLANK(INDEX('Policy Characteristics'!A:A,MATCH($C944,'Policy Characteristics'!$C:$C,0))),"",INDEX('Policy Characteristics'!A:A,MATCH($C944,'Policy Characteristics'!$C:$C,0)))</f>
        <v>Industry</v>
      </c>
      <c r="B944" s="395" t="str">
        <f>IF(ISBLANK(INDEX('Policy Characteristics'!B:B,MATCH($C944,'Policy Characteristics'!$C:$C,0))),"",INDEX('Policy Characteristics'!B:B,MATCH($C944,'Policy Characteristics'!$C:$C,0)))</f>
        <v>Industry Energy Efficiency Standards</v>
      </c>
      <c r="C944" s="394" t="str">
        <f t="shared" si="40"/>
        <v>Percentage Improvement in Eqpt Efficiency Standards above BAU</v>
      </c>
      <c r="D944" s="399" t="s">
        <v>778</v>
      </c>
      <c r="E944" s="399" t="s">
        <v>806</v>
      </c>
      <c r="F944" t="s">
        <v>779</v>
      </c>
      <c r="G944" s="399" t="s">
        <v>819</v>
      </c>
      <c r="H944" s="377">
        <v>1165</v>
      </c>
      <c r="I944" s="396" t="s">
        <v>648</v>
      </c>
      <c r="J944" s="397" t="str">
        <f>IF(ISBLANK(INDEX('Policy Characteristics'!D:D,MATCH($C944,'Policy Characteristics'!$C:$C,0))),"",INDEX('Policy Characteristics'!D:D,MATCH($C944,'Policy Characteristics'!$C:$C,0)))</f>
        <v>Industry Energy Efficiency Standards</v>
      </c>
      <c r="K944" s="394" t="str">
        <f>IF(ISBLANK(INDEX('Policy Characteristics'!E:E,MATCH($C944,'Policy Characteristics'!$C:$C,0))),"",INDEX('Policy Characteristics'!E:E,MATCH($C944,'Policy Characteristics'!$C:$C,0)))</f>
        <v>indst efficiency standards</v>
      </c>
      <c r="L944" s="398">
        <f>IF(ISBLANK(INDEX('Policy Characteristics'!F:F,MATCH($C944,'Policy Characteristics'!$C:$C,0))),"",INDEX('Policy Characteristics'!F:F,MATCH($C944,'Policy Characteristics'!$C:$C,0)))</f>
        <v>0</v>
      </c>
      <c r="M944" s="398">
        <f>IF(ISBLANK(INDEX('Policy Characteristics'!G:G,MATCH($C944,'Policy Characteristics'!$C:$C,0))),"",INDEX('Policy Characteristics'!G:G,MATCH($C944,'Policy Characteristics'!$C:$C,0)))</f>
        <v>0.25</v>
      </c>
      <c r="N944" s="398">
        <f>IF(ISBLANK(INDEX('Policy Characteristics'!H:H,MATCH($C944,'Policy Characteristics'!$C:$C,0))),"",INDEX('Policy Characteristics'!H:H,MATCH($C944,'Policy Characteristics'!$C:$C,0)))</f>
        <v>0.01</v>
      </c>
      <c r="O944" s="394" t="str">
        <f>IF(ISBLANK(INDEX('Policy Characteristics'!I:I,MATCH($C944,'Policy Characteristics'!$C:$C,0))),"",INDEX('Policy Characteristics'!I:I,MATCH($C944,'Policy Characteristics'!$C:$C,0)))</f>
        <v>% reduction in energy use</v>
      </c>
      <c r="P944" s="394" t="str">
        <f>IF(ISBLANK(INDEX('Policy Characteristics'!J:J,MATCH($C944,'Policy Characteristics'!$C:$C,0))),"",INDEX('Policy Characteristics'!J:J,MATCH($C944,'Policy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4" s="394" t="str">
        <f>IF(ISBLANK(INDEX('Policy Characteristics'!K:K,MATCH($C944,'Policy Characteristics'!$C:$C,0))),"",INDEX('Policy Characteristics'!K:K,MATCH($C944,'Policy Characteristics'!$C:$C,0)))</f>
        <v>industry-ag-main.html#eff-stds</v>
      </c>
      <c r="R944" s="394" t="str">
        <f>IF(ISBLANK(INDEX('Policy Characteristics'!L:L,MATCH($C944,'Policy Characteristics'!$C:$C,0))),"",INDEX('Policy Characteristics'!L:L,MATCH($C944,'Policy Characteristics'!$C:$C,0)))</f>
        <v>industry-energy-efficiency-standards.html</v>
      </c>
    </row>
    <row r="945" s="384" customFormat="1" customHeight="1" spans="1:18">
      <c r="A945" s="394" t="str">
        <f>IF(ISBLANK(INDEX('Policy Characteristics'!A:A,MATCH($C945,'Policy Characteristics'!$C:$C,0))),"",INDEX('Policy Characteristics'!A:A,MATCH($C945,'Policy Characteristics'!$C:$C,0)))</f>
        <v>Industry</v>
      </c>
      <c r="B945" s="395" t="str">
        <f>IF(ISBLANK(INDEX('Policy Characteristics'!B:B,MATCH($C945,'Policy Characteristics'!$C:$C,0))),"",INDEX('Policy Characteristics'!B:B,MATCH($C945,'Policy Characteristics'!$C:$C,0)))</f>
        <v>Industry Energy Efficiency Standards</v>
      </c>
      <c r="C945" s="394" t="str">
        <f t="shared" si="40"/>
        <v>Percentage Improvement in Eqpt Efficiency Standards above BAU</v>
      </c>
      <c r="D945" s="399" t="s">
        <v>778</v>
      </c>
      <c r="E945" s="399" t="s">
        <v>808</v>
      </c>
      <c r="F945" t="s">
        <v>779</v>
      </c>
      <c r="G945" s="399" t="s">
        <v>820</v>
      </c>
      <c r="H945" s="377">
        <v>1166</v>
      </c>
      <c r="I945" s="396" t="s">
        <v>648</v>
      </c>
      <c r="J945" s="397" t="str">
        <f>IF(ISBLANK(INDEX('Policy Characteristics'!D:D,MATCH($C945,'Policy Characteristics'!$C:$C,0))),"",INDEX('Policy Characteristics'!D:D,MATCH($C945,'Policy Characteristics'!$C:$C,0)))</f>
        <v>Industry Energy Efficiency Standards</v>
      </c>
      <c r="K945" s="394" t="str">
        <f>IF(ISBLANK(INDEX('Policy Characteristics'!E:E,MATCH($C945,'Policy Characteristics'!$C:$C,0))),"",INDEX('Policy Characteristics'!E:E,MATCH($C945,'Policy Characteristics'!$C:$C,0)))</f>
        <v>indst efficiency standards</v>
      </c>
      <c r="L945" s="398">
        <f>IF(ISBLANK(INDEX('Policy Characteristics'!F:F,MATCH($C945,'Policy Characteristics'!$C:$C,0))),"",INDEX('Policy Characteristics'!F:F,MATCH($C945,'Policy Characteristics'!$C:$C,0)))</f>
        <v>0</v>
      </c>
      <c r="M945" s="398">
        <f>IF(ISBLANK(INDEX('Policy Characteristics'!G:G,MATCH($C945,'Policy Characteristics'!$C:$C,0))),"",INDEX('Policy Characteristics'!G:G,MATCH($C945,'Policy Characteristics'!$C:$C,0)))</f>
        <v>0.25</v>
      </c>
      <c r="N945" s="398">
        <f>IF(ISBLANK(INDEX('Policy Characteristics'!H:H,MATCH($C945,'Policy Characteristics'!$C:$C,0))),"",INDEX('Policy Characteristics'!H:H,MATCH($C945,'Policy Characteristics'!$C:$C,0)))</f>
        <v>0.01</v>
      </c>
      <c r="O945" s="394" t="str">
        <f>IF(ISBLANK(INDEX('Policy Characteristics'!I:I,MATCH($C945,'Policy Characteristics'!$C:$C,0))),"",INDEX('Policy Characteristics'!I:I,MATCH($C945,'Policy Characteristics'!$C:$C,0)))</f>
        <v>% reduction in energy use</v>
      </c>
      <c r="P945" s="394" t="str">
        <f>IF(ISBLANK(INDEX('Policy Characteristics'!J:J,MATCH($C945,'Policy Characteristics'!$C:$C,0))),"",INDEX('Policy Characteristics'!J:J,MATCH($C945,'Policy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5" s="394" t="str">
        <f>IF(ISBLANK(INDEX('Policy Characteristics'!K:K,MATCH($C945,'Policy Characteristics'!$C:$C,0))),"",INDEX('Policy Characteristics'!K:K,MATCH($C945,'Policy Characteristics'!$C:$C,0)))</f>
        <v>industry-ag-main.html#eff-stds</v>
      </c>
      <c r="R945" s="394" t="str">
        <f>IF(ISBLANK(INDEX('Policy Characteristics'!L:L,MATCH($C945,'Policy Characteristics'!$C:$C,0))),"",INDEX('Policy Characteristics'!L:L,MATCH($C945,'Policy Characteristics'!$C:$C,0)))</f>
        <v>industry-energy-efficiency-standards.html</v>
      </c>
    </row>
    <row r="946" s="384" customFormat="1" customHeight="1" spans="1:18">
      <c r="A946" s="394" t="str">
        <f>IF(ISBLANK(INDEX('Policy Characteristics'!A:A,MATCH($C946,'Policy Characteristics'!$C:$C,0))),"",INDEX('Policy Characteristics'!A:A,MATCH($C946,'Policy Characteristics'!$C:$C,0)))</f>
        <v>Industry</v>
      </c>
      <c r="B946" s="395" t="str">
        <f>IF(ISBLANK(INDEX('Policy Characteristics'!B:B,MATCH($C946,'Policy Characteristics'!$C:$C,0))),"",INDEX('Policy Characteristics'!B:B,MATCH($C946,'Policy Characteristics'!$C:$C,0)))</f>
        <v>Industry Energy Efficiency Standards</v>
      </c>
      <c r="C946" s="394" t="str">
        <f t="shared" si="40"/>
        <v>Percentage Improvement in Eqpt Efficiency Standards above BAU</v>
      </c>
      <c r="D946" s="399" t="s">
        <v>778</v>
      </c>
      <c r="E946" s="399" t="s">
        <v>810</v>
      </c>
      <c r="F946" t="s">
        <v>779</v>
      </c>
      <c r="G946" s="399" t="s">
        <v>821</v>
      </c>
      <c r="H946" s="377">
        <v>1167</v>
      </c>
      <c r="I946" s="396" t="s">
        <v>648</v>
      </c>
      <c r="J946" s="397" t="str">
        <f>IF(ISBLANK(INDEX('Policy Characteristics'!D:D,MATCH($C946,'Policy Characteristics'!$C:$C,0))),"",INDEX('Policy Characteristics'!D:D,MATCH($C946,'Policy Characteristics'!$C:$C,0)))</f>
        <v>Industry Energy Efficiency Standards</v>
      </c>
      <c r="K946" s="394" t="str">
        <f>IF(ISBLANK(INDEX('Policy Characteristics'!E:E,MATCH($C946,'Policy Characteristics'!$C:$C,0))),"",INDEX('Policy Characteristics'!E:E,MATCH($C946,'Policy Characteristics'!$C:$C,0)))</f>
        <v>indst efficiency standards</v>
      </c>
      <c r="L946" s="398">
        <f>IF(ISBLANK(INDEX('Policy Characteristics'!F:F,MATCH($C946,'Policy Characteristics'!$C:$C,0))),"",INDEX('Policy Characteristics'!F:F,MATCH($C946,'Policy Characteristics'!$C:$C,0)))</f>
        <v>0</v>
      </c>
      <c r="M946" s="398">
        <f>IF(ISBLANK(INDEX('Policy Characteristics'!G:G,MATCH($C946,'Policy Characteristics'!$C:$C,0))),"",INDEX('Policy Characteristics'!G:G,MATCH($C946,'Policy Characteristics'!$C:$C,0)))</f>
        <v>0.25</v>
      </c>
      <c r="N946" s="398">
        <f>IF(ISBLANK(INDEX('Policy Characteristics'!H:H,MATCH($C946,'Policy Characteristics'!$C:$C,0))),"",INDEX('Policy Characteristics'!H:H,MATCH($C946,'Policy Characteristics'!$C:$C,0)))</f>
        <v>0.01</v>
      </c>
      <c r="O946" s="394" t="str">
        <f>IF(ISBLANK(INDEX('Policy Characteristics'!I:I,MATCH($C946,'Policy Characteristics'!$C:$C,0))),"",INDEX('Policy Characteristics'!I:I,MATCH($C946,'Policy Characteristics'!$C:$C,0)))</f>
        <v>% reduction in energy use</v>
      </c>
      <c r="P946" s="394" t="str">
        <f>IF(ISBLANK(INDEX('Policy Characteristics'!J:J,MATCH($C946,'Policy Characteristics'!$C:$C,0))),"",INDEX('Policy Characteristics'!J:J,MATCH($C946,'Policy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6" s="394" t="str">
        <f>IF(ISBLANK(INDEX('Policy Characteristics'!K:K,MATCH($C946,'Policy Characteristics'!$C:$C,0))),"",INDEX('Policy Characteristics'!K:K,MATCH($C946,'Policy Characteristics'!$C:$C,0)))</f>
        <v>industry-ag-main.html#eff-stds</v>
      </c>
      <c r="R946" s="394" t="str">
        <f>IF(ISBLANK(INDEX('Policy Characteristics'!L:L,MATCH($C946,'Policy Characteristics'!$C:$C,0))),"",INDEX('Policy Characteristics'!L:L,MATCH($C946,'Policy Characteristics'!$C:$C,0)))</f>
        <v>industry-energy-efficiency-standards.html</v>
      </c>
    </row>
    <row r="947" s="384" customFormat="1" customHeight="1" spans="1:18">
      <c r="A947" s="394" t="str">
        <f>IF(ISBLANK(INDEX('Policy Characteristics'!A:A,MATCH($C947,'Policy Characteristics'!$C:$C,0))),"",INDEX('Policy Characteristics'!A:A,MATCH($C947,'Policy Characteristics'!$C:$C,0)))</f>
        <v>Industry</v>
      </c>
      <c r="B947" s="395" t="str">
        <f>IF(ISBLANK(INDEX('Policy Characteristics'!B:B,MATCH($C947,'Policy Characteristics'!$C:$C,0))),"",INDEX('Policy Characteristics'!B:B,MATCH($C947,'Policy Characteristics'!$C:$C,0)))</f>
        <v>Industry Energy Efficiency Standards</v>
      </c>
      <c r="C947" s="394" t="str">
        <f t="shared" si="40"/>
        <v>Percentage Improvement in Eqpt Efficiency Standards above BAU</v>
      </c>
      <c r="D947" s="399" t="s">
        <v>780</v>
      </c>
      <c r="E947" s="399" t="s">
        <v>792</v>
      </c>
      <c r="F947" t="s">
        <v>781</v>
      </c>
      <c r="G947" s="399" t="s">
        <v>812</v>
      </c>
      <c r="H947" s="377">
        <v>1168</v>
      </c>
      <c r="I947" s="396" t="s">
        <v>648</v>
      </c>
      <c r="J947" s="397" t="str">
        <f>IF(ISBLANK(INDEX('Policy Characteristics'!D:D,MATCH($C947,'Policy Characteristics'!$C:$C,0))),"",INDEX('Policy Characteristics'!D:D,MATCH($C947,'Policy Characteristics'!$C:$C,0)))</f>
        <v>Industry Energy Efficiency Standards</v>
      </c>
      <c r="K947" s="394" t="str">
        <f>IF(ISBLANK(INDEX('Policy Characteristics'!E:E,MATCH($C947,'Policy Characteristics'!$C:$C,0))),"",INDEX('Policy Characteristics'!E:E,MATCH($C947,'Policy Characteristics'!$C:$C,0)))</f>
        <v>indst efficiency standards</v>
      </c>
      <c r="L947" s="398">
        <f>IF(ISBLANK(INDEX('Policy Characteristics'!F:F,MATCH($C947,'Policy Characteristics'!$C:$C,0))),"",INDEX('Policy Characteristics'!F:F,MATCH($C947,'Policy Characteristics'!$C:$C,0)))</f>
        <v>0</v>
      </c>
      <c r="M947" s="398">
        <f>IF(ISBLANK(INDEX('Policy Characteristics'!G:G,MATCH($C947,'Policy Characteristics'!$C:$C,0))),"",INDEX('Policy Characteristics'!G:G,MATCH($C947,'Policy Characteristics'!$C:$C,0)))</f>
        <v>0.25</v>
      </c>
      <c r="N947" s="398">
        <f>IF(ISBLANK(INDEX('Policy Characteristics'!H:H,MATCH($C947,'Policy Characteristics'!$C:$C,0))),"",INDEX('Policy Characteristics'!H:H,MATCH($C947,'Policy Characteristics'!$C:$C,0)))</f>
        <v>0.01</v>
      </c>
      <c r="O947" s="394" t="str">
        <f>IF(ISBLANK(INDEX('Policy Characteristics'!I:I,MATCH($C947,'Policy Characteristics'!$C:$C,0))),"",INDEX('Policy Characteristics'!I:I,MATCH($C947,'Policy Characteristics'!$C:$C,0)))</f>
        <v>% reduction in energy use</v>
      </c>
      <c r="P947" s="394" t="str">
        <f>IF(ISBLANK(INDEX('Policy Characteristics'!J:J,MATCH($C947,'Policy Characteristics'!$C:$C,0))),"",INDEX('Policy Characteristics'!J:J,MATCH($C947,'Policy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7" s="394" t="str">
        <f>IF(ISBLANK(INDEX('Policy Characteristics'!K:K,MATCH($C947,'Policy Characteristics'!$C:$C,0))),"",INDEX('Policy Characteristics'!K:K,MATCH($C947,'Policy Characteristics'!$C:$C,0)))</f>
        <v>industry-ag-main.html#eff-stds</v>
      </c>
      <c r="R947" s="394" t="str">
        <f>IF(ISBLANK(INDEX('Policy Characteristics'!L:L,MATCH($C947,'Policy Characteristics'!$C:$C,0))),"",INDEX('Policy Characteristics'!L:L,MATCH($C947,'Policy Characteristics'!$C:$C,0)))</f>
        <v>industry-energy-efficiency-standards.html</v>
      </c>
    </row>
    <row r="948" s="384" customFormat="1" customHeight="1" spans="1:18">
      <c r="A948" s="394" t="str">
        <f>IF(ISBLANK(INDEX('Policy Characteristics'!A:A,MATCH($C948,'Policy Characteristics'!$C:$C,0))),"",INDEX('Policy Characteristics'!A:A,MATCH($C948,'Policy Characteristics'!$C:$C,0)))</f>
        <v>Industry</v>
      </c>
      <c r="B948" s="395" t="str">
        <f>IF(ISBLANK(INDEX('Policy Characteristics'!B:B,MATCH($C948,'Policy Characteristics'!$C:$C,0))),"",INDEX('Policy Characteristics'!B:B,MATCH($C948,'Policy Characteristics'!$C:$C,0)))</f>
        <v>Industry Energy Efficiency Standards</v>
      </c>
      <c r="C948" s="394" t="str">
        <f t="shared" si="40"/>
        <v>Percentage Improvement in Eqpt Efficiency Standards above BAU</v>
      </c>
      <c r="D948" s="399" t="s">
        <v>780</v>
      </c>
      <c r="E948" s="399" t="s">
        <v>794</v>
      </c>
      <c r="F948" t="s">
        <v>781</v>
      </c>
      <c r="G948" s="399" t="s">
        <v>813</v>
      </c>
      <c r="H948" s="377">
        <v>1169</v>
      </c>
      <c r="I948" s="396" t="s">
        <v>648</v>
      </c>
      <c r="J948" s="397" t="str">
        <f>IF(ISBLANK(INDEX('Policy Characteristics'!D:D,MATCH($C948,'Policy Characteristics'!$C:$C,0))),"",INDEX('Policy Characteristics'!D:D,MATCH($C948,'Policy Characteristics'!$C:$C,0)))</f>
        <v>Industry Energy Efficiency Standards</v>
      </c>
      <c r="K948" s="394" t="str">
        <f>IF(ISBLANK(INDEX('Policy Characteristics'!E:E,MATCH($C948,'Policy Characteristics'!$C:$C,0))),"",INDEX('Policy Characteristics'!E:E,MATCH($C948,'Policy Characteristics'!$C:$C,0)))</f>
        <v>indst efficiency standards</v>
      </c>
      <c r="L948" s="398">
        <f>IF(ISBLANK(INDEX('Policy Characteristics'!F:F,MATCH($C948,'Policy Characteristics'!$C:$C,0))),"",INDEX('Policy Characteristics'!F:F,MATCH($C948,'Policy Characteristics'!$C:$C,0)))</f>
        <v>0</v>
      </c>
      <c r="M948" s="398">
        <f>IF(ISBLANK(INDEX('Policy Characteristics'!G:G,MATCH($C948,'Policy Characteristics'!$C:$C,0))),"",INDEX('Policy Characteristics'!G:G,MATCH($C948,'Policy Characteristics'!$C:$C,0)))</f>
        <v>0.25</v>
      </c>
      <c r="N948" s="398">
        <f>IF(ISBLANK(INDEX('Policy Characteristics'!H:H,MATCH($C948,'Policy Characteristics'!$C:$C,0))),"",INDEX('Policy Characteristics'!H:H,MATCH($C948,'Policy Characteristics'!$C:$C,0)))</f>
        <v>0.01</v>
      </c>
      <c r="O948" s="394" t="str">
        <f>IF(ISBLANK(INDEX('Policy Characteristics'!I:I,MATCH($C948,'Policy Characteristics'!$C:$C,0))),"",INDEX('Policy Characteristics'!I:I,MATCH($C948,'Policy Characteristics'!$C:$C,0)))</f>
        <v>% reduction in energy use</v>
      </c>
      <c r="P948" s="394" t="str">
        <f>IF(ISBLANK(INDEX('Policy Characteristics'!J:J,MATCH($C948,'Policy Characteristics'!$C:$C,0))),"",INDEX('Policy Characteristics'!J:J,MATCH($C948,'Policy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8" s="394" t="str">
        <f>IF(ISBLANK(INDEX('Policy Characteristics'!K:K,MATCH($C948,'Policy Characteristics'!$C:$C,0))),"",INDEX('Policy Characteristics'!K:K,MATCH($C948,'Policy Characteristics'!$C:$C,0)))</f>
        <v>industry-ag-main.html#eff-stds</v>
      </c>
      <c r="R948" s="394" t="str">
        <f>IF(ISBLANK(INDEX('Policy Characteristics'!L:L,MATCH($C948,'Policy Characteristics'!$C:$C,0))),"",INDEX('Policy Characteristics'!L:L,MATCH($C948,'Policy Characteristics'!$C:$C,0)))</f>
        <v>industry-energy-efficiency-standards.html</v>
      </c>
    </row>
    <row r="949" s="384" customFormat="1" customHeight="1" spans="1:18">
      <c r="A949" s="394" t="str">
        <f>IF(ISBLANK(INDEX('Policy Characteristics'!A:A,MATCH($C949,'Policy Characteristics'!$C:$C,0))),"",INDEX('Policy Characteristics'!A:A,MATCH($C949,'Policy Characteristics'!$C:$C,0)))</f>
        <v>Industry</v>
      </c>
      <c r="B949" s="395" t="str">
        <f>IF(ISBLANK(INDEX('Policy Characteristics'!B:B,MATCH($C949,'Policy Characteristics'!$C:$C,0))),"",INDEX('Policy Characteristics'!B:B,MATCH($C949,'Policy Characteristics'!$C:$C,0)))</f>
        <v>Industry Energy Efficiency Standards</v>
      </c>
      <c r="C949" s="394" t="str">
        <f t="shared" si="40"/>
        <v>Percentage Improvement in Eqpt Efficiency Standards above BAU</v>
      </c>
      <c r="D949" s="399" t="s">
        <v>780</v>
      </c>
      <c r="E949" s="399" t="s">
        <v>796</v>
      </c>
      <c r="F949" t="s">
        <v>781</v>
      </c>
      <c r="G949" s="399" t="s">
        <v>814</v>
      </c>
      <c r="H949" s="377">
        <v>1170</v>
      </c>
      <c r="I949" s="396" t="s">
        <v>648</v>
      </c>
      <c r="J949" s="397" t="str">
        <f>IF(ISBLANK(INDEX('Policy Characteristics'!D:D,MATCH($C949,'Policy Characteristics'!$C:$C,0))),"",INDEX('Policy Characteristics'!D:D,MATCH($C949,'Policy Characteristics'!$C:$C,0)))</f>
        <v>Industry Energy Efficiency Standards</v>
      </c>
      <c r="K949" s="394" t="str">
        <f>IF(ISBLANK(INDEX('Policy Characteristics'!E:E,MATCH($C949,'Policy Characteristics'!$C:$C,0))),"",INDEX('Policy Characteristics'!E:E,MATCH($C949,'Policy Characteristics'!$C:$C,0)))</f>
        <v>indst efficiency standards</v>
      </c>
      <c r="L949" s="398">
        <f>IF(ISBLANK(INDEX('Policy Characteristics'!F:F,MATCH($C949,'Policy Characteristics'!$C:$C,0))),"",INDEX('Policy Characteristics'!F:F,MATCH($C949,'Policy Characteristics'!$C:$C,0)))</f>
        <v>0</v>
      </c>
      <c r="M949" s="398">
        <f>IF(ISBLANK(INDEX('Policy Characteristics'!G:G,MATCH($C949,'Policy Characteristics'!$C:$C,0))),"",INDEX('Policy Characteristics'!G:G,MATCH($C949,'Policy Characteristics'!$C:$C,0)))</f>
        <v>0.25</v>
      </c>
      <c r="N949" s="398">
        <f>IF(ISBLANK(INDEX('Policy Characteristics'!H:H,MATCH($C949,'Policy Characteristics'!$C:$C,0))),"",INDEX('Policy Characteristics'!H:H,MATCH($C949,'Policy Characteristics'!$C:$C,0)))</f>
        <v>0.01</v>
      </c>
      <c r="O949" s="394" t="str">
        <f>IF(ISBLANK(INDEX('Policy Characteristics'!I:I,MATCH($C949,'Policy Characteristics'!$C:$C,0))),"",INDEX('Policy Characteristics'!I:I,MATCH($C949,'Policy Characteristics'!$C:$C,0)))</f>
        <v>% reduction in energy use</v>
      </c>
      <c r="P949" s="394" t="str">
        <f>IF(ISBLANK(INDEX('Policy Characteristics'!J:J,MATCH($C949,'Policy Characteristics'!$C:$C,0))),"",INDEX('Policy Characteristics'!J:J,MATCH($C949,'Policy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9" s="394" t="str">
        <f>IF(ISBLANK(INDEX('Policy Characteristics'!K:K,MATCH($C949,'Policy Characteristics'!$C:$C,0))),"",INDEX('Policy Characteristics'!K:K,MATCH($C949,'Policy Characteristics'!$C:$C,0)))</f>
        <v>industry-ag-main.html#eff-stds</v>
      </c>
      <c r="R949" s="394" t="str">
        <f>IF(ISBLANK(INDEX('Policy Characteristics'!L:L,MATCH($C949,'Policy Characteristics'!$C:$C,0))),"",INDEX('Policy Characteristics'!L:L,MATCH($C949,'Policy Characteristics'!$C:$C,0)))</f>
        <v>industry-energy-efficiency-standards.html</v>
      </c>
    </row>
    <row r="950" s="384" customFormat="1" customHeight="1" spans="1:18">
      <c r="A950" s="394" t="str">
        <f>IF(ISBLANK(INDEX('Policy Characteristics'!A:A,MATCH($C950,'Policy Characteristics'!$C:$C,0))),"",INDEX('Policy Characteristics'!A:A,MATCH($C950,'Policy Characteristics'!$C:$C,0)))</f>
        <v>Industry</v>
      </c>
      <c r="B950" s="395" t="str">
        <f>IF(ISBLANK(INDEX('Policy Characteristics'!B:B,MATCH($C950,'Policy Characteristics'!$C:$C,0))),"",INDEX('Policy Characteristics'!B:B,MATCH($C950,'Policy Characteristics'!$C:$C,0)))</f>
        <v>Industry Energy Efficiency Standards</v>
      </c>
      <c r="C950" s="394" t="str">
        <f t="shared" si="40"/>
        <v>Percentage Improvement in Eqpt Efficiency Standards above BAU</v>
      </c>
      <c r="D950" s="399" t="s">
        <v>780</v>
      </c>
      <c r="E950" s="399" t="s">
        <v>798</v>
      </c>
      <c r="F950" t="s">
        <v>781</v>
      </c>
      <c r="G950" s="399" t="s">
        <v>815</v>
      </c>
      <c r="H950" s="377">
        <v>1171</v>
      </c>
      <c r="I950" s="396" t="s">
        <v>648</v>
      </c>
      <c r="J950" s="397" t="str">
        <f>IF(ISBLANK(INDEX('Policy Characteristics'!D:D,MATCH($C950,'Policy Characteristics'!$C:$C,0))),"",INDEX('Policy Characteristics'!D:D,MATCH($C950,'Policy Characteristics'!$C:$C,0)))</f>
        <v>Industry Energy Efficiency Standards</v>
      </c>
      <c r="K950" s="394" t="str">
        <f>IF(ISBLANK(INDEX('Policy Characteristics'!E:E,MATCH($C950,'Policy Characteristics'!$C:$C,0))),"",INDEX('Policy Characteristics'!E:E,MATCH($C950,'Policy Characteristics'!$C:$C,0)))</f>
        <v>indst efficiency standards</v>
      </c>
      <c r="L950" s="398">
        <f>IF(ISBLANK(INDEX('Policy Characteristics'!F:F,MATCH($C950,'Policy Characteristics'!$C:$C,0))),"",INDEX('Policy Characteristics'!F:F,MATCH($C950,'Policy Characteristics'!$C:$C,0)))</f>
        <v>0</v>
      </c>
      <c r="M950" s="398">
        <f>IF(ISBLANK(INDEX('Policy Characteristics'!G:G,MATCH($C950,'Policy Characteristics'!$C:$C,0))),"",INDEX('Policy Characteristics'!G:G,MATCH($C950,'Policy Characteristics'!$C:$C,0)))</f>
        <v>0.25</v>
      </c>
      <c r="N950" s="398">
        <f>IF(ISBLANK(INDEX('Policy Characteristics'!H:H,MATCH($C950,'Policy Characteristics'!$C:$C,0))),"",INDEX('Policy Characteristics'!H:H,MATCH($C950,'Policy Characteristics'!$C:$C,0)))</f>
        <v>0.01</v>
      </c>
      <c r="O950" s="394" t="str">
        <f>IF(ISBLANK(INDEX('Policy Characteristics'!I:I,MATCH($C950,'Policy Characteristics'!$C:$C,0))),"",INDEX('Policy Characteristics'!I:I,MATCH($C950,'Policy Characteristics'!$C:$C,0)))</f>
        <v>% reduction in energy use</v>
      </c>
      <c r="P950" s="394" t="str">
        <f>IF(ISBLANK(INDEX('Policy Characteristics'!J:J,MATCH($C950,'Policy Characteristics'!$C:$C,0))),"",INDEX('Policy Characteristics'!J:J,MATCH($C950,'Policy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0" s="394" t="str">
        <f>IF(ISBLANK(INDEX('Policy Characteristics'!K:K,MATCH($C950,'Policy Characteristics'!$C:$C,0))),"",INDEX('Policy Characteristics'!K:K,MATCH($C950,'Policy Characteristics'!$C:$C,0)))</f>
        <v>industry-ag-main.html#eff-stds</v>
      </c>
      <c r="R950" s="394" t="str">
        <f>IF(ISBLANK(INDEX('Policy Characteristics'!L:L,MATCH($C950,'Policy Characteristics'!$C:$C,0))),"",INDEX('Policy Characteristics'!L:L,MATCH($C950,'Policy Characteristics'!$C:$C,0)))</f>
        <v>industry-energy-efficiency-standards.html</v>
      </c>
    </row>
    <row r="951" s="384" customFormat="1" customHeight="1" spans="1:18">
      <c r="A951" s="394" t="str">
        <f>IF(ISBLANK(INDEX('Policy Characteristics'!A:A,MATCH($C951,'Policy Characteristics'!$C:$C,0))),"",INDEX('Policy Characteristics'!A:A,MATCH($C951,'Policy Characteristics'!$C:$C,0)))</f>
        <v>Industry</v>
      </c>
      <c r="B951" s="395" t="str">
        <f>IF(ISBLANK(INDEX('Policy Characteristics'!B:B,MATCH($C951,'Policy Characteristics'!$C:$C,0))),"",INDEX('Policy Characteristics'!B:B,MATCH($C951,'Policy Characteristics'!$C:$C,0)))</f>
        <v>Industry Energy Efficiency Standards</v>
      </c>
      <c r="C951" s="394" t="str">
        <f t="shared" si="40"/>
        <v>Percentage Improvement in Eqpt Efficiency Standards above BAU</v>
      </c>
      <c r="D951" s="399" t="s">
        <v>780</v>
      </c>
      <c r="E951" s="399" t="s">
        <v>800</v>
      </c>
      <c r="F951" t="s">
        <v>781</v>
      </c>
      <c r="G951" s="399" t="s">
        <v>816</v>
      </c>
      <c r="H951" s="377">
        <v>1172</v>
      </c>
      <c r="I951" s="396" t="s">
        <v>648</v>
      </c>
      <c r="J951" s="397" t="str">
        <f>IF(ISBLANK(INDEX('Policy Characteristics'!D:D,MATCH($C951,'Policy Characteristics'!$C:$C,0))),"",INDEX('Policy Characteristics'!D:D,MATCH($C951,'Policy Characteristics'!$C:$C,0)))</f>
        <v>Industry Energy Efficiency Standards</v>
      </c>
      <c r="K951" s="394" t="str">
        <f>IF(ISBLANK(INDEX('Policy Characteristics'!E:E,MATCH($C951,'Policy Characteristics'!$C:$C,0))),"",INDEX('Policy Characteristics'!E:E,MATCH($C951,'Policy Characteristics'!$C:$C,0)))</f>
        <v>indst efficiency standards</v>
      </c>
      <c r="L951" s="398">
        <f>IF(ISBLANK(INDEX('Policy Characteristics'!F:F,MATCH($C951,'Policy Characteristics'!$C:$C,0))),"",INDEX('Policy Characteristics'!F:F,MATCH($C951,'Policy Characteristics'!$C:$C,0)))</f>
        <v>0</v>
      </c>
      <c r="M951" s="398">
        <f>IF(ISBLANK(INDEX('Policy Characteristics'!G:G,MATCH($C951,'Policy Characteristics'!$C:$C,0))),"",INDEX('Policy Characteristics'!G:G,MATCH($C951,'Policy Characteristics'!$C:$C,0)))</f>
        <v>0.25</v>
      </c>
      <c r="N951" s="398">
        <f>IF(ISBLANK(INDEX('Policy Characteristics'!H:H,MATCH($C951,'Policy Characteristics'!$C:$C,0))),"",INDEX('Policy Characteristics'!H:H,MATCH($C951,'Policy Characteristics'!$C:$C,0)))</f>
        <v>0.01</v>
      </c>
      <c r="O951" s="394" t="str">
        <f>IF(ISBLANK(INDEX('Policy Characteristics'!I:I,MATCH($C951,'Policy Characteristics'!$C:$C,0))),"",INDEX('Policy Characteristics'!I:I,MATCH($C951,'Policy Characteristics'!$C:$C,0)))</f>
        <v>% reduction in energy use</v>
      </c>
      <c r="P951" s="394" t="str">
        <f>IF(ISBLANK(INDEX('Policy Characteristics'!J:J,MATCH($C951,'Policy Characteristics'!$C:$C,0))),"",INDEX('Policy Characteristics'!J:J,MATCH($C951,'Policy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1" s="394" t="str">
        <f>IF(ISBLANK(INDEX('Policy Characteristics'!K:K,MATCH($C951,'Policy Characteristics'!$C:$C,0))),"",INDEX('Policy Characteristics'!K:K,MATCH($C951,'Policy Characteristics'!$C:$C,0)))</f>
        <v>industry-ag-main.html#eff-stds</v>
      </c>
      <c r="R951" s="394" t="str">
        <f>IF(ISBLANK(INDEX('Policy Characteristics'!L:L,MATCH($C951,'Policy Characteristics'!$C:$C,0))),"",INDEX('Policy Characteristics'!L:L,MATCH($C951,'Policy Characteristics'!$C:$C,0)))</f>
        <v>industry-energy-efficiency-standards.html</v>
      </c>
    </row>
    <row r="952" s="384" customFormat="1" customHeight="1" spans="1:18">
      <c r="A952" s="394" t="str">
        <f>IF(ISBLANK(INDEX('Policy Characteristics'!A:A,MATCH($C952,'Policy Characteristics'!$C:$C,0))),"",INDEX('Policy Characteristics'!A:A,MATCH($C952,'Policy Characteristics'!$C:$C,0)))</f>
        <v>Industry</v>
      </c>
      <c r="B952" s="395" t="str">
        <f>IF(ISBLANK(INDEX('Policy Characteristics'!B:B,MATCH($C952,'Policy Characteristics'!$C:$C,0))),"",INDEX('Policy Characteristics'!B:B,MATCH($C952,'Policy Characteristics'!$C:$C,0)))</f>
        <v>Industry Energy Efficiency Standards</v>
      </c>
      <c r="C952" s="394" t="str">
        <f t="shared" si="40"/>
        <v>Percentage Improvement in Eqpt Efficiency Standards above BAU</v>
      </c>
      <c r="D952" s="399" t="s">
        <v>780</v>
      </c>
      <c r="E952" s="399" t="s">
        <v>802</v>
      </c>
      <c r="F952" t="s">
        <v>781</v>
      </c>
      <c r="G952" s="399" t="s">
        <v>817</v>
      </c>
      <c r="H952" s="377">
        <v>1173</v>
      </c>
      <c r="I952" s="396" t="s">
        <v>648</v>
      </c>
      <c r="J952" s="397" t="str">
        <f>IF(ISBLANK(INDEX('Policy Characteristics'!D:D,MATCH($C952,'Policy Characteristics'!$C:$C,0))),"",INDEX('Policy Characteristics'!D:D,MATCH($C952,'Policy Characteristics'!$C:$C,0)))</f>
        <v>Industry Energy Efficiency Standards</v>
      </c>
      <c r="K952" s="394" t="str">
        <f>IF(ISBLANK(INDEX('Policy Characteristics'!E:E,MATCH($C952,'Policy Characteristics'!$C:$C,0))),"",INDEX('Policy Characteristics'!E:E,MATCH($C952,'Policy Characteristics'!$C:$C,0)))</f>
        <v>indst efficiency standards</v>
      </c>
      <c r="L952" s="398">
        <f>IF(ISBLANK(INDEX('Policy Characteristics'!F:F,MATCH($C952,'Policy Characteristics'!$C:$C,0))),"",INDEX('Policy Characteristics'!F:F,MATCH($C952,'Policy Characteristics'!$C:$C,0)))</f>
        <v>0</v>
      </c>
      <c r="M952" s="398">
        <f>IF(ISBLANK(INDEX('Policy Characteristics'!G:G,MATCH($C952,'Policy Characteristics'!$C:$C,0))),"",INDEX('Policy Characteristics'!G:G,MATCH($C952,'Policy Characteristics'!$C:$C,0)))</f>
        <v>0.25</v>
      </c>
      <c r="N952" s="398">
        <f>IF(ISBLANK(INDEX('Policy Characteristics'!H:H,MATCH($C952,'Policy Characteristics'!$C:$C,0))),"",INDEX('Policy Characteristics'!H:H,MATCH($C952,'Policy Characteristics'!$C:$C,0)))</f>
        <v>0.01</v>
      </c>
      <c r="O952" s="394" t="str">
        <f>IF(ISBLANK(INDEX('Policy Characteristics'!I:I,MATCH($C952,'Policy Characteristics'!$C:$C,0))),"",INDEX('Policy Characteristics'!I:I,MATCH($C952,'Policy Characteristics'!$C:$C,0)))</f>
        <v>% reduction in energy use</v>
      </c>
      <c r="P952" s="394" t="str">
        <f>IF(ISBLANK(INDEX('Policy Characteristics'!J:J,MATCH($C952,'Policy Characteristics'!$C:$C,0))),"",INDEX('Policy Characteristics'!J:J,MATCH($C952,'Policy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2" s="394" t="str">
        <f>IF(ISBLANK(INDEX('Policy Characteristics'!K:K,MATCH($C952,'Policy Characteristics'!$C:$C,0))),"",INDEX('Policy Characteristics'!K:K,MATCH($C952,'Policy Characteristics'!$C:$C,0)))</f>
        <v>industry-ag-main.html#eff-stds</v>
      </c>
      <c r="R952" s="394" t="str">
        <f>IF(ISBLANK(INDEX('Policy Characteristics'!L:L,MATCH($C952,'Policy Characteristics'!$C:$C,0))),"",INDEX('Policy Characteristics'!L:L,MATCH($C952,'Policy Characteristics'!$C:$C,0)))</f>
        <v>industry-energy-efficiency-standards.html</v>
      </c>
    </row>
    <row r="953" s="384" customFormat="1" customHeight="1" spans="1:18">
      <c r="A953" s="394" t="str">
        <f>IF(ISBLANK(INDEX('Policy Characteristics'!A:A,MATCH($C953,'Policy Characteristics'!$C:$C,0))),"",INDEX('Policy Characteristics'!A:A,MATCH($C953,'Policy Characteristics'!$C:$C,0)))</f>
        <v>Industry</v>
      </c>
      <c r="B953" s="395" t="str">
        <f>IF(ISBLANK(INDEX('Policy Characteristics'!B:B,MATCH($C953,'Policy Characteristics'!$C:$C,0))),"",INDEX('Policy Characteristics'!B:B,MATCH($C953,'Policy Characteristics'!$C:$C,0)))</f>
        <v>Industry Energy Efficiency Standards</v>
      </c>
      <c r="C953" s="394" t="str">
        <f t="shared" si="40"/>
        <v>Percentage Improvement in Eqpt Efficiency Standards above BAU</v>
      </c>
      <c r="D953" s="399" t="s">
        <v>780</v>
      </c>
      <c r="E953" s="399" t="s">
        <v>804</v>
      </c>
      <c r="F953" t="s">
        <v>781</v>
      </c>
      <c r="G953" s="399" t="s">
        <v>818</v>
      </c>
      <c r="H953" s="377">
        <v>1174</v>
      </c>
      <c r="I953" s="396" t="s">
        <v>648</v>
      </c>
      <c r="J953" s="397" t="str">
        <f>IF(ISBLANK(INDEX('Policy Characteristics'!D:D,MATCH($C953,'Policy Characteristics'!$C:$C,0))),"",INDEX('Policy Characteristics'!D:D,MATCH($C953,'Policy Characteristics'!$C:$C,0)))</f>
        <v>Industry Energy Efficiency Standards</v>
      </c>
      <c r="K953" s="394" t="str">
        <f>IF(ISBLANK(INDEX('Policy Characteristics'!E:E,MATCH($C953,'Policy Characteristics'!$C:$C,0))),"",INDEX('Policy Characteristics'!E:E,MATCH($C953,'Policy Characteristics'!$C:$C,0)))</f>
        <v>indst efficiency standards</v>
      </c>
      <c r="L953" s="398">
        <f>IF(ISBLANK(INDEX('Policy Characteristics'!F:F,MATCH($C953,'Policy Characteristics'!$C:$C,0))),"",INDEX('Policy Characteristics'!F:F,MATCH($C953,'Policy Characteristics'!$C:$C,0)))</f>
        <v>0</v>
      </c>
      <c r="M953" s="398">
        <f>IF(ISBLANK(INDEX('Policy Characteristics'!G:G,MATCH($C953,'Policy Characteristics'!$C:$C,0))),"",INDEX('Policy Characteristics'!G:G,MATCH($C953,'Policy Characteristics'!$C:$C,0)))</f>
        <v>0.25</v>
      </c>
      <c r="N953" s="398">
        <f>IF(ISBLANK(INDEX('Policy Characteristics'!H:H,MATCH($C953,'Policy Characteristics'!$C:$C,0))),"",INDEX('Policy Characteristics'!H:H,MATCH($C953,'Policy Characteristics'!$C:$C,0)))</f>
        <v>0.01</v>
      </c>
      <c r="O953" s="394" t="str">
        <f>IF(ISBLANK(INDEX('Policy Characteristics'!I:I,MATCH($C953,'Policy Characteristics'!$C:$C,0))),"",INDEX('Policy Characteristics'!I:I,MATCH($C953,'Policy Characteristics'!$C:$C,0)))</f>
        <v>% reduction in energy use</v>
      </c>
      <c r="P953" s="394" t="str">
        <f>IF(ISBLANK(INDEX('Policy Characteristics'!J:J,MATCH($C953,'Policy Characteristics'!$C:$C,0))),"",INDEX('Policy Characteristics'!J:J,MATCH($C953,'Policy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3" s="394" t="str">
        <f>IF(ISBLANK(INDEX('Policy Characteristics'!K:K,MATCH($C953,'Policy Characteristics'!$C:$C,0))),"",INDEX('Policy Characteristics'!K:K,MATCH($C953,'Policy Characteristics'!$C:$C,0)))</f>
        <v>industry-ag-main.html#eff-stds</v>
      </c>
      <c r="R953" s="394" t="str">
        <f>IF(ISBLANK(INDEX('Policy Characteristics'!L:L,MATCH($C953,'Policy Characteristics'!$C:$C,0))),"",INDEX('Policy Characteristics'!L:L,MATCH($C953,'Policy Characteristics'!$C:$C,0)))</f>
        <v>industry-energy-efficiency-standards.html</v>
      </c>
    </row>
    <row r="954" s="384" customFormat="1" customHeight="1" spans="1:18">
      <c r="A954" s="394" t="str">
        <f>IF(ISBLANK(INDEX('Policy Characteristics'!A:A,MATCH($C954,'Policy Characteristics'!$C:$C,0))),"",INDEX('Policy Characteristics'!A:A,MATCH($C954,'Policy Characteristics'!$C:$C,0)))</f>
        <v>Industry</v>
      </c>
      <c r="B954" s="395" t="str">
        <f>IF(ISBLANK(INDEX('Policy Characteristics'!B:B,MATCH($C954,'Policy Characteristics'!$C:$C,0))),"",INDEX('Policy Characteristics'!B:B,MATCH($C954,'Policy Characteristics'!$C:$C,0)))</f>
        <v>Industry Energy Efficiency Standards</v>
      </c>
      <c r="C954" s="394" t="str">
        <f t="shared" si="40"/>
        <v>Percentage Improvement in Eqpt Efficiency Standards above BAU</v>
      </c>
      <c r="D954" s="399" t="s">
        <v>780</v>
      </c>
      <c r="E954" s="399" t="s">
        <v>806</v>
      </c>
      <c r="F954" t="s">
        <v>781</v>
      </c>
      <c r="G954" s="399" t="s">
        <v>819</v>
      </c>
      <c r="H954" s="377">
        <v>1175</v>
      </c>
      <c r="I954" s="396" t="s">
        <v>648</v>
      </c>
      <c r="J954" s="397" t="str">
        <f>IF(ISBLANK(INDEX('Policy Characteristics'!D:D,MATCH($C954,'Policy Characteristics'!$C:$C,0))),"",INDEX('Policy Characteristics'!D:D,MATCH($C954,'Policy Characteristics'!$C:$C,0)))</f>
        <v>Industry Energy Efficiency Standards</v>
      </c>
      <c r="K954" s="394" t="str">
        <f>IF(ISBLANK(INDEX('Policy Characteristics'!E:E,MATCH($C954,'Policy Characteristics'!$C:$C,0))),"",INDEX('Policy Characteristics'!E:E,MATCH($C954,'Policy Characteristics'!$C:$C,0)))</f>
        <v>indst efficiency standards</v>
      </c>
      <c r="L954" s="398">
        <f>IF(ISBLANK(INDEX('Policy Characteristics'!F:F,MATCH($C954,'Policy Characteristics'!$C:$C,0))),"",INDEX('Policy Characteristics'!F:F,MATCH($C954,'Policy Characteristics'!$C:$C,0)))</f>
        <v>0</v>
      </c>
      <c r="M954" s="398">
        <f>IF(ISBLANK(INDEX('Policy Characteristics'!G:G,MATCH($C954,'Policy Characteristics'!$C:$C,0))),"",INDEX('Policy Characteristics'!G:G,MATCH($C954,'Policy Characteristics'!$C:$C,0)))</f>
        <v>0.25</v>
      </c>
      <c r="N954" s="398">
        <f>IF(ISBLANK(INDEX('Policy Characteristics'!H:H,MATCH($C954,'Policy Characteristics'!$C:$C,0))),"",INDEX('Policy Characteristics'!H:H,MATCH($C954,'Policy Characteristics'!$C:$C,0)))</f>
        <v>0.01</v>
      </c>
      <c r="O954" s="394" t="str">
        <f>IF(ISBLANK(INDEX('Policy Characteristics'!I:I,MATCH($C954,'Policy Characteristics'!$C:$C,0))),"",INDEX('Policy Characteristics'!I:I,MATCH($C954,'Policy Characteristics'!$C:$C,0)))</f>
        <v>% reduction in energy use</v>
      </c>
      <c r="P954" s="394" t="str">
        <f>IF(ISBLANK(INDEX('Policy Characteristics'!J:J,MATCH($C954,'Policy Characteristics'!$C:$C,0))),"",INDEX('Policy Characteristics'!J:J,MATCH($C954,'Policy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4" s="394" t="str">
        <f>IF(ISBLANK(INDEX('Policy Characteristics'!K:K,MATCH($C954,'Policy Characteristics'!$C:$C,0))),"",INDEX('Policy Characteristics'!K:K,MATCH($C954,'Policy Characteristics'!$C:$C,0)))</f>
        <v>industry-ag-main.html#eff-stds</v>
      </c>
      <c r="R954" s="394" t="str">
        <f>IF(ISBLANK(INDEX('Policy Characteristics'!L:L,MATCH($C954,'Policy Characteristics'!$C:$C,0))),"",INDEX('Policy Characteristics'!L:L,MATCH($C954,'Policy Characteristics'!$C:$C,0)))</f>
        <v>industry-energy-efficiency-standards.html</v>
      </c>
    </row>
    <row r="955" s="384" customFormat="1" customHeight="1" spans="1:18">
      <c r="A955" s="394" t="str">
        <f>IF(ISBLANK(INDEX('Policy Characteristics'!A:A,MATCH($C955,'Policy Characteristics'!$C:$C,0))),"",INDEX('Policy Characteristics'!A:A,MATCH($C955,'Policy Characteristics'!$C:$C,0)))</f>
        <v>Industry</v>
      </c>
      <c r="B955" s="395" t="str">
        <f>IF(ISBLANK(INDEX('Policy Characteristics'!B:B,MATCH($C955,'Policy Characteristics'!$C:$C,0))),"",INDEX('Policy Characteristics'!B:B,MATCH($C955,'Policy Characteristics'!$C:$C,0)))</f>
        <v>Industry Energy Efficiency Standards</v>
      </c>
      <c r="C955" s="394" t="str">
        <f t="shared" si="40"/>
        <v>Percentage Improvement in Eqpt Efficiency Standards above BAU</v>
      </c>
      <c r="D955" s="399" t="s">
        <v>780</v>
      </c>
      <c r="E955" s="399" t="s">
        <v>808</v>
      </c>
      <c r="F955" t="s">
        <v>781</v>
      </c>
      <c r="G955" s="399" t="s">
        <v>820</v>
      </c>
      <c r="H955" s="377">
        <v>1176</v>
      </c>
      <c r="I955" s="396" t="s">
        <v>648</v>
      </c>
      <c r="J955" s="397" t="str">
        <f>IF(ISBLANK(INDEX('Policy Characteristics'!D:D,MATCH($C955,'Policy Characteristics'!$C:$C,0))),"",INDEX('Policy Characteristics'!D:D,MATCH($C955,'Policy Characteristics'!$C:$C,0)))</f>
        <v>Industry Energy Efficiency Standards</v>
      </c>
      <c r="K955" s="394" t="str">
        <f>IF(ISBLANK(INDEX('Policy Characteristics'!E:E,MATCH($C955,'Policy Characteristics'!$C:$C,0))),"",INDEX('Policy Characteristics'!E:E,MATCH($C955,'Policy Characteristics'!$C:$C,0)))</f>
        <v>indst efficiency standards</v>
      </c>
      <c r="L955" s="398">
        <f>IF(ISBLANK(INDEX('Policy Characteristics'!F:F,MATCH($C955,'Policy Characteristics'!$C:$C,0))),"",INDEX('Policy Characteristics'!F:F,MATCH($C955,'Policy Characteristics'!$C:$C,0)))</f>
        <v>0</v>
      </c>
      <c r="M955" s="398">
        <f>IF(ISBLANK(INDEX('Policy Characteristics'!G:G,MATCH($C955,'Policy Characteristics'!$C:$C,0))),"",INDEX('Policy Characteristics'!G:G,MATCH($C955,'Policy Characteristics'!$C:$C,0)))</f>
        <v>0.25</v>
      </c>
      <c r="N955" s="398">
        <f>IF(ISBLANK(INDEX('Policy Characteristics'!H:H,MATCH($C955,'Policy Characteristics'!$C:$C,0))),"",INDEX('Policy Characteristics'!H:H,MATCH($C955,'Policy Characteristics'!$C:$C,0)))</f>
        <v>0.01</v>
      </c>
      <c r="O955" s="394" t="str">
        <f>IF(ISBLANK(INDEX('Policy Characteristics'!I:I,MATCH($C955,'Policy Characteristics'!$C:$C,0))),"",INDEX('Policy Characteristics'!I:I,MATCH($C955,'Policy Characteristics'!$C:$C,0)))</f>
        <v>% reduction in energy use</v>
      </c>
      <c r="P955" s="394" t="str">
        <f>IF(ISBLANK(INDEX('Policy Characteristics'!J:J,MATCH($C955,'Policy Characteristics'!$C:$C,0))),"",INDEX('Policy Characteristics'!J:J,MATCH($C955,'Policy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5" s="394" t="str">
        <f>IF(ISBLANK(INDEX('Policy Characteristics'!K:K,MATCH($C955,'Policy Characteristics'!$C:$C,0))),"",INDEX('Policy Characteristics'!K:K,MATCH($C955,'Policy Characteristics'!$C:$C,0)))</f>
        <v>industry-ag-main.html#eff-stds</v>
      </c>
      <c r="R955" s="394" t="str">
        <f>IF(ISBLANK(INDEX('Policy Characteristics'!L:L,MATCH($C955,'Policy Characteristics'!$C:$C,0))),"",INDEX('Policy Characteristics'!L:L,MATCH($C955,'Policy Characteristics'!$C:$C,0)))</f>
        <v>industry-energy-efficiency-standards.html</v>
      </c>
    </row>
    <row r="956" s="384" customFormat="1" customHeight="1" spans="1:18">
      <c r="A956" s="394" t="str">
        <f>IF(ISBLANK(INDEX('Policy Characteristics'!A:A,MATCH($C956,'Policy Characteristics'!$C:$C,0))),"",INDEX('Policy Characteristics'!A:A,MATCH($C956,'Policy Characteristics'!$C:$C,0)))</f>
        <v>Industry</v>
      </c>
      <c r="B956" s="395" t="str">
        <f>IF(ISBLANK(INDEX('Policy Characteristics'!B:B,MATCH($C956,'Policy Characteristics'!$C:$C,0))),"",INDEX('Policy Characteristics'!B:B,MATCH($C956,'Policy Characteristics'!$C:$C,0)))</f>
        <v>Industry Energy Efficiency Standards</v>
      </c>
      <c r="C956" s="394" t="str">
        <f t="shared" si="40"/>
        <v>Percentage Improvement in Eqpt Efficiency Standards above BAU</v>
      </c>
      <c r="D956" s="399" t="s">
        <v>780</v>
      </c>
      <c r="E956" s="399" t="s">
        <v>810</v>
      </c>
      <c r="F956" t="s">
        <v>781</v>
      </c>
      <c r="G956" s="399" t="s">
        <v>821</v>
      </c>
      <c r="H956" s="377">
        <v>1177</v>
      </c>
      <c r="I956" s="396" t="s">
        <v>648</v>
      </c>
      <c r="J956" s="397" t="str">
        <f>IF(ISBLANK(INDEX('Policy Characteristics'!D:D,MATCH($C956,'Policy Characteristics'!$C:$C,0))),"",INDEX('Policy Characteristics'!D:D,MATCH($C956,'Policy Characteristics'!$C:$C,0)))</f>
        <v>Industry Energy Efficiency Standards</v>
      </c>
      <c r="K956" s="394" t="str">
        <f>IF(ISBLANK(INDEX('Policy Characteristics'!E:E,MATCH($C956,'Policy Characteristics'!$C:$C,0))),"",INDEX('Policy Characteristics'!E:E,MATCH($C956,'Policy Characteristics'!$C:$C,0)))</f>
        <v>indst efficiency standards</v>
      </c>
      <c r="L956" s="398">
        <f>IF(ISBLANK(INDEX('Policy Characteristics'!F:F,MATCH($C956,'Policy Characteristics'!$C:$C,0))),"",INDEX('Policy Characteristics'!F:F,MATCH($C956,'Policy Characteristics'!$C:$C,0)))</f>
        <v>0</v>
      </c>
      <c r="M956" s="398">
        <f>IF(ISBLANK(INDEX('Policy Characteristics'!G:G,MATCH($C956,'Policy Characteristics'!$C:$C,0))),"",INDEX('Policy Characteristics'!G:G,MATCH($C956,'Policy Characteristics'!$C:$C,0)))</f>
        <v>0.25</v>
      </c>
      <c r="N956" s="398">
        <f>IF(ISBLANK(INDEX('Policy Characteristics'!H:H,MATCH($C956,'Policy Characteristics'!$C:$C,0))),"",INDEX('Policy Characteristics'!H:H,MATCH($C956,'Policy Characteristics'!$C:$C,0)))</f>
        <v>0.01</v>
      </c>
      <c r="O956" s="394" t="str">
        <f>IF(ISBLANK(INDEX('Policy Characteristics'!I:I,MATCH($C956,'Policy Characteristics'!$C:$C,0))),"",INDEX('Policy Characteristics'!I:I,MATCH($C956,'Policy Characteristics'!$C:$C,0)))</f>
        <v>% reduction in energy use</v>
      </c>
      <c r="P956" s="394" t="str">
        <f>IF(ISBLANK(INDEX('Policy Characteristics'!J:J,MATCH($C956,'Policy Characteristics'!$C:$C,0))),"",INDEX('Policy Characteristics'!J:J,MATCH($C956,'Policy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6" s="394" t="str">
        <f>IF(ISBLANK(INDEX('Policy Characteristics'!K:K,MATCH($C956,'Policy Characteristics'!$C:$C,0))),"",INDEX('Policy Characteristics'!K:K,MATCH($C956,'Policy Characteristics'!$C:$C,0)))</f>
        <v>industry-ag-main.html#eff-stds</v>
      </c>
      <c r="R956" s="394" t="str">
        <f>IF(ISBLANK(INDEX('Policy Characteristics'!L:L,MATCH($C956,'Policy Characteristics'!$C:$C,0))),"",INDEX('Policy Characteristics'!L:L,MATCH($C956,'Policy Characteristics'!$C:$C,0)))</f>
        <v>industry-energy-efficiency-standards.html</v>
      </c>
    </row>
    <row r="957" s="384" customFormat="1" customHeight="1" spans="1:18">
      <c r="A957" s="394" t="str">
        <f>IF(ISBLANK(INDEX('Policy Characteristics'!A:A,MATCH($C957,'Policy Characteristics'!$C:$C,0))),"",INDEX('Policy Characteristics'!A:A,MATCH($C957,'Policy Characteristics'!$C:$C,0)))</f>
        <v>Industry</v>
      </c>
      <c r="B957" s="395" t="str">
        <f>IF(ISBLANK(INDEX('Policy Characteristics'!B:B,MATCH($C957,'Policy Characteristics'!$C:$C,0))),"",INDEX('Policy Characteristics'!B:B,MATCH($C957,'Policy Characteristics'!$C:$C,0)))</f>
        <v>Industry Energy Efficiency Standards</v>
      </c>
      <c r="C957" s="394" t="str">
        <f t="shared" si="40"/>
        <v>Percentage Improvement in Eqpt Efficiency Standards above BAU</v>
      </c>
      <c r="D957" s="399" t="s">
        <v>782</v>
      </c>
      <c r="E957" s="399" t="s">
        <v>792</v>
      </c>
      <c r="F957" s="366" t="s">
        <v>783</v>
      </c>
      <c r="G957" s="399" t="s">
        <v>812</v>
      </c>
      <c r="H957" s="377">
        <v>1178</v>
      </c>
      <c r="I957" s="396" t="s">
        <v>648</v>
      </c>
      <c r="J957" s="397" t="str">
        <f>IF(ISBLANK(INDEX('Policy Characteristics'!D:D,MATCH($C957,'Policy Characteristics'!$C:$C,0))),"",INDEX('Policy Characteristics'!D:D,MATCH($C957,'Policy Characteristics'!$C:$C,0)))</f>
        <v>Industry Energy Efficiency Standards</v>
      </c>
      <c r="K957" s="394" t="str">
        <f>IF(ISBLANK(INDEX('Policy Characteristics'!E:E,MATCH($C957,'Policy Characteristics'!$C:$C,0))),"",INDEX('Policy Characteristics'!E:E,MATCH($C957,'Policy Characteristics'!$C:$C,0)))</f>
        <v>indst efficiency standards</v>
      </c>
      <c r="L957" s="398">
        <f>IF(ISBLANK(INDEX('Policy Characteristics'!F:F,MATCH($C957,'Policy Characteristics'!$C:$C,0))),"",INDEX('Policy Characteristics'!F:F,MATCH($C957,'Policy Characteristics'!$C:$C,0)))</f>
        <v>0</v>
      </c>
      <c r="M957" s="398">
        <f>IF(ISBLANK(INDEX('Policy Characteristics'!G:G,MATCH($C957,'Policy Characteristics'!$C:$C,0))),"",INDEX('Policy Characteristics'!G:G,MATCH($C957,'Policy Characteristics'!$C:$C,0)))</f>
        <v>0.25</v>
      </c>
      <c r="N957" s="398">
        <f>IF(ISBLANK(INDEX('Policy Characteristics'!H:H,MATCH($C957,'Policy Characteristics'!$C:$C,0))),"",INDEX('Policy Characteristics'!H:H,MATCH($C957,'Policy Characteristics'!$C:$C,0)))</f>
        <v>0.01</v>
      </c>
      <c r="O957" s="394" t="str">
        <f>IF(ISBLANK(INDEX('Policy Characteristics'!I:I,MATCH($C957,'Policy Characteristics'!$C:$C,0))),"",INDEX('Policy Characteristics'!I:I,MATCH($C957,'Policy Characteristics'!$C:$C,0)))</f>
        <v>% reduction in energy use</v>
      </c>
      <c r="P957" s="394" t="str">
        <f>IF(ISBLANK(INDEX('Policy Characteristics'!J:J,MATCH($C957,'Policy Characteristics'!$C:$C,0))),"",INDEX('Policy Characteristics'!J:J,MATCH($C957,'Policy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7" s="394" t="str">
        <f>IF(ISBLANK(INDEX('Policy Characteristics'!K:K,MATCH($C957,'Policy Characteristics'!$C:$C,0))),"",INDEX('Policy Characteristics'!K:K,MATCH($C957,'Policy Characteristics'!$C:$C,0)))</f>
        <v>industry-ag-main.html#eff-stds</v>
      </c>
      <c r="R957" s="394" t="str">
        <f>IF(ISBLANK(INDEX('Policy Characteristics'!L:L,MATCH($C957,'Policy Characteristics'!$C:$C,0))),"",INDEX('Policy Characteristics'!L:L,MATCH($C957,'Policy Characteristics'!$C:$C,0)))</f>
        <v>industry-energy-efficiency-standards.html</v>
      </c>
    </row>
    <row r="958" s="384" customFormat="1" customHeight="1" spans="1:18">
      <c r="A958" s="394" t="str">
        <f>IF(ISBLANK(INDEX('Policy Characteristics'!A:A,MATCH($C958,'Policy Characteristics'!$C:$C,0))),"",INDEX('Policy Characteristics'!A:A,MATCH($C958,'Policy Characteristics'!$C:$C,0)))</f>
        <v>Industry</v>
      </c>
      <c r="B958" s="395" t="str">
        <f>IF(ISBLANK(INDEX('Policy Characteristics'!B:B,MATCH($C958,'Policy Characteristics'!$C:$C,0))),"",INDEX('Policy Characteristics'!B:B,MATCH($C958,'Policy Characteristics'!$C:$C,0)))</f>
        <v>Industry Energy Efficiency Standards</v>
      </c>
      <c r="C958" s="394" t="str">
        <f t="shared" si="40"/>
        <v>Percentage Improvement in Eqpt Efficiency Standards above BAU</v>
      </c>
      <c r="D958" s="399" t="s">
        <v>782</v>
      </c>
      <c r="E958" s="399" t="s">
        <v>794</v>
      </c>
      <c r="F958" s="366" t="s">
        <v>783</v>
      </c>
      <c r="G958" s="399" t="s">
        <v>813</v>
      </c>
      <c r="H958" s="377">
        <v>1179</v>
      </c>
      <c r="I958" s="396" t="s">
        <v>648</v>
      </c>
      <c r="J958" s="397" t="str">
        <f>IF(ISBLANK(INDEX('Policy Characteristics'!D:D,MATCH($C958,'Policy Characteristics'!$C:$C,0))),"",INDEX('Policy Characteristics'!D:D,MATCH($C958,'Policy Characteristics'!$C:$C,0)))</f>
        <v>Industry Energy Efficiency Standards</v>
      </c>
      <c r="K958" s="394" t="str">
        <f>IF(ISBLANK(INDEX('Policy Characteristics'!E:E,MATCH($C958,'Policy Characteristics'!$C:$C,0))),"",INDEX('Policy Characteristics'!E:E,MATCH($C958,'Policy Characteristics'!$C:$C,0)))</f>
        <v>indst efficiency standards</v>
      </c>
      <c r="L958" s="398">
        <f>IF(ISBLANK(INDEX('Policy Characteristics'!F:F,MATCH($C958,'Policy Characteristics'!$C:$C,0))),"",INDEX('Policy Characteristics'!F:F,MATCH($C958,'Policy Characteristics'!$C:$C,0)))</f>
        <v>0</v>
      </c>
      <c r="M958" s="398">
        <f>IF(ISBLANK(INDEX('Policy Characteristics'!G:G,MATCH($C958,'Policy Characteristics'!$C:$C,0))),"",INDEX('Policy Characteristics'!G:G,MATCH($C958,'Policy Characteristics'!$C:$C,0)))</f>
        <v>0.25</v>
      </c>
      <c r="N958" s="398">
        <f>IF(ISBLANK(INDEX('Policy Characteristics'!H:H,MATCH($C958,'Policy Characteristics'!$C:$C,0))),"",INDEX('Policy Characteristics'!H:H,MATCH($C958,'Policy Characteristics'!$C:$C,0)))</f>
        <v>0.01</v>
      </c>
      <c r="O958" s="394" t="str">
        <f>IF(ISBLANK(INDEX('Policy Characteristics'!I:I,MATCH($C958,'Policy Characteristics'!$C:$C,0))),"",INDEX('Policy Characteristics'!I:I,MATCH($C958,'Policy Characteristics'!$C:$C,0)))</f>
        <v>% reduction in energy use</v>
      </c>
      <c r="P958" s="394" t="str">
        <f>IF(ISBLANK(INDEX('Policy Characteristics'!J:J,MATCH($C958,'Policy Characteristics'!$C:$C,0))),"",INDEX('Policy Characteristics'!J:J,MATCH($C958,'Policy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8" s="394" t="str">
        <f>IF(ISBLANK(INDEX('Policy Characteristics'!K:K,MATCH($C958,'Policy Characteristics'!$C:$C,0))),"",INDEX('Policy Characteristics'!K:K,MATCH($C958,'Policy Characteristics'!$C:$C,0)))</f>
        <v>industry-ag-main.html#eff-stds</v>
      </c>
      <c r="R958" s="394" t="str">
        <f>IF(ISBLANK(INDEX('Policy Characteristics'!L:L,MATCH($C958,'Policy Characteristics'!$C:$C,0))),"",INDEX('Policy Characteristics'!L:L,MATCH($C958,'Policy Characteristics'!$C:$C,0)))</f>
        <v>industry-energy-efficiency-standards.html</v>
      </c>
    </row>
    <row r="959" s="384" customFormat="1" customHeight="1" spans="1:18">
      <c r="A959" s="394" t="str">
        <f>IF(ISBLANK(INDEX('Policy Characteristics'!A:A,MATCH($C959,'Policy Characteristics'!$C:$C,0))),"",INDEX('Policy Characteristics'!A:A,MATCH($C959,'Policy Characteristics'!$C:$C,0)))</f>
        <v>Industry</v>
      </c>
      <c r="B959" s="395" t="str">
        <f>IF(ISBLANK(INDEX('Policy Characteristics'!B:B,MATCH($C959,'Policy Characteristics'!$C:$C,0))),"",INDEX('Policy Characteristics'!B:B,MATCH($C959,'Policy Characteristics'!$C:$C,0)))</f>
        <v>Industry Energy Efficiency Standards</v>
      </c>
      <c r="C959" s="394" t="str">
        <f t="shared" si="40"/>
        <v>Percentage Improvement in Eqpt Efficiency Standards above BAU</v>
      </c>
      <c r="D959" s="399" t="s">
        <v>782</v>
      </c>
      <c r="E959" s="399" t="s">
        <v>796</v>
      </c>
      <c r="F959" s="366" t="s">
        <v>783</v>
      </c>
      <c r="G959" s="399" t="s">
        <v>814</v>
      </c>
      <c r="H959" s="377">
        <v>1180</v>
      </c>
      <c r="I959" s="396" t="s">
        <v>648</v>
      </c>
      <c r="J959" s="397" t="str">
        <f>IF(ISBLANK(INDEX('Policy Characteristics'!D:D,MATCH($C959,'Policy Characteristics'!$C:$C,0))),"",INDEX('Policy Characteristics'!D:D,MATCH($C959,'Policy Characteristics'!$C:$C,0)))</f>
        <v>Industry Energy Efficiency Standards</v>
      </c>
      <c r="K959" s="394" t="str">
        <f>IF(ISBLANK(INDEX('Policy Characteristics'!E:E,MATCH($C959,'Policy Characteristics'!$C:$C,0))),"",INDEX('Policy Characteristics'!E:E,MATCH($C959,'Policy Characteristics'!$C:$C,0)))</f>
        <v>indst efficiency standards</v>
      </c>
      <c r="L959" s="398">
        <f>IF(ISBLANK(INDEX('Policy Characteristics'!F:F,MATCH($C959,'Policy Characteristics'!$C:$C,0))),"",INDEX('Policy Characteristics'!F:F,MATCH($C959,'Policy Characteristics'!$C:$C,0)))</f>
        <v>0</v>
      </c>
      <c r="M959" s="398">
        <f>IF(ISBLANK(INDEX('Policy Characteristics'!G:G,MATCH($C959,'Policy Characteristics'!$C:$C,0))),"",INDEX('Policy Characteristics'!G:G,MATCH($C959,'Policy Characteristics'!$C:$C,0)))</f>
        <v>0.25</v>
      </c>
      <c r="N959" s="398">
        <f>IF(ISBLANK(INDEX('Policy Characteristics'!H:H,MATCH($C959,'Policy Characteristics'!$C:$C,0))),"",INDEX('Policy Characteristics'!H:H,MATCH($C959,'Policy Characteristics'!$C:$C,0)))</f>
        <v>0.01</v>
      </c>
      <c r="O959" s="394" t="str">
        <f>IF(ISBLANK(INDEX('Policy Characteristics'!I:I,MATCH($C959,'Policy Characteristics'!$C:$C,0))),"",INDEX('Policy Characteristics'!I:I,MATCH($C959,'Policy Characteristics'!$C:$C,0)))</f>
        <v>% reduction in energy use</v>
      </c>
      <c r="P959" s="394" t="str">
        <f>IF(ISBLANK(INDEX('Policy Characteristics'!J:J,MATCH($C959,'Policy Characteristics'!$C:$C,0))),"",INDEX('Policy Characteristics'!J:J,MATCH($C959,'Policy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9" s="394" t="str">
        <f>IF(ISBLANK(INDEX('Policy Characteristics'!K:K,MATCH($C959,'Policy Characteristics'!$C:$C,0))),"",INDEX('Policy Characteristics'!K:K,MATCH($C959,'Policy Characteristics'!$C:$C,0)))</f>
        <v>industry-ag-main.html#eff-stds</v>
      </c>
      <c r="R959" s="394" t="str">
        <f>IF(ISBLANK(INDEX('Policy Characteristics'!L:L,MATCH($C959,'Policy Characteristics'!$C:$C,0))),"",INDEX('Policy Characteristics'!L:L,MATCH($C959,'Policy Characteristics'!$C:$C,0)))</f>
        <v>industry-energy-efficiency-standards.html</v>
      </c>
    </row>
    <row r="960" s="384" customFormat="1" customHeight="1" spans="1:18">
      <c r="A960" s="394" t="str">
        <f>IF(ISBLANK(INDEX('Policy Characteristics'!A:A,MATCH($C960,'Policy Characteristics'!$C:$C,0))),"",INDEX('Policy Characteristics'!A:A,MATCH($C960,'Policy Characteristics'!$C:$C,0)))</f>
        <v>Industry</v>
      </c>
      <c r="B960" s="395" t="str">
        <f>IF(ISBLANK(INDEX('Policy Characteristics'!B:B,MATCH($C960,'Policy Characteristics'!$C:$C,0))),"",INDEX('Policy Characteristics'!B:B,MATCH($C960,'Policy Characteristics'!$C:$C,0)))</f>
        <v>Industry Energy Efficiency Standards</v>
      </c>
      <c r="C960" s="394" t="str">
        <f t="shared" si="40"/>
        <v>Percentage Improvement in Eqpt Efficiency Standards above BAU</v>
      </c>
      <c r="D960" s="399" t="s">
        <v>782</v>
      </c>
      <c r="E960" s="399" t="s">
        <v>798</v>
      </c>
      <c r="F960" s="366" t="s">
        <v>783</v>
      </c>
      <c r="G960" s="399" t="s">
        <v>815</v>
      </c>
      <c r="H960" s="377">
        <v>1181</v>
      </c>
      <c r="I960" s="396" t="s">
        <v>648</v>
      </c>
      <c r="J960" s="397" t="str">
        <f>IF(ISBLANK(INDEX('Policy Characteristics'!D:D,MATCH($C960,'Policy Characteristics'!$C:$C,0))),"",INDEX('Policy Characteristics'!D:D,MATCH($C960,'Policy Characteristics'!$C:$C,0)))</f>
        <v>Industry Energy Efficiency Standards</v>
      </c>
      <c r="K960" s="394" t="str">
        <f>IF(ISBLANK(INDEX('Policy Characteristics'!E:E,MATCH($C960,'Policy Characteristics'!$C:$C,0))),"",INDEX('Policy Characteristics'!E:E,MATCH($C960,'Policy Characteristics'!$C:$C,0)))</f>
        <v>indst efficiency standards</v>
      </c>
      <c r="L960" s="398">
        <f>IF(ISBLANK(INDEX('Policy Characteristics'!F:F,MATCH($C960,'Policy Characteristics'!$C:$C,0))),"",INDEX('Policy Characteristics'!F:F,MATCH($C960,'Policy Characteristics'!$C:$C,0)))</f>
        <v>0</v>
      </c>
      <c r="M960" s="398">
        <f>IF(ISBLANK(INDEX('Policy Characteristics'!G:G,MATCH($C960,'Policy Characteristics'!$C:$C,0))),"",INDEX('Policy Characteristics'!G:G,MATCH($C960,'Policy Characteristics'!$C:$C,0)))</f>
        <v>0.25</v>
      </c>
      <c r="N960" s="398">
        <f>IF(ISBLANK(INDEX('Policy Characteristics'!H:H,MATCH($C960,'Policy Characteristics'!$C:$C,0))),"",INDEX('Policy Characteristics'!H:H,MATCH($C960,'Policy Characteristics'!$C:$C,0)))</f>
        <v>0.01</v>
      </c>
      <c r="O960" s="394" t="str">
        <f>IF(ISBLANK(INDEX('Policy Characteristics'!I:I,MATCH($C960,'Policy Characteristics'!$C:$C,0))),"",INDEX('Policy Characteristics'!I:I,MATCH($C960,'Policy Characteristics'!$C:$C,0)))</f>
        <v>% reduction in energy use</v>
      </c>
      <c r="P960" s="394" t="str">
        <f>IF(ISBLANK(INDEX('Policy Characteristics'!J:J,MATCH($C960,'Policy Characteristics'!$C:$C,0))),"",INDEX('Policy Characteristics'!J:J,MATCH($C960,'Policy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0" s="394" t="str">
        <f>IF(ISBLANK(INDEX('Policy Characteristics'!K:K,MATCH($C960,'Policy Characteristics'!$C:$C,0))),"",INDEX('Policy Characteristics'!K:K,MATCH($C960,'Policy Characteristics'!$C:$C,0)))</f>
        <v>industry-ag-main.html#eff-stds</v>
      </c>
      <c r="R960" s="394" t="str">
        <f>IF(ISBLANK(INDEX('Policy Characteristics'!L:L,MATCH($C960,'Policy Characteristics'!$C:$C,0))),"",INDEX('Policy Characteristics'!L:L,MATCH($C960,'Policy Characteristics'!$C:$C,0)))</f>
        <v>industry-energy-efficiency-standards.html</v>
      </c>
    </row>
    <row r="961" s="384" customFormat="1" customHeight="1" spans="1:18">
      <c r="A961" s="394" t="str">
        <f>IF(ISBLANK(INDEX('Policy Characteristics'!A:A,MATCH($C961,'Policy Characteristics'!$C:$C,0))),"",INDEX('Policy Characteristics'!A:A,MATCH($C961,'Policy Characteristics'!$C:$C,0)))</f>
        <v>Industry</v>
      </c>
      <c r="B961" s="395" t="str">
        <f>IF(ISBLANK(INDEX('Policy Characteristics'!B:B,MATCH($C961,'Policy Characteristics'!$C:$C,0))),"",INDEX('Policy Characteristics'!B:B,MATCH($C961,'Policy Characteristics'!$C:$C,0)))</f>
        <v>Industry Energy Efficiency Standards</v>
      </c>
      <c r="C961" s="394" t="str">
        <f t="shared" si="40"/>
        <v>Percentage Improvement in Eqpt Efficiency Standards above BAU</v>
      </c>
      <c r="D961" s="399" t="s">
        <v>782</v>
      </c>
      <c r="E961" s="399" t="s">
        <v>800</v>
      </c>
      <c r="F961" s="366" t="s">
        <v>783</v>
      </c>
      <c r="G961" s="399" t="s">
        <v>816</v>
      </c>
      <c r="H961" s="377">
        <v>1182</v>
      </c>
      <c r="I961" s="396" t="s">
        <v>648</v>
      </c>
      <c r="J961" s="397" t="str">
        <f>IF(ISBLANK(INDEX('Policy Characteristics'!D:D,MATCH($C961,'Policy Characteristics'!$C:$C,0))),"",INDEX('Policy Characteristics'!D:D,MATCH($C961,'Policy Characteristics'!$C:$C,0)))</f>
        <v>Industry Energy Efficiency Standards</v>
      </c>
      <c r="K961" s="394" t="str">
        <f>IF(ISBLANK(INDEX('Policy Characteristics'!E:E,MATCH($C961,'Policy Characteristics'!$C:$C,0))),"",INDEX('Policy Characteristics'!E:E,MATCH($C961,'Policy Characteristics'!$C:$C,0)))</f>
        <v>indst efficiency standards</v>
      </c>
      <c r="L961" s="398">
        <f>IF(ISBLANK(INDEX('Policy Characteristics'!F:F,MATCH($C961,'Policy Characteristics'!$C:$C,0))),"",INDEX('Policy Characteristics'!F:F,MATCH($C961,'Policy Characteristics'!$C:$C,0)))</f>
        <v>0</v>
      </c>
      <c r="M961" s="398">
        <f>IF(ISBLANK(INDEX('Policy Characteristics'!G:G,MATCH($C961,'Policy Characteristics'!$C:$C,0))),"",INDEX('Policy Characteristics'!G:G,MATCH($C961,'Policy Characteristics'!$C:$C,0)))</f>
        <v>0.25</v>
      </c>
      <c r="N961" s="398">
        <f>IF(ISBLANK(INDEX('Policy Characteristics'!H:H,MATCH($C961,'Policy Characteristics'!$C:$C,0))),"",INDEX('Policy Characteristics'!H:H,MATCH($C961,'Policy Characteristics'!$C:$C,0)))</f>
        <v>0.01</v>
      </c>
      <c r="O961" s="394" t="str">
        <f>IF(ISBLANK(INDEX('Policy Characteristics'!I:I,MATCH($C961,'Policy Characteristics'!$C:$C,0))),"",INDEX('Policy Characteristics'!I:I,MATCH($C961,'Policy Characteristics'!$C:$C,0)))</f>
        <v>% reduction in energy use</v>
      </c>
      <c r="P961" s="394" t="str">
        <f>IF(ISBLANK(INDEX('Policy Characteristics'!J:J,MATCH($C961,'Policy Characteristics'!$C:$C,0))),"",INDEX('Policy Characteristics'!J:J,MATCH($C961,'Policy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1" s="394" t="str">
        <f>IF(ISBLANK(INDEX('Policy Characteristics'!K:K,MATCH($C961,'Policy Characteristics'!$C:$C,0))),"",INDEX('Policy Characteristics'!K:K,MATCH($C961,'Policy Characteristics'!$C:$C,0)))</f>
        <v>industry-ag-main.html#eff-stds</v>
      </c>
      <c r="R961" s="394" t="str">
        <f>IF(ISBLANK(INDEX('Policy Characteristics'!L:L,MATCH($C961,'Policy Characteristics'!$C:$C,0))),"",INDEX('Policy Characteristics'!L:L,MATCH($C961,'Policy Characteristics'!$C:$C,0)))</f>
        <v>industry-energy-efficiency-standards.html</v>
      </c>
    </row>
    <row r="962" s="384" customFormat="1" customHeight="1" spans="1:18">
      <c r="A962" s="394" t="str">
        <f>IF(ISBLANK(INDEX('Policy Characteristics'!A:A,MATCH($C962,'Policy Characteristics'!$C:$C,0))),"",INDEX('Policy Characteristics'!A:A,MATCH($C962,'Policy Characteristics'!$C:$C,0)))</f>
        <v>Industry</v>
      </c>
      <c r="B962" s="395" t="str">
        <f>IF(ISBLANK(INDEX('Policy Characteristics'!B:B,MATCH($C962,'Policy Characteristics'!$C:$C,0))),"",INDEX('Policy Characteristics'!B:B,MATCH($C962,'Policy Characteristics'!$C:$C,0)))</f>
        <v>Industry Energy Efficiency Standards</v>
      </c>
      <c r="C962" s="394" t="str">
        <f t="shared" si="40"/>
        <v>Percentage Improvement in Eqpt Efficiency Standards above BAU</v>
      </c>
      <c r="D962" s="399" t="s">
        <v>782</v>
      </c>
      <c r="E962" s="399" t="s">
        <v>802</v>
      </c>
      <c r="F962" s="366" t="s">
        <v>783</v>
      </c>
      <c r="G962" s="399" t="s">
        <v>817</v>
      </c>
      <c r="H962" s="377">
        <v>1183</v>
      </c>
      <c r="I962" s="396" t="s">
        <v>648</v>
      </c>
      <c r="J962" s="397" t="str">
        <f>IF(ISBLANK(INDEX('Policy Characteristics'!D:D,MATCH($C962,'Policy Characteristics'!$C:$C,0))),"",INDEX('Policy Characteristics'!D:D,MATCH($C962,'Policy Characteristics'!$C:$C,0)))</f>
        <v>Industry Energy Efficiency Standards</v>
      </c>
      <c r="K962" s="394" t="str">
        <f>IF(ISBLANK(INDEX('Policy Characteristics'!E:E,MATCH($C962,'Policy Characteristics'!$C:$C,0))),"",INDEX('Policy Characteristics'!E:E,MATCH($C962,'Policy Characteristics'!$C:$C,0)))</f>
        <v>indst efficiency standards</v>
      </c>
      <c r="L962" s="398">
        <f>IF(ISBLANK(INDEX('Policy Characteristics'!F:F,MATCH($C962,'Policy Characteristics'!$C:$C,0))),"",INDEX('Policy Characteristics'!F:F,MATCH($C962,'Policy Characteristics'!$C:$C,0)))</f>
        <v>0</v>
      </c>
      <c r="M962" s="398">
        <f>IF(ISBLANK(INDEX('Policy Characteristics'!G:G,MATCH($C962,'Policy Characteristics'!$C:$C,0))),"",INDEX('Policy Characteristics'!G:G,MATCH($C962,'Policy Characteristics'!$C:$C,0)))</f>
        <v>0.25</v>
      </c>
      <c r="N962" s="398">
        <f>IF(ISBLANK(INDEX('Policy Characteristics'!H:H,MATCH($C962,'Policy Characteristics'!$C:$C,0))),"",INDEX('Policy Characteristics'!H:H,MATCH($C962,'Policy Characteristics'!$C:$C,0)))</f>
        <v>0.01</v>
      </c>
      <c r="O962" s="394" t="str">
        <f>IF(ISBLANK(INDEX('Policy Characteristics'!I:I,MATCH($C962,'Policy Characteristics'!$C:$C,0))),"",INDEX('Policy Characteristics'!I:I,MATCH($C962,'Policy Characteristics'!$C:$C,0)))</f>
        <v>% reduction in energy use</v>
      </c>
      <c r="P962" s="394" t="str">
        <f>IF(ISBLANK(INDEX('Policy Characteristics'!J:J,MATCH($C962,'Policy Characteristics'!$C:$C,0))),"",INDEX('Policy Characteristics'!J:J,MATCH($C962,'Policy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2" s="394" t="str">
        <f>IF(ISBLANK(INDEX('Policy Characteristics'!K:K,MATCH($C962,'Policy Characteristics'!$C:$C,0))),"",INDEX('Policy Characteristics'!K:K,MATCH($C962,'Policy Characteristics'!$C:$C,0)))</f>
        <v>industry-ag-main.html#eff-stds</v>
      </c>
      <c r="R962" s="394" t="str">
        <f>IF(ISBLANK(INDEX('Policy Characteristics'!L:L,MATCH($C962,'Policy Characteristics'!$C:$C,0))),"",INDEX('Policy Characteristics'!L:L,MATCH($C962,'Policy Characteristics'!$C:$C,0)))</f>
        <v>industry-energy-efficiency-standards.html</v>
      </c>
    </row>
    <row r="963" s="384" customFormat="1" customHeight="1" spans="1:18">
      <c r="A963" s="394" t="str">
        <f>IF(ISBLANK(INDEX('Policy Characteristics'!A:A,MATCH($C963,'Policy Characteristics'!$C:$C,0))),"",INDEX('Policy Characteristics'!A:A,MATCH($C963,'Policy Characteristics'!$C:$C,0)))</f>
        <v>Industry</v>
      </c>
      <c r="B963" s="395" t="str">
        <f>IF(ISBLANK(INDEX('Policy Characteristics'!B:B,MATCH($C963,'Policy Characteristics'!$C:$C,0))),"",INDEX('Policy Characteristics'!B:B,MATCH($C963,'Policy Characteristics'!$C:$C,0)))</f>
        <v>Industry Energy Efficiency Standards</v>
      </c>
      <c r="C963" s="394" t="str">
        <f t="shared" si="40"/>
        <v>Percentage Improvement in Eqpt Efficiency Standards above BAU</v>
      </c>
      <c r="D963" s="399" t="s">
        <v>782</v>
      </c>
      <c r="E963" s="399" t="s">
        <v>804</v>
      </c>
      <c r="F963" s="366" t="s">
        <v>783</v>
      </c>
      <c r="G963" s="399" t="s">
        <v>818</v>
      </c>
      <c r="H963" s="377">
        <v>1184</v>
      </c>
      <c r="I963" s="396" t="s">
        <v>648</v>
      </c>
      <c r="J963" s="397" t="str">
        <f>IF(ISBLANK(INDEX('Policy Characteristics'!D:D,MATCH($C963,'Policy Characteristics'!$C:$C,0))),"",INDEX('Policy Characteristics'!D:D,MATCH($C963,'Policy Characteristics'!$C:$C,0)))</f>
        <v>Industry Energy Efficiency Standards</v>
      </c>
      <c r="K963" s="394" t="str">
        <f>IF(ISBLANK(INDEX('Policy Characteristics'!E:E,MATCH($C963,'Policy Characteristics'!$C:$C,0))),"",INDEX('Policy Characteristics'!E:E,MATCH($C963,'Policy Characteristics'!$C:$C,0)))</f>
        <v>indst efficiency standards</v>
      </c>
      <c r="L963" s="398">
        <f>IF(ISBLANK(INDEX('Policy Characteristics'!F:F,MATCH($C963,'Policy Characteristics'!$C:$C,0))),"",INDEX('Policy Characteristics'!F:F,MATCH($C963,'Policy Characteristics'!$C:$C,0)))</f>
        <v>0</v>
      </c>
      <c r="M963" s="398">
        <f>IF(ISBLANK(INDEX('Policy Characteristics'!G:G,MATCH($C963,'Policy Characteristics'!$C:$C,0))),"",INDEX('Policy Characteristics'!G:G,MATCH($C963,'Policy Characteristics'!$C:$C,0)))</f>
        <v>0.25</v>
      </c>
      <c r="N963" s="398">
        <f>IF(ISBLANK(INDEX('Policy Characteristics'!H:H,MATCH($C963,'Policy Characteristics'!$C:$C,0))),"",INDEX('Policy Characteristics'!H:H,MATCH($C963,'Policy Characteristics'!$C:$C,0)))</f>
        <v>0.01</v>
      </c>
      <c r="O963" s="394" t="str">
        <f>IF(ISBLANK(INDEX('Policy Characteristics'!I:I,MATCH($C963,'Policy Characteristics'!$C:$C,0))),"",INDEX('Policy Characteristics'!I:I,MATCH($C963,'Policy Characteristics'!$C:$C,0)))</f>
        <v>% reduction in energy use</v>
      </c>
      <c r="P963" s="394" t="str">
        <f>IF(ISBLANK(INDEX('Policy Characteristics'!J:J,MATCH($C963,'Policy Characteristics'!$C:$C,0))),"",INDEX('Policy Characteristics'!J:J,MATCH($C963,'Policy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3" s="394" t="str">
        <f>IF(ISBLANK(INDEX('Policy Characteristics'!K:K,MATCH($C963,'Policy Characteristics'!$C:$C,0))),"",INDEX('Policy Characteristics'!K:K,MATCH($C963,'Policy Characteristics'!$C:$C,0)))</f>
        <v>industry-ag-main.html#eff-stds</v>
      </c>
      <c r="R963" s="394" t="str">
        <f>IF(ISBLANK(INDEX('Policy Characteristics'!L:L,MATCH($C963,'Policy Characteristics'!$C:$C,0))),"",INDEX('Policy Characteristics'!L:L,MATCH($C963,'Policy Characteristics'!$C:$C,0)))</f>
        <v>industry-energy-efficiency-standards.html</v>
      </c>
    </row>
    <row r="964" s="384" customFormat="1" customHeight="1" spans="1:18">
      <c r="A964" s="394" t="str">
        <f>IF(ISBLANK(INDEX('Policy Characteristics'!A:A,MATCH($C964,'Policy Characteristics'!$C:$C,0))),"",INDEX('Policy Characteristics'!A:A,MATCH($C964,'Policy Characteristics'!$C:$C,0)))</f>
        <v>Industry</v>
      </c>
      <c r="B964" s="395" t="str">
        <f>IF(ISBLANK(INDEX('Policy Characteristics'!B:B,MATCH($C964,'Policy Characteristics'!$C:$C,0))),"",INDEX('Policy Characteristics'!B:B,MATCH($C964,'Policy Characteristics'!$C:$C,0)))</f>
        <v>Industry Energy Efficiency Standards</v>
      </c>
      <c r="C964" s="394" t="str">
        <f t="shared" si="40"/>
        <v>Percentage Improvement in Eqpt Efficiency Standards above BAU</v>
      </c>
      <c r="D964" s="399" t="s">
        <v>782</v>
      </c>
      <c r="E964" s="399" t="s">
        <v>806</v>
      </c>
      <c r="F964" s="366" t="s">
        <v>783</v>
      </c>
      <c r="G964" s="399" t="s">
        <v>819</v>
      </c>
      <c r="H964" s="377">
        <v>1185</v>
      </c>
      <c r="I964" s="396" t="s">
        <v>648</v>
      </c>
      <c r="J964" s="397" t="str">
        <f>IF(ISBLANK(INDEX('Policy Characteristics'!D:D,MATCH($C964,'Policy Characteristics'!$C:$C,0))),"",INDEX('Policy Characteristics'!D:D,MATCH($C964,'Policy Characteristics'!$C:$C,0)))</f>
        <v>Industry Energy Efficiency Standards</v>
      </c>
      <c r="K964" s="394" t="str">
        <f>IF(ISBLANK(INDEX('Policy Characteristics'!E:E,MATCH($C964,'Policy Characteristics'!$C:$C,0))),"",INDEX('Policy Characteristics'!E:E,MATCH($C964,'Policy Characteristics'!$C:$C,0)))</f>
        <v>indst efficiency standards</v>
      </c>
      <c r="L964" s="398">
        <f>IF(ISBLANK(INDEX('Policy Characteristics'!F:F,MATCH($C964,'Policy Characteristics'!$C:$C,0))),"",INDEX('Policy Characteristics'!F:F,MATCH($C964,'Policy Characteristics'!$C:$C,0)))</f>
        <v>0</v>
      </c>
      <c r="M964" s="398">
        <f>IF(ISBLANK(INDEX('Policy Characteristics'!G:G,MATCH($C964,'Policy Characteristics'!$C:$C,0))),"",INDEX('Policy Characteristics'!G:G,MATCH($C964,'Policy Characteristics'!$C:$C,0)))</f>
        <v>0.25</v>
      </c>
      <c r="N964" s="398">
        <f>IF(ISBLANK(INDEX('Policy Characteristics'!H:H,MATCH($C964,'Policy Characteristics'!$C:$C,0))),"",INDEX('Policy Characteristics'!H:H,MATCH($C964,'Policy Characteristics'!$C:$C,0)))</f>
        <v>0.01</v>
      </c>
      <c r="O964" s="394" t="str">
        <f>IF(ISBLANK(INDEX('Policy Characteristics'!I:I,MATCH($C964,'Policy Characteristics'!$C:$C,0))),"",INDEX('Policy Characteristics'!I:I,MATCH($C964,'Policy Characteristics'!$C:$C,0)))</f>
        <v>% reduction in energy use</v>
      </c>
      <c r="P964" s="394" t="str">
        <f>IF(ISBLANK(INDEX('Policy Characteristics'!J:J,MATCH($C964,'Policy Characteristics'!$C:$C,0))),"",INDEX('Policy Characteristics'!J:J,MATCH($C964,'Policy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4" s="394" t="str">
        <f>IF(ISBLANK(INDEX('Policy Characteristics'!K:K,MATCH($C964,'Policy Characteristics'!$C:$C,0))),"",INDEX('Policy Characteristics'!K:K,MATCH($C964,'Policy Characteristics'!$C:$C,0)))</f>
        <v>industry-ag-main.html#eff-stds</v>
      </c>
      <c r="R964" s="394" t="str">
        <f>IF(ISBLANK(INDEX('Policy Characteristics'!L:L,MATCH($C964,'Policy Characteristics'!$C:$C,0))),"",INDEX('Policy Characteristics'!L:L,MATCH($C964,'Policy Characteristics'!$C:$C,0)))</f>
        <v>industry-energy-efficiency-standards.html</v>
      </c>
    </row>
    <row r="965" s="384" customFormat="1" customHeight="1" spans="1:18">
      <c r="A965" s="394" t="str">
        <f>IF(ISBLANK(INDEX('Policy Characteristics'!A:A,MATCH($C965,'Policy Characteristics'!$C:$C,0))),"",INDEX('Policy Characteristics'!A:A,MATCH($C965,'Policy Characteristics'!$C:$C,0)))</f>
        <v>Industry</v>
      </c>
      <c r="B965" s="395" t="str">
        <f>IF(ISBLANK(INDEX('Policy Characteristics'!B:B,MATCH($C965,'Policy Characteristics'!$C:$C,0))),"",INDEX('Policy Characteristics'!B:B,MATCH($C965,'Policy Characteristics'!$C:$C,0)))</f>
        <v>Industry Energy Efficiency Standards</v>
      </c>
      <c r="C965" s="394" t="str">
        <f t="shared" si="40"/>
        <v>Percentage Improvement in Eqpt Efficiency Standards above BAU</v>
      </c>
      <c r="D965" s="399" t="s">
        <v>782</v>
      </c>
      <c r="E965" s="399" t="s">
        <v>808</v>
      </c>
      <c r="F965" s="366" t="s">
        <v>783</v>
      </c>
      <c r="G965" s="399" t="s">
        <v>820</v>
      </c>
      <c r="H965" s="377">
        <v>1186</v>
      </c>
      <c r="I965" s="396" t="s">
        <v>648</v>
      </c>
      <c r="J965" s="397" t="str">
        <f>IF(ISBLANK(INDEX('Policy Characteristics'!D:D,MATCH($C965,'Policy Characteristics'!$C:$C,0))),"",INDEX('Policy Characteristics'!D:D,MATCH($C965,'Policy Characteristics'!$C:$C,0)))</f>
        <v>Industry Energy Efficiency Standards</v>
      </c>
      <c r="K965" s="394" t="str">
        <f>IF(ISBLANK(INDEX('Policy Characteristics'!E:E,MATCH($C965,'Policy Characteristics'!$C:$C,0))),"",INDEX('Policy Characteristics'!E:E,MATCH($C965,'Policy Characteristics'!$C:$C,0)))</f>
        <v>indst efficiency standards</v>
      </c>
      <c r="L965" s="398">
        <f>IF(ISBLANK(INDEX('Policy Characteristics'!F:F,MATCH($C965,'Policy Characteristics'!$C:$C,0))),"",INDEX('Policy Characteristics'!F:F,MATCH($C965,'Policy Characteristics'!$C:$C,0)))</f>
        <v>0</v>
      </c>
      <c r="M965" s="398">
        <f>IF(ISBLANK(INDEX('Policy Characteristics'!G:G,MATCH($C965,'Policy Characteristics'!$C:$C,0))),"",INDEX('Policy Characteristics'!G:G,MATCH($C965,'Policy Characteristics'!$C:$C,0)))</f>
        <v>0.25</v>
      </c>
      <c r="N965" s="398">
        <f>IF(ISBLANK(INDEX('Policy Characteristics'!H:H,MATCH($C965,'Policy Characteristics'!$C:$C,0))),"",INDEX('Policy Characteristics'!H:H,MATCH($C965,'Policy Characteristics'!$C:$C,0)))</f>
        <v>0.01</v>
      </c>
      <c r="O965" s="394" t="str">
        <f>IF(ISBLANK(INDEX('Policy Characteristics'!I:I,MATCH($C965,'Policy Characteristics'!$C:$C,0))),"",INDEX('Policy Characteristics'!I:I,MATCH($C965,'Policy Characteristics'!$C:$C,0)))</f>
        <v>% reduction in energy use</v>
      </c>
      <c r="P965" s="394" t="str">
        <f>IF(ISBLANK(INDEX('Policy Characteristics'!J:J,MATCH($C965,'Policy Characteristics'!$C:$C,0))),"",INDEX('Policy Characteristics'!J:J,MATCH($C965,'Policy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5" s="394" t="str">
        <f>IF(ISBLANK(INDEX('Policy Characteristics'!K:K,MATCH($C965,'Policy Characteristics'!$C:$C,0))),"",INDEX('Policy Characteristics'!K:K,MATCH($C965,'Policy Characteristics'!$C:$C,0)))</f>
        <v>industry-ag-main.html#eff-stds</v>
      </c>
      <c r="R965" s="394" t="str">
        <f>IF(ISBLANK(INDEX('Policy Characteristics'!L:L,MATCH($C965,'Policy Characteristics'!$C:$C,0))),"",INDEX('Policy Characteristics'!L:L,MATCH($C965,'Policy Characteristics'!$C:$C,0)))</f>
        <v>industry-energy-efficiency-standards.html</v>
      </c>
    </row>
    <row r="966" s="384" customFormat="1" customHeight="1" spans="1:18">
      <c r="A966" s="394" t="str">
        <f>IF(ISBLANK(INDEX('Policy Characteristics'!A:A,MATCH($C966,'Policy Characteristics'!$C:$C,0))),"",INDEX('Policy Characteristics'!A:A,MATCH($C966,'Policy Characteristics'!$C:$C,0)))</f>
        <v>Industry</v>
      </c>
      <c r="B966" s="395" t="str">
        <f>IF(ISBLANK(INDEX('Policy Characteristics'!B:B,MATCH($C966,'Policy Characteristics'!$C:$C,0))),"",INDEX('Policy Characteristics'!B:B,MATCH($C966,'Policy Characteristics'!$C:$C,0)))</f>
        <v>Industry Energy Efficiency Standards</v>
      </c>
      <c r="C966" s="394" t="str">
        <f t="shared" si="40"/>
        <v>Percentage Improvement in Eqpt Efficiency Standards above BAU</v>
      </c>
      <c r="D966" s="399" t="s">
        <v>782</v>
      </c>
      <c r="E966" s="399" t="s">
        <v>810</v>
      </c>
      <c r="F966" s="366" t="s">
        <v>783</v>
      </c>
      <c r="G966" s="399" t="s">
        <v>821</v>
      </c>
      <c r="H966" s="377">
        <v>1187</v>
      </c>
      <c r="I966" s="396" t="s">
        <v>648</v>
      </c>
      <c r="J966" s="397" t="str">
        <f>IF(ISBLANK(INDEX('Policy Characteristics'!D:D,MATCH($C966,'Policy Characteristics'!$C:$C,0))),"",INDEX('Policy Characteristics'!D:D,MATCH($C966,'Policy Characteristics'!$C:$C,0)))</f>
        <v>Industry Energy Efficiency Standards</v>
      </c>
      <c r="K966" s="394" t="str">
        <f>IF(ISBLANK(INDEX('Policy Characteristics'!E:E,MATCH($C966,'Policy Characteristics'!$C:$C,0))),"",INDEX('Policy Characteristics'!E:E,MATCH($C966,'Policy Characteristics'!$C:$C,0)))</f>
        <v>indst efficiency standards</v>
      </c>
      <c r="L966" s="398">
        <f>IF(ISBLANK(INDEX('Policy Characteristics'!F:F,MATCH($C966,'Policy Characteristics'!$C:$C,0))),"",INDEX('Policy Characteristics'!F:F,MATCH($C966,'Policy Characteristics'!$C:$C,0)))</f>
        <v>0</v>
      </c>
      <c r="M966" s="398">
        <f>IF(ISBLANK(INDEX('Policy Characteristics'!G:G,MATCH($C966,'Policy Characteristics'!$C:$C,0))),"",INDEX('Policy Characteristics'!G:G,MATCH($C966,'Policy Characteristics'!$C:$C,0)))</f>
        <v>0.25</v>
      </c>
      <c r="N966" s="398">
        <f>IF(ISBLANK(INDEX('Policy Characteristics'!H:H,MATCH($C966,'Policy Characteristics'!$C:$C,0))),"",INDEX('Policy Characteristics'!H:H,MATCH($C966,'Policy Characteristics'!$C:$C,0)))</f>
        <v>0.01</v>
      </c>
      <c r="O966" s="394" t="str">
        <f>IF(ISBLANK(INDEX('Policy Characteristics'!I:I,MATCH($C966,'Policy Characteristics'!$C:$C,0))),"",INDEX('Policy Characteristics'!I:I,MATCH($C966,'Policy Characteristics'!$C:$C,0)))</f>
        <v>% reduction in energy use</v>
      </c>
      <c r="P966" s="394" t="str">
        <f>IF(ISBLANK(INDEX('Policy Characteristics'!J:J,MATCH($C966,'Policy Characteristics'!$C:$C,0))),"",INDEX('Policy Characteristics'!J:J,MATCH($C966,'Policy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6" s="394" t="str">
        <f>IF(ISBLANK(INDEX('Policy Characteristics'!K:K,MATCH($C966,'Policy Characteristics'!$C:$C,0))),"",INDEX('Policy Characteristics'!K:K,MATCH($C966,'Policy Characteristics'!$C:$C,0)))</f>
        <v>industry-ag-main.html#eff-stds</v>
      </c>
      <c r="R966" s="394" t="str">
        <f>IF(ISBLANK(INDEX('Policy Characteristics'!L:L,MATCH($C966,'Policy Characteristics'!$C:$C,0))),"",INDEX('Policy Characteristics'!L:L,MATCH($C966,'Policy Characteristics'!$C:$C,0)))</f>
        <v>industry-energy-efficiency-standards.html</v>
      </c>
    </row>
    <row r="967" s="384" customFormat="1" customHeight="1" spans="1:18">
      <c r="A967" s="394" t="str">
        <f>IF(ISBLANK(INDEX('Policy Characteristics'!A:A,MATCH($C967,'Policy Characteristics'!$C:$C,0))),"",INDEX('Policy Characteristics'!A:A,MATCH($C967,'Policy Characteristics'!$C:$C,0)))</f>
        <v>Industry</v>
      </c>
      <c r="B967" s="395" t="str">
        <f>IF(ISBLANK(INDEX('Policy Characteristics'!B:B,MATCH($C967,'Policy Characteristics'!$C:$C,0))),"",INDEX('Policy Characteristics'!B:B,MATCH($C967,'Policy Characteristics'!$C:$C,0)))</f>
        <v>Industry Energy Efficiency Standards</v>
      </c>
      <c r="C967" s="394" t="str">
        <f t="shared" si="40"/>
        <v>Percentage Improvement in Eqpt Efficiency Standards above BAU</v>
      </c>
      <c r="D967" s="399" t="s">
        <v>784</v>
      </c>
      <c r="E967" s="399" t="s">
        <v>792</v>
      </c>
      <c r="F967" t="s">
        <v>785</v>
      </c>
      <c r="G967" s="399" t="s">
        <v>812</v>
      </c>
      <c r="H967" s="377">
        <v>1188</v>
      </c>
      <c r="I967" s="396" t="s">
        <v>648</v>
      </c>
      <c r="J967" s="397" t="str">
        <f>IF(ISBLANK(INDEX('Policy Characteristics'!D:D,MATCH($C967,'Policy Characteristics'!$C:$C,0))),"",INDEX('Policy Characteristics'!D:D,MATCH($C967,'Policy Characteristics'!$C:$C,0)))</f>
        <v>Industry Energy Efficiency Standards</v>
      </c>
      <c r="K967" s="394" t="str">
        <f>IF(ISBLANK(INDEX('Policy Characteristics'!E:E,MATCH($C967,'Policy Characteristics'!$C:$C,0))),"",INDEX('Policy Characteristics'!E:E,MATCH($C967,'Policy Characteristics'!$C:$C,0)))</f>
        <v>indst efficiency standards</v>
      </c>
      <c r="L967" s="398">
        <f>IF(ISBLANK(INDEX('Policy Characteristics'!F:F,MATCH($C967,'Policy Characteristics'!$C:$C,0))),"",INDEX('Policy Characteristics'!F:F,MATCH($C967,'Policy Characteristics'!$C:$C,0)))</f>
        <v>0</v>
      </c>
      <c r="M967" s="398">
        <f>IF(ISBLANK(INDEX('Policy Characteristics'!G:G,MATCH($C967,'Policy Characteristics'!$C:$C,0))),"",INDEX('Policy Characteristics'!G:G,MATCH($C967,'Policy Characteristics'!$C:$C,0)))</f>
        <v>0.25</v>
      </c>
      <c r="N967" s="398">
        <f>IF(ISBLANK(INDEX('Policy Characteristics'!H:H,MATCH($C967,'Policy Characteristics'!$C:$C,0))),"",INDEX('Policy Characteristics'!H:H,MATCH($C967,'Policy Characteristics'!$C:$C,0)))</f>
        <v>0.01</v>
      </c>
      <c r="O967" s="394" t="str">
        <f>IF(ISBLANK(INDEX('Policy Characteristics'!I:I,MATCH($C967,'Policy Characteristics'!$C:$C,0))),"",INDEX('Policy Characteristics'!I:I,MATCH($C967,'Policy Characteristics'!$C:$C,0)))</f>
        <v>% reduction in energy use</v>
      </c>
      <c r="P967" s="394" t="str">
        <f>IF(ISBLANK(INDEX('Policy Characteristics'!J:J,MATCH($C967,'Policy Characteristics'!$C:$C,0))),"",INDEX('Policy Characteristics'!J:J,MATCH($C967,'Policy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7" s="394" t="str">
        <f>IF(ISBLANK(INDEX('Policy Characteristics'!K:K,MATCH($C967,'Policy Characteristics'!$C:$C,0))),"",INDEX('Policy Characteristics'!K:K,MATCH($C967,'Policy Characteristics'!$C:$C,0)))</f>
        <v>industry-ag-main.html#eff-stds</v>
      </c>
      <c r="R967" s="394" t="str">
        <f>IF(ISBLANK(INDEX('Policy Characteristics'!L:L,MATCH($C967,'Policy Characteristics'!$C:$C,0))),"",INDEX('Policy Characteristics'!L:L,MATCH($C967,'Policy Characteristics'!$C:$C,0)))</f>
        <v>industry-energy-efficiency-standards.html</v>
      </c>
    </row>
    <row r="968" s="384" customFormat="1" customHeight="1" spans="1:18">
      <c r="A968" s="394" t="str">
        <f>IF(ISBLANK(INDEX('Policy Characteristics'!A:A,MATCH($C968,'Policy Characteristics'!$C:$C,0))),"",INDEX('Policy Characteristics'!A:A,MATCH($C968,'Policy Characteristics'!$C:$C,0)))</f>
        <v>Industry</v>
      </c>
      <c r="B968" s="395" t="str">
        <f>IF(ISBLANK(INDEX('Policy Characteristics'!B:B,MATCH($C968,'Policy Characteristics'!$C:$C,0))),"",INDEX('Policy Characteristics'!B:B,MATCH($C968,'Policy Characteristics'!$C:$C,0)))</f>
        <v>Industry Energy Efficiency Standards</v>
      </c>
      <c r="C968" s="394" t="str">
        <f t="shared" si="40"/>
        <v>Percentage Improvement in Eqpt Efficiency Standards above BAU</v>
      </c>
      <c r="D968" s="399" t="s">
        <v>784</v>
      </c>
      <c r="E968" s="399" t="s">
        <v>794</v>
      </c>
      <c r="F968" t="s">
        <v>785</v>
      </c>
      <c r="G968" s="399" t="s">
        <v>813</v>
      </c>
      <c r="H968" s="377">
        <v>1189</v>
      </c>
      <c r="I968" s="396" t="s">
        <v>648</v>
      </c>
      <c r="J968" s="397" t="str">
        <f>IF(ISBLANK(INDEX('Policy Characteristics'!D:D,MATCH($C968,'Policy Characteristics'!$C:$C,0))),"",INDEX('Policy Characteristics'!D:D,MATCH($C968,'Policy Characteristics'!$C:$C,0)))</f>
        <v>Industry Energy Efficiency Standards</v>
      </c>
      <c r="K968" s="394" t="str">
        <f>IF(ISBLANK(INDEX('Policy Characteristics'!E:E,MATCH($C968,'Policy Characteristics'!$C:$C,0))),"",INDEX('Policy Characteristics'!E:E,MATCH($C968,'Policy Characteristics'!$C:$C,0)))</f>
        <v>indst efficiency standards</v>
      </c>
      <c r="L968" s="398">
        <f>IF(ISBLANK(INDEX('Policy Characteristics'!F:F,MATCH($C968,'Policy Characteristics'!$C:$C,0))),"",INDEX('Policy Characteristics'!F:F,MATCH($C968,'Policy Characteristics'!$C:$C,0)))</f>
        <v>0</v>
      </c>
      <c r="M968" s="398">
        <f>IF(ISBLANK(INDEX('Policy Characteristics'!G:G,MATCH($C968,'Policy Characteristics'!$C:$C,0))),"",INDEX('Policy Characteristics'!G:G,MATCH($C968,'Policy Characteristics'!$C:$C,0)))</f>
        <v>0.25</v>
      </c>
      <c r="N968" s="398">
        <f>IF(ISBLANK(INDEX('Policy Characteristics'!H:H,MATCH($C968,'Policy Characteristics'!$C:$C,0))),"",INDEX('Policy Characteristics'!H:H,MATCH($C968,'Policy Characteristics'!$C:$C,0)))</f>
        <v>0.01</v>
      </c>
      <c r="O968" s="394" t="str">
        <f>IF(ISBLANK(INDEX('Policy Characteristics'!I:I,MATCH($C968,'Policy Characteristics'!$C:$C,0))),"",INDEX('Policy Characteristics'!I:I,MATCH($C968,'Policy Characteristics'!$C:$C,0)))</f>
        <v>% reduction in energy use</v>
      </c>
      <c r="P968" s="394" t="str">
        <f>IF(ISBLANK(INDEX('Policy Characteristics'!J:J,MATCH($C968,'Policy Characteristics'!$C:$C,0))),"",INDEX('Policy Characteristics'!J:J,MATCH($C968,'Policy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8" s="394" t="str">
        <f>IF(ISBLANK(INDEX('Policy Characteristics'!K:K,MATCH($C968,'Policy Characteristics'!$C:$C,0))),"",INDEX('Policy Characteristics'!K:K,MATCH($C968,'Policy Characteristics'!$C:$C,0)))</f>
        <v>industry-ag-main.html#eff-stds</v>
      </c>
      <c r="R968" s="394" t="str">
        <f>IF(ISBLANK(INDEX('Policy Characteristics'!L:L,MATCH($C968,'Policy Characteristics'!$C:$C,0))),"",INDEX('Policy Characteristics'!L:L,MATCH($C968,'Policy Characteristics'!$C:$C,0)))</f>
        <v>industry-energy-efficiency-standards.html</v>
      </c>
    </row>
    <row r="969" s="384" customFormat="1" customHeight="1" spans="1:18">
      <c r="A969" s="394" t="str">
        <f>IF(ISBLANK(INDEX('Policy Characteristics'!A:A,MATCH($C969,'Policy Characteristics'!$C:$C,0))),"",INDEX('Policy Characteristics'!A:A,MATCH($C969,'Policy Characteristics'!$C:$C,0)))</f>
        <v>Industry</v>
      </c>
      <c r="B969" s="395" t="str">
        <f>IF(ISBLANK(INDEX('Policy Characteristics'!B:B,MATCH($C969,'Policy Characteristics'!$C:$C,0))),"",INDEX('Policy Characteristics'!B:B,MATCH($C969,'Policy Characteristics'!$C:$C,0)))</f>
        <v>Industry Energy Efficiency Standards</v>
      </c>
      <c r="C969" s="394" t="str">
        <f t="shared" si="40"/>
        <v>Percentage Improvement in Eqpt Efficiency Standards above BAU</v>
      </c>
      <c r="D969" s="399" t="s">
        <v>784</v>
      </c>
      <c r="E969" s="399" t="s">
        <v>796</v>
      </c>
      <c r="F969" t="s">
        <v>785</v>
      </c>
      <c r="G969" s="399" t="s">
        <v>814</v>
      </c>
      <c r="H969" s="377">
        <v>1190</v>
      </c>
      <c r="I969" s="396" t="s">
        <v>648</v>
      </c>
      <c r="J969" s="397" t="str">
        <f>IF(ISBLANK(INDEX('Policy Characteristics'!D:D,MATCH($C969,'Policy Characteristics'!$C:$C,0))),"",INDEX('Policy Characteristics'!D:D,MATCH($C969,'Policy Characteristics'!$C:$C,0)))</f>
        <v>Industry Energy Efficiency Standards</v>
      </c>
      <c r="K969" s="394" t="str">
        <f>IF(ISBLANK(INDEX('Policy Characteristics'!E:E,MATCH($C969,'Policy Characteristics'!$C:$C,0))),"",INDEX('Policy Characteristics'!E:E,MATCH($C969,'Policy Characteristics'!$C:$C,0)))</f>
        <v>indst efficiency standards</v>
      </c>
      <c r="L969" s="398">
        <f>IF(ISBLANK(INDEX('Policy Characteristics'!F:F,MATCH($C969,'Policy Characteristics'!$C:$C,0))),"",INDEX('Policy Characteristics'!F:F,MATCH($C969,'Policy Characteristics'!$C:$C,0)))</f>
        <v>0</v>
      </c>
      <c r="M969" s="398">
        <f>IF(ISBLANK(INDEX('Policy Characteristics'!G:G,MATCH($C969,'Policy Characteristics'!$C:$C,0))),"",INDEX('Policy Characteristics'!G:G,MATCH($C969,'Policy Characteristics'!$C:$C,0)))</f>
        <v>0.25</v>
      </c>
      <c r="N969" s="398">
        <f>IF(ISBLANK(INDEX('Policy Characteristics'!H:H,MATCH($C969,'Policy Characteristics'!$C:$C,0))),"",INDEX('Policy Characteristics'!H:H,MATCH($C969,'Policy Characteristics'!$C:$C,0)))</f>
        <v>0.01</v>
      </c>
      <c r="O969" s="394" t="str">
        <f>IF(ISBLANK(INDEX('Policy Characteristics'!I:I,MATCH($C969,'Policy Characteristics'!$C:$C,0))),"",INDEX('Policy Characteristics'!I:I,MATCH($C969,'Policy Characteristics'!$C:$C,0)))</f>
        <v>% reduction in energy use</v>
      </c>
      <c r="P969" s="394" t="str">
        <f>IF(ISBLANK(INDEX('Policy Characteristics'!J:J,MATCH($C969,'Policy Characteristics'!$C:$C,0))),"",INDEX('Policy Characteristics'!J:J,MATCH($C969,'Policy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9" s="394" t="str">
        <f>IF(ISBLANK(INDEX('Policy Characteristics'!K:K,MATCH($C969,'Policy Characteristics'!$C:$C,0))),"",INDEX('Policy Characteristics'!K:K,MATCH($C969,'Policy Characteristics'!$C:$C,0)))</f>
        <v>industry-ag-main.html#eff-stds</v>
      </c>
      <c r="R969" s="394" t="str">
        <f>IF(ISBLANK(INDEX('Policy Characteristics'!L:L,MATCH($C969,'Policy Characteristics'!$C:$C,0))),"",INDEX('Policy Characteristics'!L:L,MATCH($C969,'Policy Characteristics'!$C:$C,0)))</f>
        <v>industry-energy-efficiency-standards.html</v>
      </c>
    </row>
    <row r="970" s="384" customFormat="1" customHeight="1" spans="1:18">
      <c r="A970" s="394" t="str">
        <f>IF(ISBLANK(INDEX('Policy Characteristics'!A:A,MATCH($C970,'Policy Characteristics'!$C:$C,0))),"",INDEX('Policy Characteristics'!A:A,MATCH($C970,'Policy Characteristics'!$C:$C,0)))</f>
        <v>Industry</v>
      </c>
      <c r="B970" s="395" t="str">
        <f>IF(ISBLANK(INDEX('Policy Characteristics'!B:B,MATCH($C970,'Policy Characteristics'!$C:$C,0))),"",INDEX('Policy Characteristics'!B:B,MATCH($C970,'Policy Characteristics'!$C:$C,0)))</f>
        <v>Industry Energy Efficiency Standards</v>
      </c>
      <c r="C970" s="394" t="str">
        <f t="shared" si="40"/>
        <v>Percentage Improvement in Eqpt Efficiency Standards above BAU</v>
      </c>
      <c r="D970" s="399" t="s">
        <v>784</v>
      </c>
      <c r="E970" s="399" t="s">
        <v>798</v>
      </c>
      <c r="F970" t="s">
        <v>785</v>
      </c>
      <c r="G970" s="399" t="s">
        <v>815</v>
      </c>
      <c r="H970" s="377">
        <v>1191</v>
      </c>
      <c r="I970" s="396" t="s">
        <v>648</v>
      </c>
      <c r="J970" s="397" t="str">
        <f>IF(ISBLANK(INDEX('Policy Characteristics'!D:D,MATCH($C970,'Policy Characteristics'!$C:$C,0))),"",INDEX('Policy Characteristics'!D:D,MATCH($C970,'Policy Characteristics'!$C:$C,0)))</f>
        <v>Industry Energy Efficiency Standards</v>
      </c>
      <c r="K970" s="394" t="str">
        <f>IF(ISBLANK(INDEX('Policy Characteristics'!E:E,MATCH($C970,'Policy Characteristics'!$C:$C,0))),"",INDEX('Policy Characteristics'!E:E,MATCH($C970,'Policy Characteristics'!$C:$C,0)))</f>
        <v>indst efficiency standards</v>
      </c>
      <c r="L970" s="398">
        <f>IF(ISBLANK(INDEX('Policy Characteristics'!F:F,MATCH($C970,'Policy Characteristics'!$C:$C,0))),"",INDEX('Policy Characteristics'!F:F,MATCH($C970,'Policy Characteristics'!$C:$C,0)))</f>
        <v>0</v>
      </c>
      <c r="M970" s="398">
        <f>IF(ISBLANK(INDEX('Policy Characteristics'!G:G,MATCH($C970,'Policy Characteristics'!$C:$C,0))),"",INDEX('Policy Characteristics'!G:G,MATCH($C970,'Policy Characteristics'!$C:$C,0)))</f>
        <v>0.25</v>
      </c>
      <c r="N970" s="398">
        <f>IF(ISBLANK(INDEX('Policy Characteristics'!H:H,MATCH($C970,'Policy Characteristics'!$C:$C,0))),"",INDEX('Policy Characteristics'!H:H,MATCH($C970,'Policy Characteristics'!$C:$C,0)))</f>
        <v>0.01</v>
      </c>
      <c r="O970" s="394" t="str">
        <f>IF(ISBLANK(INDEX('Policy Characteristics'!I:I,MATCH($C970,'Policy Characteristics'!$C:$C,0))),"",INDEX('Policy Characteristics'!I:I,MATCH($C970,'Policy Characteristics'!$C:$C,0)))</f>
        <v>% reduction in energy use</v>
      </c>
      <c r="P970" s="394" t="str">
        <f>IF(ISBLANK(INDEX('Policy Characteristics'!J:J,MATCH($C970,'Policy Characteristics'!$C:$C,0))),"",INDEX('Policy Characteristics'!J:J,MATCH($C970,'Policy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0" s="394" t="str">
        <f>IF(ISBLANK(INDEX('Policy Characteristics'!K:K,MATCH($C970,'Policy Characteristics'!$C:$C,0))),"",INDEX('Policy Characteristics'!K:K,MATCH($C970,'Policy Characteristics'!$C:$C,0)))</f>
        <v>industry-ag-main.html#eff-stds</v>
      </c>
      <c r="R970" s="394" t="str">
        <f>IF(ISBLANK(INDEX('Policy Characteristics'!L:L,MATCH($C970,'Policy Characteristics'!$C:$C,0))),"",INDEX('Policy Characteristics'!L:L,MATCH($C970,'Policy Characteristics'!$C:$C,0)))</f>
        <v>industry-energy-efficiency-standards.html</v>
      </c>
    </row>
    <row r="971" s="384" customFormat="1" customHeight="1" spans="1:18">
      <c r="A971" s="394" t="str">
        <f>IF(ISBLANK(INDEX('Policy Characteristics'!A:A,MATCH($C971,'Policy Characteristics'!$C:$C,0))),"",INDEX('Policy Characteristics'!A:A,MATCH($C971,'Policy Characteristics'!$C:$C,0)))</f>
        <v>Industry</v>
      </c>
      <c r="B971" s="395" t="str">
        <f>IF(ISBLANK(INDEX('Policy Characteristics'!B:B,MATCH($C971,'Policy Characteristics'!$C:$C,0))),"",INDEX('Policy Characteristics'!B:B,MATCH($C971,'Policy Characteristics'!$C:$C,0)))</f>
        <v>Industry Energy Efficiency Standards</v>
      </c>
      <c r="C971" s="394" t="str">
        <f t="shared" si="40"/>
        <v>Percentage Improvement in Eqpt Efficiency Standards above BAU</v>
      </c>
      <c r="D971" s="399" t="s">
        <v>784</v>
      </c>
      <c r="E971" s="399" t="s">
        <v>800</v>
      </c>
      <c r="F971" t="s">
        <v>785</v>
      </c>
      <c r="G971" s="399" t="s">
        <v>816</v>
      </c>
      <c r="H971" s="377">
        <v>1192</v>
      </c>
      <c r="I971" s="396" t="s">
        <v>648</v>
      </c>
      <c r="J971" s="397" t="str">
        <f>IF(ISBLANK(INDEX('Policy Characteristics'!D:D,MATCH($C971,'Policy Characteristics'!$C:$C,0))),"",INDEX('Policy Characteristics'!D:D,MATCH($C971,'Policy Characteristics'!$C:$C,0)))</f>
        <v>Industry Energy Efficiency Standards</v>
      </c>
      <c r="K971" s="394" t="str">
        <f>IF(ISBLANK(INDEX('Policy Characteristics'!E:E,MATCH($C971,'Policy Characteristics'!$C:$C,0))),"",INDEX('Policy Characteristics'!E:E,MATCH($C971,'Policy Characteristics'!$C:$C,0)))</f>
        <v>indst efficiency standards</v>
      </c>
      <c r="L971" s="398">
        <f>IF(ISBLANK(INDEX('Policy Characteristics'!F:F,MATCH($C971,'Policy Characteristics'!$C:$C,0))),"",INDEX('Policy Characteristics'!F:F,MATCH($C971,'Policy Characteristics'!$C:$C,0)))</f>
        <v>0</v>
      </c>
      <c r="M971" s="398">
        <f>IF(ISBLANK(INDEX('Policy Characteristics'!G:G,MATCH($C971,'Policy Characteristics'!$C:$C,0))),"",INDEX('Policy Characteristics'!G:G,MATCH($C971,'Policy Characteristics'!$C:$C,0)))</f>
        <v>0.25</v>
      </c>
      <c r="N971" s="398">
        <f>IF(ISBLANK(INDEX('Policy Characteristics'!H:H,MATCH($C971,'Policy Characteristics'!$C:$C,0))),"",INDEX('Policy Characteristics'!H:H,MATCH($C971,'Policy Characteristics'!$C:$C,0)))</f>
        <v>0.01</v>
      </c>
      <c r="O971" s="394" t="str">
        <f>IF(ISBLANK(INDEX('Policy Characteristics'!I:I,MATCH($C971,'Policy Characteristics'!$C:$C,0))),"",INDEX('Policy Characteristics'!I:I,MATCH($C971,'Policy Characteristics'!$C:$C,0)))</f>
        <v>% reduction in energy use</v>
      </c>
      <c r="P971" s="394" t="str">
        <f>IF(ISBLANK(INDEX('Policy Characteristics'!J:J,MATCH($C971,'Policy Characteristics'!$C:$C,0))),"",INDEX('Policy Characteristics'!J:J,MATCH($C971,'Policy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1" s="394" t="str">
        <f>IF(ISBLANK(INDEX('Policy Characteristics'!K:K,MATCH($C971,'Policy Characteristics'!$C:$C,0))),"",INDEX('Policy Characteristics'!K:K,MATCH($C971,'Policy Characteristics'!$C:$C,0)))</f>
        <v>industry-ag-main.html#eff-stds</v>
      </c>
      <c r="R971" s="394" t="str">
        <f>IF(ISBLANK(INDEX('Policy Characteristics'!L:L,MATCH($C971,'Policy Characteristics'!$C:$C,0))),"",INDEX('Policy Characteristics'!L:L,MATCH($C971,'Policy Characteristics'!$C:$C,0)))</f>
        <v>industry-energy-efficiency-standards.html</v>
      </c>
    </row>
    <row r="972" s="384" customFormat="1" customHeight="1" spans="1:18">
      <c r="A972" s="394" t="str">
        <f>IF(ISBLANK(INDEX('Policy Characteristics'!A:A,MATCH($C972,'Policy Characteristics'!$C:$C,0))),"",INDEX('Policy Characteristics'!A:A,MATCH($C972,'Policy Characteristics'!$C:$C,0)))</f>
        <v>Industry</v>
      </c>
      <c r="B972" s="395" t="str">
        <f>IF(ISBLANK(INDEX('Policy Characteristics'!B:B,MATCH($C972,'Policy Characteristics'!$C:$C,0))),"",INDEX('Policy Characteristics'!B:B,MATCH($C972,'Policy Characteristics'!$C:$C,0)))</f>
        <v>Industry Energy Efficiency Standards</v>
      </c>
      <c r="C972" s="394" t="str">
        <f t="shared" si="40"/>
        <v>Percentage Improvement in Eqpt Efficiency Standards above BAU</v>
      </c>
      <c r="D972" s="399" t="s">
        <v>784</v>
      </c>
      <c r="E972" s="399" t="s">
        <v>802</v>
      </c>
      <c r="F972" t="s">
        <v>785</v>
      </c>
      <c r="G972" s="399" t="s">
        <v>817</v>
      </c>
      <c r="H972" s="377">
        <v>1193</v>
      </c>
      <c r="I972" s="396" t="s">
        <v>648</v>
      </c>
      <c r="J972" s="397" t="str">
        <f>IF(ISBLANK(INDEX('Policy Characteristics'!D:D,MATCH($C972,'Policy Characteristics'!$C:$C,0))),"",INDEX('Policy Characteristics'!D:D,MATCH($C972,'Policy Characteristics'!$C:$C,0)))</f>
        <v>Industry Energy Efficiency Standards</v>
      </c>
      <c r="K972" s="394" t="str">
        <f>IF(ISBLANK(INDEX('Policy Characteristics'!E:E,MATCH($C972,'Policy Characteristics'!$C:$C,0))),"",INDEX('Policy Characteristics'!E:E,MATCH($C972,'Policy Characteristics'!$C:$C,0)))</f>
        <v>indst efficiency standards</v>
      </c>
      <c r="L972" s="398">
        <f>IF(ISBLANK(INDEX('Policy Characteristics'!F:F,MATCH($C972,'Policy Characteristics'!$C:$C,0))),"",INDEX('Policy Characteristics'!F:F,MATCH($C972,'Policy Characteristics'!$C:$C,0)))</f>
        <v>0</v>
      </c>
      <c r="M972" s="398">
        <f>IF(ISBLANK(INDEX('Policy Characteristics'!G:G,MATCH($C972,'Policy Characteristics'!$C:$C,0))),"",INDEX('Policy Characteristics'!G:G,MATCH($C972,'Policy Characteristics'!$C:$C,0)))</f>
        <v>0.25</v>
      </c>
      <c r="N972" s="398">
        <f>IF(ISBLANK(INDEX('Policy Characteristics'!H:H,MATCH($C972,'Policy Characteristics'!$C:$C,0))),"",INDEX('Policy Characteristics'!H:H,MATCH($C972,'Policy Characteristics'!$C:$C,0)))</f>
        <v>0.01</v>
      </c>
      <c r="O972" s="394" t="str">
        <f>IF(ISBLANK(INDEX('Policy Characteristics'!I:I,MATCH($C972,'Policy Characteristics'!$C:$C,0))),"",INDEX('Policy Characteristics'!I:I,MATCH($C972,'Policy Characteristics'!$C:$C,0)))</f>
        <v>% reduction in energy use</v>
      </c>
      <c r="P972" s="394" t="str">
        <f>IF(ISBLANK(INDEX('Policy Characteristics'!J:J,MATCH($C972,'Policy Characteristics'!$C:$C,0))),"",INDEX('Policy Characteristics'!J:J,MATCH($C972,'Policy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2" s="394" t="str">
        <f>IF(ISBLANK(INDEX('Policy Characteristics'!K:K,MATCH($C972,'Policy Characteristics'!$C:$C,0))),"",INDEX('Policy Characteristics'!K:K,MATCH($C972,'Policy Characteristics'!$C:$C,0)))</f>
        <v>industry-ag-main.html#eff-stds</v>
      </c>
      <c r="R972" s="394" t="str">
        <f>IF(ISBLANK(INDEX('Policy Characteristics'!L:L,MATCH($C972,'Policy Characteristics'!$C:$C,0))),"",INDEX('Policy Characteristics'!L:L,MATCH($C972,'Policy Characteristics'!$C:$C,0)))</f>
        <v>industry-energy-efficiency-standards.html</v>
      </c>
    </row>
    <row r="973" s="384" customFormat="1" customHeight="1" spans="1:18">
      <c r="A973" s="394" t="str">
        <f>IF(ISBLANK(INDEX('Policy Characteristics'!A:A,MATCH($C973,'Policy Characteristics'!$C:$C,0))),"",INDEX('Policy Characteristics'!A:A,MATCH($C973,'Policy Characteristics'!$C:$C,0)))</f>
        <v>Industry</v>
      </c>
      <c r="B973" s="395" t="str">
        <f>IF(ISBLANK(INDEX('Policy Characteristics'!B:B,MATCH($C973,'Policy Characteristics'!$C:$C,0))),"",INDEX('Policy Characteristics'!B:B,MATCH($C973,'Policy Characteristics'!$C:$C,0)))</f>
        <v>Industry Energy Efficiency Standards</v>
      </c>
      <c r="C973" s="394" t="str">
        <f t="shared" si="40"/>
        <v>Percentage Improvement in Eqpt Efficiency Standards above BAU</v>
      </c>
      <c r="D973" s="399" t="s">
        <v>784</v>
      </c>
      <c r="E973" s="399" t="s">
        <v>804</v>
      </c>
      <c r="F973" t="s">
        <v>785</v>
      </c>
      <c r="G973" s="399" t="s">
        <v>818</v>
      </c>
      <c r="H973" s="377">
        <v>1194</v>
      </c>
      <c r="I973" s="396" t="s">
        <v>648</v>
      </c>
      <c r="J973" s="397" t="str">
        <f>IF(ISBLANK(INDEX('Policy Characteristics'!D:D,MATCH($C973,'Policy Characteristics'!$C:$C,0))),"",INDEX('Policy Characteristics'!D:D,MATCH($C973,'Policy Characteristics'!$C:$C,0)))</f>
        <v>Industry Energy Efficiency Standards</v>
      </c>
      <c r="K973" s="394" t="str">
        <f>IF(ISBLANK(INDEX('Policy Characteristics'!E:E,MATCH($C973,'Policy Characteristics'!$C:$C,0))),"",INDEX('Policy Characteristics'!E:E,MATCH($C973,'Policy Characteristics'!$C:$C,0)))</f>
        <v>indst efficiency standards</v>
      </c>
      <c r="L973" s="398">
        <f>IF(ISBLANK(INDEX('Policy Characteristics'!F:F,MATCH($C973,'Policy Characteristics'!$C:$C,0))),"",INDEX('Policy Characteristics'!F:F,MATCH($C973,'Policy Characteristics'!$C:$C,0)))</f>
        <v>0</v>
      </c>
      <c r="M973" s="398">
        <f>IF(ISBLANK(INDEX('Policy Characteristics'!G:G,MATCH($C973,'Policy Characteristics'!$C:$C,0))),"",INDEX('Policy Characteristics'!G:G,MATCH($C973,'Policy Characteristics'!$C:$C,0)))</f>
        <v>0.25</v>
      </c>
      <c r="N973" s="398">
        <f>IF(ISBLANK(INDEX('Policy Characteristics'!H:H,MATCH($C973,'Policy Characteristics'!$C:$C,0))),"",INDEX('Policy Characteristics'!H:H,MATCH($C973,'Policy Characteristics'!$C:$C,0)))</f>
        <v>0.01</v>
      </c>
      <c r="O973" s="394" t="str">
        <f>IF(ISBLANK(INDEX('Policy Characteristics'!I:I,MATCH($C973,'Policy Characteristics'!$C:$C,0))),"",INDEX('Policy Characteristics'!I:I,MATCH($C973,'Policy Characteristics'!$C:$C,0)))</f>
        <v>% reduction in energy use</v>
      </c>
      <c r="P973" s="394" t="str">
        <f>IF(ISBLANK(INDEX('Policy Characteristics'!J:J,MATCH($C973,'Policy Characteristics'!$C:$C,0))),"",INDEX('Policy Characteristics'!J:J,MATCH($C973,'Policy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3" s="394" t="str">
        <f>IF(ISBLANK(INDEX('Policy Characteristics'!K:K,MATCH($C973,'Policy Characteristics'!$C:$C,0))),"",INDEX('Policy Characteristics'!K:K,MATCH($C973,'Policy Characteristics'!$C:$C,0)))</f>
        <v>industry-ag-main.html#eff-stds</v>
      </c>
      <c r="R973" s="394" t="str">
        <f>IF(ISBLANK(INDEX('Policy Characteristics'!L:L,MATCH($C973,'Policy Characteristics'!$C:$C,0))),"",INDEX('Policy Characteristics'!L:L,MATCH($C973,'Policy Characteristics'!$C:$C,0)))</f>
        <v>industry-energy-efficiency-standards.html</v>
      </c>
    </row>
    <row r="974" s="384" customFormat="1" customHeight="1" spans="1:18">
      <c r="A974" s="394" t="str">
        <f>IF(ISBLANK(INDEX('Policy Characteristics'!A:A,MATCH($C974,'Policy Characteristics'!$C:$C,0))),"",INDEX('Policy Characteristics'!A:A,MATCH($C974,'Policy Characteristics'!$C:$C,0)))</f>
        <v>Industry</v>
      </c>
      <c r="B974" s="395" t="str">
        <f>IF(ISBLANK(INDEX('Policy Characteristics'!B:B,MATCH($C974,'Policy Characteristics'!$C:$C,0))),"",INDEX('Policy Characteristics'!B:B,MATCH($C974,'Policy Characteristics'!$C:$C,0)))</f>
        <v>Industry Energy Efficiency Standards</v>
      </c>
      <c r="C974" s="394" t="str">
        <f t="shared" si="40"/>
        <v>Percentage Improvement in Eqpt Efficiency Standards above BAU</v>
      </c>
      <c r="D974" s="399" t="s">
        <v>784</v>
      </c>
      <c r="E974" s="399" t="s">
        <v>806</v>
      </c>
      <c r="F974" t="s">
        <v>785</v>
      </c>
      <c r="G974" s="399" t="s">
        <v>819</v>
      </c>
      <c r="H974" s="377">
        <v>1195</v>
      </c>
      <c r="I974" s="396" t="s">
        <v>648</v>
      </c>
      <c r="J974" s="397" t="str">
        <f>IF(ISBLANK(INDEX('Policy Characteristics'!D:D,MATCH($C974,'Policy Characteristics'!$C:$C,0))),"",INDEX('Policy Characteristics'!D:D,MATCH($C974,'Policy Characteristics'!$C:$C,0)))</f>
        <v>Industry Energy Efficiency Standards</v>
      </c>
      <c r="K974" s="394" t="str">
        <f>IF(ISBLANK(INDEX('Policy Characteristics'!E:E,MATCH($C974,'Policy Characteristics'!$C:$C,0))),"",INDEX('Policy Characteristics'!E:E,MATCH($C974,'Policy Characteristics'!$C:$C,0)))</f>
        <v>indst efficiency standards</v>
      </c>
      <c r="L974" s="398">
        <f>IF(ISBLANK(INDEX('Policy Characteristics'!F:F,MATCH($C974,'Policy Characteristics'!$C:$C,0))),"",INDEX('Policy Characteristics'!F:F,MATCH($C974,'Policy Characteristics'!$C:$C,0)))</f>
        <v>0</v>
      </c>
      <c r="M974" s="398">
        <f>IF(ISBLANK(INDEX('Policy Characteristics'!G:G,MATCH($C974,'Policy Characteristics'!$C:$C,0))),"",INDEX('Policy Characteristics'!G:G,MATCH($C974,'Policy Characteristics'!$C:$C,0)))</f>
        <v>0.25</v>
      </c>
      <c r="N974" s="398">
        <f>IF(ISBLANK(INDEX('Policy Characteristics'!H:H,MATCH($C974,'Policy Characteristics'!$C:$C,0))),"",INDEX('Policy Characteristics'!H:H,MATCH($C974,'Policy Characteristics'!$C:$C,0)))</f>
        <v>0.01</v>
      </c>
      <c r="O974" s="394" t="str">
        <f>IF(ISBLANK(INDEX('Policy Characteristics'!I:I,MATCH($C974,'Policy Characteristics'!$C:$C,0))),"",INDEX('Policy Characteristics'!I:I,MATCH($C974,'Policy Characteristics'!$C:$C,0)))</f>
        <v>% reduction in energy use</v>
      </c>
      <c r="P974" s="394" t="str">
        <f>IF(ISBLANK(INDEX('Policy Characteristics'!J:J,MATCH($C974,'Policy Characteristics'!$C:$C,0))),"",INDEX('Policy Characteristics'!J:J,MATCH($C974,'Policy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4" s="394" t="str">
        <f>IF(ISBLANK(INDEX('Policy Characteristics'!K:K,MATCH($C974,'Policy Characteristics'!$C:$C,0))),"",INDEX('Policy Characteristics'!K:K,MATCH($C974,'Policy Characteristics'!$C:$C,0)))</f>
        <v>industry-ag-main.html#eff-stds</v>
      </c>
      <c r="R974" s="394" t="str">
        <f>IF(ISBLANK(INDEX('Policy Characteristics'!L:L,MATCH($C974,'Policy Characteristics'!$C:$C,0))),"",INDEX('Policy Characteristics'!L:L,MATCH($C974,'Policy Characteristics'!$C:$C,0)))</f>
        <v>industry-energy-efficiency-standards.html</v>
      </c>
    </row>
    <row r="975" s="384" customFormat="1" customHeight="1" spans="1:18">
      <c r="A975" s="394" t="str">
        <f>IF(ISBLANK(INDEX('Policy Characteristics'!A:A,MATCH($C975,'Policy Characteristics'!$C:$C,0))),"",INDEX('Policy Characteristics'!A:A,MATCH($C975,'Policy Characteristics'!$C:$C,0)))</f>
        <v>Industry</v>
      </c>
      <c r="B975" s="395" t="str">
        <f>IF(ISBLANK(INDEX('Policy Characteristics'!B:B,MATCH($C975,'Policy Characteristics'!$C:$C,0))),"",INDEX('Policy Characteristics'!B:B,MATCH($C975,'Policy Characteristics'!$C:$C,0)))</f>
        <v>Industry Energy Efficiency Standards</v>
      </c>
      <c r="C975" s="394" t="str">
        <f t="shared" si="40"/>
        <v>Percentage Improvement in Eqpt Efficiency Standards above BAU</v>
      </c>
      <c r="D975" s="399" t="s">
        <v>784</v>
      </c>
      <c r="E975" s="399" t="s">
        <v>808</v>
      </c>
      <c r="F975" t="s">
        <v>785</v>
      </c>
      <c r="G975" s="399" t="s">
        <v>820</v>
      </c>
      <c r="H975" s="377">
        <v>1196</v>
      </c>
      <c r="I975" s="396" t="s">
        <v>648</v>
      </c>
      <c r="J975" s="397" t="str">
        <f>IF(ISBLANK(INDEX('Policy Characteristics'!D:D,MATCH($C975,'Policy Characteristics'!$C:$C,0))),"",INDEX('Policy Characteristics'!D:D,MATCH($C975,'Policy Characteristics'!$C:$C,0)))</f>
        <v>Industry Energy Efficiency Standards</v>
      </c>
      <c r="K975" s="394" t="str">
        <f>IF(ISBLANK(INDEX('Policy Characteristics'!E:E,MATCH($C975,'Policy Characteristics'!$C:$C,0))),"",INDEX('Policy Characteristics'!E:E,MATCH($C975,'Policy Characteristics'!$C:$C,0)))</f>
        <v>indst efficiency standards</v>
      </c>
      <c r="L975" s="398">
        <f>IF(ISBLANK(INDEX('Policy Characteristics'!F:F,MATCH($C975,'Policy Characteristics'!$C:$C,0))),"",INDEX('Policy Characteristics'!F:F,MATCH($C975,'Policy Characteristics'!$C:$C,0)))</f>
        <v>0</v>
      </c>
      <c r="M975" s="398">
        <f>IF(ISBLANK(INDEX('Policy Characteristics'!G:G,MATCH($C975,'Policy Characteristics'!$C:$C,0))),"",INDEX('Policy Characteristics'!G:G,MATCH($C975,'Policy Characteristics'!$C:$C,0)))</f>
        <v>0.25</v>
      </c>
      <c r="N975" s="398">
        <f>IF(ISBLANK(INDEX('Policy Characteristics'!H:H,MATCH($C975,'Policy Characteristics'!$C:$C,0))),"",INDEX('Policy Characteristics'!H:H,MATCH($C975,'Policy Characteristics'!$C:$C,0)))</f>
        <v>0.01</v>
      </c>
      <c r="O975" s="394" t="str">
        <f>IF(ISBLANK(INDEX('Policy Characteristics'!I:I,MATCH($C975,'Policy Characteristics'!$C:$C,0))),"",INDEX('Policy Characteristics'!I:I,MATCH($C975,'Policy Characteristics'!$C:$C,0)))</f>
        <v>% reduction in energy use</v>
      </c>
      <c r="P975" s="394" t="str">
        <f>IF(ISBLANK(INDEX('Policy Characteristics'!J:J,MATCH($C975,'Policy Characteristics'!$C:$C,0))),"",INDEX('Policy Characteristics'!J:J,MATCH($C975,'Policy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5" s="394" t="str">
        <f>IF(ISBLANK(INDEX('Policy Characteristics'!K:K,MATCH($C975,'Policy Characteristics'!$C:$C,0))),"",INDEX('Policy Characteristics'!K:K,MATCH($C975,'Policy Characteristics'!$C:$C,0)))</f>
        <v>industry-ag-main.html#eff-stds</v>
      </c>
      <c r="R975" s="394" t="str">
        <f>IF(ISBLANK(INDEX('Policy Characteristics'!L:L,MATCH($C975,'Policy Characteristics'!$C:$C,0))),"",INDEX('Policy Characteristics'!L:L,MATCH($C975,'Policy Characteristics'!$C:$C,0)))</f>
        <v>industry-energy-efficiency-standards.html</v>
      </c>
    </row>
    <row r="976" s="384" customFormat="1" customHeight="1" spans="1:18">
      <c r="A976" s="394" t="str">
        <f>IF(ISBLANK(INDEX('Policy Characteristics'!A:A,MATCH($C976,'Policy Characteristics'!$C:$C,0))),"",INDEX('Policy Characteristics'!A:A,MATCH($C976,'Policy Characteristics'!$C:$C,0)))</f>
        <v>Industry</v>
      </c>
      <c r="B976" s="395" t="str">
        <f>IF(ISBLANK(INDEX('Policy Characteristics'!B:B,MATCH($C976,'Policy Characteristics'!$C:$C,0))),"",INDEX('Policy Characteristics'!B:B,MATCH($C976,'Policy Characteristics'!$C:$C,0)))</f>
        <v>Industry Energy Efficiency Standards</v>
      </c>
      <c r="C976" s="394" t="str">
        <f t="shared" si="40"/>
        <v>Percentage Improvement in Eqpt Efficiency Standards above BAU</v>
      </c>
      <c r="D976" s="399" t="s">
        <v>784</v>
      </c>
      <c r="E976" s="399" t="s">
        <v>810</v>
      </c>
      <c r="F976" t="s">
        <v>785</v>
      </c>
      <c r="G976" s="399" t="s">
        <v>821</v>
      </c>
      <c r="H976" s="377">
        <v>1197</v>
      </c>
      <c r="I976" s="396" t="s">
        <v>648</v>
      </c>
      <c r="J976" s="397" t="str">
        <f>IF(ISBLANK(INDEX('Policy Characteristics'!D:D,MATCH($C976,'Policy Characteristics'!$C:$C,0))),"",INDEX('Policy Characteristics'!D:D,MATCH($C976,'Policy Characteristics'!$C:$C,0)))</f>
        <v>Industry Energy Efficiency Standards</v>
      </c>
      <c r="K976" s="394" t="str">
        <f>IF(ISBLANK(INDEX('Policy Characteristics'!E:E,MATCH($C976,'Policy Characteristics'!$C:$C,0))),"",INDEX('Policy Characteristics'!E:E,MATCH($C976,'Policy Characteristics'!$C:$C,0)))</f>
        <v>indst efficiency standards</v>
      </c>
      <c r="L976" s="398">
        <f>IF(ISBLANK(INDEX('Policy Characteristics'!F:F,MATCH($C976,'Policy Characteristics'!$C:$C,0))),"",INDEX('Policy Characteristics'!F:F,MATCH($C976,'Policy Characteristics'!$C:$C,0)))</f>
        <v>0</v>
      </c>
      <c r="M976" s="398">
        <f>IF(ISBLANK(INDEX('Policy Characteristics'!G:G,MATCH($C976,'Policy Characteristics'!$C:$C,0))),"",INDEX('Policy Characteristics'!G:G,MATCH($C976,'Policy Characteristics'!$C:$C,0)))</f>
        <v>0.25</v>
      </c>
      <c r="N976" s="398">
        <f>IF(ISBLANK(INDEX('Policy Characteristics'!H:H,MATCH($C976,'Policy Characteristics'!$C:$C,0))),"",INDEX('Policy Characteristics'!H:H,MATCH($C976,'Policy Characteristics'!$C:$C,0)))</f>
        <v>0.01</v>
      </c>
      <c r="O976" s="394" t="str">
        <f>IF(ISBLANK(INDEX('Policy Characteristics'!I:I,MATCH($C976,'Policy Characteristics'!$C:$C,0))),"",INDEX('Policy Characteristics'!I:I,MATCH($C976,'Policy Characteristics'!$C:$C,0)))</f>
        <v>% reduction in energy use</v>
      </c>
      <c r="P976" s="394" t="str">
        <f>IF(ISBLANK(INDEX('Policy Characteristics'!J:J,MATCH($C976,'Policy Characteristics'!$C:$C,0))),"",INDEX('Policy Characteristics'!J:J,MATCH($C976,'Policy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6" s="394" t="str">
        <f>IF(ISBLANK(INDEX('Policy Characteristics'!K:K,MATCH($C976,'Policy Characteristics'!$C:$C,0))),"",INDEX('Policy Characteristics'!K:K,MATCH($C976,'Policy Characteristics'!$C:$C,0)))</f>
        <v>industry-ag-main.html#eff-stds</v>
      </c>
      <c r="R976" s="394" t="str">
        <f>IF(ISBLANK(INDEX('Policy Characteristics'!L:L,MATCH($C976,'Policy Characteristics'!$C:$C,0))),"",INDEX('Policy Characteristics'!L:L,MATCH($C976,'Policy Characteristics'!$C:$C,0)))</f>
        <v>industry-energy-efficiency-standards.html</v>
      </c>
    </row>
    <row r="977" s="384" customFormat="1" customHeight="1" spans="1:18">
      <c r="A977" s="394" t="str">
        <f>IF(ISBLANK(INDEX('Policy Characteristics'!A:A,MATCH($C977,'Policy Characteristics'!$C:$C,0))),"",INDEX('Policy Characteristics'!A:A,MATCH($C977,'Policy Characteristics'!$C:$C,0)))</f>
        <v>Industry</v>
      </c>
      <c r="B977" s="395" t="str">
        <f>IF(ISBLANK(INDEX('Policy Characteristics'!B:B,MATCH($C977,'Policy Characteristics'!$C:$C,0))),"",INDEX('Policy Characteristics'!B:B,MATCH($C977,'Policy Characteristics'!$C:$C,0)))</f>
        <v>Industry Energy Efficiency Standards</v>
      </c>
      <c r="C977" s="394" t="str">
        <f t="shared" si="40"/>
        <v>Percentage Improvement in Eqpt Efficiency Standards above BAU</v>
      </c>
      <c r="D977" s="399" t="s">
        <v>786</v>
      </c>
      <c r="E977" s="399" t="s">
        <v>792</v>
      </c>
      <c r="F977" t="s">
        <v>787</v>
      </c>
      <c r="G977" s="399" t="s">
        <v>812</v>
      </c>
      <c r="H977" s="377">
        <v>1198</v>
      </c>
      <c r="I977" s="396" t="s">
        <v>648</v>
      </c>
      <c r="J977" s="397" t="str">
        <f>IF(ISBLANK(INDEX('Policy Characteristics'!D:D,MATCH($C977,'Policy Characteristics'!$C:$C,0))),"",INDEX('Policy Characteristics'!D:D,MATCH($C977,'Policy Characteristics'!$C:$C,0)))</f>
        <v>Industry Energy Efficiency Standards</v>
      </c>
      <c r="K977" s="394" t="str">
        <f>IF(ISBLANK(INDEX('Policy Characteristics'!E:E,MATCH($C977,'Policy Characteristics'!$C:$C,0))),"",INDEX('Policy Characteristics'!E:E,MATCH($C977,'Policy Characteristics'!$C:$C,0)))</f>
        <v>indst efficiency standards</v>
      </c>
      <c r="L977" s="398">
        <f>IF(ISBLANK(INDEX('Policy Characteristics'!F:F,MATCH($C977,'Policy Characteristics'!$C:$C,0))),"",INDEX('Policy Characteristics'!F:F,MATCH($C977,'Policy Characteristics'!$C:$C,0)))</f>
        <v>0</v>
      </c>
      <c r="M977" s="398">
        <f>IF(ISBLANK(INDEX('Policy Characteristics'!G:G,MATCH($C977,'Policy Characteristics'!$C:$C,0))),"",INDEX('Policy Characteristics'!G:G,MATCH($C977,'Policy Characteristics'!$C:$C,0)))</f>
        <v>0.25</v>
      </c>
      <c r="N977" s="398">
        <f>IF(ISBLANK(INDEX('Policy Characteristics'!H:H,MATCH($C977,'Policy Characteristics'!$C:$C,0))),"",INDEX('Policy Characteristics'!H:H,MATCH($C977,'Policy Characteristics'!$C:$C,0)))</f>
        <v>0.01</v>
      </c>
      <c r="O977" s="394" t="str">
        <f>IF(ISBLANK(INDEX('Policy Characteristics'!I:I,MATCH($C977,'Policy Characteristics'!$C:$C,0))),"",INDEX('Policy Characteristics'!I:I,MATCH($C977,'Policy Characteristics'!$C:$C,0)))</f>
        <v>% reduction in energy use</v>
      </c>
      <c r="P977" s="394" t="str">
        <f>IF(ISBLANK(INDEX('Policy Characteristics'!J:J,MATCH($C977,'Policy Characteristics'!$C:$C,0))),"",INDEX('Policy Characteristics'!J:J,MATCH($C977,'Policy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7" s="394" t="str">
        <f>IF(ISBLANK(INDEX('Policy Characteristics'!K:K,MATCH($C977,'Policy Characteristics'!$C:$C,0))),"",INDEX('Policy Characteristics'!K:K,MATCH($C977,'Policy Characteristics'!$C:$C,0)))</f>
        <v>industry-ag-main.html#eff-stds</v>
      </c>
      <c r="R977" s="394" t="str">
        <f>IF(ISBLANK(INDEX('Policy Characteristics'!L:L,MATCH($C977,'Policy Characteristics'!$C:$C,0))),"",INDEX('Policy Characteristics'!L:L,MATCH($C977,'Policy Characteristics'!$C:$C,0)))</f>
        <v>industry-energy-efficiency-standards.html</v>
      </c>
    </row>
    <row r="978" s="384" customFormat="1" customHeight="1" spans="1:18">
      <c r="A978" s="394" t="str">
        <f>IF(ISBLANK(INDEX('Policy Characteristics'!A:A,MATCH($C978,'Policy Characteristics'!$C:$C,0))),"",INDEX('Policy Characteristics'!A:A,MATCH($C978,'Policy Characteristics'!$C:$C,0)))</f>
        <v>Industry</v>
      </c>
      <c r="B978" s="395" t="str">
        <f>IF(ISBLANK(INDEX('Policy Characteristics'!B:B,MATCH($C978,'Policy Characteristics'!$C:$C,0))),"",INDEX('Policy Characteristics'!B:B,MATCH($C978,'Policy Characteristics'!$C:$C,0)))</f>
        <v>Industry Energy Efficiency Standards</v>
      </c>
      <c r="C978" s="394" t="str">
        <f t="shared" si="40"/>
        <v>Percentage Improvement in Eqpt Efficiency Standards above BAU</v>
      </c>
      <c r="D978" s="399" t="s">
        <v>786</v>
      </c>
      <c r="E978" s="399" t="s">
        <v>794</v>
      </c>
      <c r="F978" t="s">
        <v>787</v>
      </c>
      <c r="G978" s="399" t="s">
        <v>813</v>
      </c>
      <c r="H978" s="377">
        <v>1199</v>
      </c>
      <c r="I978" s="396" t="s">
        <v>648</v>
      </c>
      <c r="J978" s="397" t="str">
        <f>IF(ISBLANK(INDEX('Policy Characteristics'!D:D,MATCH($C978,'Policy Characteristics'!$C:$C,0))),"",INDEX('Policy Characteristics'!D:D,MATCH($C978,'Policy Characteristics'!$C:$C,0)))</f>
        <v>Industry Energy Efficiency Standards</v>
      </c>
      <c r="K978" s="394" t="str">
        <f>IF(ISBLANK(INDEX('Policy Characteristics'!E:E,MATCH($C978,'Policy Characteristics'!$C:$C,0))),"",INDEX('Policy Characteristics'!E:E,MATCH($C978,'Policy Characteristics'!$C:$C,0)))</f>
        <v>indst efficiency standards</v>
      </c>
      <c r="L978" s="398">
        <f>IF(ISBLANK(INDEX('Policy Characteristics'!F:F,MATCH($C978,'Policy Characteristics'!$C:$C,0))),"",INDEX('Policy Characteristics'!F:F,MATCH($C978,'Policy Characteristics'!$C:$C,0)))</f>
        <v>0</v>
      </c>
      <c r="M978" s="398">
        <f>IF(ISBLANK(INDEX('Policy Characteristics'!G:G,MATCH($C978,'Policy Characteristics'!$C:$C,0))),"",INDEX('Policy Characteristics'!G:G,MATCH($C978,'Policy Characteristics'!$C:$C,0)))</f>
        <v>0.25</v>
      </c>
      <c r="N978" s="398">
        <f>IF(ISBLANK(INDEX('Policy Characteristics'!H:H,MATCH($C978,'Policy Characteristics'!$C:$C,0))),"",INDEX('Policy Characteristics'!H:H,MATCH($C978,'Policy Characteristics'!$C:$C,0)))</f>
        <v>0.01</v>
      </c>
      <c r="O978" s="394" t="str">
        <f>IF(ISBLANK(INDEX('Policy Characteristics'!I:I,MATCH($C978,'Policy Characteristics'!$C:$C,0))),"",INDEX('Policy Characteristics'!I:I,MATCH($C978,'Policy Characteristics'!$C:$C,0)))</f>
        <v>% reduction in energy use</v>
      </c>
      <c r="P978" s="394" t="str">
        <f>IF(ISBLANK(INDEX('Policy Characteristics'!J:J,MATCH($C978,'Policy Characteristics'!$C:$C,0))),"",INDEX('Policy Characteristics'!J:J,MATCH($C978,'Policy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8" s="394" t="str">
        <f>IF(ISBLANK(INDEX('Policy Characteristics'!K:K,MATCH($C978,'Policy Characteristics'!$C:$C,0))),"",INDEX('Policy Characteristics'!K:K,MATCH($C978,'Policy Characteristics'!$C:$C,0)))</f>
        <v>industry-ag-main.html#eff-stds</v>
      </c>
      <c r="R978" s="394" t="str">
        <f>IF(ISBLANK(INDEX('Policy Characteristics'!L:L,MATCH($C978,'Policy Characteristics'!$C:$C,0))),"",INDEX('Policy Characteristics'!L:L,MATCH($C978,'Policy Characteristics'!$C:$C,0)))</f>
        <v>industry-energy-efficiency-standards.html</v>
      </c>
    </row>
    <row r="979" s="384" customFormat="1" customHeight="1" spans="1:18">
      <c r="A979" s="394" t="str">
        <f>IF(ISBLANK(INDEX('Policy Characteristics'!A:A,MATCH($C979,'Policy Characteristics'!$C:$C,0))),"",INDEX('Policy Characteristics'!A:A,MATCH($C979,'Policy Characteristics'!$C:$C,0)))</f>
        <v>Industry</v>
      </c>
      <c r="B979" s="395" t="str">
        <f>IF(ISBLANK(INDEX('Policy Characteristics'!B:B,MATCH($C979,'Policy Characteristics'!$C:$C,0))),"",INDEX('Policy Characteristics'!B:B,MATCH($C979,'Policy Characteristics'!$C:$C,0)))</f>
        <v>Industry Energy Efficiency Standards</v>
      </c>
      <c r="C979" s="394" t="str">
        <f t="shared" si="40"/>
        <v>Percentage Improvement in Eqpt Efficiency Standards above BAU</v>
      </c>
      <c r="D979" s="399" t="s">
        <v>786</v>
      </c>
      <c r="E979" s="399" t="s">
        <v>796</v>
      </c>
      <c r="F979" t="s">
        <v>787</v>
      </c>
      <c r="G979" s="399" t="s">
        <v>814</v>
      </c>
      <c r="H979" s="377">
        <v>1200</v>
      </c>
      <c r="I979" s="396" t="s">
        <v>648</v>
      </c>
      <c r="J979" s="397" t="str">
        <f>IF(ISBLANK(INDEX('Policy Characteristics'!D:D,MATCH($C979,'Policy Characteristics'!$C:$C,0))),"",INDEX('Policy Characteristics'!D:D,MATCH($C979,'Policy Characteristics'!$C:$C,0)))</f>
        <v>Industry Energy Efficiency Standards</v>
      </c>
      <c r="K979" s="394" t="str">
        <f>IF(ISBLANK(INDEX('Policy Characteristics'!E:E,MATCH($C979,'Policy Characteristics'!$C:$C,0))),"",INDEX('Policy Characteristics'!E:E,MATCH($C979,'Policy Characteristics'!$C:$C,0)))</f>
        <v>indst efficiency standards</v>
      </c>
      <c r="L979" s="398">
        <f>IF(ISBLANK(INDEX('Policy Characteristics'!F:F,MATCH($C979,'Policy Characteristics'!$C:$C,0))),"",INDEX('Policy Characteristics'!F:F,MATCH($C979,'Policy Characteristics'!$C:$C,0)))</f>
        <v>0</v>
      </c>
      <c r="M979" s="398">
        <f>IF(ISBLANK(INDEX('Policy Characteristics'!G:G,MATCH($C979,'Policy Characteristics'!$C:$C,0))),"",INDEX('Policy Characteristics'!G:G,MATCH($C979,'Policy Characteristics'!$C:$C,0)))</f>
        <v>0.25</v>
      </c>
      <c r="N979" s="398">
        <f>IF(ISBLANK(INDEX('Policy Characteristics'!H:H,MATCH($C979,'Policy Characteristics'!$C:$C,0))),"",INDEX('Policy Characteristics'!H:H,MATCH($C979,'Policy Characteristics'!$C:$C,0)))</f>
        <v>0.01</v>
      </c>
      <c r="O979" s="394" t="str">
        <f>IF(ISBLANK(INDEX('Policy Characteristics'!I:I,MATCH($C979,'Policy Characteristics'!$C:$C,0))),"",INDEX('Policy Characteristics'!I:I,MATCH($C979,'Policy Characteristics'!$C:$C,0)))</f>
        <v>% reduction in energy use</v>
      </c>
      <c r="P979" s="394" t="str">
        <f>IF(ISBLANK(INDEX('Policy Characteristics'!J:J,MATCH($C979,'Policy Characteristics'!$C:$C,0))),"",INDEX('Policy Characteristics'!J:J,MATCH($C979,'Policy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9" s="394" t="str">
        <f>IF(ISBLANK(INDEX('Policy Characteristics'!K:K,MATCH($C979,'Policy Characteristics'!$C:$C,0))),"",INDEX('Policy Characteristics'!K:K,MATCH($C979,'Policy Characteristics'!$C:$C,0)))</f>
        <v>industry-ag-main.html#eff-stds</v>
      </c>
      <c r="R979" s="394" t="str">
        <f>IF(ISBLANK(INDEX('Policy Characteristics'!L:L,MATCH($C979,'Policy Characteristics'!$C:$C,0))),"",INDEX('Policy Characteristics'!L:L,MATCH($C979,'Policy Characteristics'!$C:$C,0)))</f>
        <v>industry-energy-efficiency-standards.html</v>
      </c>
    </row>
    <row r="980" s="384" customFormat="1" customHeight="1" spans="1:18">
      <c r="A980" s="394" t="str">
        <f>IF(ISBLANK(INDEX('Policy Characteristics'!A:A,MATCH($C980,'Policy Characteristics'!$C:$C,0))),"",INDEX('Policy Characteristics'!A:A,MATCH($C980,'Policy Characteristics'!$C:$C,0)))</f>
        <v>Industry</v>
      </c>
      <c r="B980" s="395" t="str">
        <f>IF(ISBLANK(INDEX('Policy Characteristics'!B:B,MATCH($C980,'Policy Characteristics'!$C:$C,0))),"",INDEX('Policy Characteristics'!B:B,MATCH($C980,'Policy Characteristics'!$C:$C,0)))</f>
        <v>Industry Energy Efficiency Standards</v>
      </c>
      <c r="C980" s="394" t="str">
        <f t="shared" si="40"/>
        <v>Percentage Improvement in Eqpt Efficiency Standards above BAU</v>
      </c>
      <c r="D980" s="399" t="s">
        <v>786</v>
      </c>
      <c r="E980" s="399" t="s">
        <v>798</v>
      </c>
      <c r="F980" t="s">
        <v>787</v>
      </c>
      <c r="G980" s="399" t="s">
        <v>815</v>
      </c>
      <c r="H980" s="377">
        <v>1201</v>
      </c>
      <c r="I980" s="396" t="s">
        <v>648</v>
      </c>
      <c r="J980" s="397" t="str">
        <f>IF(ISBLANK(INDEX('Policy Characteristics'!D:D,MATCH($C980,'Policy Characteristics'!$C:$C,0))),"",INDEX('Policy Characteristics'!D:D,MATCH($C980,'Policy Characteristics'!$C:$C,0)))</f>
        <v>Industry Energy Efficiency Standards</v>
      </c>
      <c r="K980" s="394" t="str">
        <f>IF(ISBLANK(INDEX('Policy Characteristics'!E:E,MATCH($C980,'Policy Characteristics'!$C:$C,0))),"",INDEX('Policy Characteristics'!E:E,MATCH($C980,'Policy Characteristics'!$C:$C,0)))</f>
        <v>indst efficiency standards</v>
      </c>
      <c r="L980" s="398">
        <f>IF(ISBLANK(INDEX('Policy Characteristics'!F:F,MATCH($C980,'Policy Characteristics'!$C:$C,0))),"",INDEX('Policy Characteristics'!F:F,MATCH($C980,'Policy Characteristics'!$C:$C,0)))</f>
        <v>0</v>
      </c>
      <c r="M980" s="398">
        <f>IF(ISBLANK(INDEX('Policy Characteristics'!G:G,MATCH($C980,'Policy Characteristics'!$C:$C,0))),"",INDEX('Policy Characteristics'!G:G,MATCH($C980,'Policy Characteristics'!$C:$C,0)))</f>
        <v>0.25</v>
      </c>
      <c r="N980" s="398">
        <f>IF(ISBLANK(INDEX('Policy Characteristics'!H:H,MATCH($C980,'Policy Characteristics'!$C:$C,0))),"",INDEX('Policy Characteristics'!H:H,MATCH($C980,'Policy Characteristics'!$C:$C,0)))</f>
        <v>0.01</v>
      </c>
      <c r="O980" s="394" t="str">
        <f>IF(ISBLANK(INDEX('Policy Characteristics'!I:I,MATCH($C980,'Policy Characteristics'!$C:$C,0))),"",INDEX('Policy Characteristics'!I:I,MATCH($C980,'Policy Characteristics'!$C:$C,0)))</f>
        <v>% reduction in energy use</v>
      </c>
      <c r="P980" s="394" t="str">
        <f>IF(ISBLANK(INDEX('Policy Characteristics'!J:J,MATCH($C980,'Policy Characteristics'!$C:$C,0))),"",INDEX('Policy Characteristics'!J:J,MATCH($C980,'Policy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0" s="394" t="str">
        <f>IF(ISBLANK(INDEX('Policy Characteristics'!K:K,MATCH($C980,'Policy Characteristics'!$C:$C,0))),"",INDEX('Policy Characteristics'!K:K,MATCH($C980,'Policy Characteristics'!$C:$C,0)))</f>
        <v>industry-ag-main.html#eff-stds</v>
      </c>
      <c r="R980" s="394" t="str">
        <f>IF(ISBLANK(INDEX('Policy Characteristics'!L:L,MATCH($C980,'Policy Characteristics'!$C:$C,0))),"",INDEX('Policy Characteristics'!L:L,MATCH($C980,'Policy Characteristics'!$C:$C,0)))</f>
        <v>industry-energy-efficiency-standards.html</v>
      </c>
    </row>
    <row r="981" s="384" customFormat="1" customHeight="1" spans="1:18">
      <c r="A981" s="394" t="str">
        <f>IF(ISBLANK(INDEX('Policy Characteristics'!A:A,MATCH($C981,'Policy Characteristics'!$C:$C,0))),"",INDEX('Policy Characteristics'!A:A,MATCH($C981,'Policy Characteristics'!$C:$C,0)))</f>
        <v>Industry</v>
      </c>
      <c r="B981" s="395" t="str">
        <f>IF(ISBLANK(INDEX('Policy Characteristics'!B:B,MATCH($C981,'Policy Characteristics'!$C:$C,0))),"",INDEX('Policy Characteristics'!B:B,MATCH($C981,'Policy Characteristics'!$C:$C,0)))</f>
        <v>Industry Energy Efficiency Standards</v>
      </c>
      <c r="C981" s="394" t="str">
        <f t="shared" si="40"/>
        <v>Percentage Improvement in Eqpt Efficiency Standards above BAU</v>
      </c>
      <c r="D981" s="399" t="s">
        <v>786</v>
      </c>
      <c r="E981" s="399" t="s">
        <v>800</v>
      </c>
      <c r="F981" t="s">
        <v>787</v>
      </c>
      <c r="G981" s="399" t="s">
        <v>816</v>
      </c>
      <c r="H981" s="377">
        <v>1202</v>
      </c>
      <c r="I981" s="396" t="s">
        <v>648</v>
      </c>
      <c r="J981" s="397" t="str">
        <f>IF(ISBLANK(INDEX('Policy Characteristics'!D:D,MATCH($C981,'Policy Characteristics'!$C:$C,0))),"",INDEX('Policy Characteristics'!D:D,MATCH($C981,'Policy Characteristics'!$C:$C,0)))</f>
        <v>Industry Energy Efficiency Standards</v>
      </c>
      <c r="K981" s="394" t="str">
        <f>IF(ISBLANK(INDEX('Policy Characteristics'!E:E,MATCH($C981,'Policy Characteristics'!$C:$C,0))),"",INDEX('Policy Characteristics'!E:E,MATCH($C981,'Policy Characteristics'!$C:$C,0)))</f>
        <v>indst efficiency standards</v>
      </c>
      <c r="L981" s="398">
        <f>IF(ISBLANK(INDEX('Policy Characteristics'!F:F,MATCH($C981,'Policy Characteristics'!$C:$C,0))),"",INDEX('Policy Characteristics'!F:F,MATCH($C981,'Policy Characteristics'!$C:$C,0)))</f>
        <v>0</v>
      </c>
      <c r="M981" s="398">
        <f>IF(ISBLANK(INDEX('Policy Characteristics'!G:G,MATCH($C981,'Policy Characteristics'!$C:$C,0))),"",INDEX('Policy Characteristics'!G:G,MATCH($C981,'Policy Characteristics'!$C:$C,0)))</f>
        <v>0.25</v>
      </c>
      <c r="N981" s="398">
        <f>IF(ISBLANK(INDEX('Policy Characteristics'!H:H,MATCH($C981,'Policy Characteristics'!$C:$C,0))),"",INDEX('Policy Characteristics'!H:H,MATCH($C981,'Policy Characteristics'!$C:$C,0)))</f>
        <v>0.01</v>
      </c>
      <c r="O981" s="394" t="str">
        <f>IF(ISBLANK(INDEX('Policy Characteristics'!I:I,MATCH($C981,'Policy Characteristics'!$C:$C,0))),"",INDEX('Policy Characteristics'!I:I,MATCH($C981,'Policy Characteristics'!$C:$C,0)))</f>
        <v>% reduction in energy use</v>
      </c>
      <c r="P981" s="394" t="str">
        <f>IF(ISBLANK(INDEX('Policy Characteristics'!J:J,MATCH($C981,'Policy Characteristics'!$C:$C,0))),"",INDEX('Policy Characteristics'!J:J,MATCH($C981,'Policy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1" s="394" t="str">
        <f>IF(ISBLANK(INDEX('Policy Characteristics'!K:K,MATCH($C981,'Policy Characteristics'!$C:$C,0))),"",INDEX('Policy Characteristics'!K:K,MATCH($C981,'Policy Characteristics'!$C:$C,0)))</f>
        <v>industry-ag-main.html#eff-stds</v>
      </c>
      <c r="R981" s="394" t="str">
        <f>IF(ISBLANK(INDEX('Policy Characteristics'!L:L,MATCH($C981,'Policy Characteristics'!$C:$C,0))),"",INDEX('Policy Characteristics'!L:L,MATCH($C981,'Policy Characteristics'!$C:$C,0)))</f>
        <v>industry-energy-efficiency-standards.html</v>
      </c>
    </row>
    <row r="982" s="384" customFormat="1" customHeight="1" spans="1:18">
      <c r="A982" s="394" t="str">
        <f>IF(ISBLANK(INDEX('Policy Characteristics'!A:A,MATCH($C982,'Policy Characteristics'!$C:$C,0))),"",INDEX('Policy Characteristics'!A:A,MATCH($C982,'Policy Characteristics'!$C:$C,0)))</f>
        <v>Industry</v>
      </c>
      <c r="B982" s="395" t="str">
        <f>IF(ISBLANK(INDEX('Policy Characteristics'!B:B,MATCH($C982,'Policy Characteristics'!$C:$C,0))),"",INDEX('Policy Characteristics'!B:B,MATCH($C982,'Policy Characteristics'!$C:$C,0)))</f>
        <v>Industry Energy Efficiency Standards</v>
      </c>
      <c r="C982" s="394" t="str">
        <f t="shared" si="40"/>
        <v>Percentage Improvement in Eqpt Efficiency Standards above BAU</v>
      </c>
      <c r="D982" s="399" t="s">
        <v>786</v>
      </c>
      <c r="E982" s="399" t="s">
        <v>802</v>
      </c>
      <c r="F982" t="s">
        <v>787</v>
      </c>
      <c r="G982" s="399" t="s">
        <v>817</v>
      </c>
      <c r="H982" s="377">
        <v>1203</v>
      </c>
      <c r="I982" s="396" t="s">
        <v>648</v>
      </c>
      <c r="J982" s="397" t="str">
        <f>IF(ISBLANK(INDEX('Policy Characteristics'!D:D,MATCH($C982,'Policy Characteristics'!$C:$C,0))),"",INDEX('Policy Characteristics'!D:D,MATCH($C982,'Policy Characteristics'!$C:$C,0)))</f>
        <v>Industry Energy Efficiency Standards</v>
      </c>
      <c r="K982" s="394" t="str">
        <f>IF(ISBLANK(INDEX('Policy Characteristics'!E:E,MATCH($C982,'Policy Characteristics'!$C:$C,0))),"",INDEX('Policy Characteristics'!E:E,MATCH($C982,'Policy Characteristics'!$C:$C,0)))</f>
        <v>indst efficiency standards</v>
      </c>
      <c r="L982" s="398">
        <f>IF(ISBLANK(INDEX('Policy Characteristics'!F:F,MATCH($C982,'Policy Characteristics'!$C:$C,0))),"",INDEX('Policy Characteristics'!F:F,MATCH($C982,'Policy Characteristics'!$C:$C,0)))</f>
        <v>0</v>
      </c>
      <c r="M982" s="398">
        <f>IF(ISBLANK(INDEX('Policy Characteristics'!G:G,MATCH($C982,'Policy Characteristics'!$C:$C,0))),"",INDEX('Policy Characteristics'!G:G,MATCH($C982,'Policy Characteristics'!$C:$C,0)))</f>
        <v>0.25</v>
      </c>
      <c r="N982" s="398">
        <f>IF(ISBLANK(INDEX('Policy Characteristics'!H:H,MATCH($C982,'Policy Characteristics'!$C:$C,0))),"",INDEX('Policy Characteristics'!H:H,MATCH($C982,'Policy Characteristics'!$C:$C,0)))</f>
        <v>0.01</v>
      </c>
      <c r="O982" s="394" t="str">
        <f>IF(ISBLANK(INDEX('Policy Characteristics'!I:I,MATCH($C982,'Policy Characteristics'!$C:$C,0))),"",INDEX('Policy Characteristics'!I:I,MATCH($C982,'Policy Characteristics'!$C:$C,0)))</f>
        <v>% reduction in energy use</v>
      </c>
      <c r="P982" s="394" t="str">
        <f>IF(ISBLANK(INDEX('Policy Characteristics'!J:J,MATCH($C982,'Policy Characteristics'!$C:$C,0))),"",INDEX('Policy Characteristics'!J:J,MATCH($C982,'Policy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2" s="394" t="str">
        <f>IF(ISBLANK(INDEX('Policy Characteristics'!K:K,MATCH($C982,'Policy Characteristics'!$C:$C,0))),"",INDEX('Policy Characteristics'!K:K,MATCH($C982,'Policy Characteristics'!$C:$C,0)))</f>
        <v>industry-ag-main.html#eff-stds</v>
      </c>
      <c r="R982" s="394" t="str">
        <f>IF(ISBLANK(INDEX('Policy Characteristics'!L:L,MATCH($C982,'Policy Characteristics'!$C:$C,0))),"",INDEX('Policy Characteristics'!L:L,MATCH($C982,'Policy Characteristics'!$C:$C,0)))</f>
        <v>industry-energy-efficiency-standards.html</v>
      </c>
    </row>
    <row r="983" s="384" customFormat="1" customHeight="1" spans="1:18">
      <c r="A983" s="394" t="str">
        <f>IF(ISBLANK(INDEX('Policy Characteristics'!A:A,MATCH($C983,'Policy Characteristics'!$C:$C,0))),"",INDEX('Policy Characteristics'!A:A,MATCH($C983,'Policy Characteristics'!$C:$C,0)))</f>
        <v>Industry</v>
      </c>
      <c r="B983" s="395" t="str">
        <f>IF(ISBLANK(INDEX('Policy Characteristics'!B:B,MATCH($C983,'Policy Characteristics'!$C:$C,0))),"",INDEX('Policy Characteristics'!B:B,MATCH($C983,'Policy Characteristics'!$C:$C,0)))</f>
        <v>Industry Energy Efficiency Standards</v>
      </c>
      <c r="C983" s="394" t="str">
        <f t="shared" si="40"/>
        <v>Percentage Improvement in Eqpt Efficiency Standards above BAU</v>
      </c>
      <c r="D983" s="399" t="s">
        <v>786</v>
      </c>
      <c r="E983" s="399" t="s">
        <v>804</v>
      </c>
      <c r="F983" t="s">
        <v>787</v>
      </c>
      <c r="G983" s="399" t="s">
        <v>818</v>
      </c>
      <c r="H983" s="377">
        <v>1204</v>
      </c>
      <c r="I983" s="396" t="s">
        <v>648</v>
      </c>
      <c r="J983" s="397" t="str">
        <f>IF(ISBLANK(INDEX('Policy Characteristics'!D:D,MATCH($C983,'Policy Characteristics'!$C:$C,0))),"",INDEX('Policy Characteristics'!D:D,MATCH($C983,'Policy Characteristics'!$C:$C,0)))</f>
        <v>Industry Energy Efficiency Standards</v>
      </c>
      <c r="K983" s="394" t="str">
        <f>IF(ISBLANK(INDEX('Policy Characteristics'!E:E,MATCH($C983,'Policy Characteristics'!$C:$C,0))),"",INDEX('Policy Characteristics'!E:E,MATCH($C983,'Policy Characteristics'!$C:$C,0)))</f>
        <v>indst efficiency standards</v>
      </c>
      <c r="L983" s="398">
        <f>IF(ISBLANK(INDEX('Policy Characteristics'!F:F,MATCH($C983,'Policy Characteristics'!$C:$C,0))),"",INDEX('Policy Characteristics'!F:F,MATCH($C983,'Policy Characteristics'!$C:$C,0)))</f>
        <v>0</v>
      </c>
      <c r="M983" s="398">
        <f>IF(ISBLANK(INDEX('Policy Characteristics'!G:G,MATCH($C983,'Policy Characteristics'!$C:$C,0))),"",INDEX('Policy Characteristics'!G:G,MATCH($C983,'Policy Characteristics'!$C:$C,0)))</f>
        <v>0.25</v>
      </c>
      <c r="N983" s="398">
        <f>IF(ISBLANK(INDEX('Policy Characteristics'!H:H,MATCH($C983,'Policy Characteristics'!$C:$C,0))),"",INDEX('Policy Characteristics'!H:H,MATCH($C983,'Policy Characteristics'!$C:$C,0)))</f>
        <v>0.01</v>
      </c>
      <c r="O983" s="394" t="str">
        <f>IF(ISBLANK(INDEX('Policy Characteristics'!I:I,MATCH($C983,'Policy Characteristics'!$C:$C,0))),"",INDEX('Policy Characteristics'!I:I,MATCH($C983,'Policy Characteristics'!$C:$C,0)))</f>
        <v>% reduction in energy use</v>
      </c>
      <c r="P983" s="394" t="str">
        <f>IF(ISBLANK(INDEX('Policy Characteristics'!J:J,MATCH($C983,'Policy Characteristics'!$C:$C,0))),"",INDEX('Policy Characteristics'!J:J,MATCH($C983,'Policy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3" s="394" t="str">
        <f>IF(ISBLANK(INDEX('Policy Characteristics'!K:K,MATCH($C983,'Policy Characteristics'!$C:$C,0))),"",INDEX('Policy Characteristics'!K:K,MATCH($C983,'Policy Characteristics'!$C:$C,0)))</f>
        <v>industry-ag-main.html#eff-stds</v>
      </c>
      <c r="R983" s="394" t="str">
        <f>IF(ISBLANK(INDEX('Policy Characteristics'!L:L,MATCH($C983,'Policy Characteristics'!$C:$C,0))),"",INDEX('Policy Characteristics'!L:L,MATCH($C983,'Policy Characteristics'!$C:$C,0)))</f>
        <v>industry-energy-efficiency-standards.html</v>
      </c>
    </row>
    <row r="984" s="384" customFormat="1" customHeight="1" spans="1:18">
      <c r="A984" s="394" t="str">
        <f>IF(ISBLANK(INDEX('Policy Characteristics'!A:A,MATCH($C984,'Policy Characteristics'!$C:$C,0))),"",INDEX('Policy Characteristics'!A:A,MATCH($C984,'Policy Characteristics'!$C:$C,0)))</f>
        <v>Industry</v>
      </c>
      <c r="B984" s="395" t="str">
        <f>IF(ISBLANK(INDEX('Policy Characteristics'!B:B,MATCH($C984,'Policy Characteristics'!$C:$C,0))),"",INDEX('Policy Characteristics'!B:B,MATCH($C984,'Policy Characteristics'!$C:$C,0)))</f>
        <v>Industry Energy Efficiency Standards</v>
      </c>
      <c r="C984" s="394" t="str">
        <f t="shared" si="40"/>
        <v>Percentage Improvement in Eqpt Efficiency Standards above BAU</v>
      </c>
      <c r="D984" s="399" t="s">
        <v>786</v>
      </c>
      <c r="E984" s="399" t="s">
        <v>806</v>
      </c>
      <c r="F984" t="s">
        <v>787</v>
      </c>
      <c r="G984" s="399" t="s">
        <v>819</v>
      </c>
      <c r="H984" s="377">
        <v>1205</v>
      </c>
      <c r="I984" s="396" t="s">
        <v>648</v>
      </c>
      <c r="J984" s="397" t="str">
        <f>IF(ISBLANK(INDEX('Policy Characteristics'!D:D,MATCH($C984,'Policy Characteristics'!$C:$C,0))),"",INDEX('Policy Characteristics'!D:D,MATCH($C984,'Policy Characteristics'!$C:$C,0)))</f>
        <v>Industry Energy Efficiency Standards</v>
      </c>
      <c r="K984" s="394" t="str">
        <f>IF(ISBLANK(INDEX('Policy Characteristics'!E:E,MATCH($C984,'Policy Characteristics'!$C:$C,0))),"",INDEX('Policy Characteristics'!E:E,MATCH($C984,'Policy Characteristics'!$C:$C,0)))</f>
        <v>indst efficiency standards</v>
      </c>
      <c r="L984" s="398">
        <f>IF(ISBLANK(INDEX('Policy Characteristics'!F:F,MATCH($C984,'Policy Characteristics'!$C:$C,0))),"",INDEX('Policy Characteristics'!F:F,MATCH($C984,'Policy Characteristics'!$C:$C,0)))</f>
        <v>0</v>
      </c>
      <c r="M984" s="398">
        <f>IF(ISBLANK(INDEX('Policy Characteristics'!G:G,MATCH($C984,'Policy Characteristics'!$C:$C,0))),"",INDEX('Policy Characteristics'!G:G,MATCH($C984,'Policy Characteristics'!$C:$C,0)))</f>
        <v>0.25</v>
      </c>
      <c r="N984" s="398">
        <f>IF(ISBLANK(INDEX('Policy Characteristics'!H:H,MATCH($C984,'Policy Characteristics'!$C:$C,0))),"",INDEX('Policy Characteristics'!H:H,MATCH($C984,'Policy Characteristics'!$C:$C,0)))</f>
        <v>0.01</v>
      </c>
      <c r="O984" s="394" t="str">
        <f>IF(ISBLANK(INDEX('Policy Characteristics'!I:I,MATCH($C984,'Policy Characteristics'!$C:$C,0))),"",INDEX('Policy Characteristics'!I:I,MATCH($C984,'Policy Characteristics'!$C:$C,0)))</f>
        <v>% reduction in energy use</v>
      </c>
      <c r="P984" s="394" t="str">
        <f>IF(ISBLANK(INDEX('Policy Characteristics'!J:J,MATCH($C984,'Policy Characteristics'!$C:$C,0))),"",INDEX('Policy Characteristics'!J:J,MATCH($C984,'Policy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4" s="394" t="str">
        <f>IF(ISBLANK(INDEX('Policy Characteristics'!K:K,MATCH($C984,'Policy Characteristics'!$C:$C,0))),"",INDEX('Policy Characteristics'!K:K,MATCH($C984,'Policy Characteristics'!$C:$C,0)))</f>
        <v>industry-ag-main.html#eff-stds</v>
      </c>
      <c r="R984" s="394" t="str">
        <f>IF(ISBLANK(INDEX('Policy Characteristics'!L:L,MATCH($C984,'Policy Characteristics'!$C:$C,0))),"",INDEX('Policy Characteristics'!L:L,MATCH($C984,'Policy Characteristics'!$C:$C,0)))</f>
        <v>industry-energy-efficiency-standards.html</v>
      </c>
    </row>
    <row r="985" s="384" customFormat="1" customHeight="1" spans="1:18">
      <c r="A985" s="394" t="str">
        <f>IF(ISBLANK(INDEX('Policy Characteristics'!A:A,MATCH($C985,'Policy Characteristics'!$C:$C,0))),"",INDEX('Policy Characteristics'!A:A,MATCH($C985,'Policy Characteristics'!$C:$C,0)))</f>
        <v>Industry</v>
      </c>
      <c r="B985" s="395" t="str">
        <f>IF(ISBLANK(INDEX('Policy Characteristics'!B:B,MATCH($C985,'Policy Characteristics'!$C:$C,0))),"",INDEX('Policy Characteristics'!B:B,MATCH($C985,'Policy Characteristics'!$C:$C,0)))</f>
        <v>Industry Energy Efficiency Standards</v>
      </c>
      <c r="C985" s="394" t="str">
        <f t="shared" si="40"/>
        <v>Percentage Improvement in Eqpt Efficiency Standards above BAU</v>
      </c>
      <c r="D985" s="399" t="s">
        <v>786</v>
      </c>
      <c r="E985" s="399" t="s">
        <v>808</v>
      </c>
      <c r="F985" t="s">
        <v>787</v>
      </c>
      <c r="G985" s="399" t="s">
        <v>820</v>
      </c>
      <c r="H985" s="377">
        <v>1206</v>
      </c>
      <c r="I985" s="396" t="s">
        <v>648</v>
      </c>
      <c r="J985" s="397" t="str">
        <f>IF(ISBLANK(INDEX('Policy Characteristics'!D:D,MATCH($C985,'Policy Characteristics'!$C:$C,0))),"",INDEX('Policy Characteristics'!D:D,MATCH($C985,'Policy Characteristics'!$C:$C,0)))</f>
        <v>Industry Energy Efficiency Standards</v>
      </c>
      <c r="K985" s="394" t="str">
        <f>IF(ISBLANK(INDEX('Policy Characteristics'!E:E,MATCH($C985,'Policy Characteristics'!$C:$C,0))),"",INDEX('Policy Characteristics'!E:E,MATCH($C985,'Policy Characteristics'!$C:$C,0)))</f>
        <v>indst efficiency standards</v>
      </c>
      <c r="L985" s="398">
        <f>IF(ISBLANK(INDEX('Policy Characteristics'!F:F,MATCH($C985,'Policy Characteristics'!$C:$C,0))),"",INDEX('Policy Characteristics'!F:F,MATCH($C985,'Policy Characteristics'!$C:$C,0)))</f>
        <v>0</v>
      </c>
      <c r="M985" s="398">
        <f>IF(ISBLANK(INDEX('Policy Characteristics'!G:G,MATCH($C985,'Policy Characteristics'!$C:$C,0))),"",INDEX('Policy Characteristics'!G:G,MATCH($C985,'Policy Characteristics'!$C:$C,0)))</f>
        <v>0.25</v>
      </c>
      <c r="N985" s="398">
        <f>IF(ISBLANK(INDEX('Policy Characteristics'!H:H,MATCH($C985,'Policy Characteristics'!$C:$C,0))),"",INDEX('Policy Characteristics'!H:H,MATCH($C985,'Policy Characteristics'!$C:$C,0)))</f>
        <v>0.01</v>
      </c>
      <c r="O985" s="394" t="str">
        <f>IF(ISBLANK(INDEX('Policy Characteristics'!I:I,MATCH($C985,'Policy Characteristics'!$C:$C,0))),"",INDEX('Policy Characteristics'!I:I,MATCH($C985,'Policy Characteristics'!$C:$C,0)))</f>
        <v>% reduction in energy use</v>
      </c>
      <c r="P985" s="394" t="str">
        <f>IF(ISBLANK(INDEX('Policy Characteristics'!J:J,MATCH($C985,'Policy Characteristics'!$C:$C,0))),"",INDEX('Policy Characteristics'!J:J,MATCH($C985,'Policy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5" s="394" t="str">
        <f>IF(ISBLANK(INDEX('Policy Characteristics'!K:K,MATCH($C985,'Policy Characteristics'!$C:$C,0))),"",INDEX('Policy Characteristics'!K:K,MATCH($C985,'Policy Characteristics'!$C:$C,0)))</f>
        <v>industry-ag-main.html#eff-stds</v>
      </c>
      <c r="R985" s="394" t="str">
        <f>IF(ISBLANK(INDEX('Policy Characteristics'!L:L,MATCH($C985,'Policy Characteristics'!$C:$C,0))),"",INDEX('Policy Characteristics'!L:L,MATCH($C985,'Policy Characteristics'!$C:$C,0)))</f>
        <v>industry-energy-efficiency-standards.html</v>
      </c>
    </row>
    <row r="986" s="384" customFormat="1" customHeight="1" spans="1:18">
      <c r="A986" s="394" t="str">
        <f>IF(ISBLANK(INDEX('Policy Characteristics'!A:A,MATCH($C986,'Policy Characteristics'!$C:$C,0))),"",INDEX('Policy Characteristics'!A:A,MATCH($C986,'Policy Characteristics'!$C:$C,0)))</f>
        <v>Industry</v>
      </c>
      <c r="B986" s="395" t="str">
        <f>IF(ISBLANK(INDEX('Policy Characteristics'!B:B,MATCH($C986,'Policy Characteristics'!$C:$C,0))),"",INDEX('Policy Characteristics'!B:B,MATCH($C986,'Policy Characteristics'!$C:$C,0)))</f>
        <v>Industry Energy Efficiency Standards</v>
      </c>
      <c r="C986" s="394" t="str">
        <f t="shared" si="40"/>
        <v>Percentage Improvement in Eqpt Efficiency Standards above BAU</v>
      </c>
      <c r="D986" s="399" t="s">
        <v>786</v>
      </c>
      <c r="E986" s="399" t="s">
        <v>810</v>
      </c>
      <c r="F986" t="s">
        <v>787</v>
      </c>
      <c r="G986" s="399" t="s">
        <v>821</v>
      </c>
      <c r="H986" s="377">
        <v>1207</v>
      </c>
      <c r="I986" s="396" t="s">
        <v>648</v>
      </c>
      <c r="J986" s="397" t="str">
        <f>IF(ISBLANK(INDEX('Policy Characteristics'!D:D,MATCH($C986,'Policy Characteristics'!$C:$C,0))),"",INDEX('Policy Characteristics'!D:D,MATCH($C986,'Policy Characteristics'!$C:$C,0)))</f>
        <v>Industry Energy Efficiency Standards</v>
      </c>
      <c r="K986" s="394" t="str">
        <f>IF(ISBLANK(INDEX('Policy Characteristics'!E:E,MATCH($C986,'Policy Characteristics'!$C:$C,0))),"",INDEX('Policy Characteristics'!E:E,MATCH($C986,'Policy Characteristics'!$C:$C,0)))</f>
        <v>indst efficiency standards</v>
      </c>
      <c r="L986" s="398">
        <f>IF(ISBLANK(INDEX('Policy Characteristics'!F:F,MATCH($C986,'Policy Characteristics'!$C:$C,0))),"",INDEX('Policy Characteristics'!F:F,MATCH($C986,'Policy Characteristics'!$C:$C,0)))</f>
        <v>0</v>
      </c>
      <c r="M986" s="398">
        <f>IF(ISBLANK(INDEX('Policy Characteristics'!G:G,MATCH($C986,'Policy Characteristics'!$C:$C,0))),"",INDEX('Policy Characteristics'!G:G,MATCH($C986,'Policy Characteristics'!$C:$C,0)))</f>
        <v>0.25</v>
      </c>
      <c r="N986" s="398">
        <f>IF(ISBLANK(INDEX('Policy Characteristics'!H:H,MATCH($C986,'Policy Characteristics'!$C:$C,0))),"",INDEX('Policy Characteristics'!H:H,MATCH($C986,'Policy Characteristics'!$C:$C,0)))</f>
        <v>0.01</v>
      </c>
      <c r="O986" s="394" t="str">
        <f>IF(ISBLANK(INDEX('Policy Characteristics'!I:I,MATCH($C986,'Policy Characteristics'!$C:$C,0))),"",INDEX('Policy Characteristics'!I:I,MATCH($C986,'Policy Characteristics'!$C:$C,0)))</f>
        <v>% reduction in energy use</v>
      </c>
      <c r="P986" s="394" t="str">
        <f>IF(ISBLANK(INDEX('Policy Characteristics'!J:J,MATCH($C986,'Policy Characteristics'!$C:$C,0))),"",INDEX('Policy Characteristics'!J:J,MATCH($C986,'Policy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6" s="394" t="str">
        <f>IF(ISBLANK(INDEX('Policy Characteristics'!K:K,MATCH($C986,'Policy Characteristics'!$C:$C,0))),"",INDEX('Policy Characteristics'!K:K,MATCH($C986,'Policy Characteristics'!$C:$C,0)))</f>
        <v>industry-ag-main.html#eff-stds</v>
      </c>
      <c r="R986" s="394" t="str">
        <f>IF(ISBLANK(INDEX('Policy Characteristics'!L:L,MATCH($C986,'Policy Characteristics'!$C:$C,0))),"",INDEX('Policy Characteristics'!L:L,MATCH($C986,'Policy Characteristics'!$C:$C,0)))</f>
        <v>industry-energy-efficiency-standards.html</v>
      </c>
    </row>
    <row r="987" s="384" customFormat="1" customHeight="1" spans="1:18">
      <c r="A987" s="394" t="str">
        <f>IF(ISBLANK(INDEX('Policy Characteristics'!A:A,MATCH($C987,'Policy Characteristics'!$C:$C,0))),"",INDEX('Policy Characteristics'!A:A,MATCH($C987,'Policy Characteristics'!$C:$C,0)))</f>
        <v>Industry</v>
      </c>
      <c r="B987" s="395" t="str">
        <f>IF(ISBLANK(INDEX('Policy Characteristics'!B:B,MATCH($C987,'Policy Characteristics'!$C:$C,0))),"",INDEX('Policy Characteristics'!B:B,MATCH($C987,'Policy Characteristics'!$C:$C,0)))</f>
        <v>Material Efficiency, Longevity, &amp; Re-Use</v>
      </c>
      <c r="C987" t="s">
        <v>405</v>
      </c>
      <c r="D987" s="399" t="s">
        <v>754</v>
      </c>
      <c r="E987" s="399"/>
      <c r="F987" s="399" t="s">
        <v>755</v>
      </c>
      <c r="G987" s="399"/>
      <c r="H987" s="377">
        <v>428</v>
      </c>
      <c r="I987" s="396" t="s">
        <v>648</v>
      </c>
      <c r="J987" s="397" t="str">
        <f>IF(ISBLANK(INDEX('Policy Characteristics'!D:D,MATCH($C987,'Policy Characteristics'!$C:$C,0))),"",INDEX('Policy Characteristics'!D:D,MATCH($C987,'Policy Characteristics'!$C:$C,0)))</f>
        <v>Material Efficiency, Longevity, &amp; Re-Use</v>
      </c>
      <c r="K987" s="394" t="str">
        <f>IF(ISBLANK(INDEX('Policy Characteristics'!E:E,MATCH($C987,'Policy Characteristics'!$C:$C,0))),"",INDEX('Policy Characteristics'!E:E,MATCH($C987,'Policy Characteristics'!$C:$C,0)))</f>
        <v>indst reduce nonenergy product demand</v>
      </c>
      <c r="L987" s="398">
        <f>IF(ISBLANK(INDEX('Policy Characteristics'!F:F,MATCH($C987,'Policy Characteristics'!$C:$C,0))),"",INDEX('Policy Characteristics'!F:F,MATCH($C987,'Policy Characteristics'!$C:$C,0)))</f>
        <v>0</v>
      </c>
      <c r="M987" s="398">
        <f>IF(ISBLANK(INDEX('Policy Characteristics'!G:G,MATCH($C987,'Policy Characteristics'!$C:$C,0))),"",INDEX('Policy Characteristics'!G:G,MATCH($C987,'Policy Characteristics'!$C:$C,0)))</f>
        <v>1</v>
      </c>
      <c r="N987" s="398">
        <f>IF(ISBLANK(INDEX('Policy Characteristics'!H:H,MATCH($C987,'Policy Characteristics'!$C:$C,0))),"",INDEX('Policy Characteristics'!H:H,MATCH($C987,'Policy Characteristics'!$C:$C,0)))</f>
        <v>0.01</v>
      </c>
      <c r="O987" s="394" t="str">
        <f>IF(ISBLANK(INDEX('Policy Characteristics'!I:I,MATCH($C987,'Policy Characteristics'!$C:$C,0))),"",INDEX('Policy Characteristics'!I:I,MATCH($C987,'Policy Characteristics'!$C:$C,0)))</f>
        <v>% demand reduction</v>
      </c>
      <c r="P987" s="394" t="str">
        <f>IF(ISBLANK(INDEX('Policy Characteristics'!J:J,MATCH($C987,'Policy Characteristics'!$C:$C,0))),"",INDEX('Policy Characteristics'!J:J,MATCH($C987,'Policy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87" s="394" t="str">
        <f>IF(ISBLANK(INDEX('Policy Characteristics'!K:K,MATCH($C987,'Policy Characteristics'!$C:$C,0))),"",INDEX('Policy Characteristics'!K:K,MATCH($C987,'Policy Characteristics'!$C:$C,0)))</f>
        <v/>
      </c>
      <c r="R987" s="394" t="str">
        <f>IF(ISBLANK(INDEX('Policy Characteristics'!L:L,MATCH($C987,'Policy Characteristics'!$C:$C,0))),"",INDEX('Policy Characteristics'!L:L,MATCH($C987,'Policy Characteristics'!$C:$C,0)))</f>
        <v>material-efficiency-longevity-reuse.html</v>
      </c>
    </row>
    <row r="988" s="384" customFormat="1" customHeight="1" spans="1:18">
      <c r="A988" s="394" t="str">
        <f>IF(ISBLANK(INDEX('Policy Characteristics'!A:A,MATCH($C988,'Policy Characteristics'!$C:$C,0))),"",INDEX('Policy Characteristics'!A:A,MATCH($C988,'Policy Characteristics'!$C:$C,0)))</f>
        <v>Industry</v>
      </c>
      <c r="B988" s="395" t="str">
        <f>IF(ISBLANK(INDEX('Policy Characteristics'!B:B,MATCH($C988,'Policy Characteristics'!$C:$C,0))),"",INDEX('Policy Characteristics'!B:B,MATCH($C988,'Policy Characteristics'!$C:$C,0)))</f>
        <v>Material Efficiency, Longevity, &amp; Re-Use</v>
      </c>
      <c r="C988" s="394" t="s">
        <v>405</v>
      </c>
      <c r="D988" s="399" t="s">
        <v>762</v>
      </c>
      <c r="E988" s="399"/>
      <c r="F988" s="399" t="s">
        <v>822</v>
      </c>
      <c r="G988" s="399"/>
      <c r="H988" s="377">
        <v>429</v>
      </c>
      <c r="I988" s="396" t="s">
        <v>648</v>
      </c>
      <c r="J988" s="397" t="str">
        <f>IF(ISBLANK(INDEX('Policy Characteristics'!D:D,MATCH($C988,'Policy Characteristics'!$C:$C,0))),"",INDEX('Policy Characteristics'!D:D,MATCH($C988,'Policy Characteristics'!$C:$C,0)))</f>
        <v>Material Efficiency, Longevity, &amp; Re-Use</v>
      </c>
      <c r="K988" s="394" t="str">
        <f>IF(ISBLANK(INDEX('Policy Characteristics'!E:E,MATCH($C988,'Policy Characteristics'!$C:$C,0))),"",INDEX('Policy Characteristics'!E:E,MATCH($C988,'Policy Characteristics'!$C:$C,0)))</f>
        <v>indst reduce nonenergy product demand</v>
      </c>
      <c r="L988" s="398">
        <f>IF(ISBLANK(INDEX('Policy Characteristics'!F:F,MATCH($C988,'Policy Characteristics'!$C:$C,0))),"",INDEX('Policy Characteristics'!F:F,MATCH($C988,'Policy Characteristics'!$C:$C,0)))</f>
        <v>0</v>
      </c>
      <c r="M988" s="398">
        <f>IF(ISBLANK(INDEX('Policy Characteristics'!G:G,MATCH($C988,'Policy Characteristics'!$C:$C,0))),"",INDEX('Policy Characteristics'!G:G,MATCH($C988,'Policy Characteristics'!$C:$C,0)))</f>
        <v>1</v>
      </c>
      <c r="N988" s="398">
        <f>IF(ISBLANK(INDEX('Policy Characteristics'!H:H,MATCH($C988,'Policy Characteristics'!$C:$C,0))),"",INDEX('Policy Characteristics'!H:H,MATCH($C988,'Policy Characteristics'!$C:$C,0)))</f>
        <v>0.01</v>
      </c>
      <c r="O988" s="394" t="str">
        <f>IF(ISBLANK(INDEX('Policy Characteristics'!I:I,MATCH($C988,'Policy Characteristics'!$C:$C,0))),"",INDEX('Policy Characteristics'!I:I,MATCH($C988,'Policy Characteristics'!$C:$C,0)))</f>
        <v>% demand reduction</v>
      </c>
      <c r="P988" s="394" t="str">
        <f>IF(ISBLANK(INDEX('Policy Characteristics'!J:J,MATCH($C988,'Policy Characteristics'!$C:$C,0))),"",INDEX('Policy Characteristics'!J:J,MATCH($C988,'Policy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88" s="394" t="str">
        <f>IF(ISBLANK(INDEX('Policy Characteristics'!K:K,MATCH($C988,'Policy Characteristics'!$C:$C,0))),"",INDEX('Policy Characteristics'!K:K,MATCH($C988,'Policy Characteristics'!$C:$C,0)))</f>
        <v/>
      </c>
      <c r="R988" s="394" t="str">
        <f>IF(ISBLANK(INDEX('Policy Characteristics'!L:L,MATCH($C988,'Policy Characteristics'!$C:$C,0))),"",INDEX('Policy Characteristics'!L:L,MATCH($C988,'Policy Characteristics'!$C:$C,0)))</f>
        <v>material-efficiency-longevity-reuse.html</v>
      </c>
    </row>
    <row r="989" s="384" customFormat="1" customHeight="1" spans="1:18">
      <c r="A989" s="394" t="str">
        <f>IF(ISBLANK(INDEX('Policy Characteristics'!A:A,MATCH($C989,'Policy Characteristics'!$C:$C,0))),"",INDEX('Policy Characteristics'!A:A,MATCH($C989,'Policy Characteristics'!$C:$C,0)))</f>
        <v>Industry</v>
      </c>
      <c r="B989" s="395" t="str">
        <f>IF(ISBLANK(INDEX('Policy Characteristics'!B:B,MATCH($C989,'Policy Characteristics'!$C:$C,0))),"",INDEX('Policy Characteristics'!B:B,MATCH($C989,'Policy Characteristics'!$C:$C,0)))</f>
        <v>Material Efficiency, Longevity, &amp; Re-Use</v>
      </c>
      <c r="C989" s="394" t="str">
        <f t="shared" ref="C989:C990" si="41">C$988</f>
        <v>Percent Reduction in Nonenergy Nonagriculture Industry Product Demand</v>
      </c>
      <c r="D989" s="399" t="s">
        <v>764</v>
      </c>
      <c r="E989" s="399"/>
      <c r="F989" s="399" t="s">
        <v>765</v>
      </c>
      <c r="G989" s="399"/>
      <c r="H989" s="377">
        <v>430</v>
      </c>
      <c r="I989" s="396" t="s">
        <v>648</v>
      </c>
      <c r="J989" s="397" t="str">
        <f>IF(ISBLANK(INDEX('Policy Characteristics'!D:D,MATCH($C989,'Policy Characteristics'!$C:$C,0))),"",INDEX('Policy Characteristics'!D:D,MATCH($C989,'Policy Characteristics'!$C:$C,0)))</f>
        <v>Material Efficiency, Longevity, &amp; Re-Use</v>
      </c>
      <c r="K989" s="394" t="str">
        <f>IF(ISBLANK(INDEX('Policy Characteristics'!E:E,MATCH($C989,'Policy Characteristics'!$C:$C,0))),"",INDEX('Policy Characteristics'!E:E,MATCH($C989,'Policy Characteristics'!$C:$C,0)))</f>
        <v>indst reduce nonenergy product demand</v>
      </c>
      <c r="L989" s="398">
        <f>IF(ISBLANK(INDEX('Policy Characteristics'!F:F,MATCH($C989,'Policy Characteristics'!$C:$C,0))),"",INDEX('Policy Characteristics'!F:F,MATCH($C989,'Policy Characteristics'!$C:$C,0)))</f>
        <v>0</v>
      </c>
      <c r="M989" s="398">
        <f>IF(ISBLANK(INDEX('Policy Characteristics'!G:G,MATCH($C989,'Policy Characteristics'!$C:$C,0))),"",INDEX('Policy Characteristics'!G:G,MATCH($C989,'Policy Characteristics'!$C:$C,0)))</f>
        <v>1</v>
      </c>
      <c r="N989" s="398">
        <f>IF(ISBLANK(INDEX('Policy Characteristics'!H:H,MATCH($C989,'Policy Characteristics'!$C:$C,0))),"",INDEX('Policy Characteristics'!H:H,MATCH($C989,'Policy Characteristics'!$C:$C,0)))</f>
        <v>0.01</v>
      </c>
      <c r="O989" s="394" t="str">
        <f>IF(ISBLANK(INDEX('Policy Characteristics'!I:I,MATCH($C989,'Policy Characteristics'!$C:$C,0))),"",INDEX('Policy Characteristics'!I:I,MATCH($C989,'Policy Characteristics'!$C:$C,0)))</f>
        <v>% demand reduction</v>
      </c>
      <c r="P989" s="394" t="str">
        <f>IF(ISBLANK(INDEX('Policy Characteristics'!J:J,MATCH($C989,'Policy Characteristics'!$C:$C,0))),"",INDEX('Policy Characteristics'!J:J,MATCH($C989,'Policy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89" s="394" t="str">
        <f>IF(ISBLANK(INDEX('Policy Characteristics'!K:K,MATCH($C989,'Policy Characteristics'!$C:$C,0))),"",INDEX('Policy Characteristics'!K:K,MATCH($C989,'Policy Characteristics'!$C:$C,0)))</f>
        <v/>
      </c>
      <c r="R989" s="394" t="str">
        <f>IF(ISBLANK(INDEX('Policy Characteristics'!L:L,MATCH($C989,'Policy Characteristics'!$C:$C,0))),"",INDEX('Policy Characteristics'!L:L,MATCH($C989,'Policy Characteristics'!$C:$C,0)))</f>
        <v>material-efficiency-longevity-reuse.html</v>
      </c>
    </row>
    <row r="990" s="384" customFormat="1" customHeight="1" spans="1:18">
      <c r="A990" s="394" t="str">
        <f>IF(ISBLANK(INDEX('Policy Characteristics'!A:A,MATCH($C990,'Policy Characteristics'!$C:$C,0))),"",INDEX('Policy Characteristics'!A:A,MATCH($C990,'Policy Characteristics'!$C:$C,0)))</f>
        <v>Industry</v>
      </c>
      <c r="B990" s="395" t="str">
        <f>IF(ISBLANK(INDEX('Policy Characteristics'!B:B,MATCH($C990,'Policy Characteristics'!$C:$C,0))),"",INDEX('Policy Characteristics'!B:B,MATCH($C990,'Policy Characteristics'!$C:$C,0)))</f>
        <v>Material Efficiency, Longevity, &amp; Re-Use</v>
      </c>
      <c r="C990" s="394" t="str">
        <f t="shared" si="41"/>
        <v>Percent Reduction in Nonenergy Nonagriculture Industry Product Demand</v>
      </c>
      <c r="D990" s="399" t="s">
        <v>766</v>
      </c>
      <c r="E990" s="399"/>
      <c r="F990" s="399" t="s">
        <v>767</v>
      </c>
      <c r="G990" s="399"/>
      <c r="H990" s="377">
        <v>431</v>
      </c>
      <c r="I990" s="396" t="s">
        <v>648</v>
      </c>
      <c r="J990" s="397" t="str">
        <f>IF(ISBLANK(INDEX('Policy Characteristics'!D:D,MATCH($C990,'Policy Characteristics'!$C:$C,0))),"",INDEX('Policy Characteristics'!D:D,MATCH($C990,'Policy Characteristics'!$C:$C,0)))</f>
        <v>Material Efficiency, Longevity, &amp; Re-Use</v>
      </c>
      <c r="K990" s="394" t="str">
        <f>IF(ISBLANK(INDEX('Policy Characteristics'!E:E,MATCH($C990,'Policy Characteristics'!$C:$C,0))),"",INDEX('Policy Characteristics'!E:E,MATCH($C990,'Policy Characteristics'!$C:$C,0)))</f>
        <v>indst reduce nonenergy product demand</v>
      </c>
      <c r="L990" s="398">
        <f>IF(ISBLANK(INDEX('Policy Characteristics'!F:F,MATCH($C990,'Policy Characteristics'!$C:$C,0))),"",INDEX('Policy Characteristics'!F:F,MATCH($C990,'Policy Characteristics'!$C:$C,0)))</f>
        <v>0</v>
      </c>
      <c r="M990" s="398">
        <f>IF(ISBLANK(INDEX('Policy Characteristics'!G:G,MATCH($C990,'Policy Characteristics'!$C:$C,0))),"",INDEX('Policy Characteristics'!G:G,MATCH($C990,'Policy Characteristics'!$C:$C,0)))</f>
        <v>1</v>
      </c>
      <c r="N990" s="398">
        <f>IF(ISBLANK(INDEX('Policy Characteristics'!H:H,MATCH($C990,'Policy Characteristics'!$C:$C,0))),"",INDEX('Policy Characteristics'!H:H,MATCH($C990,'Policy Characteristics'!$C:$C,0)))</f>
        <v>0.01</v>
      </c>
      <c r="O990" s="394" t="str">
        <f>IF(ISBLANK(INDEX('Policy Characteristics'!I:I,MATCH($C990,'Policy Characteristics'!$C:$C,0))),"",INDEX('Policy Characteristics'!I:I,MATCH($C990,'Policy Characteristics'!$C:$C,0)))</f>
        <v>% demand reduction</v>
      </c>
      <c r="P990" s="394" t="str">
        <f>IF(ISBLANK(INDEX('Policy Characteristics'!J:J,MATCH($C990,'Policy Characteristics'!$C:$C,0))),"",INDEX('Policy Characteristics'!J:J,MATCH($C990,'Policy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90" s="394" t="str">
        <f>IF(ISBLANK(INDEX('Policy Characteristics'!K:K,MATCH($C990,'Policy Characteristics'!$C:$C,0))),"",INDEX('Policy Characteristics'!K:K,MATCH($C990,'Policy Characteristics'!$C:$C,0)))</f>
        <v/>
      </c>
      <c r="R990" s="394" t="str">
        <f>IF(ISBLANK(INDEX('Policy Characteristics'!L:L,MATCH($C990,'Policy Characteristics'!$C:$C,0))),"",INDEX('Policy Characteristics'!L:L,MATCH($C990,'Policy Characteristics'!$C:$C,0)))</f>
        <v>material-efficiency-longevity-reuse.html</v>
      </c>
    </row>
    <row r="991" s="384" customFormat="1" customHeight="1" spans="1:18">
      <c r="A991" s="394" t="str">
        <f>IF(ISBLANK(INDEX('Policy Characteristics'!A:A,MATCH($C991,'Policy Characteristics'!$C:$C,0))),"",INDEX('Policy Characteristics'!A:A,MATCH($C991,'Policy Characteristics'!$C:$C,0)))</f>
        <v>Industry</v>
      </c>
      <c r="B991" s="395" t="str">
        <f>IF(ISBLANK(INDEX('Policy Characteristics'!B:B,MATCH($C991,'Policy Characteristics'!$C:$C,0))),"",INDEX('Policy Characteristics'!B:B,MATCH($C991,'Policy Characteristics'!$C:$C,0)))</f>
        <v>Material Efficiency, Longevity, &amp; Re-Use</v>
      </c>
      <c r="C991" s="394" t="str">
        <f t="shared" ref="C991" si="42">C$988</f>
        <v>Percent Reduction in Nonenergy Nonagriculture Industry Product Demand</v>
      </c>
      <c r="D991" s="399" t="s">
        <v>784</v>
      </c>
      <c r="E991" s="399"/>
      <c r="F991" s="399" t="s">
        <v>785</v>
      </c>
      <c r="G991" s="399"/>
      <c r="H991" s="377">
        <v>432</v>
      </c>
      <c r="I991" s="396" t="s">
        <v>648</v>
      </c>
      <c r="J991" s="397" t="str">
        <f>IF(ISBLANK(INDEX('Policy Characteristics'!D:D,MATCH($C991,'Policy Characteristics'!$C:$C,0))),"",INDEX('Policy Characteristics'!D:D,MATCH($C991,'Policy Characteristics'!$C:$C,0)))</f>
        <v>Material Efficiency, Longevity, &amp; Re-Use</v>
      </c>
      <c r="K991" s="394" t="str">
        <f>IF(ISBLANK(INDEX('Policy Characteristics'!E:E,MATCH($C991,'Policy Characteristics'!$C:$C,0))),"",INDEX('Policy Characteristics'!E:E,MATCH($C991,'Policy Characteristics'!$C:$C,0)))</f>
        <v>indst reduce nonenergy product demand</v>
      </c>
      <c r="L991" s="398">
        <f>IF(ISBLANK(INDEX('Policy Characteristics'!F:F,MATCH($C991,'Policy Characteristics'!$C:$C,0))),"",INDEX('Policy Characteristics'!F:F,MATCH($C991,'Policy Characteristics'!$C:$C,0)))</f>
        <v>0</v>
      </c>
      <c r="M991" s="398">
        <f>IF(ISBLANK(INDEX('Policy Characteristics'!G:G,MATCH($C991,'Policy Characteristics'!$C:$C,0))),"",INDEX('Policy Characteristics'!G:G,MATCH($C991,'Policy Characteristics'!$C:$C,0)))</f>
        <v>1</v>
      </c>
      <c r="N991" s="398">
        <f>IF(ISBLANK(INDEX('Policy Characteristics'!H:H,MATCH($C991,'Policy Characteristics'!$C:$C,0))),"",INDEX('Policy Characteristics'!H:H,MATCH($C991,'Policy Characteristics'!$C:$C,0)))</f>
        <v>0.01</v>
      </c>
      <c r="O991" s="394" t="str">
        <f>IF(ISBLANK(INDEX('Policy Characteristics'!I:I,MATCH($C991,'Policy Characteristics'!$C:$C,0))),"",INDEX('Policy Characteristics'!I:I,MATCH($C991,'Policy Characteristics'!$C:$C,0)))</f>
        <v>% demand reduction</v>
      </c>
      <c r="P991" s="394" t="str">
        <f>IF(ISBLANK(INDEX('Policy Characteristics'!J:J,MATCH($C991,'Policy Characteristics'!$C:$C,0))),"",INDEX('Policy Characteristics'!J:J,MATCH($C991,'Policy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91" s="394" t="str">
        <f>IF(ISBLANK(INDEX('Policy Characteristics'!K:K,MATCH($C991,'Policy Characteristics'!$C:$C,0))),"",INDEX('Policy Characteristics'!K:K,MATCH($C991,'Policy Characteristics'!$C:$C,0)))</f>
        <v/>
      </c>
      <c r="R991" s="394" t="str">
        <f>IF(ISBLANK(INDEX('Policy Characteristics'!L:L,MATCH($C991,'Policy Characteristics'!$C:$C,0))),"",INDEX('Policy Characteristics'!L:L,MATCH($C991,'Policy Characteristics'!$C:$C,0)))</f>
        <v>material-efficiency-longevity-reuse.html</v>
      </c>
    </row>
    <row r="992" customHeight="1" spans="1:18">
      <c r="A992" s="394" t="str">
        <f>IF(ISBLANK(INDEX('Policy Characteristics'!A:A,MATCH($C992,'Policy Characteristics'!$C:$C,0))),"",INDEX('Policy Characteristics'!A:A,MATCH($C992,'Policy Characteristics'!$C:$C,0)))</f>
        <v>Industry</v>
      </c>
      <c r="B992" s="395" t="str">
        <f>IF(ISBLANK(INDEX('Policy Characteristics'!B:B,MATCH($C992,'Policy Characteristics'!$C:$C,0))),"",INDEX('Policy Characteristics'!B:B,MATCH($C992,'Policy Characteristics'!$C:$C,0)))</f>
        <v>Methane Capture</v>
      </c>
      <c r="C992" t="s">
        <v>412</v>
      </c>
      <c r="D992" s="399" t="s">
        <v>742</v>
      </c>
      <c r="E992" s="399"/>
      <c r="F992" t="s">
        <v>743</v>
      </c>
      <c r="G992" s="399"/>
      <c r="H992" s="377">
        <v>1458</v>
      </c>
      <c r="I992" s="396" t="s">
        <v>648</v>
      </c>
      <c r="J992" s="397" t="str">
        <f>IF(ISBLANK(INDEX('Policy Characteristics'!D:D,MATCH($C992,'Policy Characteristics'!$C:$C,0))),"",INDEX('Policy Characteristics'!D:D,MATCH($C992,'Policy Characteristics'!$C:$C,0)))</f>
        <v>Methane Capture and Destruction</v>
      </c>
      <c r="K992" s="394" t="str">
        <f>IF(ISBLANK(INDEX('Policy Characteristics'!E:E,MATCH($C992,'Policy Characteristics'!$C:$C,0))),"",INDEX('Policy Characteristics'!E:E,MATCH($C992,'Policy Characteristics'!$C:$C,0)))</f>
        <v>indst methane capture</v>
      </c>
      <c r="L992" s="398">
        <f>IF(ISBLANK(INDEX('Policy Characteristics'!F:F,MATCH($C992,'Policy Characteristics'!$C:$C,0))),"",INDEX('Policy Characteristics'!F:F,MATCH($C992,'Policy Characteristics'!$C:$C,0)))</f>
        <v>0</v>
      </c>
      <c r="M992" s="398">
        <f>IF(ISBLANK(INDEX('Policy Characteristics'!G:G,MATCH($C992,'Policy Characteristics'!$C:$C,0))),"",INDEX('Policy Characteristics'!G:G,MATCH($C992,'Policy Characteristics'!$C:$C,0)))</f>
        <v>1</v>
      </c>
      <c r="N992" s="398">
        <f>IF(ISBLANK(INDEX('Policy Characteristics'!H:H,MATCH($C992,'Policy Characteristics'!$C:$C,0))),"",INDEX('Policy Characteristics'!H:H,MATCH($C992,'Policy Characteristics'!$C:$C,0)))</f>
        <v>0.01</v>
      </c>
      <c r="O992" s="394" t="str">
        <f>IF(ISBLANK(INDEX('Policy Characteristics'!I:I,MATCH($C992,'Policy Characteristics'!$C:$C,0))),"",INDEX('Policy Characteristics'!I:I,MATCH($C992,'Policy Characteristics'!$C:$C,0)))</f>
        <v>% of potential achieved</v>
      </c>
      <c r="P992" s="394" t="str">
        <f>IF(ISBLANK(INDEX('Policy Characteristics'!J:J,MATCH($C992,'Policy Characteristics'!$C:$C,0))),"",INDEX('Policy Characteristics'!J:J,MATCH($C992,'Policy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2" s="394" t="str">
        <f>IF(ISBLANK(INDEX('Policy Characteristics'!K:K,MATCH($C992,'Policy Characteristics'!$C:$C,0))),"",INDEX('Policy Characteristics'!K:K,MATCH($C992,'Policy Characteristics'!$C:$C,0)))</f>
        <v>industry-ag-main.html#methane-capture</v>
      </c>
      <c r="R992" s="394" t="str">
        <f>IF(ISBLANK(INDEX('Policy Characteristics'!L:L,MATCH($C992,'Policy Characteristics'!$C:$C,0))),"",INDEX('Policy Characteristics'!L:L,MATCH($C992,'Policy Characteristics'!$C:$C,0)))</f>
        <v>methane-capture.html</v>
      </c>
    </row>
    <row r="993" customHeight="1" spans="1:18">
      <c r="A993" s="394" t="str">
        <f>IF(ISBLANK(INDEX('Policy Characteristics'!A:A,MATCH($C993,'Policy Characteristics'!$C:$C,0))),"",INDEX('Policy Characteristics'!A:A,MATCH($C993,'Policy Characteristics'!$C:$C,0)))</f>
        <v>Industry</v>
      </c>
      <c r="B993" s="395" t="str">
        <f>IF(ISBLANK(INDEX('Policy Characteristics'!B:B,MATCH($C993,'Policy Characteristics'!$C:$C,0))),"",INDEX('Policy Characteristics'!B:B,MATCH($C993,'Policy Characteristics'!$C:$C,0)))</f>
        <v>Methane Capture</v>
      </c>
      <c r="C993" s="394" t="str">
        <f t="shared" ref="C993:C995" si="43">C$992</f>
        <v>Fraction of Methane Capture Opportunities Achieved</v>
      </c>
      <c r="D993" s="399" t="s">
        <v>782</v>
      </c>
      <c r="E993" s="399"/>
      <c r="F993" s="366" t="s">
        <v>783</v>
      </c>
      <c r="G993" s="399"/>
      <c r="H993" s="377">
        <v>1459</v>
      </c>
      <c r="I993" s="396" t="s">
        <v>648</v>
      </c>
      <c r="J993" s="397" t="str">
        <f>IF(ISBLANK(INDEX('Policy Characteristics'!D:D,MATCH($C993,'Policy Characteristics'!$C:$C,0))),"",INDEX('Policy Characteristics'!D:D,MATCH($C993,'Policy Characteristics'!$C:$C,0)))</f>
        <v>Methane Capture and Destruction</v>
      </c>
      <c r="K993" s="394" t="str">
        <f>IF(ISBLANK(INDEX('Policy Characteristics'!E:E,MATCH($C993,'Policy Characteristics'!$C:$C,0))),"",INDEX('Policy Characteristics'!E:E,MATCH($C993,'Policy Characteristics'!$C:$C,0)))</f>
        <v>indst methane capture</v>
      </c>
      <c r="L993" s="398">
        <f>IF(ISBLANK(INDEX('Policy Characteristics'!F:F,MATCH($C993,'Policy Characteristics'!$C:$C,0))),"",INDEX('Policy Characteristics'!F:F,MATCH($C993,'Policy Characteristics'!$C:$C,0)))</f>
        <v>0</v>
      </c>
      <c r="M993" s="398">
        <f>IF(ISBLANK(INDEX('Policy Characteristics'!G:G,MATCH($C993,'Policy Characteristics'!$C:$C,0))),"",INDEX('Policy Characteristics'!G:G,MATCH($C993,'Policy Characteristics'!$C:$C,0)))</f>
        <v>1</v>
      </c>
      <c r="N993" s="398">
        <f>IF(ISBLANK(INDEX('Policy Characteristics'!H:H,MATCH($C993,'Policy Characteristics'!$C:$C,0))),"",INDEX('Policy Characteristics'!H:H,MATCH($C993,'Policy Characteristics'!$C:$C,0)))</f>
        <v>0.01</v>
      </c>
      <c r="O993" s="394" t="str">
        <f>IF(ISBLANK(INDEX('Policy Characteristics'!I:I,MATCH($C993,'Policy Characteristics'!$C:$C,0))),"",INDEX('Policy Characteristics'!I:I,MATCH($C993,'Policy Characteristics'!$C:$C,0)))</f>
        <v>% of potential achieved</v>
      </c>
      <c r="P993" s="394" t="str">
        <f>IF(ISBLANK(INDEX('Policy Characteristics'!J:J,MATCH($C993,'Policy Characteristics'!$C:$C,0))),"",INDEX('Policy Characteristics'!J:J,MATCH($C993,'Policy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3" s="394" t="str">
        <f>IF(ISBLANK(INDEX('Policy Characteristics'!K:K,MATCH($C993,'Policy Characteristics'!$C:$C,0))),"",INDEX('Policy Characteristics'!K:K,MATCH($C993,'Policy Characteristics'!$C:$C,0)))</f>
        <v>industry-ag-main.html#methane-capture</v>
      </c>
      <c r="R993" s="394" t="str">
        <f>IF(ISBLANK(INDEX('Policy Characteristics'!L:L,MATCH($C993,'Policy Characteristics'!$C:$C,0))),"",INDEX('Policy Characteristics'!L:L,MATCH($C993,'Policy Characteristics'!$C:$C,0)))</f>
        <v>methane-capture.html</v>
      </c>
    </row>
    <row r="994" customHeight="1" spans="1:18">
      <c r="A994" s="394" t="str">
        <f>IF(ISBLANK(INDEX('Policy Characteristics'!A:A,MATCH($C994,'Policy Characteristics'!$C:$C,0))),"",INDEX('Policy Characteristics'!A:A,MATCH($C994,'Policy Characteristics'!$C:$C,0)))</f>
        <v>Industry</v>
      </c>
      <c r="B994" s="395" t="str">
        <f>IF(ISBLANK(INDEX('Policy Characteristics'!B:B,MATCH($C994,'Policy Characteristics'!$C:$C,0))),"",INDEX('Policy Characteristics'!B:B,MATCH($C994,'Policy Characteristics'!$C:$C,0)))</f>
        <v>Methane Capture</v>
      </c>
      <c r="C994" s="394" t="str">
        <f t="shared" si="43"/>
        <v>Fraction of Methane Capture Opportunities Achieved</v>
      </c>
      <c r="D994" s="399" t="s">
        <v>740</v>
      </c>
      <c r="E994" s="399"/>
      <c r="F994" t="s">
        <v>741</v>
      </c>
      <c r="G994" s="399"/>
      <c r="H994" s="377">
        <v>513</v>
      </c>
      <c r="I994" s="396" t="s">
        <v>648</v>
      </c>
      <c r="J994" s="397" t="str">
        <f>IF(ISBLANK(INDEX('Policy Characteristics'!D:D,MATCH($C994,'Policy Characteristics'!$C:$C,0))),"",INDEX('Policy Characteristics'!D:D,MATCH($C994,'Policy Characteristics'!$C:$C,0)))</f>
        <v>Methane Capture and Destruction</v>
      </c>
      <c r="K994" s="394" t="str">
        <f>IF(ISBLANK(INDEX('Policy Characteristics'!E:E,MATCH($C994,'Policy Characteristics'!$C:$C,0))),"",INDEX('Policy Characteristics'!E:E,MATCH($C994,'Policy Characteristics'!$C:$C,0)))</f>
        <v>indst methane capture</v>
      </c>
      <c r="L994" s="398">
        <f>IF(ISBLANK(INDEX('Policy Characteristics'!F:F,MATCH($C994,'Policy Characteristics'!$C:$C,0))),"",INDEX('Policy Characteristics'!F:F,MATCH($C994,'Policy Characteristics'!$C:$C,0)))</f>
        <v>0</v>
      </c>
      <c r="M994" s="398">
        <f>IF(ISBLANK(INDEX('Policy Characteristics'!G:G,MATCH($C994,'Policy Characteristics'!$C:$C,0))),"",INDEX('Policy Characteristics'!G:G,MATCH($C994,'Policy Characteristics'!$C:$C,0)))</f>
        <v>1</v>
      </c>
      <c r="N994" s="398">
        <f>IF(ISBLANK(INDEX('Policy Characteristics'!H:H,MATCH($C994,'Policy Characteristics'!$C:$C,0))),"",INDEX('Policy Characteristics'!H:H,MATCH($C994,'Policy Characteristics'!$C:$C,0)))</f>
        <v>0.01</v>
      </c>
      <c r="O994" s="394" t="str">
        <f>IF(ISBLANK(INDEX('Policy Characteristics'!I:I,MATCH($C994,'Policy Characteristics'!$C:$C,0))),"",INDEX('Policy Characteristics'!I:I,MATCH($C994,'Policy Characteristics'!$C:$C,0)))</f>
        <v>% of potential achieved</v>
      </c>
      <c r="P994" s="394" t="str">
        <f>IF(ISBLANK(INDEX('Policy Characteristics'!J:J,MATCH($C994,'Policy Characteristics'!$C:$C,0))),"",INDEX('Policy Characteristics'!J:J,MATCH($C994,'Policy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4" s="394" t="str">
        <f>IF(ISBLANK(INDEX('Policy Characteristics'!K:K,MATCH($C994,'Policy Characteristics'!$C:$C,0))),"",INDEX('Policy Characteristics'!K:K,MATCH($C994,'Policy Characteristics'!$C:$C,0)))</f>
        <v>industry-ag-main.html#methane-capture</v>
      </c>
      <c r="R994" s="394" t="str">
        <f>IF(ISBLANK(INDEX('Policy Characteristics'!L:L,MATCH($C994,'Policy Characteristics'!$C:$C,0))),"",INDEX('Policy Characteristics'!L:L,MATCH($C994,'Policy Characteristics'!$C:$C,0)))</f>
        <v>methane-capture.html</v>
      </c>
    </row>
    <row r="995" customHeight="1" spans="1:18">
      <c r="A995" s="394" t="str">
        <f>IF(ISBLANK(INDEX('Policy Characteristics'!A:A,MATCH($C995,'Policy Characteristics'!$C:$C,0))),"",INDEX('Policy Characteristics'!A:A,MATCH($C995,'Policy Characteristics'!$C:$C,0)))</f>
        <v>Industry</v>
      </c>
      <c r="B995" s="395" t="str">
        <f>IF(ISBLANK(INDEX('Policy Characteristics'!B:B,MATCH($C995,'Policy Characteristics'!$C:$C,0))),"",INDEX('Policy Characteristics'!B:B,MATCH($C995,'Policy Characteristics'!$C:$C,0)))</f>
        <v>Methane Capture</v>
      </c>
      <c r="C995" s="394" t="str">
        <f t="shared" si="43"/>
        <v>Fraction of Methane Capture Opportunities Achieved</v>
      </c>
      <c r="D995" s="399" t="s">
        <v>784</v>
      </c>
      <c r="E995" s="399"/>
      <c r="F995" t="s">
        <v>785</v>
      </c>
      <c r="G995" s="399"/>
      <c r="H995" s="377">
        <v>514</v>
      </c>
      <c r="I995" s="396" t="s">
        <v>648</v>
      </c>
      <c r="J995" s="397" t="str">
        <f>IF(ISBLANK(INDEX('Policy Characteristics'!D:D,MATCH($C995,'Policy Characteristics'!$C:$C,0))),"",INDEX('Policy Characteristics'!D:D,MATCH($C995,'Policy Characteristics'!$C:$C,0)))</f>
        <v>Methane Capture and Destruction</v>
      </c>
      <c r="K995" s="394" t="str">
        <f>IF(ISBLANK(INDEX('Policy Characteristics'!E:E,MATCH($C995,'Policy Characteristics'!$C:$C,0))),"",INDEX('Policy Characteristics'!E:E,MATCH($C995,'Policy Characteristics'!$C:$C,0)))</f>
        <v>indst methane capture</v>
      </c>
      <c r="L995" s="398">
        <f>IF(ISBLANK(INDEX('Policy Characteristics'!F:F,MATCH($C995,'Policy Characteristics'!$C:$C,0))),"",INDEX('Policy Characteristics'!F:F,MATCH($C995,'Policy Characteristics'!$C:$C,0)))</f>
        <v>0</v>
      </c>
      <c r="M995" s="398">
        <f>IF(ISBLANK(INDEX('Policy Characteristics'!G:G,MATCH($C995,'Policy Characteristics'!$C:$C,0))),"",INDEX('Policy Characteristics'!G:G,MATCH($C995,'Policy Characteristics'!$C:$C,0)))</f>
        <v>1</v>
      </c>
      <c r="N995" s="398">
        <f>IF(ISBLANK(INDEX('Policy Characteristics'!H:H,MATCH($C995,'Policy Characteristics'!$C:$C,0))),"",INDEX('Policy Characteristics'!H:H,MATCH($C995,'Policy Characteristics'!$C:$C,0)))</f>
        <v>0.01</v>
      </c>
      <c r="O995" s="394" t="str">
        <f>IF(ISBLANK(INDEX('Policy Characteristics'!I:I,MATCH($C995,'Policy Characteristics'!$C:$C,0))),"",INDEX('Policy Characteristics'!I:I,MATCH($C995,'Policy Characteristics'!$C:$C,0)))</f>
        <v>% of potential achieved</v>
      </c>
      <c r="P995" s="394" t="str">
        <f>IF(ISBLANK(INDEX('Policy Characteristics'!J:J,MATCH($C995,'Policy Characteristics'!$C:$C,0))),"",INDEX('Policy Characteristics'!J:J,MATCH($C995,'Policy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5" s="394" t="str">
        <f>IF(ISBLANK(INDEX('Policy Characteristics'!K:K,MATCH($C995,'Policy Characteristics'!$C:$C,0))),"",INDEX('Policy Characteristics'!K:K,MATCH($C995,'Policy Characteristics'!$C:$C,0)))</f>
        <v>industry-ag-main.html#methane-capture</v>
      </c>
      <c r="R995" s="394" t="str">
        <f>IF(ISBLANK(INDEX('Policy Characteristics'!L:L,MATCH($C995,'Policy Characteristics'!$C:$C,0))),"",INDEX('Policy Characteristics'!L:L,MATCH($C995,'Policy Characteristics'!$C:$C,0)))</f>
        <v>methane-capture.html</v>
      </c>
    </row>
    <row r="996" customHeight="1" spans="1:18">
      <c r="A996" s="394" t="str">
        <f>IF(ISBLANK(INDEX('Policy Characteristics'!A:A,MATCH($C996,'Policy Characteristics'!$C:$C,0))),"",INDEX('Policy Characteristics'!A:A,MATCH($C996,'Policy Characteristics'!$C:$C,0)))</f>
        <v>Industry</v>
      </c>
      <c r="B996" s="395" t="str">
        <f>IF(ISBLANK(INDEX('Policy Characteristics'!B:B,MATCH($C996,'Policy Characteristics'!$C:$C,0))),"",INDEX('Policy Characteristics'!B:B,MATCH($C996,'Policy Characteristics'!$C:$C,0)))</f>
        <v>Methane Destruction</v>
      </c>
      <c r="C996" t="s">
        <v>419</v>
      </c>
      <c r="D996" s="399" t="s">
        <v>742</v>
      </c>
      <c r="E996" s="399"/>
      <c r="F996" t="s">
        <v>743</v>
      </c>
      <c r="G996" s="399"/>
      <c r="H996" s="377">
        <v>1460</v>
      </c>
      <c r="I996" s="396" t="s">
        <v>648</v>
      </c>
      <c r="J996" s="397" t="str">
        <f>IF(ISBLANK(INDEX('Policy Characteristics'!D:D,MATCH($C996,'Policy Characteristics'!$C:$C,0))),"",INDEX('Policy Characteristics'!D:D,MATCH($C996,'Policy Characteristics'!$C:$C,0)))</f>
        <v>Methane Capture and Destruction</v>
      </c>
      <c r="K996" s="394" t="str">
        <f>IF(ISBLANK(INDEX('Policy Characteristics'!E:E,MATCH($C996,'Policy Characteristics'!$C:$C,0))),"",INDEX('Policy Characteristics'!E:E,MATCH($C996,'Policy Characteristics'!$C:$C,0)))</f>
        <v>indst methane destruction</v>
      </c>
      <c r="L996" s="398">
        <f>IF(ISBLANK(INDEX('Policy Characteristics'!F:F,MATCH($C996,'Policy Characteristics'!$C:$C,0))),"",INDEX('Policy Characteristics'!F:F,MATCH($C996,'Policy Characteristics'!$C:$C,0)))</f>
        <v>0</v>
      </c>
      <c r="M996" s="398">
        <f>IF(ISBLANK(INDEX('Policy Characteristics'!G:G,MATCH($C996,'Policy Characteristics'!$C:$C,0))),"",INDEX('Policy Characteristics'!G:G,MATCH($C996,'Policy Characteristics'!$C:$C,0)))</f>
        <v>1</v>
      </c>
      <c r="N996" s="398">
        <f>IF(ISBLANK(INDEX('Policy Characteristics'!H:H,MATCH($C996,'Policy Characteristics'!$C:$C,0))),"",INDEX('Policy Characteristics'!H:H,MATCH($C996,'Policy Characteristics'!$C:$C,0)))</f>
        <v>0.01</v>
      </c>
      <c r="O996" s="394" t="str">
        <f>IF(ISBLANK(INDEX('Policy Characteristics'!I:I,MATCH($C996,'Policy Characteristics'!$C:$C,0))),"",INDEX('Policy Characteristics'!I:I,MATCH($C996,'Policy Characteristics'!$C:$C,0)))</f>
        <v>% of potential achieved</v>
      </c>
      <c r="P996" s="394" t="str">
        <f>IF(ISBLANK(INDEX('Policy Characteristics'!J:J,MATCH($C996,'Policy Characteristics'!$C:$C,0))),"",INDEX('Policy Characteristics'!J:J,MATCH($C996,'Policy Characteristics'!$C:$C,0)))</f>
        <v>**Description:** This policy reduces methane emissions from the selected industry by increasing the burning of methane that is currently being released into the atmosphere (i.e. flaring instead of venting/leaking).</v>
      </c>
      <c r="Q996" s="394" t="str">
        <f>IF(ISBLANK(INDEX('Policy Characteristics'!K:K,MATCH($C996,'Policy Characteristics'!$C:$C,0))),"",INDEX('Policy Characteristics'!K:K,MATCH($C996,'Policy Characteristics'!$C:$C,0)))</f>
        <v>industry-ag-main.html#methane-destr</v>
      </c>
      <c r="R996" s="394" t="str">
        <f>IF(ISBLANK(INDEX('Policy Characteristics'!L:L,MATCH($C996,'Policy Characteristics'!$C:$C,0))),"",INDEX('Policy Characteristics'!L:L,MATCH($C996,'Policy Characteristics'!$C:$C,0)))</f>
        <v>methane-destruction.html</v>
      </c>
    </row>
    <row r="997" customHeight="1" spans="1:18">
      <c r="A997" s="394" t="str">
        <f>IF(ISBLANK(INDEX('Policy Characteristics'!A:A,MATCH($C997,'Policy Characteristics'!$C:$C,0))),"",INDEX('Policy Characteristics'!A:A,MATCH($C997,'Policy Characteristics'!$C:$C,0)))</f>
        <v>Industry</v>
      </c>
      <c r="B997" s="395" t="str">
        <f>IF(ISBLANK(INDEX('Policy Characteristics'!B:B,MATCH($C997,'Policy Characteristics'!$C:$C,0))),"",INDEX('Policy Characteristics'!B:B,MATCH($C997,'Policy Characteristics'!$C:$C,0)))</f>
        <v>Methane Destruction</v>
      </c>
      <c r="C997" s="394" t="str">
        <f t="shared" ref="C997:C999" si="44">C$996</f>
        <v>Fraction of Methane Destruction Opportunities Achieved</v>
      </c>
      <c r="D997" s="399" t="s">
        <v>782</v>
      </c>
      <c r="E997" s="399"/>
      <c r="F997" s="366" t="s">
        <v>783</v>
      </c>
      <c r="G997" s="399"/>
      <c r="H997" s="377">
        <v>1461</v>
      </c>
      <c r="I997" s="396" t="s">
        <v>648</v>
      </c>
      <c r="J997" s="397" t="str">
        <f>IF(ISBLANK(INDEX('Policy Characteristics'!D:D,MATCH($C997,'Policy Characteristics'!$C:$C,0))),"",INDEX('Policy Characteristics'!D:D,MATCH($C997,'Policy Characteristics'!$C:$C,0)))</f>
        <v>Methane Capture and Destruction</v>
      </c>
      <c r="K997" s="394" t="str">
        <f>IF(ISBLANK(INDEX('Policy Characteristics'!E:E,MATCH($C997,'Policy Characteristics'!$C:$C,0))),"",INDEX('Policy Characteristics'!E:E,MATCH($C997,'Policy Characteristics'!$C:$C,0)))</f>
        <v>indst methane destruction</v>
      </c>
      <c r="L997" s="398">
        <f>IF(ISBLANK(INDEX('Policy Characteristics'!F:F,MATCH($C997,'Policy Characteristics'!$C:$C,0))),"",INDEX('Policy Characteristics'!F:F,MATCH($C997,'Policy Characteristics'!$C:$C,0)))</f>
        <v>0</v>
      </c>
      <c r="M997" s="398">
        <f>IF(ISBLANK(INDEX('Policy Characteristics'!G:G,MATCH($C997,'Policy Characteristics'!$C:$C,0))),"",INDEX('Policy Characteristics'!G:G,MATCH($C997,'Policy Characteristics'!$C:$C,0)))</f>
        <v>1</v>
      </c>
      <c r="N997" s="398">
        <f>IF(ISBLANK(INDEX('Policy Characteristics'!H:H,MATCH($C997,'Policy Characteristics'!$C:$C,0))),"",INDEX('Policy Characteristics'!H:H,MATCH($C997,'Policy Characteristics'!$C:$C,0)))</f>
        <v>0.01</v>
      </c>
      <c r="O997" s="394" t="str">
        <f>IF(ISBLANK(INDEX('Policy Characteristics'!I:I,MATCH($C997,'Policy Characteristics'!$C:$C,0))),"",INDEX('Policy Characteristics'!I:I,MATCH($C997,'Policy Characteristics'!$C:$C,0)))</f>
        <v>% of potential achieved</v>
      </c>
      <c r="P997" s="394" t="str">
        <f>IF(ISBLANK(INDEX('Policy Characteristics'!J:J,MATCH($C997,'Policy Characteristics'!$C:$C,0))),"",INDEX('Policy Characteristics'!J:J,MATCH($C997,'Policy Characteristics'!$C:$C,0)))</f>
        <v>**Description:** This policy reduces methane emissions from the selected industry by increasing the burning of methane that is currently being released into the atmosphere (i.e. flaring instead of venting/leaking).</v>
      </c>
      <c r="Q997" s="394" t="str">
        <f>IF(ISBLANK(INDEX('Policy Characteristics'!K:K,MATCH($C997,'Policy Characteristics'!$C:$C,0))),"",INDEX('Policy Characteristics'!K:K,MATCH($C997,'Policy Characteristics'!$C:$C,0)))</f>
        <v>industry-ag-main.html#methane-destr</v>
      </c>
      <c r="R997" s="394" t="str">
        <f>IF(ISBLANK(INDEX('Policy Characteristics'!L:L,MATCH($C997,'Policy Characteristics'!$C:$C,0))),"",INDEX('Policy Characteristics'!L:L,MATCH($C997,'Policy Characteristics'!$C:$C,0)))</f>
        <v>methane-destruction.html</v>
      </c>
    </row>
    <row r="998" customHeight="1" spans="1:18">
      <c r="A998" s="394" t="str">
        <f>IF(ISBLANK(INDEX('Policy Characteristics'!A:A,MATCH($C998,'Policy Characteristics'!$C:$C,0))),"",INDEX('Policy Characteristics'!A:A,MATCH($C998,'Policy Characteristics'!$C:$C,0)))</f>
        <v>Industry</v>
      </c>
      <c r="B998" s="395" t="str">
        <f>IF(ISBLANK(INDEX('Policy Characteristics'!B:B,MATCH($C998,'Policy Characteristics'!$C:$C,0))),"",INDEX('Policy Characteristics'!B:B,MATCH($C998,'Policy Characteristics'!$C:$C,0)))</f>
        <v>Methane Destruction</v>
      </c>
      <c r="C998" s="394" t="str">
        <f t="shared" si="44"/>
        <v>Fraction of Methane Destruction Opportunities Achieved</v>
      </c>
      <c r="D998" s="399" t="s">
        <v>740</v>
      </c>
      <c r="E998" s="399"/>
      <c r="F998" t="s">
        <v>741</v>
      </c>
      <c r="G998" s="399"/>
      <c r="H998" s="377">
        <v>515</v>
      </c>
      <c r="I998" s="396" t="s">
        <v>648</v>
      </c>
      <c r="J998" s="397" t="str">
        <f>IF(ISBLANK(INDEX('Policy Characteristics'!D:D,MATCH($C998,'Policy Characteristics'!$C:$C,0))),"",INDEX('Policy Characteristics'!D:D,MATCH($C998,'Policy Characteristics'!$C:$C,0)))</f>
        <v>Methane Capture and Destruction</v>
      </c>
      <c r="K998" s="394" t="str">
        <f>IF(ISBLANK(INDEX('Policy Characteristics'!E:E,MATCH($C998,'Policy Characteristics'!$C:$C,0))),"",INDEX('Policy Characteristics'!E:E,MATCH($C998,'Policy Characteristics'!$C:$C,0)))</f>
        <v>indst methane destruction</v>
      </c>
      <c r="L998" s="398">
        <f>IF(ISBLANK(INDEX('Policy Characteristics'!F:F,MATCH($C998,'Policy Characteristics'!$C:$C,0))),"",INDEX('Policy Characteristics'!F:F,MATCH($C998,'Policy Characteristics'!$C:$C,0)))</f>
        <v>0</v>
      </c>
      <c r="M998" s="398">
        <f>IF(ISBLANK(INDEX('Policy Characteristics'!G:G,MATCH($C998,'Policy Characteristics'!$C:$C,0))),"",INDEX('Policy Characteristics'!G:G,MATCH($C998,'Policy Characteristics'!$C:$C,0)))</f>
        <v>1</v>
      </c>
      <c r="N998" s="398">
        <f>IF(ISBLANK(INDEX('Policy Characteristics'!H:H,MATCH($C998,'Policy Characteristics'!$C:$C,0))),"",INDEX('Policy Characteristics'!H:H,MATCH($C998,'Policy Characteristics'!$C:$C,0)))</f>
        <v>0.01</v>
      </c>
      <c r="O998" s="394" t="str">
        <f>IF(ISBLANK(INDEX('Policy Characteristics'!I:I,MATCH($C998,'Policy Characteristics'!$C:$C,0))),"",INDEX('Policy Characteristics'!I:I,MATCH($C998,'Policy Characteristics'!$C:$C,0)))</f>
        <v>% of potential achieved</v>
      </c>
      <c r="P998" s="394" t="str">
        <f>IF(ISBLANK(INDEX('Policy Characteristics'!J:J,MATCH($C998,'Policy Characteristics'!$C:$C,0))),"",INDEX('Policy Characteristics'!J:J,MATCH($C998,'Policy Characteristics'!$C:$C,0)))</f>
        <v>**Description:** This policy reduces methane emissions from the selected industry by increasing the burning of methane that is currently being released into the atmosphere (i.e. flaring instead of venting/leaking).</v>
      </c>
      <c r="Q998" s="394" t="str">
        <f>IF(ISBLANK(INDEX('Policy Characteristics'!K:K,MATCH($C998,'Policy Characteristics'!$C:$C,0))),"",INDEX('Policy Characteristics'!K:K,MATCH($C998,'Policy Characteristics'!$C:$C,0)))</f>
        <v>industry-ag-main.html#methane-destr</v>
      </c>
      <c r="R998" s="394" t="str">
        <f>IF(ISBLANK(INDEX('Policy Characteristics'!L:L,MATCH($C998,'Policy Characteristics'!$C:$C,0))),"",INDEX('Policy Characteristics'!L:L,MATCH($C998,'Policy Characteristics'!$C:$C,0)))</f>
        <v>methane-destruction.html</v>
      </c>
    </row>
    <row r="999" customHeight="1" spans="1:18">
      <c r="A999" s="394" t="str">
        <f>IF(ISBLANK(INDEX('Policy Characteristics'!A:A,MATCH($C999,'Policy Characteristics'!$C:$C,0))),"",INDEX('Policy Characteristics'!A:A,MATCH($C999,'Policy Characteristics'!$C:$C,0)))</f>
        <v>Industry</v>
      </c>
      <c r="B999" s="395" t="str">
        <f>IF(ISBLANK(INDEX('Policy Characteristics'!B:B,MATCH($C999,'Policy Characteristics'!$C:$C,0))),"",INDEX('Policy Characteristics'!B:B,MATCH($C999,'Policy Characteristics'!$C:$C,0)))</f>
        <v>Methane Destruction</v>
      </c>
      <c r="C999" s="394" t="str">
        <f t="shared" si="44"/>
        <v>Fraction of Methane Destruction Opportunities Achieved</v>
      </c>
      <c r="D999" s="399" t="s">
        <v>784</v>
      </c>
      <c r="E999" s="399"/>
      <c r="F999" t="s">
        <v>785</v>
      </c>
      <c r="G999" s="399"/>
      <c r="H999" s="377">
        <v>516</v>
      </c>
      <c r="I999" s="396" t="s">
        <v>648</v>
      </c>
      <c r="J999" s="397" t="str">
        <f>IF(ISBLANK(INDEX('Policy Characteristics'!D:D,MATCH($C999,'Policy Characteristics'!$C:$C,0))),"",INDEX('Policy Characteristics'!D:D,MATCH($C999,'Policy Characteristics'!$C:$C,0)))</f>
        <v>Methane Capture and Destruction</v>
      </c>
      <c r="K999" s="394" t="str">
        <f>IF(ISBLANK(INDEX('Policy Characteristics'!E:E,MATCH($C999,'Policy Characteristics'!$C:$C,0))),"",INDEX('Policy Characteristics'!E:E,MATCH($C999,'Policy Characteristics'!$C:$C,0)))</f>
        <v>indst methane destruction</v>
      </c>
      <c r="L999" s="398">
        <f>IF(ISBLANK(INDEX('Policy Characteristics'!F:F,MATCH($C999,'Policy Characteristics'!$C:$C,0))),"",INDEX('Policy Characteristics'!F:F,MATCH($C999,'Policy Characteristics'!$C:$C,0)))</f>
        <v>0</v>
      </c>
      <c r="M999" s="398">
        <f>IF(ISBLANK(INDEX('Policy Characteristics'!G:G,MATCH($C999,'Policy Characteristics'!$C:$C,0))),"",INDEX('Policy Characteristics'!G:G,MATCH($C999,'Policy Characteristics'!$C:$C,0)))</f>
        <v>1</v>
      </c>
      <c r="N999" s="398">
        <f>IF(ISBLANK(INDEX('Policy Characteristics'!H:H,MATCH($C999,'Policy Characteristics'!$C:$C,0))),"",INDEX('Policy Characteristics'!H:H,MATCH($C999,'Policy Characteristics'!$C:$C,0)))</f>
        <v>0.01</v>
      </c>
      <c r="O999" s="394" t="str">
        <f>IF(ISBLANK(INDEX('Policy Characteristics'!I:I,MATCH($C999,'Policy Characteristics'!$C:$C,0))),"",INDEX('Policy Characteristics'!I:I,MATCH($C999,'Policy Characteristics'!$C:$C,0)))</f>
        <v>% of potential achieved</v>
      </c>
      <c r="P999" s="394" t="str">
        <f>IF(ISBLANK(INDEX('Policy Characteristics'!J:J,MATCH($C999,'Policy Characteristics'!$C:$C,0))),"",INDEX('Policy Characteristics'!J:J,MATCH($C999,'Policy Characteristics'!$C:$C,0)))</f>
        <v>**Description:** This policy reduces methane emissions from the selected industry by increasing the burning of methane that is currently being released into the atmosphere (i.e. flaring instead of venting/leaking).</v>
      </c>
      <c r="Q999" s="394" t="str">
        <f>IF(ISBLANK(INDEX('Policy Characteristics'!K:K,MATCH($C999,'Policy Characteristics'!$C:$C,0))),"",INDEX('Policy Characteristics'!K:K,MATCH($C999,'Policy Characteristics'!$C:$C,0)))</f>
        <v>industry-ag-main.html#methane-destr</v>
      </c>
      <c r="R999" s="394" t="str">
        <f>IF(ISBLANK(INDEX('Policy Characteristics'!L:L,MATCH($C999,'Policy Characteristics'!$C:$C,0))),"",INDEX('Policy Characteristics'!L:L,MATCH($C999,'Policy Characteristics'!$C:$C,0)))</f>
        <v>methane-destruction.html</v>
      </c>
    </row>
    <row r="1000" customHeight="1" spans="1:18">
      <c r="A1000" s="394" t="str">
        <f>IF(ISBLANK(INDEX('Policy Characteristics'!A:A,MATCH($C1000,'Policy Characteristics'!$C:$C,0))),"",INDEX('Policy Characteristics'!A:A,MATCH($C1000,'Policy Characteristics'!$C:$C,0)))</f>
        <v>Industry</v>
      </c>
      <c r="B1000" s="395" t="str">
        <f>IF(ISBLANK(INDEX('Policy Characteristics'!B:B,MATCH($C1000,'Policy Characteristics'!$C:$C,0))),"",INDEX('Policy Characteristics'!B:B,MATCH($C1000,'Policy Characteristics'!$C:$C,0)))</f>
        <v>N2O Abatement</v>
      </c>
      <c r="C1000" s="28" t="s">
        <v>425</v>
      </c>
      <c r="D1000" s="399"/>
      <c r="E1000" s="399"/>
      <c r="F1000"/>
      <c r="G1000" s="399"/>
      <c r="H1000" s="377">
        <v>1562</v>
      </c>
      <c r="I1000" s="396" t="s">
        <v>648</v>
      </c>
      <c r="J1000" s="397" t="str">
        <f>IF(ISBLANK(INDEX('Policy Characteristics'!D:D,MATCH($C1000,'Policy Characteristics'!$C:$C,0))),"",INDEX('Policy Characteristics'!D:D,MATCH($C1000,'Policy Characteristics'!$C:$C,0)))</f>
        <v>N2O Abatement</v>
      </c>
      <c r="K1000" s="394" t="str">
        <f>IF(ISBLANK(INDEX('Policy Characteristics'!E:E,MATCH($C1000,'Policy Characteristics'!$C:$C,0))),"",INDEX('Policy Characteristics'!E:E,MATCH($C1000,'Policy Characteristics'!$C:$C,0)))</f>
        <v>indst N2O abatement</v>
      </c>
      <c r="L1000" s="398">
        <f>IF(ISBLANK(INDEX('Policy Characteristics'!F:F,MATCH($C1000,'Policy Characteristics'!$C:$C,0))),"",INDEX('Policy Characteristics'!F:F,MATCH($C1000,'Policy Characteristics'!$C:$C,0)))</f>
        <v>0</v>
      </c>
      <c r="M1000" s="398">
        <f>IF(ISBLANK(INDEX('Policy Characteristics'!G:G,MATCH($C1000,'Policy Characteristics'!$C:$C,0))),"",INDEX('Policy Characteristics'!G:G,MATCH($C1000,'Policy Characteristics'!$C:$C,0)))</f>
        <v>1</v>
      </c>
      <c r="N1000" s="398">
        <f>IF(ISBLANK(INDEX('Policy Characteristics'!H:H,MATCH($C1000,'Policy Characteristics'!$C:$C,0))),"",INDEX('Policy Characteristics'!H:H,MATCH($C1000,'Policy Characteristics'!$C:$C,0)))</f>
        <v>0.01</v>
      </c>
      <c r="O1000" s="394" t="str">
        <f>IF(ISBLANK(INDEX('Policy Characteristics'!I:I,MATCH($C1000,'Policy Characteristics'!$C:$C,0))),"",INDEX('Policy Characteristics'!I:I,MATCH($C1000,'Policy Characteristics'!$C:$C,0)))</f>
        <v>% of potential achieved</v>
      </c>
      <c r="P1000" s="394" t="str">
        <f>IF(ISBLANK(INDEX('Policy Characteristics'!J:J,MATCH($C1000,'Policy Characteristics'!$C:$C,0))),"",INDEX('Policy Characteristics'!J:J,MATCH($C1000,'Policy Characteristics'!$C:$C,0)))</f>
        <v>**Description:** This policy reduces nitrous oxide (N2O) process emissions from the chemicals industry (primarily from the production of nitric acid and adipic acid) by destroying the N2O rather than venting it to the atmosphere.</v>
      </c>
      <c r="Q1000" s="394" t="str">
        <f>IF(ISBLANK(INDEX('Policy Characteristics'!K:K,MATCH($C1000,'Policy Characteristics'!$C:$C,0))),"",INDEX('Policy Characteristics'!K:K,MATCH($C1000,'Policy Characteristics'!$C:$C,0)))</f>
        <v/>
      </c>
      <c r="R1000" s="394" t="str">
        <f>IF(ISBLANK(INDEX('Policy Characteristics'!L:L,MATCH($C1000,'Policy Characteristics'!$C:$C,0))),"",INDEX('Policy Characteristics'!L:L,MATCH($C1000,'Policy Characteristics'!$C:$C,0)))</f>
        <v/>
      </c>
    </row>
    <row r="1001" customHeight="1" spans="1:18">
      <c r="A1001" s="394" t="str">
        <f>IF(ISBLANK(INDEX('Policy Characteristics'!A:A,MATCH($C1001,'Policy Characteristics'!$C:$C,0))),"",INDEX('Policy Characteristics'!A:A,MATCH($C1001,'Policy Characteristics'!$C:$C,0)))</f>
        <v>Industry</v>
      </c>
      <c r="B1001" s="395" t="str">
        <f>IF(ISBLANK(INDEX('Policy Characteristics'!B:B,MATCH($C1001,'Policy Characteristics'!$C:$C,0))),"",INDEX('Policy Characteristics'!B:B,MATCH($C1001,'Policy Characteristics'!$C:$C,0)))</f>
        <v>Reduce Fossil Fuel Exports</v>
      </c>
      <c r="C1001" t="s">
        <v>429</v>
      </c>
      <c r="D1001" s="399" t="s">
        <v>823</v>
      </c>
      <c r="E1001" s="399"/>
      <c r="F1001" s="399" t="s">
        <v>702</v>
      </c>
      <c r="G1001" s="399"/>
      <c r="H1001" s="377">
        <v>451</v>
      </c>
      <c r="I1001" s="396" t="s">
        <v>648</v>
      </c>
      <c r="J1001" s="397" t="str">
        <f>IF(ISBLANK(INDEX('Policy Characteristics'!D:D,MATCH($C1001,'Policy Characteristics'!$C:$C,0))),"",INDEX('Policy Characteristics'!D:D,MATCH($C1001,'Policy Characteristics'!$C:$C,0)))</f>
        <v>Percent Reduction in Fossil Fuel Exports</v>
      </c>
      <c r="K1001" s="394" t="str">
        <f>IF(ISBLANK(INDEX('Policy Characteristics'!E:E,MATCH($C1001,'Policy Characteristics'!$C:$C,0))),"",INDEX('Policy Characteristics'!E:E,MATCH($C1001,'Policy Characteristics'!$C:$C,0)))</f>
        <v>indst reduce fossil fuel exports</v>
      </c>
      <c r="L1001" s="398">
        <f>IF(ISBLANK(INDEX('Policy Characteristics'!F:F,MATCH($C1001,'Policy Characteristics'!$C:$C,0))),"",INDEX('Policy Characteristics'!F:F,MATCH($C1001,'Policy Characteristics'!$C:$C,0)))</f>
        <v>0</v>
      </c>
      <c r="M1001" s="398">
        <f>IF(ISBLANK(INDEX('Policy Characteristics'!G:G,MATCH($C1001,'Policy Characteristics'!$C:$C,0))),"",INDEX('Policy Characteristics'!G:G,MATCH($C1001,'Policy Characteristics'!$C:$C,0)))</f>
        <v>1</v>
      </c>
      <c r="N1001" s="398">
        <f>IF(ISBLANK(INDEX('Policy Characteristics'!H:H,MATCH($C1001,'Policy Characteristics'!$C:$C,0))),"",INDEX('Policy Characteristics'!H:H,MATCH($C1001,'Policy Characteristics'!$C:$C,0)))</f>
        <v>0.01</v>
      </c>
      <c r="O1001" s="394" t="str">
        <f>IF(ISBLANK(INDEX('Policy Characteristics'!I:I,MATCH($C1001,'Policy Characteristics'!$C:$C,0))),"",INDEX('Policy Characteristics'!I:I,MATCH($C1001,'Policy Characteristics'!$C:$C,0)))</f>
        <v>% reduction in exports</v>
      </c>
      <c r="P1001" s="394" t="str">
        <f>IF(ISBLANK(INDEX('Policy Characteristics'!J:J,MATCH($C1001,'Policy Characteristics'!$C:$C,0))),"",INDEX('Policy Characteristics'!J:J,MATCH($C1001,'Policy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1" s="394" t="str">
        <f>IF(ISBLANK(INDEX('Policy Characteristics'!K:K,MATCH($C1001,'Policy Characteristics'!$C:$C,0))),"",INDEX('Policy Characteristics'!K:K,MATCH($C1001,'Policy Characteristics'!$C:$C,0)))</f>
        <v/>
      </c>
      <c r="R1001" s="394" t="str">
        <f>IF(ISBLANK(INDEX('Policy Characteristics'!L:L,MATCH($C1001,'Policy Characteristics'!$C:$C,0))),"",INDEX('Policy Characteristics'!L:L,MATCH($C1001,'Policy Characteristics'!$C:$C,0)))</f>
        <v>reduce-fuel-exports.html</v>
      </c>
    </row>
    <row r="1002" customHeight="1" spans="1:18">
      <c r="A1002" s="394" t="str">
        <f>IF(ISBLANK(INDEX('Policy Characteristics'!A:A,MATCH($C1002,'Policy Characteristics'!$C:$C,0))),"",INDEX('Policy Characteristics'!A:A,MATCH($C1002,'Policy Characteristics'!$C:$C,0)))</f>
        <v>Industry</v>
      </c>
      <c r="B1002" s="395" t="str">
        <f>IF(ISBLANK(INDEX('Policy Characteristics'!B:B,MATCH($C1002,'Policy Characteristics'!$C:$C,0))),"",INDEX('Policy Characteristics'!B:B,MATCH($C1002,'Policy Characteristics'!$C:$C,0)))</f>
        <v>Reduce Fossil Fuel Exports</v>
      </c>
      <c r="C1002" s="394" t="str">
        <f t="shared" ref="C1002:C1009" si="45">C$1001</f>
        <v>Percent Reduction in Fossil Fuel Exports</v>
      </c>
      <c r="D1002" s="399" t="s">
        <v>824</v>
      </c>
      <c r="E1002" s="399"/>
      <c r="F1002" s="399" t="s">
        <v>825</v>
      </c>
      <c r="G1002" s="399"/>
      <c r="H1002" s="377">
        <v>452</v>
      </c>
      <c r="I1002" s="396" t="s">
        <v>648</v>
      </c>
      <c r="J1002" s="397" t="str">
        <f>IF(ISBLANK(INDEX('Policy Characteristics'!D:D,MATCH($C1002,'Policy Characteristics'!$C:$C,0))),"",INDEX('Policy Characteristics'!D:D,MATCH($C1002,'Policy Characteristics'!$C:$C,0)))</f>
        <v>Percent Reduction in Fossil Fuel Exports</v>
      </c>
      <c r="K1002" s="394" t="str">
        <f>IF(ISBLANK(INDEX('Policy Characteristics'!E:E,MATCH($C1002,'Policy Characteristics'!$C:$C,0))),"",INDEX('Policy Characteristics'!E:E,MATCH($C1002,'Policy Characteristics'!$C:$C,0)))</f>
        <v>indst reduce fossil fuel exports</v>
      </c>
      <c r="L1002" s="398">
        <f>IF(ISBLANK(INDEX('Policy Characteristics'!F:F,MATCH($C1002,'Policy Characteristics'!$C:$C,0))),"",INDEX('Policy Characteristics'!F:F,MATCH($C1002,'Policy Characteristics'!$C:$C,0)))</f>
        <v>0</v>
      </c>
      <c r="M1002" s="398">
        <f>IF(ISBLANK(INDEX('Policy Characteristics'!G:G,MATCH($C1002,'Policy Characteristics'!$C:$C,0))),"",INDEX('Policy Characteristics'!G:G,MATCH($C1002,'Policy Characteristics'!$C:$C,0)))</f>
        <v>1</v>
      </c>
      <c r="N1002" s="398">
        <f>IF(ISBLANK(INDEX('Policy Characteristics'!H:H,MATCH($C1002,'Policy Characteristics'!$C:$C,0))),"",INDEX('Policy Characteristics'!H:H,MATCH($C1002,'Policy Characteristics'!$C:$C,0)))</f>
        <v>0.01</v>
      </c>
      <c r="O1002" s="394" t="str">
        <f>IF(ISBLANK(INDEX('Policy Characteristics'!I:I,MATCH($C1002,'Policy Characteristics'!$C:$C,0))),"",INDEX('Policy Characteristics'!I:I,MATCH($C1002,'Policy Characteristics'!$C:$C,0)))</f>
        <v>% reduction in exports</v>
      </c>
      <c r="P1002" s="394" t="str">
        <f>IF(ISBLANK(INDEX('Policy Characteristics'!J:J,MATCH($C1002,'Policy Characteristics'!$C:$C,0))),"",INDEX('Policy Characteristics'!J:J,MATCH($C1002,'Policy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2" s="394" t="str">
        <f>IF(ISBLANK(INDEX('Policy Characteristics'!K:K,MATCH($C1002,'Policy Characteristics'!$C:$C,0))),"",INDEX('Policy Characteristics'!K:K,MATCH($C1002,'Policy Characteristics'!$C:$C,0)))</f>
        <v/>
      </c>
      <c r="R1002" s="394" t="str">
        <f>IF(ISBLANK(INDEX('Policy Characteristics'!L:L,MATCH($C1002,'Policy Characteristics'!$C:$C,0))),"",INDEX('Policy Characteristics'!L:L,MATCH($C1002,'Policy Characteristics'!$C:$C,0)))</f>
        <v>reduce-fuel-exports.html</v>
      </c>
    </row>
    <row r="1003" customHeight="1" spans="1:18">
      <c r="A1003" s="394" t="str">
        <f>IF(ISBLANK(INDEX('Policy Characteristics'!A:A,MATCH($C1003,'Policy Characteristics'!$C:$C,0))),"",INDEX('Policy Characteristics'!A:A,MATCH($C1003,'Policy Characteristics'!$C:$C,0)))</f>
        <v>Industry</v>
      </c>
      <c r="B1003" s="395" t="str">
        <f>IF(ISBLANK(INDEX('Policy Characteristics'!B:B,MATCH($C1003,'Policy Characteristics'!$C:$C,0))),"",INDEX('Policy Characteristics'!B:B,MATCH($C1003,'Policy Characteristics'!$C:$C,0)))</f>
        <v>Reduce Fossil Fuel Exports</v>
      </c>
      <c r="C1003" s="394" t="str">
        <f t="shared" si="45"/>
        <v>Percent Reduction in Fossil Fuel Exports</v>
      </c>
      <c r="D1003" s="399" t="s">
        <v>826</v>
      </c>
      <c r="E1003" s="399"/>
      <c r="F1003" s="399" t="s">
        <v>827</v>
      </c>
      <c r="G1003" s="399"/>
      <c r="H1003" s="377">
        <v>453</v>
      </c>
      <c r="I1003" s="396" t="s">
        <v>648</v>
      </c>
      <c r="J1003" s="397" t="str">
        <f>IF(ISBLANK(INDEX('Policy Characteristics'!D:D,MATCH($C1003,'Policy Characteristics'!$C:$C,0))),"",INDEX('Policy Characteristics'!D:D,MATCH($C1003,'Policy Characteristics'!$C:$C,0)))</f>
        <v>Percent Reduction in Fossil Fuel Exports</v>
      </c>
      <c r="K1003" s="394" t="str">
        <f>IF(ISBLANK(INDEX('Policy Characteristics'!E:E,MATCH($C1003,'Policy Characteristics'!$C:$C,0))),"",INDEX('Policy Characteristics'!E:E,MATCH($C1003,'Policy Characteristics'!$C:$C,0)))</f>
        <v>indst reduce fossil fuel exports</v>
      </c>
      <c r="L1003" s="398">
        <f>IF(ISBLANK(INDEX('Policy Characteristics'!F:F,MATCH($C1003,'Policy Characteristics'!$C:$C,0))),"",INDEX('Policy Characteristics'!F:F,MATCH($C1003,'Policy Characteristics'!$C:$C,0)))</f>
        <v>0</v>
      </c>
      <c r="M1003" s="398">
        <f>IF(ISBLANK(INDEX('Policy Characteristics'!G:G,MATCH($C1003,'Policy Characteristics'!$C:$C,0))),"",INDEX('Policy Characteristics'!G:G,MATCH($C1003,'Policy Characteristics'!$C:$C,0)))</f>
        <v>1</v>
      </c>
      <c r="N1003" s="398">
        <f>IF(ISBLANK(INDEX('Policy Characteristics'!H:H,MATCH($C1003,'Policy Characteristics'!$C:$C,0))),"",INDEX('Policy Characteristics'!H:H,MATCH($C1003,'Policy Characteristics'!$C:$C,0)))</f>
        <v>0.01</v>
      </c>
      <c r="O1003" s="394" t="str">
        <f>IF(ISBLANK(INDEX('Policy Characteristics'!I:I,MATCH($C1003,'Policy Characteristics'!$C:$C,0))),"",INDEX('Policy Characteristics'!I:I,MATCH($C1003,'Policy Characteristics'!$C:$C,0)))</f>
        <v>% reduction in exports</v>
      </c>
      <c r="P1003" s="394" t="str">
        <f>IF(ISBLANK(INDEX('Policy Characteristics'!J:J,MATCH($C1003,'Policy Characteristics'!$C:$C,0))),"",INDEX('Policy Characteristics'!J:J,MATCH($C1003,'Policy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3" s="394" t="str">
        <f>IF(ISBLANK(INDEX('Policy Characteristics'!K:K,MATCH($C1003,'Policy Characteristics'!$C:$C,0))),"",INDEX('Policy Characteristics'!K:K,MATCH($C1003,'Policy Characteristics'!$C:$C,0)))</f>
        <v/>
      </c>
      <c r="R1003" s="394" t="str">
        <f>IF(ISBLANK(INDEX('Policy Characteristics'!L:L,MATCH($C1003,'Policy Characteristics'!$C:$C,0))),"",INDEX('Policy Characteristics'!L:L,MATCH($C1003,'Policy Characteristics'!$C:$C,0)))</f>
        <v>reduce-fuel-exports.html</v>
      </c>
    </row>
    <row r="1004" customHeight="1" spans="1:18">
      <c r="A1004" s="394" t="str">
        <f>IF(ISBLANK(INDEX('Policy Characteristics'!A:A,MATCH($C1004,'Policy Characteristics'!$C:$C,0))),"",INDEX('Policy Characteristics'!A:A,MATCH($C1004,'Policy Characteristics'!$C:$C,0)))</f>
        <v>Industry</v>
      </c>
      <c r="B1004" s="395" t="str">
        <f>IF(ISBLANK(INDEX('Policy Characteristics'!B:B,MATCH($C1004,'Policy Characteristics'!$C:$C,0))),"",INDEX('Policy Characteristics'!B:B,MATCH($C1004,'Policy Characteristics'!$C:$C,0)))</f>
        <v>Reduce Fossil Fuel Exports</v>
      </c>
      <c r="C1004" s="394" t="str">
        <f t="shared" si="45"/>
        <v>Percent Reduction in Fossil Fuel Exports</v>
      </c>
      <c r="D1004" s="399" t="s">
        <v>828</v>
      </c>
      <c r="E1004" s="399"/>
      <c r="F1004" s="399" t="s">
        <v>829</v>
      </c>
      <c r="G1004" s="399"/>
      <c r="H1004" s="377">
        <v>454</v>
      </c>
      <c r="I1004" s="396" t="s">
        <v>648</v>
      </c>
      <c r="J1004" s="397" t="str">
        <f>IF(ISBLANK(INDEX('Policy Characteristics'!D:D,MATCH($C1004,'Policy Characteristics'!$C:$C,0))),"",INDEX('Policy Characteristics'!D:D,MATCH($C1004,'Policy Characteristics'!$C:$C,0)))</f>
        <v>Percent Reduction in Fossil Fuel Exports</v>
      </c>
      <c r="K1004" s="394" t="str">
        <f>IF(ISBLANK(INDEX('Policy Characteristics'!E:E,MATCH($C1004,'Policy Characteristics'!$C:$C,0))),"",INDEX('Policy Characteristics'!E:E,MATCH($C1004,'Policy Characteristics'!$C:$C,0)))</f>
        <v>indst reduce fossil fuel exports</v>
      </c>
      <c r="L1004" s="398">
        <f>IF(ISBLANK(INDEX('Policy Characteristics'!F:F,MATCH($C1004,'Policy Characteristics'!$C:$C,0))),"",INDEX('Policy Characteristics'!F:F,MATCH($C1004,'Policy Characteristics'!$C:$C,0)))</f>
        <v>0</v>
      </c>
      <c r="M1004" s="398">
        <f>IF(ISBLANK(INDEX('Policy Characteristics'!G:G,MATCH($C1004,'Policy Characteristics'!$C:$C,0))),"",INDEX('Policy Characteristics'!G:G,MATCH($C1004,'Policy Characteristics'!$C:$C,0)))</f>
        <v>1</v>
      </c>
      <c r="N1004" s="398">
        <f>IF(ISBLANK(INDEX('Policy Characteristics'!H:H,MATCH($C1004,'Policy Characteristics'!$C:$C,0))),"",INDEX('Policy Characteristics'!H:H,MATCH($C1004,'Policy Characteristics'!$C:$C,0)))</f>
        <v>0.01</v>
      </c>
      <c r="O1004" s="394" t="str">
        <f>IF(ISBLANK(INDEX('Policy Characteristics'!I:I,MATCH($C1004,'Policy Characteristics'!$C:$C,0))),"",INDEX('Policy Characteristics'!I:I,MATCH($C1004,'Policy Characteristics'!$C:$C,0)))</f>
        <v>% reduction in exports</v>
      </c>
      <c r="P1004" s="394" t="str">
        <f>IF(ISBLANK(INDEX('Policy Characteristics'!J:J,MATCH($C1004,'Policy Characteristics'!$C:$C,0))),"",INDEX('Policy Characteristics'!J:J,MATCH($C1004,'Policy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4" s="394" t="str">
        <f>IF(ISBLANK(INDEX('Policy Characteristics'!K:K,MATCH($C1004,'Policy Characteristics'!$C:$C,0))),"",INDEX('Policy Characteristics'!K:K,MATCH($C1004,'Policy Characteristics'!$C:$C,0)))</f>
        <v/>
      </c>
      <c r="R1004" s="394" t="str">
        <f>IF(ISBLANK(INDEX('Policy Characteristics'!L:L,MATCH($C1004,'Policy Characteristics'!$C:$C,0))),"",INDEX('Policy Characteristics'!L:L,MATCH($C1004,'Policy Characteristics'!$C:$C,0)))</f>
        <v>reduce-fuel-exports.html</v>
      </c>
    </row>
    <row r="1005" customHeight="1" spans="1:18">
      <c r="A1005" s="394" t="str">
        <f>IF(ISBLANK(INDEX('Policy Characteristics'!A:A,MATCH($C1005,'Policy Characteristics'!$C:$C,0))),"",INDEX('Policy Characteristics'!A:A,MATCH($C1005,'Policy Characteristics'!$C:$C,0)))</f>
        <v>Industry</v>
      </c>
      <c r="B1005" s="395" t="str">
        <f>IF(ISBLANK(INDEX('Policy Characteristics'!B:B,MATCH($C1005,'Policy Characteristics'!$C:$C,0))),"",INDEX('Policy Characteristics'!B:B,MATCH($C1005,'Policy Characteristics'!$C:$C,0)))</f>
        <v>Reduce Fossil Fuel Exports</v>
      </c>
      <c r="C1005" s="394" t="str">
        <f t="shared" si="45"/>
        <v>Percent Reduction in Fossil Fuel Exports</v>
      </c>
      <c r="D1005" s="399" t="s">
        <v>830</v>
      </c>
      <c r="E1005" s="399"/>
      <c r="F1005" s="399" t="s">
        <v>831</v>
      </c>
      <c r="G1005" s="399"/>
      <c r="H1005" s="377">
        <v>455</v>
      </c>
      <c r="I1005" s="396" t="s">
        <v>648</v>
      </c>
      <c r="J1005" s="397" t="str">
        <f>IF(ISBLANK(INDEX('Policy Characteristics'!D:D,MATCH($C1005,'Policy Characteristics'!$C:$C,0))),"",INDEX('Policy Characteristics'!D:D,MATCH($C1005,'Policy Characteristics'!$C:$C,0)))</f>
        <v>Percent Reduction in Fossil Fuel Exports</v>
      </c>
      <c r="K1005" s="394" t="str">
        <f>IF(ISBLANK(INDEX('Policy Characteristics'!E:E,MATCH($C1005,'Policy Characteristics'!$C:$C,0))),"",INDEX('Policy Characteristics'!E:E,MATCH($C1005,'Policy Characteristics'!$C:$C,0)))</f>
        <v>indst reduce fossil fuel exports</v>
      </c>
      <c r="L1005" s="398">
        <f>IF(ISBLANK(INDEX('Policy Characteristics'!F:F,MATCH($C1005,'Policy Characteristics'!$C:$C,0))),"",INDEX('Policy Characteristics'!F:F,MATCH($C1005,'Policy Characteristics'!$C:$C,0)))</f>
        <v>0</v>
      </c>
      <c r="M1005" s="398">
        <f>IF(ISBLANK(INDEX('Policy Characteristics'!G:G,MATCH($C1005,'Policy Characteristics'!$C:$C,0))),"",INDEX('Policy Characteristics'!G:G,MATCH($C1005,'Policy Characteristics'!$C:$C,0)))</f>
        <v>1</v>
      </c>
      <c r="N1005" s="398">
        <f>IF(ISBLANK(INDEX('Policy Characteristics'!H:H,MATCH($C1005,'Policy Characteristics'!$C:$C,0))),"",INDEX('Policy Characteristics'!H:H,MATCH($C1005,'Policy Characteristics'!$C:$C,0)))</f>
        <v>0.01</v>
      </c>
      <c r="O1005" s="394" t="str">
        <f>IF(ISBLANK(INDEX('Policy Characteristics'!I:I,MATCH($C1005,'Policy Characteristics'!$C:$C,0))),"",INDEX('Policy Characteristics'!I:I,MATCH($C1005,'Policy Characteristics'!$C:$C,0)))</f>
        <v>% reduction in exports</v>
      </c>
      <c r="P1005" s="394" t="str">
        <f>IF(ISBLANK(INDEX('Policy Characteristics'!J:J,MATCH($C1005,'Policy Characteristics'!$C:$C,0))),"",INDEX('Policy Characteristics'!J:J,MATCH($C1005,'Policy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5" s="394" t="str">
        <f>IF(ISBLANK(INDEX('Policy Characteristics'!K:K,MATCH($C1005,'Policy Characteristics'!$C:$C,0))),"",INDEX('Policy Characteristics'!K:K,MATCH($C1005,'Policy Characteristics'!$C:$C,0)))</f>
        <v/>
      </c>
      <c r="R1005" s="394" t="str">
        <f>IF(ISBLANK(INDEX('Policy Characteristics'!L:L,MATCH($C1005,'Policy Characteristics'!$C:$C,0))),"",INDEX('Policy Characteristics'!L:L,MATCH($C1005,'Policy Characteristics'!$C:$C,0)))</f>
        <v>reduce-fuel-exports.html</v>
      </c>
    </row>
    <row r="1006" customHeight="1" spans="1:18">
      <c r="A1006" s="394" t="str">
        <f>IF(ISBLANK(INDEX('Policy Characteristics'!A:A,MATCH($C1006,'Policy Characteristics'!$C:$C,0))),"",INDEX('Policy Characteristics'!A:A,MATCH($C1006,'Policy Characteristics'!$C:$C,0)))</f>
        <v>Industry</v>
      </c>
      <c r="B1006" s="395" t="str">
        <f>IF(ISBLANK(INDEX('Policy Characteristics'!B:B,MATCH($C1006,'Policy Characteristics'!$C:$C,0))),"",INDEX('Policy Characteristics'!B:B,MATCH($C1006,'Policy Characteristics'!$C:$C,0)))</f>
        <v>Reduce Fossil Fuel Exports</v>
      </c>
      <c r="C1006" s="394" t="str">
        <f t="shared" si="45"/>
        <v>Percent Reduction in Fossil Fuel Exports</v>
      </c>
      <c r="D1006" s="399" t="s">
        <v>832</v>
      </c>
      <c r="E1006" s="399"/>
      <c r="F1006" s="400" t="s">
        <v>724</v>
      </c>
      <c r="G1006" s="399"/>
      <c r="H1006" s="377">
        <v>456</v>
      </c>
      <c r="I1006" s="396" t="s">
        <v>658</v>
      </c>
      <c r="J1006" s="397" t="str">
        <f>IF(ISBLANK(INDEX('Policy Characteristics'!D:D,MATCH($C1006,'Policy Characteristics'!$C:$C,0))),"",INDEX('Policy Characteristics'!D:D,MATCH($C1006,'Policy Characteristics'!$C:$C,0)))</f>
        <v>Percent Reduction in Fossil Fuel Exports</v>
      </c>
      <c r="K1006" s="394" t="str">
        <f>IF(ISBLANK(INDEX('Policy Characteristics'!E:E,MATCH($C1006,'Policy Characteristics'!$C:$C,0))),"",INDEX('Policy Characteristics'!E:E,MATCH($C1006,'Policy Characteristics'!$C:$C,0)))</f>
        <v>indst reduce fossil fuel exports</v>
      </c>
      <c r="L1006" s="398">
        <f>IF(ISBLANK(INDEX('Policy Characteristics'!F:F,MATCH($C1006,'Policy Characteristics'!$C:$C,0))),"",INDEX('Policy Characteristics'!F:F,MATCH($C1006,'Policy Characteristics'!$C:$C,0)))</f>
        <v>0</v>
      </c>
      <c r="M1006" s="398">
        <f>IF(ISBLANK(INDEX('Policy Characteristics'!G:G,MATCH($C1006,'Policy Characteristics'!$C:$C,0))),"",INDEX('Policy Characteristics'!G:G,MATCH($C1006,'Policy Characteristics'!$C:$C,0)))</f>
        <v>1</v>
      </c>
      <c r="N1006" s="398">
        <f>IF(ISBLANK(INDEX('Policy Characteristics'!H:H,MATCH($C1006,'Policy Characteristics'!$C:$C,0))),"",INDEX('Policy Characteristics'!H:H,MATCH($C1006,'Policy Characteristics'!$C:$C,0)))</f>
        <v>0.01</v>
      </c>
      <c r="O1006" s="394" t="str">
        <f>IF(ISBLANK(INDEX('Policy Characteristics'!I:I,MATCH($C1006,'Policy Characteristics'!$C:$C,0))),"",INDEX('Policy Characteristics'!I:I,MATCH($C1006,'Policy Characteristics'!$C:$C,0)))</f>
        <v>% reduction in exports</v>
      </c>
      <c r="P1006" s="394" t="str">
        <f>IF(ISBLANK(INDEX('Policy Characteristics'!J:J,MATCH($C1006,'Policy Characteristics'!$C:$C,0))),"",INDEX('Policy Characteristics'!J:J,MATCH($C1006,'Policy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6" s="394" t="str">
        <f>IF(ISBLANK(INDEX('Policy Characteristics'!K:K,MATCH($C1006,'Policy Characteristics'!$C:$C,0))),"",INDEX('Policy Characteristics'!K:K,MATCH($C1006,'Policy Characteristics'!$C:$C,0)))</f>
        <v/>
      </c>
      <c r="R1006" s="394" t="str">
        <f>IF(ISBLANK(INDEX('Policy Characteristics'!L:L,MATCH($C1006,'Policy Characteristics'!$C:$C,0))),"",INDEX('Policy Characteristics'!L:L,MATCH($C1006,'Policy Characteristics'!$C:$C,0)))</f>
        <v>reduce-fuel-exports.html</v>
      </c>
    </row>
    <row r="1007" customHeight="1" spans="1:18">
      <c r="A1007" s="394" t="str">
        <f>IF(ISBLANK(INDEX('Policy Characteristics'!A:A,MATCH($C1007,'Policy Characteristics'!$C:$C,0))),"",INDEX('Policy Characteristics'!A:A,MATCH($C1007,'Policy Characteristics'!$C:$C,0)))</f>
        <v>Industry</v>
      </c>
      <c r="B1007" s="395" t="str">
        <f>IF(ISBLANK(INDEX('Policy Characteristics'!B:B,MATCH($C1007,'Policy Characteristics'!$C:$C,0))),"",INDEX('Policy Characteristics'!B:B,MATCH($C1007,'Policy Characteristics'!$C:$C,0)))</f>
        <v>Reduce Fossil Fuel Exports</v>
      </c>
      <c r="C1007" s="394" t="str">
        <f t="shared" si="45"/>
        <v>Percent Reduction in Fossil Fuel Exports</v>
      </c>
      <c r="D1007" s="399" t="s">
        <v>833</v>
      </c>
      <c r="E1007" s="399"/>
      <c r="F1007" s="399" t="s">
        <v>728</v>
      </c>
      <c r="G1007" s="399"/>
      <c r="H1007" s="377">
        <v>457</v>
      </c>
      <c r="I1007" s="396" t="s">
        <v>648</v>
      </c>
      <c r="J1007" s="397" t="str">
        <f>IF(ISBLANK(INDEX('Policy Characteristics'!D:D,MATCH($C1007,'Policy Characteristics'!$C:$C,0))),"",INDEX('Policy Characteristics'!D:D,MATCH($C1007,'Policy Characteristics'!$C:$C,0)))</f>
        <v>Percent Reduction in Fossil Fuel Exports</v>
      </c>
      <c r="K1007" s="394" t="str">
        <f>IF(ISBLANK(INDEX('Policy Characteristics'!E:E,MATCH($C1007,'Policy Characteristics'!$C:$C,0))),"",INDEX('Policy Characteristics'!E:E,MATCH($C1007,'Policy Characteristics'!$C:$C,0)))</f>
        <v>indst reduce fossil fuel exports</v>
      </c>
      <c r="L1007" s="398">
        <f>IF(ISBLANK(INDEX('Policy Characteristics'!F:F,MATCH($C1007,'Policy Characteristics'!$C:$C,0))),"",INDEX('Policy Characteristics'!F:F,MATCH($C1007,'Policy Characteristics'!$C:$C,0)))</f>
        <v>0</v>
      </c>
      <c r="M1007" s="398">
        <f>IF(ISBLANK(INDEX('Policy Characteristics'!G:G,MATCH($C1007,'Policy Characteristics'!$C:$C,0))),"",INDEX('Policy Characteristics'!G:G,MATCH($C1007,'Policy Characteristics'!$C:$C,0)))</f>
        <v>1</v>
      </c>
      <c r="N1007" s="398">
        <f>IF(ISBLANK(INDEX('Policy Characteristics'!H:H,MATCH($C1007,'Policy Characteristics'!$C:$C,0))),"",INDEX('Policy Characteristics'!H:H,MATCH($C1007,'Policy Characteristics'!$C:$C,0)))</f>
        <v>0.01</v>
      </c>
      <c r="O1007" s="394" t="str">
        <f>IF(ISBLANK(INDEX('Policy Characteristics'!I:I,MATCH($C1007,'Policy Characteristics'!$C:$C,0))),"",INDEX('Policy Characteristics'!I:I,MATCH($C1007,'Policy Characteristics'!$C:$C,0)))</f>
        <v>% reduction in exports</v>
      </c>
      <c r="P1007" s="394" t="str">
        <f>IF(ISBLANK(INDEX('Policy Characteristics'!J:J,MATCH($C1007,'Policy Characteristics'!$C:$C,0))),"",INDEX('Policy Characteristics'!J:J,MATCH($C1007,'Policy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7" s="394" t="str">
        <f>IF(ISBLANK(INDEX('Policy Characteristics'!K:K,MATCH($C1007,'Policy Characteristics'!$C:$C,0))),"",INDEX('Policy Characteristics'!K:K,MATCH($C1007,'Policy Characteristics'!$C:$C,0)))</f>
        <v/>
      </c>
      <c r="R1007" s="394" t="str">
        <f>IF(ISBLANK(INDEX('Policy Characteristics'!L:L,MATCH($C1007,'Policy Characteristics'!$C:$C,0))),"",INDEX('Policy Characteristics'!L:L,MATCH($C1007,'Policy Characteristics'!$C:$C,0)))</f>
        <v>reduce-fuel-exports.html</v>
      </c>
    </row>
    <row r="1008" customHeight="1" spans="1:18">
      <c r="A1008" s="394" t="str">
        <f>IF(ISBLANK(INDEX('Policy Characteristics'!A:A,MATCH($C1008,'Policy Characteristics'!$C:$C,0))),"",INDEX('Policy Characteristics'!A:A,MATCH($C1008,'Policy Characteristics'!$C:$C,0)))</f>
        <v>Industry</v>
      </c>
      <c r="B1008" s="395" t="str">
        <f>IF(ISBLANK(INDEX('Policy Characteristics'!B:B,MATCH($C1008,'Policy Characteristics'!$C:$C,0))),"",INDEX('Policy Characteristics'!B:B,MATCH($C1008,'Policy Characteristics'!$C:$C,0)))</f>
        <v>Reduce Fossil Fuel Exports</v>
      </c>
      <c r="C1008" s="394" t="str">
        <f t="shared" si="45"/>
        <v>Percent Reduction in Fossil Fuel Exports</v>
      </c>
      <c r="D1008" s="399" t="s">
        <v>834</v>
      </c>
      <c r="E1008" s="399"/>
      <c r="F1008" s="399" t="s">
        <v>835</v>
      </c>
      <c r="G1008" s="399"/>
      <c r="H1008" s="377">
        <v>458</v>
      </c>
      <c r="I1008" s="396" t="s">
        <v>648</v>
      </c>
      <c r="J1008" s="397" t="str">
        <f>IF(ISBLANK(INDEX('Policy Characteristics'!D:D,MATCH($C1008,'Policy Characteristics'!$C:$C,0))),"",INDEX('Policy Characteristics'!D:D,MATCH($C1008,'Policy Characteristics'!$C:$C,0)))</f>
        <v>Percent Reduction in Fossil Fuel Exports</v>
      </c>
      <c r="K1008" s="394" t="str">
        <f>IF(ISBLANK(INDEX('Policy Characteristics'!E:E,MATCH($C1008,'Policy Characteristics'!$C:$C,0))),"",INDEX('Policy Characteristics'!E:E,MATCH($C1008,'Policy Characteristics'!$C:$C,0)))</f>
        <v>indst reduce fossil fuel exports</v>
      </c>
      <c r="L1008" s="398">
        <f>IF(ISBLANK(INDEX('Policy Characteristics'!F:F,MATCH($C1008,'Policy Characteristics'!$C:$C,0))),"",INDEX('Policy Characteristics'!F:F,MATCH($C1008,'Policy Characteristics'!$C:$C,0)))</f>
        <v>0</v>
      </c>
      <c r="M1008" s="398">
        <f>IF(ISBLANK(INDEX('Policy Characteristics'!G:G,MATCH($C1008,'Policy Characteristics'!$C:$C,0))),"",INDEX('Policy Characteristics'!G:G,MATCH($C1008,'Policy Characteristics'!$C:$C,0)))</f>
        <v>1</v>
      </c>
      <c r="N1008" s="398">
        <f>IF(ISBLANK(INDEX('Policy Characteristics'!H:H,MATCH($C1008,'Policy Characteristics'!$C:$C,0))),"",INDEX('Policy Characteristics'!H:H,MATCH($C1008,'Policy Characteristics'!$C:$C,0)))</f>
        <v>0.01</v>
      </c>
      <c r="O1008" s="394" t="str">
        <f>IF(ISBLANK(INDEX('Policy Characteristics'!I:I,MATCH($C1008,'Policy Characteristics'!$C:$C,0))),"",INDEX('Policy Characteristics'!I:I,MATCH($C1008,'Policy Characteristics'!$C:$C,0)))</f>
        <v>% reduction in exports</v>
      </c>
      <c r="P1008" s="394" t="str">
        <f>IF(ISBLANK(INDEX('Policy Characteristics'!J:J,MATCH($C1008,'Policy Characteristics'!$C:$C,0))),"",INDEX('Policy Characteristics'!J:J,MATCH($C1008,'Policy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8" s="394" t="str">
        <f>IF(ISBLANK(INDEX('Policy Characteristics'!K:K,MATCH($C1008,'Policy Characteristics'!$C:$C,0))),"",INDEX('Policy Characteristics'!K:K,MATCH($C1008,'Policy Characteristics'!$C:$C,0)))</f>
        <v/>
      </c>
      <c r="R1008" s="394" t="str">
        <f>IF(ISBLANK(INDEX('Policy Characteristics'!L:L,MATCH($C1008,'Policy Characteristics'!$C:$C,0))),"",INDEX('Policy Characteristics'!L:L,MATCH($C1008,'Policy Characteristics'!$C:$C,0)))</f>
        <v>reduce-fuel-exports.html</v>
      </c>
    </row>
    <row r="1009" customHeight="1" spans="1:18">
      <c r="A1009" s="394" t="str">
        <f>IF(ISBLANK(INDEX('Policy Characteristics'!A:A,MATCH($C1009,'Policy Characteristics'!$C:$C,0))),"",INDEX('Policy Characteristics'!A:A,MATCH($C1009,'Policy Characteristics'!$C:$C,0)))</f>
        <v>Industry</v>
      </c>
      <c r="B1009" s="395" t="str">
        <f>IF(ISBLANK(INDEX('Policy Characteristics'!B:B,MATCH($C1009,'Policy Characteristics'!$C:$C,0))),"",INDEX('Policy Characteristics'!B:B,MATCH($C1009,'Policy Characteristics'!$C:$C,0)))</f>
        <v>Reduce Fossil Fuel Exports</v>
      </c>
      <c r="C1009" s="394" t="str">
        <f t="shared" si="45"/>
        <v>Percent Reduction in Fossil Fuel Exports</v>
      </c>
      <c r="D1009" s="399" t="s">
        <v>836</v>
      </c>
      <c r="E1009" s="399"/>
      <c r="F1009" s="399" t="s">
        <v>837</v>
      </c>
      <c r="G1009" s="399"/>
      <c r="H1009" s="377">
        <v>459</v>
      </c>
      <c r="I1009" s="396" t="s">
        <v>648</v>
      </c>
      <c r="J1009" s="397" t="str">
        <f>IF(ISBLANK(INDEX('Policy Characteristics'!D:D,MATCH($C1009,'Policy Characteristics'!$C:$C,0))),"",INDEX('Policy Characteristics'!D:D,MATCH($C1009,'Policy Characteristics'!$C:$C,0)))</f>
        <v>Percent Reduction in Fossil Fuel Exports</v>
      </c>
      <c r="K1009" s="394" t="str">
        <f>IF(ISBLANK(INDEX('Policy Characteristics'!E:E,MATCH($C1009,'Policy Characteristics'!$C:$C,0))),"",INDEX('Policy Characteristics'!E:E,MATCH($C1009,'Policy Characteristics'!$C:$C,0)))</f>
        <v>indst reduce fossil fuel exports</v>
      </c>
      <c r="L1009" s="398">
        <f>IF(ISBLANK(INDEX('Policy Characteristics'!F:F,MATCH($C1009,'Policy Characteristics'!$C:$C,0))),"",INDEX('Policy Characteristics'!F:F,MATCH($C1009,'Policy Characteristics'!$C:$C,0)))</f>
        <v>0</v>
      </c>
      <c r="M1009" s="398">
        <f>IF(ISBLANK(INDEX('Policy Characteristics'!G:G,MATCH($C1009,'Policy Characteristics'!$C:$C,0))),"",INDEX('Policy Characteristics'!G:G,MATCH($C1009,'Policy Characteristics'!$C:$C,0)))</f>
        <v>1</v>
      </c>
      <c r="N1009" s="398">
        <f>IF(ISBLANK(INDEX('Policy Characteristics'!H:H,MATCH($C1009,'Policy Characteristics'!$C:$C,0))),"",INDEX('Policy Characteristics'!H:H,MATCH($C1009,'Policy Characteristics'!$C:$C,0)))</f>
        <v>0.01</v>
      </c>
      <c r="O1009" s="394" t="str">
        <f>IF(ISBLANK(INDEX('Policy Characteristics'!I:I,MATCH($C1009,'Policy Characteristics'!$C:$C,0))),"",INDEX('Policy Characteristics'!I:I,MATCH($C1009,'Policy Characteristics'!$C:$C,0)))</f>
        <v>% reduction in exports</v>
      </c>
      <c r="P1009" s="394" t="str">
        <f>IF(ISBLANK(INDEX('Policy Characteristics'!J:J,MATCH($C1009,'Policy Characteristics'!$C:$C,0))),"",INDEX('Policy Characteristics'!J:J,MATCH($C1009,'Policy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9" s="394" t="str">
        <f>IF(ISBLANK(INDEX('Policy Characteristics'!K:K,MATCH($C1009,'Policy Characteristics'!$C:$C,0))),"",INDEX('Policy Characteristics'!K:K,MATCH($C1009,'Policy Characteristics'!$C:$C,0)))</f>
        <v/>
      </c>
      <c r="R1009" s="394" t="str">
        <f>IF(ISBLANK(INDEX('Policy Characteristics'!L:L,MATCH($C1009,'Policy Characteristics'!$C:$C,0))),"",INDEX('Policy Characteristics'!L:L,MATCH($C1009,'Policy Characteristics'!$C:$C,0)))</f>
        <v>reduce-fuel-exports.html</v>
      </c>
    </row>
    <row r="1010" customHeight="1" spans="1:18">
      <c r="A1010" s="394" t="str">
        <f>IF(ISBLANK(INDEX('Policy Characteristics'!A:A,MATCH($C1010,'Policy Characteristics'!$C:$C,0))),"",INDEX('Policy Characteristics'!A:A,MATCH($C1010,'Policy Characteristics'!$C:$C,0)))</f>
        <v>Agriculture, Land Use, and Forestry</v>
      </c>
      <c r="B1010" s="395" t="str">
        <f>IF(ISBLANK(INDEX('Policy Characteristics'!B:B,MATCH($C1010,'Policy Characteristics'!$C:$C,0))),"",INDEX('Policy Characteristics'!B:B,MATCH($C1010,'Policy Characteristics'!$C:$C,0)))</f>
        <v>Afforestation and Reforestation</v>
      </c>
      <c r="C1010" t="s">
        <v>436</v>
      </c>
      <c r="D1010" s="399"/>
      <c r="E1010" s="399"/>
      <c r="F1010" s="399"/>
      <c r="G1010" s="399"/>
      <c r="H1010" s="377">
        <v>60</v>
      </c>
      <c r="I1010" s="396" t="s">
        <v>648</v>
      </c>
      <c r="J1010" s="397" t="str">
        <f>IF(ISBLANK(INDEX('Policy Characteristics'!D:D,MATCH($C1010,'Policy Characteristics'!$C:$C,0))),"",INDEX('Policy Characteristics'!D:D,MATCH($C1010,'Policy Characteristics'!$C:$C,0)))</f>
        <v>Afforestation and Reforestation</v>
      </c>
      <c r="K1010" s="394" t="str">
        <f>IF(ISBLANK(INDEX('Policy Characteristics'!E:E,MATCH($C1010,'Policy Characteristics'!$C:$C,0))),"",INDEX('Policy Characteristics'!E:E,MATCH($C1010,'Policy Characteristics'!$C:$C,0)))</f>
        <v>land afforestation and reforestation</v>
      </c>
      <c r="L1010" s="398">
        <f>IF(ISBLANK(INDEX('Policy Characteristics'!F:F,MATCH($C1010,'Policy Characteristics'!$C:$C,0))),"",INDEX('Policy Characteristics'!F:F,MATCH($C1010,'Policy Characteristics'!$C:$C,0)))</f>
        <v>0</v>
      </c>
      <c r="M1010" s="398">
        <f>IF(ISBLANK(INDEX('Policy Characteristics'!G:G,MATCH($C1010,'Policy Characteristics'!$C:$C,0))),"",INDEX('Policy Characteristics'!G:G,MATCH($C1010,'Policy Characteristics'!$C:$C,0)))</f>
        <v>1</v>
      </c>
      <c r="N1010" s="398">
        <f>IF(ISBLANK(INDEX('Policy Characteristics'!H:H,MATCH($C1010,'Policy Characteristics'!$C:$C,0))),"",INDEX('Policy Characteristics'!H:H,MATCH($C1010,'Policy Characteristics'!$C:$C,0)))</f>
        <v>0.01</v>
      </c>
      <c r="O1010" s="394" t="str">
        <f>IF(ISBLANK(INDEX('Policy Characteristics'!I:I,MATCH($C1010,'Policy Characteristics'!$C:$C,0))),"",INDEX('Policy Characteristics'!I:I,MATCH($C1010,'Policy Characteristics'!$C:$C,0)))</f>
        <v>% of potential achieved</v>
      </c>
      <c r="P1010" s="394" t="str">
        <f>IF(ISBLANK(INDEX('Policy Characteristics'!J:J,MATCH($C1010,'Policy Characteristics'!$C:$C,0))),"",INDEX('Policy Characteristics'!J:J,MATCH($C1010,'Policy Characteristics'!$C:$C,0)))</f>
        <v>**Description:** This policy increases the sequestration of CO2 by planting forests.  Planted forests are assumed to be managed with best practices and are not used for timber harvesting. //**Guidance for setting values:**"Inner Mongolia Autonomous Region's 14th Five-Year Plan for Forestry and Grassland Conservation and Development" outlines the main objectives for forestry and grassland conservation and development in Inner Mongolia Autonomous Region during the 14th Five-Year Plan period. The goal is to increase the forest coverage rate from 23% to 23.5% over five years.</v>
      </c>
      <c r="Q1010" s="394" t="str">
        <f>IF(ISBLANK(INDEX('Policy Characteristics'!K:K,MATCH($C1010,'Policy Characteristics'!$C:$C,0))),"",INDEX('Policy Characteristics'!K:K,MATCH($C1010,'Policy Characteristics'!$C:$C,0)))</f>
        <v>lulucf.html#aff-ref</v>
      </c>
      <c r="R1010" s="394" t="str">
        <f>IF(ISBLANK(INDEX('Policy Characteristics'!L:L,MATCH($C1010,'Policy Characteristics'!$C:$C,0))),"",INDEX('Policy Characteristics'!L:L,MATCH($C1010,'Policy Characteristics'!$C:$C,0)))</f>
        <v>afforestation-and-reforestation.html</v>
      </c>
    </row>
    <row r="1011" customHeight="1" spans="1:18">
      <c r="A1011" s="394" t="str">
        <f>IF(ISBLANK(INDEX('Policy Characteristics'!A:A,MATCH($C1011,'Policy Characteristics'!$C:$C,0))),"",INDEX('Policy Characteristics'!A:A,MATCH($C1011,'Policy Characteristics'!$C:$C,0)))</f>
        <v>Agriculture, Land Use, and Forestry</v>
      </c>
      <c r="B1011" s="395" t="str">
        <f>IF(ISBLANK(INDEX('Policy Characteristics'!B:B,MATCH($C1011,'Policy Characteristics'!$C:$C,0))),"",INDEX('Policy Characteristics'!B:B,MATCH($C1011,'Policy Characteristics'!$C:$C,0)))</f>
        <v>Avoid Deforestation</v>
      </c>
      <c r="C1011" t="s">
        <v>443</v>
      </c>
      <c r="D1011" s="399"/>
      <c r="E1011" s="399"/>
      <c r="F1011" s="399"/>
      <c r="G1011" s="399"/>
      <c r="H1011" s="377">
        <v>705</v>
      </c>
      <c r="I1011" s="396" t="s">
        <v>648</v>
      </c>
      <c r="J1011" s="397" t="str">
        <f>IF(ISBLANK(INDEX('Policy Characteristics'!D:D,MATCH($C1011,'Policy Characteristics'!$C:$C,0))),"",INDEX('Policy Characteristics'!D:D,MATCH($C1011,'Policy Characteristics'!$C:$C,0)))</f>
        <v>Avoid Deforestation</v>
      </c>
      <c r="K1011" s="394" t="str">
        <f>IF(ISBLANK(INDEX('Policy Characteristics'!E:E,MATCH($C1011,'Policy Characteristics'!$C:$C,0))),"",INDEX('Policy Characteristics'!E:E,MATCH($C1011,'Policy Characteristics'!$C:$C,0)))</f>
        <v>land avoid deforestation</v>
      </c>
      <c r="L1011" s="398">
        <f>IF(ISBLANK(INDEX('Policy Characteristics'!F:F,MATCH($C1011,'Policy Characteristics'!$C:$C,0))),"",INDEX('Policy Characteristics'!F:F,MATCH($C1011,'Policy Characteristics'!$C:$C,0)))</f>
        <v>0</v>
      </c>
      <c r="M1011" s="398">
        <f>IF(ISBLANK(INDEX('Policy Characteristics'!G:G,MATCH($C1011,'Policy Characteristics'!$C:$C,0))),"",INDEX('Policy Characteristics'!G:G,MATCH($C1011,'Policy Characteristics'!$C:$C,0)))</f>
        <v>1</v>
      </c>
      <c r="N1011" s="398">
        <f>IF(ISBLANK(INDEX('Policy Characteristics'!H:H,MATCH($C1011,'Policy Characteristics'!$C:$C,0))),"",INDEX('Policy Characteristics'!H:H,MATCH($C1011,'Policy Characteristics'!$C:$C,0)))</f>
        <v>0.01</v>
      </c>
      <c r="O1011" s="394" t="str">
        <f>IF(ISBLANK(INDEX('Policy Characteristics'!I:I,MATCH($C1011,'Policy Characteristics'!$C:$C,0))),"",INDEX('Policy Characteristics'!I:I,MATCH($C1011,'Policy Characteristics'!$C:$C,0)))</f>
        <v>% of potential achieved</v>
      </c>
      <c r="P1011" s="394" t="str">
        <f>IF(ISBLANK(INDEX('Policy Characteristics'!J:J,MATCH($C1011,'Policy Characteristics'!$C:$C,0))),"",INDEX('Policy Characteristics'!J:J,MATCH($C1011,'Policy Characteristics'!$C:$C,0)))</f>
        <v>**Description:** This policy prevents clear cutting of forests that would otherwise be cleared.  Preserved forests are assumed to be managed with best practices.</v>
      </c>
      <c r="Q1011" s="394" t="str">
        <f>IF(ISBLANK(INDEX('Policy Characteristics'!K:K,MATCH($C1011,'Policy Characteristics'!$C:$C,0))),"",INDEX('Policy Characteristics'!K:K,MATCH($C1011,'Policy Characteristics'!$C:$C,0)))</f>
        <v>lulucf.html#avoid-def</v>
      </c>
      <c r="R1011" s="394" t="str">
        <f>IF(ISBLANK(INDEX('Policy Characteristics'!L:L,MATCH($C1011,'Policy Characteristics'!$C:$C,0))),"",INDEX('Policy Characteristics'!L:L,MATCH($C1011,'Policy Characteristics'!$C:$C,0)))</f>
        <v>avoid-deforestation.html</v>
      </c>
    </row>
    <row r="1012" customHeight="1" spans="1:18">
      <c r="A1012" s="394" t="str">
        <f>IF(ISBLANK(INDEX('Policy Characteristics'!A:A,MATCH($C1012,'Policy Characteristics'!$C:$C,0))),"",INDEX('Policy Characteristics'!A:A,MATCH($C1012,'Policy Characteristics'!$C:$C,0)))</f>
        <v>Agriculture, Land Use, and Forestry</v>
      </c>
      <c r="B1012" s="395" t="str">
        <f>IF(ISBLANK(INDEX('Policy Characteristics'!B:B,MATCH($C1012,'Policy Characteristics'!$C:$C,0))),"",INDEX('Policy Characteristics'!B:B,MATCH($C1012,'Policy Characteristics'!$C:$C,0)))</f>
        <v>Forest Restoration</v>
      </c>
      <c r="C1012" t="s">
        <v>449</v>
      </c>
      <c r="D1012" s="399"/>
      <c r="E1012" s="399"/>
      <c r="F1012" s="399"/>
      <c r="G1012" s="399"/>
      <c r="H1012" s="377">
        <v>177</v>
      </c>
      <c r="I1012" s="396" t="s">
        <v>648</v>
      </c>
      <c r="J1012" s="397" t="str">
        <f>IF(ISBLANK(INDEX('Policy Characteristics'!D:D,MATCH($C1012,'Policy Characteristics'!$C:$C,0))),"",INDEX('Policy Characteristics'!D:D,MATCH($C1012,'Policy Characteristics'!$C:$C,0)))</f>
        <v>Forest Restoration</v>
      </c>
      <c r="K1012" s="394" t="str">
        <f>IF(ISBLANK(INDEX('Policy Characteristics'!E:E,MATCH($C1012,'Policy Characteristics'!$C:$C,0))),"",INDEX('Policy Characteristics'!E:E,MATCH($C1012,'Policy Characteristics'!$C:$C,0)))</f>
        <v>land forest restoration</v>
      </c>
      <c r="L1012" s="398">
        <f>IF(ISBLANK(INDEX('Policy Characteristics'!F:F,MATCH($C1012,'Policy Characteristics'!$C:$C,0))),"",INDEX('Policy Characteristics'!F:F,MATCH($C1012,'Policy Characteristics'!$C:$C,0)))</f>
        <v>0</v>
      </c>
      <c r="M1012" s="398">
        <f>IF(ISBLANK(INDEX('Policy Characteristics'!G:G,MATCH($C1012,'Policy Characteristics'!$C:$C,0))),"",INDEX('Policy Characteristics'!G:G,MATCH($C1012,'Policy Characteristics'!$C:$C,0)))</f>
        <v>1</v>
      </c>
      <c r="N1012" s="398">
        <f>IF(ISBLANK(INDEX('Policy Characteristics'!H:H,MATCH($C1012,'Policy Characteristics'!$C:$C,0))),"",INDEX('Policy Characteristics'!H:H,MATCH($C1012,'Policy Characteristics'!$C:$C,0)))</f>
        <v>0.01</v>
      </c>
      <c r="O1012" s="394" t="str">
        <f>IF(ISBLANK(INDEX('Policy Characteristics'!I:I,MATCH($C1012,'Policy Characteristics'!$C:$C,0))),"",INDEX('Policy Characteristics'!I:I,MATCH($C1012,'Policy Characteristics'!$C:$C,0)))</f>
        <v>% of potential achieved</v>
      </c>
      <c r="P1012" s="394" t="str">
        <f>IF(ISBLANK(INDEX('Policy Characteristics'!J:J,MATCH($C1012,'Policy Characteristics'!$C:$C,0))),"",INDEX('Policy Characteristics'!J:J,MATCH($C1012,'Policy Characteristics'!$C:$C,0)))</f>
        <v>**Description:** This policy increases CO2 sequestration by avoiding the conversion of forests and restoring forested areas.</v>
      </c>
      <c r="Q1012" s="394" t="str">
        <f>IF(ISBLANK(INDEX('Policy Characteristics'!K:K,MATCH($C1012,'Policy Characteristics'!$C:$C,0))),"",INDEX('Policy Characteristics'!K:K,MATCH($C1012,'Policy Characteristics'!$C:$C,0)))</f>
        <v/>
      </c>
      <c r="R1012" s="394" t="str">
        <f>IF(ISBLANK(INDEX('Policy Characteristics'!L:L,MATCH($C1012,'Policy Characteristics'!$C:$C,0))),"",INDEX('Policy Characteristics'!L:L,MATCH($C1012,'Policy Characteristics'!$C:$C,0)))</f>
        <v>forest-restoration.html</v>
      </c>
    </row>
    <row r="1013" customHeight="1" spans="1:18">
      <c r="A1013" s="394" t="str">
        <f>IF(ISBLANK(INDEX('Policy Characteristics'!A:A,MATCH($C1013,'Policy Characteristics'!$C:$C,0))),"",INDEX('Policy Characteristics'!A:A,MATCH($C1013,'Policy Characteristics'!$C:$C,0)))</f>
        <v>Agriculture, Land Use, and Forestry</v>
      </c>
      <c r="B1013" s="395" t="str">
        <f>IF(ISBLANK(INDEX('Policy Characteristics'!B:B,MATCH($C1013,'Policy Characteristics'!$C:$C,0))),"",INDEX('Policy Characteristics'!B:B,MATCH($C1013,'Policy Characteristics'!$C:$C,0)))</f>
        <v>Forest Set-Asides</v>
      </c>
      <c r="C1013" t="s">
        <v>455</v>
      </c>
      <c r="D1013" s="399"/>
      <c r="E1013" s="399"/>
      <c r="F1013" s="399"/>
      <c r="G1013" s="399"/>
      <c r="H1013" s="377">
        <v>61</v>
      </c>
      <c r="I1013" s="396" t="s">
        <v>648</v>
      </c>
      <c r="J1013" s="397" t="str">
        <f>IF(ISBLANK(INDEX('Policy Characteristics'!D:D,MATCH($C1013,'Policy Characteristics'!$C:$C,0))),"",INDEX('Policy Characteristics'!D:D,MATCH($C1013,'Policy Characteristics'!$C:$C,0)))</f>
        <v>Forest Set-Asides</v>
      </c>
      <c r="K1013" s="394" t="str">
        <f>IF(ISBLANK(INDEX('Policy Characteristics'!E:E,MATCH($C1013,'Policy Characteristics'!$C:$C,0))),"",INDEX('Policy Characteristics'!E:E,MATCH($C1013,'Policy Characteristics'!$C:$C,0)))</f>
        <v>land forest set asides</v>
      </c>
      <c r="L1013" s="398">
        <f>IF(ISBLANK(INDEX('Policy Characteristics'!F:F,MATCH($C1013,'Policy Characteristics'!$C:$C,0))),"",INDEX('Policy Characteristics'!F:F,MATCH($C1013,'Policy Characteristics'!$C:$C,0)))</f>
        <v>0</v>
      </c>
      <c r="M1013" s="398">
        <f>IF(ISBLANK(INDEX('Policy Characteristics'!G:G,MATCH($C1013,'Policy Characteristics'!$C:$C,0))),"",INDEX('Policy Characteristics'!G:G,MATCH($C1013,'Policy Characteristics'!$C:$C,0)))</f>
        <v>1</v>
      </c>
      <c r="N1013" s="398">
        <f>IF(ISBLANK(INDEX('Policy Characteristics'!H:H,MATCH($C1013,'Policy Characteristics'!$C:$C,0))),"",INDEX('Policy Characteristics'!H:H,MATCH($C1013,'Policy Characteristics'!$C:$C,0)))</f>
        <v>0.01</v>
      </c>
      <c r="O1013" s="394" t="str">
        <f>IF(ISBLANK(INDEX('Policy Characteristics'!I:I,MATCH($C1013,'Policy Characteristics'!$C:$C,0))),"",INDEX('Policy Characteristics'!I:I,MATCH($C1013,'Policy Characteristics'!$C:$C,0)))</f>
        <v>% of potential achieved</v>
      </c>
      <c r="P1013" s="394" t="str">
        <f>IF(ISBLANK(INDEX('Policy Characteristics'!J:J,MATCH($C1013,'Policy Characteristics'!$C:$C,0))),"",INDEX('Policy Characteristics'!J:J,MATCH($C1013,'Policy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013" s="394" t="str">
        <f>IF(ISBLANK(INDEX('Policy Characteristics'!K:K,MATCH($C1013,'Policy Characteristics'!$C:$C,0))),"",INDEX('Policy Characteristics'!K:K,MATCH($C1013,'Policy Characteristics'!$C:$C,0)))</f>
        <v>lulucf.html#set-asides</v>
      </c>
      <c r="R1013" s="394" t="str">
        <f>IF(ISBLANK(INDEX('Policy Characteristics'!L:L,MATCH($C1013,'Policy Characteristics'!$C:$C,0))),"",INDEX('Policy Characteristics'!L:L,MATCH($C1013,'Policy Characteristics'!$C:$C,0)))</f>
        <v>forest-set-asides.html</v>
      </c>
    </row>
    <row r="1014" customHeight="1" spans="1:18">
      <c r="A1014" s="394" t="str">
        <f>IF(ISBLANK(INDEX('Policy Characteristics'!A:A,MATCH($C1014,'Policy Characteristics'!$C:$C,0))),"",INDEX('Policy Characteristics'!A:A,MATCH($C1014,'Policy Characteristics'!$C:$C,0)))</f>
        <v>Agriculture, Land Use, and Forestry</v>
      </c>
      <c r="B1014" s="395" t="str">
        <f>IF(ISBLANK(INDEX('Policy Characteristics'!B:B,MATCH($C1014,'Policy Characteristics'!$C:$C,0))),"",INDEX('Policy Characteristics'!B:B,MATCH($C1014,'Policy Characteristics'!$C:$C,0)))</f>
        <v>Cropland and Rice Measures</v>
      </c>
      <c r="C1014" t="s">
        <v>461</v>
      </c>
      <c r="D1014" s="399"/>
      <c r="E1014" s="399"/>
      <c r="F1014" s="399"/>
      <c r="G1014" s="399"/>
      <c r="H1014" s="377">
        <v>62</v>
      </c>
      <c r="I1014" s="396" t="s">
        <v>648</v>
      </c>
      <c r="J1014" s="397" t="str">
        <f>IF(ISBLANK(INDEX('Policy Characteristics'!D:D,MATCH($C1014,'Policy Characteristics'!$C:$C,0))),"",INDEX('Policy Characteristics'!D:D,MATCH($C1014,'Policy Characteristics'!$C:$C,0)))</f>
        <v>Cropland and Rice Measures</v>
      </c>
      <c r="K1014" s="394" t="str">
        <f>IF(ISBLANK(INDEX('Policy Characteristics'!E:E,MATCH($C1014,'Policy Characteristics'!$C:$C,0))),"",INDEX('Policy Characteristics'!E:E,MATCH($C1014,'Policy Characteristics'!$C:$C,0)))</f>
        <v>indst cropland and rice measures</v>
      </c>
      <c r="L1014" s="398">
        <f>IF(ISBLANK(INDEX('Policy Characteristics'!F:F,MATCH($C1014,'Policy Characteristics'!$C:$C,0))),"",INDEX('Policy Characteristics'!F:F,MATCH($C1014,'Policy Characteristics'!$C:$C,0)))</f>
        <v>0</v>
      </c>
      <c r="M1014" s="398">
        <f>IF(ISBLANK(INDEX('Policy Characteristics'!G:G,MATCH($C1014,'Policy Characteristics'!$C:$C,0))),"",INDEX('Policy Characteristics'!G:G,MATCH($C1014,'Policy Characteristics'!$C:$C,0)))</f>
        <v>1</v>
      </c>
      <c r="N1014" s="398">
        <f>IF(ISBLANK(INDEX('Policy Characteristics'!H:H,MATCH($C1014,'Policy Characteristics'!$C:$C,0))),"",INDEX('Policy Characteristics'!H:H,MATCH($C1014,'Policy Characteristics'!$C:$C,0)))</f>
        <v>0.01</v>
      </c>
      <c r="O1014" s="394" t="str">
        <f>IF(ISBLANK(INDEX('Policy Characteristics'!I:I,MATCH($C1014,'Policy Characteristics'!$C:$C,0))),"",INDEX('Policy Characteristics'!I:I,MATCH($C1014,'Policy Characteristics'!$C:$C,0)))</f>
        <v>% of potential achieved</v>
      </c>
      <c r="P1014" s="394" t="str">
        <f>IF(ISBLANK(INDEX('Policy Characteristics'!J:J,MATCH($C1014,'Policy Characteristics'!$C:$C,0))),"",INDEX('Policy Characteristics'!J:J,MATCH($C1014,'Policy Characteristics'!$C:$C,0)))</f>
        <v>**Description:** This policy reduces greenhouse gas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values:**If this policy is fully implemented, its emission reduction potential in that year would be that of all cost-effective measures based on the level of the carbon price in that year.</v>
      </c>
      <c r="Q1014" s="394" t="str">
        <f>IF(ISBLANK(INDEX('Policy Characteristics'!K:K,MATCH($C1014,'Policy Characteristics'!$C:$C,0))),"",INDEX('Policy Characteristics'!K:K,MATCH($C1014,'Policy Characteristics'!$C:$C,0)))</f>
        <v>industry-ag-main.html#cropland</v>
      </c>
      <c r="R1014" s="394" t="str">
        <f>IF(ISBLANK(INDEX('Policy Characteristics'!L:L,MATCH($C1014,'Policy Characteristics'!$C:$C,0))),"",INDEX('Policy Characteristics'!L:L,MATCH($C1014,'Policy Characteristics'!$C:$C,0)))</f>
        <v>cropland-management.html</v>
      </c>
    </row>
    <row r="1015" customHeight="1" spans="1:18">
      <c r="A1015" s="394" t="str">
        <f>IF(ISBLANK(INDEX('Policy Characteristics'!A:A,MATCH($C1015,'Policy Characteristics'!$C:$C,0))),"",INDEX('Policy Characteristics'!A:A,MATCH($C1015,'Policy Characteristics'!$C:$C,0)))</f>
        <v>Agriculture, Land Use, and Forestry</v>
      </c>
      <c r="B1015" s="395" t="str">
        <f>IF(ISBLANK(INDEX('Policy Characteristics'!B:B,MATCH($C1015,'Policy Characteristics'!$C:$C,0))),"",INDEX('Policy Characteristics'!B:B,MATCH($C1015,'Policy Characteristics'!$C:$C,0)))</f>
        <v>Improved Soil Measures</v>
      </c>
      <c r="C1015" t="s">
        <v>467</v>
      </c>
      <c r="D1015" s="399"/>
      <c r="E1015" s="399"/>
      <c r="F1015" s="399"/>
      <c r="G1015" s="399"/>
      <c r="H1015" s="377">
        <v>1654</v>
      </c>
      <c r="I1015" s="396" t="s">
        <v>648</v>
      </c>
      <c r="J1015" s="397" t="str">
        <f>IF(ISBLANK(INDEX('Policy Characteristics'!D:D,MATCH($C1015,'Policy Characteristics'!$C:$C,0))),"",INDEX('Policy Characteristics'!D:D,MATCH($C1015,'Policy Characteristics'!$C:$C,0)))</f>
        <v>Improved Soil Measures</v>
      </c>
      <c r="K1015" s="394" t="str">
        <f>IF(ISBLANK(INDEX('Policy Characteristics'!E:E,MATCH($C1015,'Policy Characteristics'!$C:$C,0))),"",INDEX('Policy Characteristics'!E:E,MATCH($C1015,'Policy Characteristics'!$C:$C,0)))</f>
        <v>indst tillage</v>
      </c>
      <c r="L1015" s="398">
        <f>IF(ISBLANK(INDEX('Policy Characteristics'!F:F,MATCH($C1015,'Policy Characteristics'!$C:$C,0))),"",INDEX('Policy Characteristics'!F:F,MATCH($C1015,'Policy Characteristics'!$C:$C,0)))</f>
        <v>0</v>
      </c>
      <c r="M1015" s="398">
        <f>IF(ISBLANK(INDEX('Policy Characteristics'!G:G,MATCH($C1015,'Policy Characteristics'!$C:$C,0))),"",INDEX('Policy Characteristics'!G:G,MATCH($C1015,'Policy Characteristics'!$C:$C,0)))</f>
        <v>1</v>
      </c>
      <c r="N1015" s="398">
        <f>IF(ISBLANK(INDEX('Policy Characteristics'!H:H,MATCH($C1015,'Policy Characteristics'!$C:$C,0))),"",INDEX('Policy Characteristics'!H:H,MATCH($C1015,'Policy Characteristics'!$C:$C,0)))</f>
        <v>0.01</v>
      </c>
      <c r="O1015" s="394" t="str">
        <f>IF(ISBLANK(INDEX('Policy Characteristics'!I:I,MATCH($C1015,'Policy Characteristics'!$C:$C,0))),"",INDEX('Policy Characteristics'!I:I,MATCH($C1015,'Policy Characteristics'!$C:$C,0)))</f>
        <v>% of potential achieved</v>
      </c>
      <c r="P1015" s="394" t="str">
        <f>IF(ISBLANK(INDEX('Policy Characteristics'!J:J,MATCH($C1015,'Policy Characteristics'!$C:$C,0))),"",INDEX('Policy Characteristics'!J:J,MATCH($C1015,'Policy Characteristics'!$C:$C,0)))</f>
        <v>**Description:** This policy stores CO2 in agricultural soils through improved tillage practices.</v>
      </c>
      <c r="Q1015" s="394" t="str">
        <f>IF(ISBLANK(INDEX('Policy Characteristics'!K:K,MATCH($C1015,'Policy Characteristics'!$C:$C,0))),"",INDEX('Policy Characteristics'!K:K,MATCH($C1015,'Policy Characteristics'!$C:$C,0)))</f>
        <v/>
      </c>
      <c r="R1015" s="394" t="str">
        <f>IF(ISBLANK(INDEX('Policy Characteristics'!L:L,MATCH($C1015,'Policy Characteristics'!$C:$C,0))),"",INDEX('Policy Characteristics'!L:L,MATCH($C1015,'Policy Characteristics'!$C:$C,0)))</f>
        <v/>
      </c>
    </row>
    <row r="1016" customHeight="1" spans="1:18">
      <c r="A1016" s="394" t="str">
        <f>IF(ISBLANK(INDEX('Policy Characteristics'!A:A,MATCH($C1016,'Policy Characteristics'!$C:$C,0))),"",INDEX('Policy Characteristics'!A:A,MATCH($C1016,'Policy Characteristics'!$C:$C,0)))</f>
        <v>Agriculture, Land Use, and Forestry</v>
      </c>
      <c r="B1016" s="395" t="str">
        <f>IF(ISBLANK(INDEX('Policy Characteristics'!B:B,MATCH($C1016,'Policy Characteristics'!$C:$C,0))),"",INDEX('Policy Characteristics'!B:B,MATCH($C1016,'Policy Characteristics'!$C:$C,0)))</f>
        <v>Improved Forest Management</v>
      </c>
      <c r="C1016" t="s">
        <v>471</v>
      </c>
      <c r="D1016" s="399"/>
      <c r="E1016" s="399"/>
      <c r="F1016" s="399"/>
      <c r="G1016" s="399"/>
      <c r="H1016" s="377">
        <v>63</v>
      </c>
      <c r="I1016" s="396" t="s">
        <v>648</v>
      </c>
      <c r="J1016" s="397" t="str">
        <f>IF(ISBLANK(INDEX('Policy Characteristics'!D:D,MATCH($C1016,'Policy Characteristics'!$C:$C,0))),"",INDEX('Policy Characteristics'!D:D,MATCH($C1016,'Policy Characteristics'!$C:$C,0)))</f>
        <v>Improved Forest Management</v>
      </c>
      <c r="K1016" s="394" t="str">
        <f>IF(ISBLANK(INDEX('Policy Characteristics'!E:E,MATCH($C1016,'Policy Characteristics'!$C:$C,0))),"",INDEX('Policy Characteristics'!E:E,MATCH($C1016,'Policy Characteristics'!$C:$C,0)))</f>
        <v>land forest management</v>
      </c>
      <c r="L1016" s="398">
        <f>IF(ISBLANK(INDEX('Policy Characteristics'!F:F,MATCH($C1016,'Policy Characteristics'!$C:$C,0))),"",INDEX('Policy Characteristics'!F:F,MATCH($C1016,'Policy Characteristics'!$C:$C,0)))</f>
        <v>0</v>
      </c>
      <c r="M1016" s="398">
        <f>IF(ISBLANK(INDEX('Policy Characteristics'!G:G,MATCH($C1016,'Policy Characteristics'!$C:$C,0))),"",INDEX('Policy Characteristics'!G:G,MATCH($C1016,'Policy Characteristics'!$C:$C,0)))</f>
        <v>1</v>
      </c>
      <c r="N1016" s="398">
        <f>IF(ISBLANK(INDEX('Policy Characteristics'!H:H,MATCH($C1016,'Policy Characteristics'!$C:$C,0))),"",INDEX('Policy Characteristics'!H:H,MATCH($C1016,'Policy Characteristics'!$C:$C,0)))</f>
        <v>0.01</v>
      </c>
      <c r="O1016" s="394" t="str">
        <f>IF(ISBLANK(INDEX('Policy Characteristics'!I:I,MATCH($C1016,'Policy Characteristics'!$C:$C,0))),"",INDEX('Policy Characteristics'!I:I,MATCH($C1016,'Policy Characteristics'!$C:$C,0)))</f>
        <v>% of potential achieved</v>
      </c>
      <c r="P1016" s="394" t="str">
        <f>IF(ISBLANK(INDEX('Policy Characteristics'!J:J,MATCH($C1016,'Policy Characteristics'!$C:$C,0))),"",INDEX('Policy Characteristics'!J:J,MATCH($C1016,'Policy Characteristics'!$C:$C,0)))</f>
        <v>**Description:** This policy increases CO2 sequestration by forests through improved forest management practices.  </v>
      </c>
      <c r="Q1016" s="394" t="str">
        <f>IF(ISBLANK(INDEX('Policy Characteristics'!K:K,MATCH($C1016,'Policy Characteristics'!$C:$C,0))),"",INDEX('Policy Characteristics'!K:K,MATCH($C1016,'Policy Characteristics'!$C:$C,0)))</f>
        <v>lulucf.html#forest-mgmt</v>
      </c>
      <c r="R1016" s="394" t="str">
        <f>IF(ISBLANK(INDEX('Policy Characteristics'!L:L,MATCH($C1016,'Policy Characteristics'!$C:$C,0))),"",INDEX('Policy Characteristics'!L:L,MATCH($C1016,'Policy Characteristics'!$C:$C,0)))</f>
        <v>improved-forest-management.html</v>
      </c>
    </row>
    <row r="1017" customHeight="1" spans="1:18">
      <c r="A1017" s="394" t="str">
        <f>IF(ISBLANK(INDEX('Policy Characteristics'!A:A,MATCH($C1017,'Policy Characteristics'!$C:$C,0))),"",INDEX('Policy Characteristics'!A:A,MATCH($C1017,'Policy Characteristics'!$C:$C,0)))</f>
        <v>Agriculture, Land Use, and Forestry</v>
      </c>
      <c r="B1017" s="395" t="str">
        <f>IF(ISBLANK(INDEX('Policy Characteristics'!B:B,MATCH($C1017,'Policy Characteristics'!$C:$C,0))),"",INDEX('Policy Characteristics'!B:B,MATCH($C1017,'Policy Characteristics'!$C:$C,0)))</f>
        <v>Livestock Measures</v>
      </c>
      <c r="C1017" t="s">
        <v>477</v>
      </c>
      <c r="D1017" s="399"/>
      <c r="E1017" s="399"/>
      <c r="F1017" s="399"/>
      <c r="G1017" s="399"/>
      <c r="H1017" s="377">
        <v>64</v>
      </c>
      <c r="I1017" s="396" t="s">
        <v>648</v>
      </c>
      <c r="J1017" s="397" t="str">
        <f>IF(ISBLANK(INDEX('Policy Characteristics'!D:D,MATCH($C1017,'Policy Characteristics'!$C:$C,0))),"",INDEX('Policy Characteristics'!D:D,MATCH($C1017,'Policy Characteristics'!$C:$C,0)))</f>
        <v>Livestock Measures</v>
      </c>
      <c r="K1017" s="394" t="str">
        <f>IF(ISBLANK(INDEX('Policy Characteristics'!E:E,MATCH($C1017,'Policy Characteristics'!$C:$C,0))),"",INDEX('Policy Characteristics'!E:E,MATCH($C1017,'Policy Characteristics'!$C:$C,0)))</f>
        <v>indst livestock measures</v>
      </c>
      <c r="L1017" s="398">
        <f>IF(ISBLANK(INDEX('Policy Characteristics'!F:F,MATCH($C1017,'Policy Characteristics'!$C:$C,0))),"",INDEX('Policy Characteristics'!F:F,MATCH($C1017,'Policy Characteristics'!$C:$C,0)))</f>
        <v>0</v>
      </c>
      <c r="M1017" s="398">
        <f>IF(ISBLANK(INDEX('Policy Characteristics'!G:G,MATCH($C1017,'Policy Characteristics'!$C:$C,0))),"",INDEX('Policy Characteristics'!G:G,MATCH($C1017,'Policy Characteristics'!$C:$C,0)))</f>
        <v>1</v>
      </c>
      <c r="N1017" s="398">
        <f>IF(ISBLANK(INDEX('Policy Characteristics'!H:H,MATCH($C1017,'Policy Characteristics'!$C:$C,0))),"",INDEX('Policy Characteristics'!H:H,MATCH($C1017,'Policy Characteristics'!$C:$C,0)))</f>
        <v>0.01</v>
      </c>
      <c r="O1017" s="394" t="str">
        <f>IF(ISBLANK(INDEX('Policy Characteristics'!I:I,MATCH($C1017,'Policy Characteristics'!$C:$C,0))),"",INDEX('Policy Characteristics'!I:I,MATCH($C1017,'Policy Characteristics'!$C:$C,0)))</f>
        <v>% of potential achieved</v>
      </c>
      <c r="P1017" s="394" t="str">
        <f>IF(ISBLANK(INDEX('Policy Characteristics'!J:J,MATCH($C1017,'Policy Characteristics'!$C:$C,0))),"",INDEX('Policy Characteristics'!J:J,MATCH($C1017,'Policy Characteristics'!$C:$C,0)))</f>
        <v>**Description:** This policy reduces greenhouse gas emissions from agriculture through livestock-related measures, such as feed supplements or drugs to prevent enteric methane formation. // **Guidance for setting values:** According to "Work Plan for the Resource Utilization of Livestock and Poultry Manure(2017-2020)",the utilization rate of animal manure in Inner Mongolia was 75% in 2020. According to "Implementation Plan for Energy Conservation and Emission Reduction in Inner Mongolia Autonomous Region during the 14th Five-Year Plan",the utilization rate is expected to reach 84% or higher in 2025. The utilization rate of animal manure is expected to increase by 36% in 2025 compared to 2020. According to "Energy Conservation and Emission Reduction 13th Five-Year Plan for Inner Mongolia Autonomous Region", the comprehensive utilization rate of crop straw was 85% in 2020. According to "Implementation Plan for Energy Conservation and Emission Reduction in Inner Mongolia Autonomous Region during the 14th Five-Year Plan", the comprehensive utilization rate of crop straw is projected to stabilize at 90% or higher in 2025. the comprehensive utilization rate of crop straw is expected to increase by 33.3% in 2025 compared to 2020. According to "Recommendations for Promoting Methane Emission Reduction and Pollution Control in Livestock Industry", China's agricultural methane emissions were approximately 20.493 million tons (ranging from 18.696 to 22.289 million tons), with emissions from livestock manure management and straw burning accounting for 10.2% and 2.2% respectively. After weighted calculation, livestock measures are projected to reduce greenhouse gas emissions by 4.41% in 2025.</v>
      </c>
      <c r="Q1017" s="394" t="str">
        <f>IF(ISBLANK(INDEX('Policy Characteristics'!K:K,MATCH($C1017,'Policy Characteristics'!$C:$C,0))),"",INDEX('Policy Characteristics'!K:K,MATCH($C1017,'Policy Characteristics'!$C:$C,0)))</f>
        <v>industry-ag-main.html#livestock</v>
      </c>
      <c r="R1017" s="394" t="str">
        <f>IF(ISBLANK(INDEX('Policy Characteristics'!L:L,MATCH($C1017,'Policy Characteristics'!$C:$C,0))),"",INDEX('Policy Characteristics'!L:L,MATCH($C1017,'Policy Characteristics'!$C:$C,0)))</f>
        <v>livestock-measures.html</v>
      </c>
    </row>
    <row r="1018" customHeight="1" spans="1:18">
      <c r="A1018" s="394" t="str">
        <f>IF(ISBLANK(INDEX('Policy Characteristics'!A:A,MATCH($C1018,'Policy Characteristics'!$C:$C,0))),"",INDEX('Policy Characteristics'!A:A,MATCH($C1018,'Policy Characteristics'!$C:$C,0)))</f>
        <v>Agriculture, Land Use, and Forestry</v>
      </c>
      <c r="B1018" s="395" t="str">
        <f>IF(ISBLANK(INDEX('Policy Characteristics'!B:B,MATCH($C1018,'Policy Characteristics'!$C:$C,0))),"",INDEX('Policy Characteristics'!B:B,MATCH($C1018,'Policy Characteristics'!$C:$C,0)))</f>
        <v>Wetland Restoration</v>
      </c>
      <c r="C1018" t="s">
        <v>483</v>
      </c>
      <c r="D1018" s="399"/>
      <c r="E1018" s="399"/>
      <c r="F1018" s="399"/>
      <c r="G1018" s="399"/>
      <c r="H1018" s="377">
        <v>178</v>
      </c>
      <c r="I1018" s="396" t="s">
        <v>648</v>
      </c>
      <c r="J1018" s="397" t="str">
        <f>IF(ISBLANK(INDEX('Policy Characteristics'!D:D,MATCH($C1018,'Policy Characteristics'!$C:$C,0))),"",INDEX('Policy Characteristics'!D:D,MATCH($C1018,'Policy Characteristics'!$C:$C,0)))</f>
        <v>Wetland Restoration</v>
      </c>
      <c r="K1018" s="394" t="str">
        <f>IF(ISBLANK(INDEX('Policy Characteristics'!E:E,MATCH($C1018,'Policy Characteristics'!$C:$C,0))),"",INDEX('Policy Characteristics'!E:E,MATCH($C1018,'Policy Characteristics'!$C:$C,0)))</f>
        <v>land peatland restoration</v>
      </c>
      <c r="L1018" s="398">
        <f>IF(ISBLANK(INDEX('Policy Characteristics'!F:F,MATCH($C1018,'Policy Characteristics'!$C:$C,0))),"",INDEX('Policy Characteristics'!F:F,MATCH($C1018,'Policy Characteristics'!$C:$C,0)))</f>
        <v>0</v>
      </c>
      <c r="M1018" s="398">
        <f>IF(ISBLANK(INDEX('Policy Characteristics'!G:G,MATCH($C1018,'Policy Characteristics'!$C:$C,0))),"",INDEX('Policy Characteristics'!G:G,MATCH($C1018,'Policy Characteristics'!$C:$C,0)))</f>
        <v>1</v>
      </c>
      <c r="N1018" s="398">
        <f>IF(ISBLANK(INDEX('Policy Characteristics'!H:H,MATCH($C1018,'Policy Characteristics'!$C:$C,0))),"",INDEX('Policy Characteristics'!H:H,MATCH($C1018,'Policy Characteristics'!$C:$C,0)))</f>
        <v>0.01</v>
      </c>
      <c r="O1018" s="394" t="str">
        <f>IF(ISBLANK(INDEX('Policy Characteristics'!I:I,MATCH($C1018,'Policy Characteristics'!$C:$C,0))),"",INDEX('Policy Characteristics'!I:I,MATCH($C1018,'Policy Characteristics'!$C:$C,0)))</f>
        <v>% of potential achieved</v>
      </c>
      <c r="P1018" s="394" t="str">
        <f>IF(ISBLANK(INDEX('Policy Characteristics'!J:J,MATCH($C1018,'Policy Characteristics'!$C:$C,0))),"",INDEX('Policy Characteristics'!J:J,MATCH($C1018,'Policy Characteristics'!$C:$C,0)))</f>
        <v>**Description:** This policy increases CO2 sequestration by restoring wetlands and riparian forest buffers.</v>
      </c>
      <c r="Q1018" s="394" t="str">
        <f>IF(ISBLANK(INDEX('Policy Characteristics'!K:K,MATCH($C1018,'Policy Characteristics'!$C:$C,0))),"",INDEX('Policy Characteristics'!K:K,MATCH($C1018,'Policy Characteristics'!$C:$C,0)))</f>
        <v/>
      </c>
      <c r="R1018" s="394" t="str">
        <f>IF(ISBLANK(INDEX('Policy Characteristics'!L:L,MATCH($C1018,'Policy Characteristics'!$C:$C,0))),"",INDEX('Policy Characteristics'!L:L,MATCH($C1018,'Policy Characteristics'!$C:$C,0)))</f>
        <v>peatland-restoration.html</v>
      </c>
    </row>
    <row r="1019" customHeight="1" spans="1:18">
      <c r="A1019" s="394" t="str">
        <f>IF(ISBLANK(INDEX('Policy Characteristics'!A:A,MATCH($C1019,'Policy Characteristics'!$C:$C,0))),"",INDEX('Policy Characteristics'!A:A,MATCH($C1019,'Policy Characteristics'!$C:$C,0)))</f>
        <v>Agriculture, Land Use, and Forestry</v>
      </c>
      <c r="B1019" s="395" t="str">
        <f>IF(ISBLANK(INDEX('Policy Characteristics'!B:B,MATCH($C1019,'Policy Characteristics'!$C:$C,0))),"",INDEX('Policy Characteristics'!B:B,MATCH($C1019,'Policy Characteristics'!$C:$C,0)))</f>
        <v>Shift to Non-Animal Products</v>
      </c>
      <c r="C1019" t="s">
        <v>489</v>
      </c>
      <c r="D1019" s="399"/>
      <c r="E1019" s="399"/>
      <c r="F1019" s="399"/>
      <c r="G1019" s="399"/>
      <c r="H1019" s="377">
        <v>434</v>
      </c>
      <c r="I1019" s="396" t="s">
        <v>648</v>
      </c>
      <c r="J1019" s="397" t="str">
        <f>IF(ISBLANK(INDEX('Policy Characteristics'!D:D,MATCH($C1019,'Policy Characteristics'!$C:$C,0))),"",INDEX('Policy Characteristics'!D:D,MATCH($C1019,'Policy Characteristics'!$C:$C,0)))</f>
        <v>Shift to Non-Animal Products</v>
      </c>
      <c r="K1019" s="394" t="str">
        <f>IF(ISBLANK(INDEX('Policy Characteristics'!E:E,MATCH($C1019,'Policy Characteristics'!$C:$C,0))),"",INDEX('Policy Characteristics'!E:E,MATCH($C1019,'Policy Characteristics'!$C:$C,0)))</f>
        <v>indst shift to nonanimal products</v>
      </c>
      <c r="L1019" s="398">
        <f>IF(ISBLANK(INDEX('Policy Characteristics'!F:F,MATCH($C1019,'Policy Characteristics'!$C:$C,0))),"",INDEX('Policy Characteristics'!F:F,MATCH($C1019,'Policy Characteristics'!$C:$C,0)))</f>
        <v>0</v>
      </c>
      <c r="M1019" s="398">
        <f>IF(ISBLANK(INDEX('Policy Characteristics'!G:G,MATCH($C1019,'Policy Characteristics'!$C:$C,0))),"",INDEX('Policy Characteristics'!G:G,MATCH($C1019,'Policy Characteristics'!$C:$C,0)))</f>
        <v>1</v>
      </c>
      <c r="N1019" s="398">
        <f>IF(ISBLANK(INDEX('Policy Characteristics'!H:H,MATCH($C1019,'Policy Characteristics'!$C:$C,0))),"",INDEX('Policy Characteristics'!H:H,MATCH($C1019,'Policy Characteristics'!$C:$C,0)))</f>
        <v>0.01</v>
      </c>
      <c r="O1019" s="394" t="str">
        <f>IF(ISBLANK(INDEX('Policy Characteristics'!I:I,MATCH($C1019,'Policy Characteristics'!$C:$C,0))),"",INDEX('Policy Characteristics'!I:I,MATCH($C1019,'Policy Characteristics'!$C:$C,0)))</f>
        <v>% reduction in animal products</v>
      </c>
      <c r="P1019" s="394" t="str">
        <f>IF(ISBLANK(INDEX('Policy Characteristics'!J:J,MATCH($C1019,'Policy Characteristics'!$C:$C,0))),"",INDEX('Policy Characteristics'!J:J,MATCH($C1019,'Policy Characteristics'!$C:$C,0)))</f>
        <v>**Description:** This policy causes non-animal products to be substituted for 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Meat consmption value is based on the recommended value from the Dietary Guidelines for Chinese Residents</v>
      </c>
      <c r="Q1019" s="394" t="str">
        <f>IF(ISBLANK(INDEX('Policy Characteristics'!K:K,MATCH($C1019,'Policy Characteristics'!$C:$C,0))),"",INDEX('Policy Characteristics'!K:K,MATCH($C1019,'Policy Characteristics'!$C:$C,0)))</f>
        <v/>
      </c>
      <c r="R1019" s="394" t="str">
        <f>IF(ISBLANK(INDEX('Policy Characteristics'!L:L,MATCH($C1019,'Policy Characteristics'!$C:$C,0))),"",INDEX('Policy Characteristics'!L:L,MATCH($C1019,'Policy Characteristics'!$C:$C,0)))</f>
        <v>shift-to-non-animal-products.html</v>
      </c>
    </row>
    <row r="1020" customHeight="1" spans="1:18">
      <c r="A1020" s="394" t="str">
        <f>IF(ISBLANK(INDEX('Policy Characteristics'!A:A,MATCH($C1020,'Policy Characteristics'!$C:$C,0))),"",INDEX('Policy Characteristics'!A:A,MATCH($C1020,'Policy Characteristics'!$C:$C,0)))</f>
        <v>District Heat and Hydrogen</v>
      </c>
      <c r="B1020" s="395" t="str">
        <f>IF(ISBLANK(INDEX('Policy Characteristics'!B:B,MATCH($C1020,'Policy Characteristics'!$C:$C,0))),"",INDEX('Policy Characteristics'!B:B,MATCH($C1020,'Policy Characteristics'!$C:$C,0)))</f>
        <v>Use CHP for District Heat</v>
      </c>
      <c r="C1020" t="s">
        <v>497</v>
      </c>
      <c r="D1020" s="399"/>
      <c r="E1020" s="399"/>
      <c r="F1020" s="399"/>
      <c r="G1020" s="399"/>
      <c r="H1020" s="377">
        <v>68</v>
      </c>
      <c r="I1020" s="396" t="s">
        <v>648</v>
      </c>
      <c r="J1020" s="397" t="str">
        <f>IF(ISBLANK(INDEX('Policy Characteristics'!D:D,MATCH($C1020,'Policy Characteristics'!$C:$C,0))),"",INDEX('Policy Characteristics'!D:D,MATCH($C1020,'Policy Characteristics'!$C:$C,0)))</f>
        <v>District Heat CHP</v>
      </c>
      <c r="K1020" s="394" t="str">
        <f>IF(ISBLANK(INDEX('Policy Characteristics'!E:E,MATCH($C1020,'Policy Characteristics'!$C:$C,0))),"",INDEX('Policy Characteristics'!E:E,MATCH($C1020,'Policy Characteristics'!$C:$C,0)))</f>
        <v>heat convert heat to CHP</v>
      </c>
      <c r="L1020" s="398">
        <f>IF(ISBLANK(INDEX('Policy Characteristics'!F:F,MATCH($C1020,'Policy Characteristics'!$C:$C,0))),"",INDEX('Policy Characteristics'!F:F,MATCH($C1020,'Policy Characteristics'!$C:$C,0)))</f>
        <v>0</v>
      </c>
      <c r="M1020" s="398">
        <f>IF(ISBLANK(INDEX('Policy Characteristics'!G:G,MATCH($C1020,'Policy Characteristics'!$C:$C,0))),"",INDEX('Policy Characteristics'!G:G,MATCH($C1020,'Policy Characteristics'!$C:$C,0)))</f>
        <v>1</v>
      </c>
      <c r="N1020" s="398">
        <f>IF(ISBLANK(INDEX('Policy Characteristics'!H:H,MATCH($C1020,'Policy Characteristics'!$C:$C,0))),"",INDEX('Policy Characteristics'!H:H,MATCH($C1020,'Policy Characteristics'!$C:$C,0)))</f>
        <v>0.01</v>
      </c>
      <c r="O1020" s="394" t="str">
        <f>IF(ISBLANK(INDEX('Policy Characteristics'!I:I,MATCH($C1020,'Policy Characteristics'!$C:$C,0))),"",INDEX('Policy Characteristics'!I:I,MATCH($C1020,'Policy Characteristics'!$C:$C,0)))</f>
        <v>% non-CHP heat converted</v>
      </c>
      <c r="P1020" s="394" t="str">
        <f>IF(ISBLANK(INDEX('Policy Characteristics'!J:J,MATCH($C1020,'Policy Characteristics'!$C:$C,0))),"",INDEX('Policy Characteristics'!J:J,MATCH($C1020,'Policy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v>
      </c>
      <c r="Q1020" s="394" t="str">
        <f>IF(ISBLANK(INDEX('Policy Characteristics'!K:K,MATCH($C1020,'Policy Characteristics'!$C:$C,0))),"",INDEX('Policy Characteristics'!K:K,MATCH($C1020,'Policy Characteristics'!$C:$C,0)))</f>
        <v>district-heating.html#chp</v>
      </c>
      <c r="R1020" s="394" t="str">
        <f>IF(ISBLANK(INDEX('Policy Characteristics'!L:L,MATCH($C1020,'Policy Characteristics'!$C:$C,0))),"",INDEX('Policy Characteristics'!L:L,MATCH($C1020,'Policy Characteristics'!$C:$C,0)))</f>
        <v>convert-non-chp-heat-production.html</v>
      </c>
    </row>
    <row r="1021" customHeight="1" spans="1:18">
      <c r="A1021" s="394" t="str">
        <f>IF(ISBLANK(INDEX('Policy Characteristics'!A:A,MATCH($C1021,'Policy Characteristics'!$C:$C,0))),"",INDEX('Policy Characteristics'!A:A,MATCH($C1021,'Policy Characteristics'!$C:$C,0)))</f>
        <v>District Heat and Hydrogen</v>
      </c>
      <c r="B1021" s="395" t="str">
        <f>IF(ISBLANK(INDEX('Policy Characteristics'!B:B,MATCH($C1021,'Policy Characteristics'!$C:$C,0))),"",INDEX('Policy Characteristics'!B:B,MATCH($C1021,'Policy Characteristics'!$C:$C,0)))</f>
        <v>Produce District Heat with Hydrogen</v>
      </c>
      <c r="C1021" t="s">
        <v>505</v>
      </c>
      <c r="D1021" s="399"/>
      <c r="E1021" s="399"/>
      <c r="F1021" s="399"/>
      <c r="G1021" s="399"/>
      <c r="H1021" s="377">
        <v>176</v>
      </c>
      <c r="I1021" s="396" t="s">
        <v>648</v>
      </c>
      <c r="J1021" s="397" t="str">
        <f>IF(ISBLANK(INDEX('Policy Characteristics'!D:D,MATCH($C1021,'Policy Characteristics'!$C:$C,0))),"",INDEX('Policy Characteristics'!D:D,MATCH($C1021,'Policy Characteristics'!$C:$C,0)))</f>
        <v>District Heat Fuel Switching</v>
      </c>
      <c r="K1021" s="394" t="str">
        <f>IF(ISBLANK(INDEX('Policy Characteristics'!E:E,MATCH($C1021,'Policy Characteristics'!$C:$C,0))),"",INDEX('Policy Characteristics'!E:E,MATCH($C1021,'Policy Characteristics'!$C:$C,0)))</f>
        <v>heat fuel type shifting</v>
      </c>
      <c r="L1021" s="398">
        <f>IF(ISBLANK(INDEX('Policy Characteristics'!F:F,MATCH($C1021,'Policy Characteristics'!$C:$C,0))),"",INDEX('Policy Characteristics'!F:F,MATCH($C1021,'Policy Characteristics'!$C:$C,0)))</f>
        <v>0</v>
      </c>
      <c r="M1021" s="398">
        <f>IF(ISBLANK(INDEX('Policy Characteristics'!G:G,MATCH($C1021,'Policy Characteristics'!$C:$C,0))),"",INDEX('Policy Characteristics'!G:G,MATCH($C1021,'Policy Characteristics'!$C:$C,0)))</f>
        <v>1</v>
      </c>
      <c r="N1021" s="398">
        <f>IF(ISBLANK(INDEX('Policy Characteristics'!H:H,MATCH($C1021,'Policy Characteristics'!$C:$C,0))),"",INDEX('Policy Characteristics'!H:H,MATCH($C1021,'Policy Characteristics'!$C:$C,0)))</f>
        <v>0.01</v>
      </c>
      <c r="O1021" s="394" t="str">
        <f>IF(ISBLANK(INDEX('Policy Characteristics'!I:I,MATCH($C1021,'Policy Characteristics'!$C:$C,0))),"",INDEX('Policy Characteristics'!I:I,MATCH($C1021,'Policy Characteristics'!$C:$C,0)))</f>
        <v>% of fuel use</v>
      </c>
      <c r="P1021" s="394" t="str">
        <f>IF(ISBLANK(INDEX('Policy Characteristics'!J:J,MATCH($C1021,'Policy Characteristics'!$C:$C,0))),"",INDEX('Policy Characteristics'!J:J,MATCH($C1021,'Policy Characteristics'!$C:$C,0)))</f>
        <v>**Description:** This policy causes a percentage of the district heat to be generated by burning hydrogen instead of the fuels used in the BAU case. // **Guidance for setting values:** In China in 2020, around 90% of district heat is from coal, 6% from natural gas, and 4% from biomass.  Hydrogen technologies are still emerging, and it is not yet clear if it will be more economical to electrify end uses of heat (ceasing to use district heat), or if decarbonizing district heat facilities will be an economical pathway.</v>
      </c>
      <c r="Q1021" s="394" t="str">
        <f>IF(ISBLANK(INDEX('Policy Characteristics'!K:K,MATCH($C1021,'Policy Characteristics'!$C:$C,0))),"",INDEX('Policy Characteristics'!K:K,MATCH($C1021,'Policy Characteristics'!$C:$C,0)))</f>
        <v>district-heating.html#convert-coal</v>
      </c>
      <c r="R1021" s="394" t="str">
        <f>IF(ISBLANK(INDEX('Policy Characteristics'!L:L,MATCH($C1021,'Policy Characteristics'!$C:$C,0))),"",INDEX('Policy Characteristics'!L:L,MATCH($C1021,'Policy Characteristics'!$C:$C,0)))</f>
        <v>district-heat-fuel-switching.html</v>
      </c>
    </row>
    <row r="1022" customHeight="1" spans="1:18">
      <c r="A1022" s="394" t="str">
        <f>IF(ISBLANK(INDEX('Policy Characteristics'!A:A,MATCH($C1022,'Policy Characteristics'!$C:$C,0))),"",INDEX('Policy Characteristics'!A:A,MATCH($C1022,'Policy Characteristics'!$C:$C,0)))</f>
        <v>District Heat and Hydrogen</v>
      </c>
      <c r="B1022" s="395" t="str">
        <f>IF(ISBLANK(INDEX('Policy Characteristics'!B:B,MATCH($C1022,'Policy Characteristics'!$C:$C,0))),"",INDEX('Policy Characteristics'!B:B,MATCH($C1022,'Policy Characteristics'!$C:$C,0)))</f>
        <v>Shift Hydrogen Production to Electrolysis</v>
      </c>
      <c r="C1022" t="s">
        <v>513</v>
      </c>
      <c r="D1022" s="399"/>
      <c r="E1022" s="399"/>
      <c r="F1022" s="399"/>
      <c r="G1022" s="399"/>
      <c r="H1022" s="377">
        <v>450</v>
      </c>
      <c r="I1022" s="396" t="s">
        <v>648</v>
      </c>
      <c r="J1022" s="397" t="str">
        <f>IF(ISBLANK(INDEX('Policy Characteristics'!D:D,MATCH($C1022,'Policy Characteristics'!$C:$C,0))),"",INDEX('Policy Characteristics'!D:D,MATCH($C1022,'Policy Characteristics'!$C:$C,0)))</f>
        <v>Hydrogen Electrolysis</v>
      </c>
      <c r="K1022" s="394" t="str">
        <f>IF(ISBLANK(INDEX('Policy Characteristics'!E:E,MATCH($C1022,'Policy Characteristics'!$C:$C,0))),"",INDEX('Policy Characteristics'!E:E,MATCH($C1022,'Policy Characteristics'!$C:$C,0)))</f>
        <v>hydgn shift production pathways</v>
      </c>
      <c r="L1022" s="398">
        <f>IF(ISBLANK(INDEX('Policy Characteristics'!F:F,MATCH($C1022,'Policy Characteristics'!$C:$C,0))),"",INDEX('Policy Characteristics'!F:F,MATCH($C1022,'Policy Characteristics'!$C:$C,0)))</f>
        <v>0</v>
      </c>
      <c r="M1022" s="398">
        <f>IF(ISBLANK(INDEX('Policy Characteristics'!G:G,MATCH($C1022,'Policy Characteristics'!$C:$C,0))),"",INDEX('Policy Characteristics'!G:G,MATCH($C1022,'Policy Characteristics'!$C:$C,0)))</f>
        <v>1</v>
      </c>
      <c r="N1022" s="398">
        <f>IF(ISBLANK(INDEX('Policy Characteristics'!H:H,MATCH($C1022,'Policy Characteristics'!$C:$C,0))),"",INDEX('Policy Characteristics'!H:H,MATCH($C1022,'Policy Characteristics'!$C:$C,0)))</f>
        <v>0.01</v>
      </c>
      <c r="O1022" s="394" t="str">
        <f>IF(ISBLANK(INDEX('Policy Characteristics'!I:I,MATCH($C1022,'Policy Characteristics'!$C:$C,0))),"",INDEX('Policy Characteristics'!I:I,MATCH($C1022,'Policy Characteristics'!$C:$C,0)))</f>
        <v>% of hydrogen production</v>
      </c>
      <c r="P1022" s="394" t="str">
        <f>IF(ISBLANK(INDEX('Policy Characteristics'!J:J,MATCH($C1022,'Policy Characteristics'!$C:$C,0))),"",INDEX('Policy Characteristics'!J:J,MATCH($C1022,'Policy Characteristics'!$C:$C,0)))</f>
        <v>**Description:** This policy causes a percentage of merchant hydrogen (i.e. hydrogen produced for sale, not hydrogen produced and consumed on-site within a facility) to be produced via electrolysis rather than via other production pathways. // **Guidance for setting values:** In China in 2020, 63.5% of hydrogen production is through coal gasification, 13.8% from natural gas reforming, 21.2%% from biomass, and 1.5% from electrolysis. These shares are not projected to change in the BAU case.</v>
      </c>
      <c r="Q1022" s="394" t="str">
        <f>IF(ISBLANK(INDEX('Policy Characteristics'!K:K,MATCH($C1022,'Policy Characteristics'!$C:$C,0))),"",INDEX('Policy Characteristics'!K:K,MATCH($C1022,'Policy Characteristics'!$C:$C,0)))</f>
        <v/>
      </c>
      <c r="R1022" s="394" t="str">
        <f>IF(ISBLANK(INDEX('Policy Characteristics'!L:L,MATCH($C1022,'Policy Characteristics'!$C:$C,0))),"",INDEX('Policy Characteristics'!L:L,MATCH($C1022,'Policy Characteristics'!$C:$C,0)))</f>
        <v>switch-hydrogen-production-pathway.html</v>
      </c>
    </row>
    <row r="1023" s="384" customFormat="1" customHeight="1" spans="1:18">
      <c r="A1023" s="394" t="str">
        <f>IF(ISBLANK(INDEX('Policy Characteristics'!A:A,MATCH($C1023,'Policy Characteristics'!$C:$C,0))),"",INDEX('Policy Characteristics'!A:A,MATCH($C1023,'Policy Characteristics'!$C:$C,0)))</f>
        <v>Cross-Sector</v>
      </c>
      <c r="B1023" s="395" t="str">
        <f>IF(ISBLANK(INDEX('Policy Characteristics'!B:B,MATCH($C1023,'Policy Characteristics'!$C:$C,0))),"",INDEX('Policy Characteristics'!B:B,MATCH($C1023,'Policy Characteristics'!$C:$C,0)))</f>
        <v>Carbon Price</v>
      </c>
      <c r="C1023" t="s">
        <v>521</v>
      </c>
      <c r="D1023" s="399" t="s">
        <v>838</v>
      </c>
      <c r="E1023" s="399"/>
      <c r="F1023" s="399" t="s">
        <v>839</v>
      </c>
      <c r="G1023" s="399"/>
      <c r="H1023" s="377">
        <v>171</v>
      </c>
      <c r="I1023" s="396" t="s">
        <v>648</v>
      </c>
      <c r="J1023" s="397" t="str">
        <f>IF(ISBLANK(INDEX('Policy Characteristics'!D:D,MATCH($C1023,'Policy Characteristics'!$C:$C,0))),"",INDEX('Policy Characteristics'!D:D,MATCH($C1023,'Policy Characteristics'!$C:$C,0)))</f>
        <v>Carbon Price</v>
      </c>
      <c r="K1023" s="394" t="str">
        <f>IF(ISBLANK(INDEX('Policy Characteristics'!E:E,MATCH($C1023,'Policy Characteristics'!$C:$C,0))),"",INDEX('Policy Characteristics'!E:E,MATCH($C1023,'Policy Characteristics'!$C:$C,0)))</f>
        <v>cross carbon tax</v>
      </c>
      <c r="L1023" s="394">
        <f>IF(ISBLANK(INDEX('Policy Characteristics'!F:F,MATCH($C1023,'Policy Characteristics'!$C:$C,0))),"",INDEX('Policy Characteristics'!F:F,MATCH($C1023,'Policy Characteristics'!$C:$C,0)))</f>
        <v>0</v>
      </c>
      <c r="M1023" s="394">
        <f>IF(ISBLANK(INDEX('Policy Characteristics'!G:G,MATCH($C1023,'Policy Characteristics'!$C:$C,0))),"",INDEX('Policy Characteristics'!G:G,MATCH($C1023,'Policy Characteristics'!$C:$C,0)))</f>
        <v>300</v>
      </c>
      <c r="N1023" s="394">
        <f>IF(ISBLANK(INDEX('Policy Characteristics'!H:H,MATCH($C1023,'Policy Characteristics'!$C:$C,0))),"",INDEX('Policy Characteristics'!H:H,MATCH($C1023,'Policy Characteristics'!$C:$C,0)))</f>
        <v>5</v>
      </c>
      <c r="O1023" s="394" t="str">
        <f>IF(ISBLANK(INDEX('Policy Characteristics'!I:I,MATCH($C1023,'Policy Characteristics'!$C:$C,0))),"",INDEX('Policy Characteristics'!I:I,MATCH($C1023,'Policy Characteristics'!$C:$C,0)))</f>
        <v>2020 RMB / metric ton CO2e</v>
      </c>
      <c r="P1023" s="394" t="str">
        <f>IF(ISBLANK(INDEX('Policy Characteristics'!J:J,MATCH($C1023,'Policy Characteristics'!$C:$C,0))),"",INDEX('Policy Characteristics'!J:J,MATCH($C1023,'Policy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3" s="394" t="str">
        <f>IF(ISBLANK(INDEX('Policy Characteristics'!K:K,MATCH($C1023,'Policy Characteristics'!$C:$C,0))),"",INDEX('Policy Characteristics'!K:K,MATCH($C1023,'Policy Characteristics'!$C:$C,0)))</f>
        <v>fuels.html#carbon-tax</v>
      </c>
      <c r="R1023" s="394" t="str">
        <f>IF(ISBLANK(INDEX('Policy Characteristics'!L:L,MATCH($C1023,'Policy Characteristics'!$C:$C,0))),"",INDEX('Policy Characteristics'!L:L,MATCH($C1023,'Policy Characteristics'!$C:$C,0)))</f>
        <v>carbon-tax.html</v>
      </c>
    </row>
    <row r="1024" s="384" customFormat="1" customHeight="1" spans="1:18">
      <c r="A1024" s="394" t="str">
        <f>IF(ISBLANK(INDEX('Policy Characteristics'!A:A,MATCH($C1024,'Policy Characteristics'!$C:$C,0))),"",INDEX('Policy Characteristics'!A:A,MATCH($C1024,'Policy Characteristics'!$C:$C,0)))</f>
        <v>Cross-Sector</v>
      </c>
      <c r="B1024" s="395" t="str">
        <f>IF(ISBLANK(INDEX('Policy Characteristics'!B:B,MATCH($C1024,'Policy Characteristics'!$C:$C,0))),"",INDEX('Policy Characteristics'!B:B,MATCH($C1024,'Policy Characteristics'!$C:$C,0)))</f>
        <v>Carbon Price</v>
      </c>
      <c r="C1024" s="394" t="str">
        <f t="shared" ref="C1024" si="46">C$1023</f>
        <v>Additional Carbon Tax Rate</v>
      </c>
      <c r="D1024" s="399" t="s">
        <v>840</v>
      </c>
      <c r="E1024" s="399"/>
      <c r="F1024" s="399" t="s">
        <v>841</v>
      </c>
      <c r="G1024" s="399"/>
      <c r="H1024" s="377">
        <v>172</v>
      </c>
      <c r="I1024" s="396" t="s">
        <v>648</v>
      </c>
      <c r="J1024" s="397" t="str">
        <f>IF(ISBLANK(INDEX('Policy Characteristics'!D:D,MATCH($C1024,'Policy Characteristics'!$C:$C,0))),"",INDEX('Policy Characteristics'!D:D,MATCH($C1024,'Policy Characteristics'!$C:$C,0)))</f>
        <v>Carbon Price</v>
      </c>
      <c r="K1024" s="394" t="str">
        <f>IF(ISBLANK(INDEX('Policy Characteristics'!E:E,MATCH($C1024,'Policy Characteristics'!$C:$C,0))),"",INDEX('Policy Characteristics'!E:E,MATCH($C1024,'Policy Characteristics'!$C:$C,0)))</f>
        <v>cross carbon tax</v>
      </c>
      <c r="L1024" s="394">
        <f>IF(ISBLANK(INDEX('Policy Characteristics'!F:F,MATCH($C1024,'Policy Characteristics'!$C:$C,0))),"",INDEX('Policy Characteristics'!F:F,MATCH($C1024,'Policy Characteristics'!$C:$C,0)))</f>
        <v>0</v>
      </c>
      <c r="M1024" s="394">
        <f>IF(ISBLANK(INDEX('Policy Characteristics'!G:G,MATCH($C1024,'Policy Characteristics'!$C:$C,0))),"",INDEX('Policy Characteristics'!G:G,MATCH($C1024,'Policy Characteristics'!$C:$C,0)))</f>
        <v>300</v>
      </c>
      <c r="N1024" s="394">
        <f>IF(ISBLANK(INDEX('Policy Characteristics'!H:H,MATCH($C1024,'Policy Characteristics'!$C:$C,0))),"",INDEX('Policy Characteristics'!H:H,MATCH($C1024,'Policy Characteristics'!$C:$C,0)))</f>
        <v>5</v>
      </c>
      <c r="O1024" s="394" t="str">
        <f>IF(ISBLANK(INDEX('Policy Characteristics'!I:I,MATCH($C1024,'Policy Characteristics'!$C:$C,0))),"",INDEX('Policy Characteristics'!I:I,MATCH($C1024,'Policy Characteristics'!$C:$C,0)))</f>
        <v>2020 RMB / metric ton CO2e</v>
      </c>
      <c r="P1024" s="394" t="str">
        <f>IF(ISBLANK(INDEX('Policy Characteristics'!J:J,MATCH($C1024,'Policy Characteristics'!$C:$C,0))),"",INDEX('Policy Characteristics'!J:J,MATCH($C1024,'Policy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4" s="394" t="str">
        <f>IF(ISBLANK(INDEX('Policy Characteristics'!K:K,MATCH($C1024,'Policy Characteristics'!$C:$C,0))),"",INDEX('Policy Characteristics'!K:K,MATCH($C1024,'Policy Characteristics'!$C:$C,0)))</f>
        <v>fuels.html#carbon-tax</v>
      </c>
      <c r="R1024" s="394" t="str">
        <f>IF(ISBLANK(INDEX('Policy Characteristics'!L:L,MATCH($C1024,'Policy Characteristics'!$C:$C,0))),"",INDEX('Policy Characteristics'!L:L,MATCH($C1024,'Policy Characteristics'!$C:$C,0)))</f>
        <v>carbon-tax.html</v>
      </c>
    </row>
    <row r="1025" s="384" customFormat="1" customHeight="1" spans="1:18">
      <c r="A1025" s="394" t="str">
        <f>IF(ISBLANK(INDEX('Policy Characteristics'!A:A,MATCH($C1025,'Policy Characteristics'!$C:$C,0))),"",INDEX('Policy Characteristics'!A:A,MATCH($C1025,'Policy Characteristics'!$C:$C,0)))</f>
        <v>Cross-Sector</v>
      </c>
      <c r="B1025" s="395" t="str">
        <f>IF(ISBLANK(INDEX('Policy Characteristics'!B:B,MATCH($C1025,'Policy Characteristics'!$C:$C,0))),"",INDEX('Policy Characteristics'!B:B,MATCH($C1025,'Policy Characteristics'!$C:$C,0)))</f>
        <v>Carbon Price</v>
      </c>
      <c r="C1025" s="394" t="str">
        <f t="shared" ref="C1025:C1028" si="47">C$1023</f>
        <v>Additional Carbon Tax Rate</v>
      </c>
      <c r="D1025" s="399" t="s">
        <v>842</v>
      </c>
      <c r="E1025" s="399"/>
      <c r="F1025" s="399" t="s">
        <v>843</v>
      </c>
      <c r="G1025" s="399"/>
      <c r="H1025" s="377">
        <v>173</v>
      </c>
      <c r="I1025" s="396" t="s">
        <v>648</v>
      </c>
      <c r="J1025" s="397" t="str">
        <f>IF(ISBLANK(INDEX('Policy Characteristics'!D:D,MATCH($C1025,'Policy Characteristics'!$C:$C,0))),"",INDEX('Policy Characteristics'!D:D,MATCH($C1025,'Policy Characteristics'!$C:$C,0)))</f>
        <v>Carbon Price</v>
      </c>
      <c r="K1025" s="394" t="str">
        <f>IF(ISBLANK(INDEX('Policy Characteristics'!E:E,MATCH($C1025,'Policy Characteristics'!$C:$C,0))),"",INDEX('Policy Characteristics'!E:E,MATCH($C1025,'Policy Characteristics'!$C:$C,0)))</f>
        <v>cross carbon tax</v>
      </c>
      <c r="L1025" s="394">
        <f>IF(ISBLANK(INDEX('Policy Characteristics'!F:F,MATCH($C1025,'Policy Characteristics'!$C:$C,0))),"",INDEX('Policy Characteristics'!F:F,MATCH($C1025,'Policy Characteristics'!$C:$C,0)))</f>
        <v>0</v>
      </c>
      <c r="M1025" s="394">
        <f>IF(ISBLANK(INDEX('Policy Characteristics'!G:G,MATCH($C1025,'Policy Characteristics'!$C:$C,0))),"",INDEX('Policy Characteristics'!G:G,MATCH($C1025,'Policy Characteristics'!$C:$C,0)))</f>
        <v>300</v>
      </c>
      <c r="N1025" s="394">
        <f>IF(ISBLANK(INDEX('Policy Characteristics'!H:H,MATCH($C1025,'Policy Characteristics'!$C:$C,0))),"",INDEX('Policy Characteristics'!H:H,MATCH($C1025,'Policy Characteristics'!$C:$C,0)))</f>
        <v>5</v>
      </c>
      <c r="O1025" s="394" t="str">
        <f>IF(ISBLANK(INDEX('Policy Characteristics'!I:I,MATCH($C1025,'Policy Characteristics'!$C:$C,0))),"",INDEX('Policy Characteristics'!I:I,MATCH($C1025,'Policy Characteristics'!$C:$C,0)))</f>
        <v>2020 RMB / metric ton CO2e</v>
      </c>
      <c r="P1025" s="394" t="str">
        <f>IF(ISBLANK(INDEX('Policy Characteristics'!J:J,MATCH($C1025,'Policy Characteristics'!$C:$C,0))),"",INDEX('Policy Characteristics'!J:J,MATCH($C1025,'Policy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5" s="394" t="str">
        <f>IF(ISBLANK(INDEX('Policy Characteristics'!K:K,MATCH($C1025,'Policy Characteristics'!$C:$C,0))),"",INDEX('Policy Characteristics'!K:K,MATCH($C1025,'Policy Characteristics'!$C:$C,0)))</f>
        <v>fuels.html#carbon-tax</v>
      </c>
      <c r="R1025" s="394" t="str">
        <f>IF(ISBLANK(INDEX('Policy Characteristics'!L:L,MATCH($C1025,'Policy Characteristics'!$C:$C,0))),"",INDEX('Policy Characteristics'!L:L,MATCH($C1025,'Policy Characteristics'!$C:$C,0)))</f>
        <v>carbon-tax.html</v>
      </c>
    </row>
    <row r="1026" s="384" customFormat="1" customHeight="1" spans="1:18">
      <c r="A1026" s="394" t="str">
        <f>IF(ISBLANK(INDEX('Policy Characteristics'!A:A,MATCH($C1026,'Policy Characteristics'!$C:$C,0))),"",INDEX('Policy Characteristics'!A:A,MATCH($C1026,'Policy Characteristics'!$C:$C,0)))</f>
        <v>Cross-Sector</v>
      </c>
      <c r="B1026" s="395" t="str">
        <f>IF(ISBLANK(INDEX('Policy Characteristics'!B:B,MATCH($C1026,'Policy Characteristics'!$C:$C,0))),"",INDEX('Policy Characteristics'!B:B,MATCH($C1026,'Policy Characteristics'!$C:$C,0)))</f>
        <v>Carbon Price</v>
      </c>
      <c r="C1026" s="394" t="str">
        <f t="shared" si="47"/>
        <v>Additional Carbon Tax Rate</v>
      </c>
      <c r="D1026" s="399" t="s">
        <v>844</v>
      </c>
      <c r="E1026" s="399"/>
      <c r="F1026" s="399" t="s">
        <v>845</v>
      </c>
      <c r="G1026" s="399"/>
      <c r="H1026" s="377">
        <v>174</v>
      </c>
      <c r="I1026" s="396" t="s">
        <v>648</v>
      </c>
      <c r="J1026" s="397" t="str">
        <f>IF(ISBLANK(INDEX('Policy Characteristics'!D:D,MATCH($C1026,'Policy Characteristics'!$C:$C,0))),"",INDEX('Policy Characteristics'!D:D,MATCH($C1026,'Policy Characteristics'!$C:$C,0)))</f>
        <v>Carbon Price</v>
      </c>
      <c r="K1026" s="394" t="str">
        <f>IF(ISBLANK(INDEX('Policy Characteristics'!E:E,MATCH($C1026,'Policy Characteristics'!$C:$C,0))),"",INDEX('Policy Characteristics'!E:E,MATCH($C1026,'Policy Characteristics'!$C:$C,0)))</f>
        <v>cross carbon tax</v>
      </c>
      <c r="L1026" s="394">
        <f>IF(ISBLANK(INDEX('Policy Characteristics'!F:F,MATCH($C1026,'Policy Characteristics'!$C:$C,0))),"",INDEX('Policy Characteristics'!F:F,MATCH($C1026,'Policy Characteristics'!$C:$C,0)))</f>
        <v>0</v>
      </c>
      <c r="M1026" s="394">
        <f>IF(ISBLANK(INDEX('Policy Characteristics'!G:G,MATCH($C1026,'Policy Characteristics'!$C:$C,0))),"",INDEX('Policy Characteristics'!G:G,MATCH($C1026,'Policy Characteristics'!$C:$C,0)))</f>
        <v>300</v>
      </c>
      <c r="N1026" s="394">
        <f>IF(ISBLANK(INDEX('Policy Characteristics'!H:H,MATCH($C1026,'Policy Characteristics'!$C:$C,0))),"",INDEX('Policy Characteristics'!H:H,MATCH($C1026,'Policy Characteristics'!$C:$C,0)))</f>
        <v>5</v>
      </c>
      <c r="O1026" s="394" t="str">
        <f>IF(ISBLANK(INDEX('Policy Characteristics'!I:I,MATCH($C1026,'Policy Characteristics'!$C:$C,0))),"",INDEX('Policy Characteristics'!I:I,MATCH($C1026,'Policy Characteristics'!$C:$C,0)))</f>
        <v>2020 RMB / metric ton CO2e</v>
      </c>
      <c r="P1026" s="394" t="str">
        <f>IF(ISBLANK(INDEX('Policy Characteristics'!J:J,MATCH($C1026,'Policy Characteristics'!$C:$C,0))),"",INDEX('Policy Characteristics'!J:J,MATCH($C1026,'Policy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6" s="394" t="str">
        <f>IF(ISBLANK(INDEX('Policy Characteristics'!K:K,MATCH($C1026,'Policy Characteristics'!$C:$C,0))),"",INDEX('Policy Characteristics'!K:K,MATCH($C1026,'Policy Characteristics'!$C:$C,0)))</f>
        <v>fuels.html#carbon-tax</v>
      </c>
      <c r="R1026" s="394" t="str">
        <f>IF(ISBLANK(INDEX('Policy Characteristics'!L:L,MATCH($C1026,'Policy Characteristics'!$C:$C,0))),"",INDEX('Policy Characteristics'!L:L,MATCH($C1026,'Policy Characteristics'!$C:$C,0)))</f>
        <v>carbon-tax.html</v>
      </c>
    </row>
    <row r="1027" s="384" customFormat="1" customHeight="1" spans="1:18">
      <c r="A1027" s="394" t="str">
        <f>IF(ISBLANK(INDEX('Policy Characteristics'!A:A,MATCH($C1027,'Policy Characteristics'!$C:$C,0))),"",INDEX('Policy Characteristics'!A:A,MATCH($C1027,'Policy Characteristics'!$C:$C,0)))</f>
        <v>Cross-Sector</v>
      </c>
      <c r="B1027" s="395" t="str">
        <f>IF(ISBLANK(INDEX('Policy Characteristics'!B:B,MATCH($C1027,'Policy Characteristics'!$C:$C,0))),"",INDEX('Policy Characteristics'!B:B,MATCH($C1027,'Policy Characteristics'!$C:$C,0)))</f>
        <v>Carbon Price</v>
      </c>
      <c r="C1027" s="394" t="str">
        <f t="shared" si="47"/>
        <v>Additional Carbon Tax Rate</v>
      </c>
      <c r="D1027" s="399" t="s">
        <v>846</v>
      </c>
      <c r="E1027" s="399"/>
      <c r="F1027" s="399" t="s">
        <v>847</v>
      </c>
      <c r="G1027" s="399"/>
      <c r="H1027" s="377">
        <v>175</v>
      </c>
      <c r="I1027" s="396" t="s">
        <v>648</v>
      </c>
      <c r="J1027" s="397" t="str">
        <f>IF(ISBLANK(INDEX('Policy Characteristics'!D:D,MATCH($C1027,'Policy Characteristics'!$C:$C,0))),"",INDEX('Policy Characteristics'!D:D,MATCH($C1027,'Policy Characteristics'!$C:$C,0)))</f>
        <v>Carbon Price</v>
      </c>
      <c r="K1027" s="394" t="str">
        <f>IF(ISBLANK(INDEX('Policy Characteristics'!E:E,MATCH($C1027,'Policy Characteristics'!$C:$C,0))),"",INDEX('Policy Characteristics'!E:E,MATCH($C1027,'Policy Characteristics'!$C:$C,0)))</f>
        <v>cross carbon tax</v>
      </c>
      <c r="L1027" s="394">
        <f>IF(ISBLANK(INDEX('Policy Characteristics'!F:F,MATCH($C1027,'Policy Characteristics'!$C:$C,0))),"",INDEX('Policy Characteristics'!F:F,MATCH($C1027,'Policy Characteristics'!$C:$C,0)))</f>
        <v>0</v>
      </c>
      <c r="M1027" s="394">
        <f>IF(ISBLANK(INDEX('Policy Characteristics'!G:G,MATCH($C1027,'Policy Characteristics'!$C:$C,0))),"",INDEX('Policy Characteristics'!G:G,MATCH($C1027,'Policy Characteristics'!$C:$C,0)))</f>
        <v>300</v>
      </c>
      <c r="N1027" s="394">
        <f>IF(ISBLANK(INDEX('Policy Characteristics'!H:H,MATCH($C1027,'Policy Characteristics'!$C:$C,0))),"",INDEX('Policy Characteristics'!H:H,MATCH($C1027,'Policy Characteristics'!$C:$C,0)))</f>
        <v>5</v>
      </c>
      <c r="O1027" s="394" t="str">
        <f>IF(ISBLANK(INDEX('Policy Characteristics'!I:I,MATCH($C1027,'Policy Characteristics'!$C:$C,0))),"",INDEX('Policy Characteristics'!I:I,MATCH($C1027,'Policy Characteristics'!$C:$C,0)))</f>
        <v>2020 RMB / metric ton CO2e</v>
      </c>
      <c r="P1027" s="394" t="str">
        <f>IF(ISBLANK(INDEX('Policy Characteristics'!J:J,MATCH($C1027,'Policy Characteristics'!$C:$C,0))),"",INDEX('Policy Characteristics'!J:J,MATCH($C1027,'Policy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7" s="394" t="str">
        <f>IF(ISBLANK(INDEX('Policy Characteristics'!K:K,MATCH($C1027,'Policy Characteristics'!$C:$C,0))),"",INDEX('Policy Characteristics'!K:K,MATCH($C1027,'Policy Characteristics'!$C:$C,0)))</f>
        <v>fuels.html#carbon-tax</v>
      </c>
      <c r="R1027" s="394" t="str">
        <f>IF(ISBLANK(INDEX('Policy Characteristics'!L:L,MATCH($C1027,'Policy Characteristics'!$C:$C,0))),"",INDEX('Policy Characteristics'!L:L,MATCH($C1027,'Policy Characteristics'!$C:$C,0)))</f>
        <v>carbon-tax.html</v>
      </c>
    </row>
    <row r="1028" s="384" customFormat="1" customHeight="1" spans="1:18">
      <c r="A1028" s="394" t="str">
        <f>IF(ISBLANK(INDEX('Policy Characteristics'!A:A,MATCH($C1028,'Policy Characteristics'!$C:$C,0))),"",INDEX('Policy Characteristics'!A:A,MATCH($C1028,'Policy Characteristics'!$C:$C,0)))</f>
        <v>Cross-Sector</v>
      </c>
      <c r="B1028" s="395" t="str">
        <f>IF(ISBLANK(INDEX('Policy Characteristics'!B:B,MATCH($C1028,'Policy Characteristics'!$C:$C,0))),"",INDEX('Policy Characteristics'!B:B,MATCH($C1028,'Policy Characteristics'!$C:$C,0)))</f>
        <v>Carbon Price</v>
      </c>
      <c r="C1028" s="394" t="str">
        <f t="shared" si="47"/>
        <v>Additional Carbon Tax Rate</v>
      </c>
      <c r="D1028" s="399" t="s">
        <v>848</v>
      </c>
      <c r="E1028" s="399"/>
      <c r="F1028" s="399" t="s">
        <v>849</v>
      </c>
      <c r="G1028" s="399"/>
      <c r="H1028" s="377">
        <v>544</v>
      </c>
      <c r="I1028" s="396" t="s">
        <v>648</v>
      </c>
      <c r="J1028" s="397" t="str">
        <f>IF(ISBLANK(INDEX('Policy Characteristics'!D:D,MATCH($C1028,'Policy Characteristics'!$C:$C,0))),"",INDEX('Policy Characteristics'!D:D,MATCH($C1028,'Policy Characteristics'!$C:$C,0)))</f>
        <v>Carbon Price</v>
      </c>
      <c r="K1028" s="394" t="str">
        <f>IF(ISBLANK(INDEX('Policy Characteristics'!E:E,MATCH($C1028,'Policy Characteristics'!$C:$C,0))),"",INDEX('Policy Characteristics'!E:E,MATCH($C1028,'Policy Characteristics'!$C:$C,0)))</f>
        <v>cross carbon tax</v>
      </c>
      <c r="L1028" s="394">
        <f>IF(ISBLANK(INDEX('Policy Characteristics'!F:F,MATCH($C1028,'Policy Characteristics'!$C:$C,0))),"",INDEX('Policy Characteristics'!F:F,MATCH($C1028,'Policy Characteristics'!$C:$C,0)))</f>
        <v>0</v>
      </c>
      <c r="M1028" s="394">
        <f>IF(ISBLANK(INDEX('Policy Characteristics'!G:G,MATCH($C1028,'Policy Characteristics'!$C:$C,0))),"",INDEX('Policy Characteristics'!G:G,MATCH($C1028,'Policy Characteristics'!$C:$C,0)))</f>
        <v>300</v>
      </c>
      <c r="N1028" s="394">
        <f>IF(ISBLANK(INDEX('Policy Characteristics'!H:H,MATCH($C1028,'Policy Characteristics'!$C:$C,0))),"",INDEX('Policy Characteristics'!H:H,MATCH($C1028,'Policy Characteristics'!$C:$C,0)))</f>
        <v>5</v>
      </c>
      <c r="O1028" s="394" t="str">
        <f>IF(ISBLANK(INDEX('Policy Characteristics'!I:I,MATCH($C1028,'Policy Characteristics'!$C:$C,0))),"",INDEX('Policy Characteristics'!I:I,MATCH($C1028,'Policy Characteristics'!$C:$C,0)))</f>
        <v>2020 RMB / metric ton CO2e</v>
      </c>
      <c r="P1028" s="394" t="str">
        <f>IF(ISBLANK(INDEX('Policy Characteristics'!J:J,MATCH($C1028,'Policy Characteristics'!$C:$C,0))),"",INDEX('Policy Characteristics'!J:J,MATCH($C1028,'Policy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8" s="394" t="str">
        <f>IF(ISBLANK(INDEX('Policy Characteristics'!K:K,MATCH($C1028,'Policy Characteristics'!$C:$C,0))),"",INDEX('Policy Characteristics'!K:K,MATCH($C1028,'Policy Characteristics'!$C:$C,0)))</f>
        <v>fuels.html#carbon-tax</v>
      </c>
      <c r="R1028" s="394" t="str">
        <f>IF(ISBLANK(INDEX('Policy Characteristics'!L:L,MATCH($C1028,'Policy Characteristics'!$C:$C,0))),"",INDEX('Policy Characteristics'!L:L,MATCH($C1028,'Policy Characteristics'!$C:$C,0)))</f>
        <v>carbon-tax.html</v>
      </c>
    </row>
    <row r="1029" s="384" customFormat="1" customHeight="1" spans="1:18">
      <c r="A1029" s="394" t="str">
        <f>IF(ISBLANK(INDEX('Policy Characteristics'!A:A,MATCH($C1029,'Policy Characteristics'!$C:$C,0))),"",INDEX('Policy Characteristics'!A:A,MATCH($C1029,'Policy Characteristics'!$C:$C,0)))</f>
        <v>Cross-Sector</v>
      </c>
      <c r="B1029" s="395" t="str">
        <f>IF(ISBLANK(INDEX('Policy Characteristics'!B:B,MATCH($C1029,'Policy Characteristics'!$C:$C,0))),"",INDEX('Policy Characteristics'!B:B,MATCH($C1029,'Policy Characteristics'!$C:$C,0)))</f>
        <v>End Existing Subsidies</v>
      </c>
      <c r="C1029" t="s">
        <v>529</v>
      </c>
      <c r="D1029" s="399" t="s">
        <v>850</v>
      </c>
      <c r="E1029" s="399"/>
      <c r="F1029" s="399" t="s">
        <v>851</v>
      </c>
      <c r="G1029" s="399"/>
      <c r="H1029" s="377">
        <v>706</v>
      </c>
      <c r="I1029" s="396" t="s">
        <v>658</v>
      </c>
      <c r="J1029" s="397" t="str">
        <f>IF(ISBLANK(INDEX('Policy Characteristics'!D:D,MATCH($C1029,'Policy Characteristics'!$C:$C,0))),"",INDEX('Policy Characteristics'!D:D,MATCH($C1029,'Policy Characteristics'!$C:$C,0)))</f>
        <v>End Existing Subsidies</v>
      </c>
      <c r="K1029" s="394" t="str">
        <f>IF(ISBLANK(INDEX('Policy Characteristics'!E:E,MATCH($C1029,'Policy Characteristics'!$C:$C,0))),"",INDEX('Policy Characteristics'!E:E,MATCH($C1029,'Policy Characteristics'!$C:$C,0)))</f>
        <v>cross reduce BAU subsidies</v>
      </c>
      <c r="L1029" s="398">
        <f>IF(ISBLANK(INDEX('Policy Characteristics'!F:F,MATCH($C1029,'Policy Characteristics'!$C:$C,0))),"",INDEX('Policy Characteristics'!F:F,MATCH($C1029,'Policy Characteristics'!$C:$C,0)))</f>
        <v>0</v>
      </c>
      <c r="M1029" s="398">
        <f>IF(ISBLANK(INDEX('Policy Characteristics'!G:G,MATCH($C1029,'Policy Characteristics'!$C:$C,0))),"",INDEX('Policy Characteristics'!G:G,MATCH($C1029,'Policy Characteristics'!$C:$C,0)))</f>
        <v>1</v>
      </c>
      <c r="N1029" s="398">
        <f>IF(ISBLANK(INDEX('Policy Characteristics'!H:H,MATCH($C1029,'Policy Characteristics'!$C:$C,0))),"",INDEX('Policy Characteristics'!H:H,MATCH($C1029,'Policy Characteristics'!$C:$C,0)))</f>
        <v>0.01</v>
      </c>
      <c r="O1029" s="394" t="str">
        <f>IF(ISBLANK(INDEX('Policy Characteristics'!I:I,MATCH($C1029,'Policy Characteristics'!$C:$C,0))),"",INDEX('Policy Characteristics'!I:I,MATCH($C1029,'Policy Characteristics'!$C:$C,0)))</f>
        <v>% reduction in BAU subsidies</v>
      </c>
      <c r="P1029" s="394" t="str">
        <f>IF(ISBLANK(INDEX('Policy Characteristics'!J:J,MATCH($C1029,'Policy Characteristics'!$C:$C,0))),"",INDEX('Policy Characteristics'!J:J,MATCH($C1029,'Policy Characteristics'!$C:$C,0)))</f>
        <v>**Description:** This policy reduces the subsidies paid for the production of the selected energy source(s) in the BAU case.</v>
      </c>
      <c r="Q1029" s="394" t="str">
        <f>IF(ISBLANK(INDEX('Policy Characteristics'!K:K,MATCH($C1029,'Policy Characteristics'!$C:$C,0))),"",INDEX('Policy Characteristics'!K:K,MATCH($C1029,'Policy Characteristics'!$C:$C,0)))</f>
        <v>fuels.html#end-subsidies</v>
      </c>
      <c r="R1029" s="394" t="str">
        <f>IF(ISBLANK(INDEX('Policy Characteristics'!L:L,MATCH($C1029,'Policy Characteristics'!$C:$C,0))),"",INDEX('Policy Characteristics'!L:L,MATCH($C1029,'Policy Characteristics'!$C:$C,0)))</f>
        <v>end-existing-subsidies.html</v>
      </c>
    </row>
    <row r="1030" s="384" customFormat="1" customHeight="1" spans="1:18">
      <c r="A1030" s="394" t="str">
        <f>IF(ISBLANK(INDEX('Policy Characteristics'!A:A,MATCH($C1030,'Policy Characteristics'!$C:$C,0))),"",INDEX('Policy Characteristics'!A:A,MATCH($C1030,'Policy Characteristics'!$C:$C,0)))</f>
        <v>Cross-Sector</v>
      </c>
      <c r="B1030" s="395" t="str">
        <f>IF(ISBLANK(INDEX('Policy Characteristics'!B:B,MATCH($C1030,'Policy Characteristics'!$C:$C,0))),"",INDEX('Policy Characteristics'!B:B,MATCH($C1030,'Policy Characteristics'!$C:$C,0)))</f>
        <v>End Existing Subsidies</v>
      </c>
      <c r="C1030" s="394" t="str">
        <f t="shared" ref="C1030:C1045" si="48">C$1029</f>
        <v>Percent Reduction in BAU Subsidies</v>
      </c>
      <c r="D1030" s="399" t="s">
        <v>823</v>
      </c>
      <c r="E1030" s="399"/>
      <c r="F1030" s="399" t="s">
        <v>702</v>
      </c>
      <c r="G1030" s="399"/>
      <c r="H1030" s="377">
        <v>69</v>
      </c>
      <c r="I1030" s="396" t="s">
        <v>648</v>
      </c>
      <c r="J1030" s="397" t="str">
        <f>IF(ISBLANK(INDEX('Policy Characteristics'!D:D,MATCH($C1030,'Policy Characteristics'!$C:$C,0))),"",INDEX('Policy Characteristics'!D:D,MATCH($C1030,'Policy Characteristics'!$C:$C,0)))</f>
        <v>End Existing Subsidies</v>
      </c>
      <c r="K1030" s="394" t="str">
        <f>IF(ISBLANK(INDEX('Policy Characteristics'!E:E,MATCH($C1030,'Policy Characteristics'!$C:$C,0))),"",INDEX('Policy Characteristics'!E:E,MATCH($C1030,'Policy Characteristics'!$C:$C,0)))</f>
        <v>cross reduce BAU subsidies</v>
      </c>
      <c r="L1030" s="398">
        <f>IF(ISBLANK(INDEX('Policy Characteristics'!F:F,MATCH($C1030,'Policy Characteristics'!$C:$C,0))),"",INDEX('Policy Characteristics'!F:F,MATCH($C1030,'Policy Characteristics'!$C:$C,0)))</f>
        <v>0</v>
      </c>
      <c r="M1030" s="398">
        <f>IF(ISBLANK(INDEX('Policy Characteristics'!G:G,MATCH($C1030,'Policy Characteristics'!$C:$C,0))),"",INDEX('Policy Characteristics'!G:G,MATCH($C1030,'Policy Characteristics'!$C:$C,0)))</f>
        <v>1</v>
      </c>
      <c r="N1030" s="398">
        <f>IF(ISBLANK(INDEX('Policy Characteristics'!H:H,MATCH($C1030,'Policy Characteristics'!$C:$C,0))),"",INDEX('Policy Characteristics'!H:H,MATCH($C1030,'Policy Characteristics'!$C:$C,0)))</f>
        <v>0.01</v>
      </c>
      <c r="O1030" s="394" t="str">
        <f>IF(ISBLANK(INDEX('Policy Characteristics'!I:I,MATCH($C1030,'Policy Characteristics'!$C:$C,0))),"",INDEX('Policy Characteristics'!I:I,MATCH($C1030,'Policy Characteristics'!$C:$C,0)))</f>
        <v>% reduction in BAU subsidies</v>
      </c>
      <c r="P1030" s="394" t="str">
        <f>IF(ISBLANK(INDEX('Policy Characteristics'!J:J,MATCH($C1030,'Policy Characteristics'!$C:$C,0))),"",INDEX('Policy Characteristics'!J:J,MATCH($C1030,'Policy Characteristics'!$C:$C,0)))</f>
        <v>**Description:** This policy reduces the subsidies paid for the production of the selected energy source(s) in the BAU case.</v>
      </c>
      <c r="Q1030" s="394" t="str">
        <f>IF(ISBLANK(INDEX('Policy Characteristics'!K:K,MATCH($C1030,'Policy Characteristics'!$C:$C,0))),"",INDEX('Policy Characteristics'!K:K,MATCH($C1030,'Policy Characteristics'!$C:$C,0)))</f>
        <v>fuels.html#end-subsidies</v>
      </c>
      <c r="R1030" s="394" t="str">
        <f>IF(ISBLANK(INDEX('Policy Characteristics'!L:L,MATCH($C1030,'Policy Characteristics'!$C:$C,0))),"",INDEX('Policy Characteristics'!L:L,MATCH($C1030,'Policy Characteristics'!$C:$C,0)))</f>
        <v>end-existing-subsidies.html</v>
      </c>
    </row>
    <row r="1031" s="384" customFormat="1" customHeight="1" spans="1:18">
      <c r="A1031" s="394" t="str">
        <f>IF(ISBLANK(INDEX('Policy Characteristics'!A:A,MATCH($C1031,'Policy Characteristics'!$C:$C,0))),"",INDEX('Policy Characteristics'!A:A,MATCH($C1031,'Policy Characteristics'!$C:$C,0)))</f>
        <v>Cross-Sector</v>
      </c>
      <c r="B1031" s="395" t="str">
        <f>IF(ISBLANK(INDEX('Policy Characteristics'!B:B,MATCH($C1031,'Policy Characteristics'!$C:$C,0))),"",INDEX('Policy Characteristics'!B:B,MATCH($C1031,'Policy Characteristics'!$C:$C,0)))</f>
        <v>End Existing Subsidies</v>
      </c>
      <c r="C1031" s="394" t="str">
        <f t="shared" si="48"/>
        <v>Percent Reduction in BAU Subsidies</v>
      </c>
      <c r="D1031" s="399" t="s">
        <v>824</v>
      </c>
      <c r="E1031" s="399"/>
      <c r="F1031" s="399" t="s">
        <v>825</v>
      </c>
      <c r="G1031" s="399"/>
      <c r="H1031" s="377">
        <v>70</v>
      </c>
      <c r="I1031" s="396" t="s">
        <v>648</v>
      </c>
      <c r="J1031" s="397" t="str">
        <f>IF(ISBLANK(INDEX('Policy Characteristics'!D:D,MATCH($C1031,'Policy Characteristics'!$C:$C,0))),"",INDEX('Policy Characteristics'!D:D,MATCH($C1031,'Policy Characteristics'!$C:$C,0)))</f>
        <v>End Existing Subsidies</v>
      </c>
      <c r="K1031" s="394" t="str">
        <f>IF(ISBLANK(INDEX('Policy Characteristics'!E:E,MATCH($C1031,'Policy Characteristics'!$C:$C,0))),"",INDEX('Policy Characteristics'!E:E,MATCH($C1031,'Policy Characteristics'!$C:$C,0)))</f>
        <v>cross reduce BAU subsidies</v>
      </c>
      <c r="L1031" s="398">
        <f>IF(ISBLANK(INDEX('Policy Characteristics'!F:F,MATCH($C1031,'Policy Characteristics'!$C:$C,0))),"",INDEX('Policy Characteristics'!F:F,MATCH($C1031,'Policy Characteristics'!$C:$C,0)))</f>
        <v>0</v>
      </c>
      <c r="M1031" s="398">
        <f>IF(ISBLANK(INDEX('Policy Characteristics'!G:G,MATCH($C1031,'Policy Characteristics'!$C:$C,0))),"",INDEX('Policy Characteristics'!G:G,MATCH($C1031,'Policy Characteristics'!$C:$C,0)))</f>
        <v>1</v>
      </c>
      <c r="N1031" s="398">
        <f>IF(ISBLANK(INDEX('Policy Characteristics'!H:H,MATCH($C1031,'Policy Characteristics'!$C:$C,0))),"",INDEX('Policy Characteristics'!H:H,MATCH($C1031,'Policy Characteristics'!$C:$C,0)))</f>
        <v>0.01</v>
      </c>
      <c r="O1031" s="394" t="str">
        <f>IF(ISBLANK(INDEX('Policy Characteristics'!I:I,MATCH($C1031,'Policy Characteristics'!$C:$C,0))),"",INDEX('Policy Characteristics'!I:I,MATCH($C1031,'Policy Characteristics'!$C:$C,0)))</f>
        <v>% reduction in BAU subsidies</v>
      </c>
      <c r="P1031" s="394" t="str">
        <f>IF(ISBLANK(INDEX('Policy Characteristics'!J:J,MATCH($C1031,'Policy Characteristics'!$C:$C,0))),"",INDEX('Policy Characteristics'!J:J,MATCH($C1031,'Policy Characteristics'!$C:$C,0)))</f>
        <v>**Description:** This policy reduces the subsidies paid for the production of the selected energy source(s) in the BAU case.</v>
      </c>
      <c r="Q1031" s="394" t="str">
        <f>IF(ISBLANK(INDEX('Policy Characteristics'!K:K,MATCH($C1031,'Policy Characteristics'!$C:$C,0))),"",INDEX('Policy Characteristics'!K:K,MATCH($C1031,'Policy Characteristics'!$C:$C,0)))</f>
        <v>fuels.html#end-subsidies</v>
      </c>
      <c r="R1031" s="394" t="str">
        <f>IF(ISBLANK(INDEX('Policy Characteristics'!L:L,MATCH($C1031,'Policy Characteristics'!$C:$C,0))),"",INDEX('Policy Characteristics'!L:L,MATCH($C1031,'Policy Characteristics'!$C:$C,0)))</f>
        <v>end-existing-subsidies.html</v>
      </c>
    </row>
    <row r="1032" s="384" customFormat="1" customHeight="1" spans="1:18">
      <c r="A1032" s="394" t="str">
        <f>IF(ISBLANK(INDEX('Policy Characteristics'!A:A,MATCH($C1032,'Policy Characteristics'!$C:$C,0))),"",INDEX('Policy Characteristics'!A:A,MATCH($C1032,'Policy Characteristics'!$C:$C,0)))</f>
        <v>Cross-Sector</v>
      </c>
      <c r="B1032" s="395" t="str">
        <f>IF(ISBLANK(INDEX('Policy Characteristics'!B:B,MATCH($C1032,'Policy Characteristics'!$C:$C,0))),"",INDEX('Policy Characteristics'!B:B,MATCH($C1032,'Policy Characteristics'!$C:$C,0)))</f>
        <v>End Existing Subsidies</v>
      </c>
      <c r="C1032" s="394" t="str">
        <f t="shared" si="48"/>
        <v>Percent Reduction in BAU Subsidies</v>
      </c>
      <c r="D1032" s="399" t="s">
        <v>852</v>
      </c>
      <c r="E1032" s="399"/>
      <c r="F1032" s="399" t="s">
        <v>706</v>
      </c>
      <c r="G1032" s="399"/>
      <c r="H1032" s="377">
        <v>71</v>
      </c>
      <c r="I1032" s="396" t="s">
        <v>648</v>
      </c>
      <c r="J1032" s="397" t="str">
        <f>IF(ISBLANK(INDEX('Policy Characteristics'!D:D,MATCH($C1032,'Policy Characteristics'!$C:$C,0))),"",INDEX('Policy Characteristics'!D:D,MATCH($C1032,'Policy Characteristics'!$C:$C,0)))</f>
        <v>End Existing Subsidies</v>
      </c>
      <c r="K1032" s="394" t="str">
        <f>IF(ISBLANK(INDEX('Policy Characteristics'!E:E,MATCH($C1032,'Policy Characteristics'!$C:$C,0))),"",INDEX('Policy Characteristics'!E:E,MATCH($C1032,'Policy Characteristics'!$C:$C,0)))</f>
        <v>cross reduce BAU subsidies</v>
      </c>
      <c r="L1032" s="398">
        <f>IF(ISBLANK(INDEX('Policy Characteristics'!F:F,MATCH($C1032,'Policy Characteristics'!$C:$C,0))),"",INDEX('Policy Characteristics'!F:F,MATCH($C1032,'Policy Characteristics'!$C:$C,0)))</f>
        <v>0</v>
      </c>
      <c r="M1032" s="398">
        <f>IF(ISBLANK(INDEX('Policy Characteristics'!G:G,MATCH($C1032,'Policy Characteristics'!$C:$C,0))),"",INDEX('Policy Characteristics'!G:G,MATCH($C1032,'Policy Characteristics'!$C:$C,0)))</f>
        <v>1</v>
      </c>
      <c r="N1032" s="398">
        <f>IF(ISBLANK(INDEX('Policy Characteristics'!H:H,MATCH($C1032,'Policy Characteristics'!$C:$C,0))),"",INDEX('Policy Characteristics'!H:H,MATCH($C1032,'Policy Characteristics'!$C:$C,0)))</f>
        <v>0.01</v>
      </c>
      <c r="O1032" s="394" t="str">
        <f>IF(ISBLANK(INDEX('Policy Characteristics'!I:I,MATCH($C1032,'Policy Characteristics'!$C:$C,0))),"",INDEX('Policy Characteristics'!I:I,MATCH($C1032,'Policy Characteristics'!$C:$C,0)))</f>
        <v>% reduction in BAU subsidies</v>
      </c>
      <c r="P1032" s="394" t="str">
        <f>IF(ISBLANK(INDEX('Policy Characteristics'!J:J,MATCH($C1032,'Policy Characteristics'!$C:$C,0))),"",INDEX('Policy Characteristics'!J:J,MATCH($C1032,'Policy Characteristics'!$C:$C,0)))</f>
        <v>**Description:** This policy reduces the subsidies paid for the production of the selected energy source(s) in the BAU case.</v>
      </c>
      <c r="Q1032" s="394" t="str">
        <f>IF(ISBLANK(INDEX('Policy Characteristics'!K:K,MATCH($C1032,'Policy Characteristics'!$C:$C,0))),"",INDEX('Policy Characteristics'!K:K,MATCH($C1032,'Policy Characteristics'!$C:$C,0)))</f>
        <v>fuels.html#end-subsidies</v>
      </c>
      <c r="R1032" s="394" t="str">
        <f>IF(ISBLANK(INDEX('Policy Characteristics'!L:L,MATCH($C1032,'Policy Characteristics'!$C:$C,0))),"",INDEX('Policy Characteristics'!L:L,MATCH($C1032,'Policy Characteristics'!$C:$C,0)))</f>
        <v>end-existing-subsidies.html</v>
      </c>
    </row>
    <row r="1033" s="384" customFormat="1" customHeight="1" spans="1:18">
      <c r="A1033" s="394" t="str">
        <f>IF(ISBLANK(INDEX('Policy Characteristics'!A:A,MATCH($C1033,'Policy Characteristics'!$C:$C,0))),"",INDEX('Policy Characteristics'!A:A,MATCH($C1033,'Policy Characteristics'!$C:$C,0)))</f>
        <v>Cross-Sector</v>
      </c>
      <c r="B1033" s="395" t="str">
        <f>IF(ISBLANK(INDEX('Policy Characteristics'!B:B,MATCH($C1033,'Policy Characteristics'!$C:$C,0))),"",INDEX('Policy Characteristics'!B:B,MATCH($C1033,'Policy Characteristics'!$C:$C,0)))</f>
        <v>End Existing Subsidies</v>
      </c>
      <c r="C1033" s="394" t="str">
        <f t="shared" si="48"/>
        <v>Percent Reduction in BAU Subsidies</v>
      </c>
      <c r="D1033" s="399" t="s">
        <v>853</v>
      </c>
      <c r="E1033" s="399"/>
      <c r="F1033" s="399" t="s">
        <v>708</v>
      </c>
      <c r="G1033" s="399"/>
      <c r="H1033" s="377">
        <v>72</v>
      </c>
      <c r="I1033" s="396" t="s">
        <v>658</v>
      </c>
      <c r="J1033" s="397" t="str">
        <f>IF(ISBLANK(INDEX('Policy Characteristics'!D:D,MATCH($C1033,'Policy Characteristics'!$C:$C,0))),"",INDEX('Policy Characteristics'!D:D,MATCH($C1033,'Policy Characteristics'!$C:$C,0)))</f>
        <v>End Existing Subsidies</v>
      </c>
      <c r="K1033" s="394" t="str">
        <f>IF(ISBLANK(INDEX('Policy Characteristics'!E:E,MATCH($C1033,'Policy Characteristics'!$C:$C,0))),"",INDEX('Policy Characteristics'!E:E,MATCH($C1033,'Policy Characteristics'!$C:$C,0)))</f>
        <v>cross reduce BAU subsidies</v>
      </c>
      <c r="L1033" s="398">
        <f>IF(ISBLANK(INDEX('Policy Characteristics'!F:F,MATCH($C1033,'Policy Characteristics'!$C:$C,0))),"",INDEX('Policy Characteristics'!F:F,MATCH($C1033,'Policy Characteristics'!$C:$C,0)))</f>
        <v>0</v>
      </c>
      <c r="M1033" s="398">
        <f>IF(ISBLANK(INDEX('Policy Characteristics'!G:G,MATCH($C1033,'Policy Characteristics'!$C:$C,0))),"",INDEX('Policy Characteristics'!G:G,MATCH($C1033,'Policy Characteristics'!$C:$C,0)))</f>
        <v>1</v>
      </c>
      <c r="N1033" s="398">
        <f>IF(ISBLANK(INDEX('Policy Characteristics'!H:H,MATCH($C1033,'Policy Characteristics'!$C:$C,0))),"",INDEX('Policy Characteristics'!H:H,MATCH($C1033,'Policy Characteristics'!$C:$C,0)))</f>
        <v>0.01</v>
      </c>
      <c r="O1033" s="394" t="str">
        <f>IF(ISBLANK(INDEX('Policy Characteristics'!I:I,MATCH($C1033,'Policy Characteristics'!$C:$C,0))),"",INDEX('Policy Characteristics'!I:I,MATCH($C1033,'Policy Characteristics'!$C:$C,0)))</f>
        <v>% reduction in BAU subsidies</v>
      </c>
      <c r="P1033" s="394" t="str">
        <f>IF(ISBLANK(INDEX('Policy Characteristics'!J:J,MATCH($C1033,'Policy Characteristics'!$C:$C,0))),"",INDEX('Policy Characteristics'!J:J,MATCH($C1033,'Policy Characteristics'!$C:$C,0)))</f>
        <v>**Description:** This policy reduces the subsidies paid for the production of the selected energy source(s) in the BAU case.</v>
      </c>
      <c r="Q1033" s="394" t="str">
        <f>IF(ISBLANK(INDEX('Policy Characteristics'!K:K,MATCH($C1033,'Policy Characteristics'!$C:$C,0))),"",INDEX('Policy Characteristics'!K:K,MATCH($C1033,'Policy Characteristics'!$C:$C,0)))</f>
        <v>fuels.html#end-subsidies</v>
      </c>
      <c r="R1033" s="394" t="str">
        <f>IF(ISBLANK(INDEX('Policy Characteristics'!L:L,MATCH($C1033,'Policy Characteristics'!$C:$C,0))),"",INDEX('Policy Characteristics'!L:L,MATCH($C1033,'Policy Characteristics'!$C:$C,0)))</f>
        <v>end-existing-subsidies.html</v>
      </c>
    </row>
    <row r="1034" s="384" customFormat="1" customHeight="1" spans="1:18">
      <c r="A1034" s="394" t="str">
        <f>IF(ISBLANK(INDEX('Policy Characteristics'!A:A,MATCH($C1034,'Policy Characteristics'!$C:$C,0))),"",INDEX('Policy Characteristics'!A:A,MATCH($C1034,'Policy Characteristics'!$C:$C,0)))</f>
        <v>Cross-Sector</v>
      </c>
      <c r="B1034" s="395" t="str">
        <f>IF(ISBLANK(INDEX('Policy Characteristics'!B:B,MATCH($C1034,'Policy Characteristics'!$C:$C,0))),"",INDEX('Policy Characteristics'!B:B,MATCH($C1034,'Policy Characteristics'!$C:$C,0)))</f>
        <v>End Existing Subsidies</v>
      </c>
      <c r="C1034" s="394" t="str">
        <f t="shared" si="48"/>
        <v>Percent Reduction in BAU Subsidies</v>
      </c>
      <c r="D1034" s="399" t="s">
        <v>854</v>
      </c>
      <c r="E1034" s="399"/>
      <c r="F1034" s="399" t="s">
        <v>710</v>
      </c>
      <c r="G1034" s="399"/>
      <c r="H1034" s="377">
        <v>73</v>
      </c>
      <c r="I1034" s="396" t="s">
        <v>658</v>
      </c>
      <c r="J1034" s="397" t="str">
        <f>IF(ISBLANK(INDEX('Policy Characteristics'!D:D,MATCH($C1034,'Policy Characteristics'!$C:$C,0))),"",INDEX('Policy Characteristics'!D:D,MATCH($C1034,'Policy Characteristics'!$C:$C,0)))</f>
        <v>End Existing Subsidies</v>
      </c>
      <c r="K1034" s="394" t="str">
        <f>IF(ISBLANK(INDEX('Policy Characteristics'!E:E,MATCH($C1034,'Policy Characteristics'!$C:$C,0))),"",INDEX('Policy Characteristics'!E:E,MATCH($C1034,'Policy Characteristics'!$C:$C,0)))</f>
        <v>cross reduce BAU subsidies</v>
      </c>
      <c r="L1034" s="398">
        <f>IF(ISBLANK(INDEX('Policy Characteristics'!F:F,MATCH($C1034,'Policy Characteristics'!$C:$C,0))),"",INDEX('Policy Characteristics'!F:F,MATCH($C1034,'Policy Characteristics'!$C:$C,0)))</f>
        <v>0</v>
      </c>
      <c r="M1034" s="398">
        <f>IF(ISBLANK(INDEX('Policy Characteristics'!G:G,MATCH($C1034,'Policy Characteristics'!$C:$C,0))),"",INDEX('Policy Characteristics'!G:G,MATCH($C1034,'Policy Characteristics'!$C:$C,0)))</f>
        <v>1</v>
      </c>
      <c r="N1034" s="398">
        <f>IF(ISBLANK(INDEX('Policy Characteristics'!H:H,MATCH($C1034,'Policy Characteristics'!$C:$C,0))),"",INDEX('Policy Characteristics'!H:H,MATCH($C1034,'Policy Characteristics'!$C:$C,0)))</f>
        <v>0.01</v>
      </c>
      <c r="O1034" s="394" t="str">
        <f>IF(ISBLANK(INDEX('Policy Characteristics'!I:I,MATCH($C1034,'Policy Characteristics'!$C:$C,0))),"",INDEX('Policy Characteristics'!I:I,MATCH($C1034,'Policy Characteristics'!$C:$C,0)))</f>
        <v>% reduction in BAU subsidies</v>
      </c>
      <c r="P1034" s="394" t="str">
        <f>IF(ISBLANK(INDEX('Policy Characteristics'!J:J,MATCH($C1034,'Policy Characteristics'!$C:$C,0))),"",INDEX('Policy Characteristics'!J:J,MATCH($C1034,'Policy Characteristics'!$C:$C,0)))</f>
        <v>**Description:** This policy reduces the subsidies paid for the production of the selected energy source(s) in the BAU case.</v>
      </c>
      <c r="Q1034" s="394" t="str">
        <f>IF(ISBLANK(INDEX('Policy Characteristics'!K:K,MATCH($C1034,'Policy Characteristics'!$C:$C,0))),"",INDEX('Policy Characteristics'!K:K,MATCH($C1034,'Policy Characteristics'!$C:$C,0)))</f>
        <v>fuels.html#end-subsidies</v>
      </c>
      <c r="R1034" s="394" t="str">
        <f>IF(ISBLANK(INDEX('Policy Characteristics'!L:L,MATCH($C1034,'Policy Characteristics'!$C:$C,0))),"",INDEX('Policy Characteristics'!L:L,MATCH($C1034,'Policy Characteristics'!$C:$C,0)))</f>
        <v>end-existing-subsidies.html</v>
      </c>
    </row>
    <row r="1035" s="384" customFormat="1" customHeight="1" spans="1:18">
      <c r="A1035" s="394" t="str">
        <f>IF(ISBLANK(INDEX('Policy Characteristics'!A:A,MATCH($C1035,'Policy Characteristics'!$C:$C,0))),"",INDEX('Policy Characteristics'!A:A,MATCH($C1035,'Policy Characteristics'!$C:$C,0)))</f>
        <v>Cross-Sector</v>
      </c>
      <c r="B1035" s="395" t="str">
        <f>IF(ISBLANK(INDEX('Policy Characteristics'!B:B,MATCH($C1035,'Policy Characteristics'!$C:$C,0))),"",INDEX('Policy Characteristics'!B:B,MATCH($C1035,'Policy Characteristics'!$C:$C,0)))</f>
        <v>End Existing Subsidies</v>
      </c>
      <c r="C1035" s="394" t="str">
        <f t="shared" si="48"/>
        <v>Percent Reduction in BAU Subsidies</v>
      </c>
      <c r="D1035" s="399" t="s">
        <v>855</v>
      </c>
      <c r="E1035" s="399"/>
      <c r="F1035" s="399" t="s">
        <v>856</v>
      </c>
      <c r="G1035" s="399"/>
      <c r="H1035" s="377">
        <v>74</v>
      </c>
      <c r="I1035" s="396" t="s">
        <v>648</v>
      </c>
      <c r="J1035" s="397" t="str">
        <f>IF(ISBLANK(INDEX('Policy Characteristics'!D:D,MATCH($C1035,'Policy Characteristics'!$C:$C,0))),"",INDEX('Policy Characteristics'!D:D,MATCH($C1035,'Policy Characteristics'!$C:$C,0)))</f>
        <v>End Existing Subsidies</v>
      </c>
      <c r="K1035" s="394" t="str">
        <f>IF(ISBLANK(INDEX('Policy Characteristics'!E:E,MATCH($C1035,'Policy Characteristics'!$C:$C,0))),"",INDEX('Policy Characteristics'!E:E,MATCH($C1035,'Policy Characteristics'!$C:$C,0)))</f>
        <v>cross reduce BAU subsidies</v>
      </c>
      <c r="L1035" s="398">
        <f>IF(ISBLANK(INDEX('Policy Characteristics'!F:F,MATCH($C1035,'Policy Characteristics'!$C:$C,0))),"",INDEX('Policy Characteristics'!F:F,MATCH($C1035,'Policy Characteristics'!$C:$C,0)))</f>
        <v>0</v>
      </c>
      <c r="M1035" s="398">
        <f>IF(ISBLANK(INDEX('Policy Characteristics'!G:G,MATCH($C1035,'Policy Characteristics'!$C:$C,0))),"",INDEX('Policy Characteristics'!G:G,MATCH($C1035,'Policy Characteristics'!$C:$C,0)))</f>
        <v>1</v>
      </c>
      <c r="N1035" s="398">
        <f>IF(ISBLANK(INDEX('Policy Characteristics'!H:H,MATCH($C1035,'Policy Characteristics'!$C:$C,0))),"",INDEX('Policy Characteristics'!H:H,MATCH($C1035,'Policy Characteristics'!$C:$C,0)))</f>
        <v>0.01</v>
      </c>
      <c r="O1035" s="394" t="str">
        <f>IF(ISBLANK(INDEX('Policy Characteristics'!I:I,MATCH($C1035,'Policy Characteristics'!$C:$C,0))),"",INDEX('Policy Characteristics'!I:I,MATCH($C1035,'Policy Characteristics'!$C:$C,0)))</f>
        <v>% reduction in BAU subsidies</v>
      </c>
      <c r="P1035" s="394" t="str">
        <f>IF(ISBLANK(INDEX('Policy Characteristics'!J:J,MATCH($C1035,'Policy Characteristics'!$C:$C,0))),"",INDEX('Policy Characteristics'!J:J,MATCH($C1035,'Policy Characteristics'!$C:$C,0)))</f>
        <v>**Description:** This policy reduces the subsidies paid for the production of the selected energy source(s) in the BAU case.</v>
      </c>
      <c r="Q1035" s="394" t="str">
        <f>IF(ISBLANK(INDEX('Policy Characteristics'!K:K,MATCH($C1035,'Policy Characteristics'!$C:$C,0))),"",INDEX('Policy Characteristics'!K:K,MATCH($C1035,'Policy Characteristics'!$C:$C,0)))</f>
        <v>fuels.html#end-subsidies</v>
      </c>
      <c r="R1035" s="394" t="str">
        <f>IF(ISBLANK(INDEX('Policy Characteristics'!L:L,MATCH($C1035,'Policy Characteristics'!$C:$C,0))),"",INDEX('Policy Characteristics'!L:L,MATCH($C1035,'Policy Characteristics'!$C:$C,0)))</f>
        <v>end-existing-subsidies.html</v>
      </c>
    </row>
    <row r="1036" s="384" customFormat="1" customHeight="1" spans="1:18">
      <c r="A1036" s="394" t="str">
        <f>IF(ISBLANK(INDEX('Policy Characteristics'!A:A,MATCH($C1036,'Policy Characteristics'!$C:$C,0))),"",INDEX('Policy Characteristics'!A:A,MATCH($C1036,'Policy Characteristics'!$C:$C,0)))</f>
        <v>Cross-Sector</v>
      </c>
      <c r="B1036" s="395" t="str">
        <f>IF(ISBLANK(INDEX('Policy Characteristics'!B:B,MATCH($C1036,'Policy Characteristics'!$C:$C,0))),"",INDEX('Policy Characteristics'!B:B,MATCH($C1036,'Policy Characteristics'!$C:$C,0)))</f>
        <v>End Existing Subsidies</v>
      </c>
      <c r="C1036" s="394" t="str">
        <f t="shared" si="48"/>
        <v>Percent Reduction in BAU Subsidies</v>
      </c>
      <c r="D1036" s="399" t="s">
        <v>857</v>
      </c>
      <c r="E1036" s="399"/>
      <c r="F1036" s="399" t="s">
        <v>716</v>
      </c>
      <c r="G1036" s="399"/>
      <c r="H1036" s="377">
        <v>707</v>
      </c>
      <c r="I1036" s="396" t="s">
        <v>658</v>
      </c>
      <c r="J1036" s="397" t="str">
        <f>IF(ISBLANK(INDEX('Policy Characteristics'!D:D,MATCH($C1036,'Policy Characteristics'!$C:$C,0))),"",INDEX('Policy Characteristics'!D:D,MATCH($C1036,'Policy Characteristics'!$C:$C,0)))</f>
        <v>End Existing Subsidies</v>
      </c>
      <c r="K1036" s="394" t="str">
        <f>IF(ISBLANK(INDEX('Policy Characteristics'!E:E,MATCH($C1036,'Policy Characteristics'!$C:$C,0))),"",INDEX('Policy Characteristics'!E:E,MATCH($C1036,'Policy Characteristics'!$C:$C,0)))</f>
        <v>cross reduce BAU subsidies</v>
      </c>
      <c r="L1036" s="398">
        <f>IF(ISBLANK(INDEX('Policy Characteristics'!F:F,MATCH($C1036,'Policy Characteristics'!$C:$C,0))),"",INDEX('Policy Characteristics'!F:F,MATCH($C1036,'Policy Characteristics'!$C:$C,0)))</f>
        <v>0</v>
      </c>
      <c r="M1036" s="398">
        <f>IF(ISBLANK(INDEX('Policy Characteristics'!G:G,MATCH($C1036,'Policy Characteristics'!$C:$C,0))),"",INDEX('Policy Characteristics'!G:G,MATCH($C1036,'Policy Characteristics'!$C:$C,0)))</f>
        <v>1</v>
      </c>
      <c r="N1036" s="398">
        <f>IF(ISBLANK(INDEX('Policy Characteristics'!H:H,MATCH($C1036,'Policy Characteristics'!$C:$C,0))),"",INDEX('Policy Characteristics'!H:H,MATCH($C1036,'Policy Characteristics'!$C:$C,0)))</f>
        <v>0.01</v>
      </c>
      <c r="O1036" s="394" t="str">
        <f>IF(ISBLANK(INDEX('Policy Characteristics'!I:I,MATCH($C1036,'Policy Characteristics'!$C:$C,0))),"",INDEX('Policy Characteristics'!I:I,MATCH($C1036,'Policy Characteristics'!$C:$C,0)))</f>
        <v>% reduction in BAU subsidies</v>
      </c>
      <c r="P1036" s="394" t="str">
        <f>IF(ISBLANK(INDEX('Policy Characteristics'!J:J,MATCH($C1036,'Policy Characteristics'!$C:$C,0))),"",INDEX('Policy Characteristics'!J:J,MATCH($C1036,'Policy Characteristics'!$C:$C,0)))</f>
        <v>**Description:** This policy reduces the subsidies paid for the production of the selected energy source(s) in the BAU case.</v>
      </c>
      <c r="Q1036" s="394" t="str">
        <f>IF(ISBLANK(INDEX('Policy Characteristics'!K:K,MATCH($C1036,'Policy Characteristics'!$C:$C,0))),"",INDEX('Policy Characteristics'!K:K,MATCH($C1036,'Policy Characteristics'!$C:$C,0)))</f>
        <v>fuels.html#end-subsidies</v>
      </c>
      <c r="R1036" s="394" t="str">
        <f>IF(ISBLANK(INDEX('Policy Characteristics'!L:L,MATCH($C1036,'Policy Characteristics'!$C:$C,0))),"",INDEX('Policy Characteristics'!L:L,MATCH($C1036,'Policy Characteristics'!$C:$C,0)))</f>
        <v>end-existing-subsidies.html</v>
      </c>
    </row>
    <row r="1037" s="384" customFormat="1" customHeight="1" spans="1:18">
      <c r="A1037" s="394" t="str">
        <f>IF(ISBLANK(INDEX('Policy Characteristics'!A:A,MATCH($C1037,'Policy Characteristics'!$C:$C,0))),"",INDEX('Policy Characteristics'!A:A,MATCH($C1037,'Policy Characteristics'!$C:$C,0)))</f>
        <v>Cross-Sector</v>
      </c>
      <c r="B1037" s="395" t="str">
        <f>IF(ISBLANK(INDEX('Policy Characteristics'!B:B,MATCH($C1037,'Policy Characteristics'!$C:$C,0))),"",INDEX('Policy Characteristics'!B:B,MATCH($C1037,'Policy Characteristics'!$C:$C,0)))</f>
        <v>End Existing Subsidies</v>
      </c>
      <c r="C1037" s="394" t="str">
        <f t="shared" si="48"/>
        <v>Percent Reduction in BAU Subsidies</v>
      </c>
      <c r="D1037" s="399" t="s">
        <v>826</v>
      </c>
      <c r="E1037" s="399"/>
      <c r="F1037" s="399" t="s">
        <v>827</v>
      </c>
      <c r="G1037" s="399"/>
      <c r="H1037" s="377">
        <v>75</v>
      </c>
      <c r="I1037" s="396" t="s">
        <v>648</v>
      </c>
      <c r="J1037" s="397" t="str">
        <f>IF(ISBLANK(INDEX('Policy Characteristics'!D:D,MATCH($C1037,'Policy Characteristics'!$C:$C,0))),"",INDEX('Policy Characteristics'!D:D,MATCH($C1037,'Policy Characteristics'!$C:$C,0)))</f>
        <v>End Existing Subsidies</v>
      </c>
      <c r="K1037" s="394" t="str">
        <f>IF(ISBLANK(INDEX('Policy Characteristics'!E:E,MATCH($C1037,'Policy Characteristics'!$C:$C,0))),"",INDEX('Policy Characteristics'!E:E,MATCH($C1037,'Policy Characteristics'!$C:$C,0)))</f>
        <v>cross reduce BAU subsidies</v>
      </c>
      <c r="L1037" s="398">
        <f>IF(ISBLANK(INDEX('Policy Characteristics'!F:F,MATCH($C1037,'Policy Characteristics'!$C:$C,0))),"",INDEX('Policy Characteristics'!F:F,MATCH($C1037,'Policy Characteristics'!$C:$C,0)))</f>
        <v>0</v>
      </c>
      <c r="M1037" s="398">
        <f>IF(ISBLANK(INDEX('Policy Characteristics'!G:G,MATCH($C1037,'Policy Characteristics'!$C:$C,0))),"",INDEX('Policy Characteristics'!G:G,MATCH($C1037,'Policy Characteristics'!$C:$C,0)))</f>
        <v>1</v>
      </c>
      <c r="N1037" s="398">
        <f>IF(ISBLANK(INDEX('Policy Characteristics'!H:H,MATCH($C1037,'Policy Characteristics'!$C:$C,0))),"",INDEX('Policy Characteristics'!H:H,MATCH($C1037,'Policy Characteristics'!$C:$C,0)))</f>
        <v>0.01</v>
      </c>
      <c r="O1037" s="394" t="str">
        <f>IF(ISBLANK(INDEX('Policy Characteristics'!I:I,MATCH($C1037,'Policy Characteristics'!$C:$C,0))),"",INDEX('Policy Characteristics'!I:I,MATCH($C1037,'Policy Characteristics'!$C:$C,0)))</f>
        <v>% reduction in BAU subsidies</v>
      </c>
      <c r="P1037" s="394" t="str">
        <f>IF(ISBLANK(INDEX('Policy Characteristics'!J:J,MATCH($C1037,'Policy Characteristics'!$C:$C,0))),"",INDEX('Policy Characteristics'!J:J,MATCH($C1037,'Policy Characteristics'!$C:$C,0)))</f>
        <v>**Description:** This policy reduces the subsidies paid for the production of the selected energy source(s) in the BAU case.</v>
      </c>
      <c r="Q1037" s="394" t="str">
        <f>IF(ISBLANK(INDEX('Policy Characteristics'!K:K,MATCH($C1037,'Policy Characteristics'!$C:$C,0))),"",INDEX('Policy Characteristics'!K:K,MATCH($C1037,'Policy Characteristics'!$C:$C,0)))</f>
        <v>fuels.html#end-subsidies</v>
      </c>
      <c r="R1037" s="394" t="str">
        <f>IF(ISBLANK(INDEX('Policy Characteristics'!L:L,MATCH($C1037,'Policy Characteristics'!$C:$C,0))),"",INDEX('Policy Characteristics'!L:L,MATCH($C1037,'Policy Characteristics'!$C:$C,0)))</f>
        <v>end-existing-subsidies.html</v>
      </c>
    </row>
    <row r="1038" s="384" customFormat="1" customHeight="1" spans="1:18">
      <c r="A1038" s="394" t="str">
        <f>IF(ISBLANK(INDEX('Policy Characteristics'!A:A,MATCH($C1038,'Policy Characteristics'!$C:$C,0))),"",INDEX('Policy Characteristics'!A:A,MATCH($C1038,'Policy Characteristics'!$C:$C,0)))</f>
        <v>Cross-Sector</v>
      </c>
      <c r="B1038" s="395" t="str">
        <f>IF(ISBLANK(INDEX('Policy Characteristics'!B:B,MATCH($C1038,'Policy Characteristics'!$C:$C,0))),"",INDEX('Policy Characteristics'!B:B,MATCH($C1038,'Policy Characteristics'!$C:$C,0)))</f>
        <v>End Existing Subsidies</v>
      </c>
      <c r="C1038" s="394" t="str">
        <f t="shared" si="48"/>
        <v>Percent Reduction in BAU Subsidies</v>
      </c>
      <c r="D1038" s="399" t="s">
        <v>828</v>
      </c>
      <c r="E1038" s="399"/>
      <c r="F1038" s="399" t="s">
        <v>829</v>
      </c>
      <c r="G1038" s="399"/>
      <c r="H1038" s="377">
        <v>76</v>
      </c>
      <c r="I1038" s="396" t="s">
        <v>648</v>
      </c>
      <c r="J1038" s="397" t="str">
        <f>IF(ISBLANK(INDEX('Policy Characteristics'!D:D,MATCH($C1038,'Policy Characteristics'!$C:$C,0))),"",INDEX('Policy Characteristics'!D:D,MATCH($C1038,'Policy Characteristics'!$C:$C,0)))</f>
        <v>End Existing Subsidies</v>
      </c>
      <c r="K1038" s="394" t="str">
        <f>IF(ISBLANK(INDEX('Policy Characteristics'!E:E,MATCH($C1038,'Policy Characteristics'!$C:$C,0))),"",INDEX('Policy Characteristics'!E:E,MATCH($C1038,'Policy Characteristics'!$C:$C,0)))</f>
        <v>cross reduce BAU subsidies</v>
      </c>
      <c r="L1038" s="398">
        <f>IF(ISBLANK(INDEX('Policy Characteristics'!F:F,MATCH($C1038,'Policy Characteristics'!$C:$C,0))),"",INDEX('Policy Characteristics'!F:F,MATCH($C1038,'Policy Characteristics'!$C:$C,0)))</f>
        <v>0</v>
      </c>
      <c r="M1038" s="398">
        <f>IF(ISBLANK(INDEX('Policy Characteristics'!G:G,MATCH($C1038,'Policy Characteristics'!$C:$C,0))),"",INDEX('Policy Characteristics'!G:G,MATCH($C1038,'Policy Characteristics'!$C:$C,0)))</f>
        <v>1</v>
      </c>
      <c r="N1038" s="398">
        <f>IF(ISBLANK(INDEX('Policy Characteristics'!H:H,MATCH($C1038,'Policy Characteristics'!$C:$C,0))),"",INDEX('Policy Characteristics'!H:H,MATCH($C1038,'Policy Characteristics'!$C:$C,0)))</f>
        <v>0.01</v>
      </c>
      <c r="O1038" s="394" t="str">
        <f>IF(ISBLANK(INDEX('Policy Characteristics'!I:I,MATCH($C1038,'Policy Characteristics'!$C:$C,0))),"",INDEX('Policy Characteristics'!I:I,MATCH($C1038,'Policy Characteristics'!$C:$C,0)))</f>
        <v>% reduction in BAU subsidies</v>
      </c>
      <c r="P1038" s="394" t="str">
        <f>IF(ISBLANK(INDEX('Policy Characteristics'!J:J,MATCH($C1038,'Policy Characteristics'!$C:$C,0))),"",INDEX('Policy Characteristics'!J:J,MATCH($C1038,'Policy Characteristics'!$C:$C,0)))</f>
        <v>**Description:** This policy reduces the subsidies paid for the production of the selected energy source(s) in the BAU case.</v>
      </c>
      <c r="Q1038" s="394" t="str">
        <f>IF(ISBLANK(INDEX('Policy Characteristics'!K:K,MATCH($C1038,'Policy Characteristics'!$C:$C,0))),"",INDEX('Policy Characteristics'!K:K,MATCH($C1038,'Policy Characteristics'!$C:$C,0)))</f>
        <v>fuels.html#end-subsidies</v>
      </c>
      <c r="R1038" s="394" t="str">
        <f>IF(ISBLANK(INDEX('Policy Characteristics'!L:L,MATCH($C1038,'Policy Characteristics'!$C:$C,0))),"",INDEX('Policy Characteristics'!L:L,MATCH($C1038,'Policy Characteristics'!$C:$C,0)))</f>
        <v>end-existing-subsidies.html</v>
      </c>
    </row>
    <row r="1039" s="384" customFormat="1" customHeight="1" spans="1:18">
      <c r="A1039" s="394" t="str">
        <f>IF(ISBLANK(INDEX('Policy Characteristics'!A:A,MATCH($C1039,'Policy Characteristics'!$C:$C,0))),"",INDEX('Policy Characteristics'!A:A,MATCH($C1039,'Policy Characteristics'!$C:$C,0)))</f>
        <v>Cross-Sector</v>
      </c>
      <c r="B1039" s="395" t="str">
        <f>IF(ISBLANK(INDEX('Policy Characteristics'!B:B,MATCH($C1039,'Policy Characteristics'!$C:$C,0))),"",INDEX('Policy Characteristics'!B:B,MATCH($C1039,'Policy Characteristics'!$C:$C,0)))</f>
        <v>End Existing Subsidies</v>
      </c>
      <c r="C1039" s="394" t="str">
        <f t="shared" si="48"/>
        <v>Percent Reduction in BAU Subsidies</v>
      </c>
      <c r="D1039" s="399" t="s">
        <v>858</v>
      </c>
      <c r="E1039" s="399"/>
      <c r="F1039" s="399" t="s">
        <v>859</v>
      </c>
      <c r="G1039" s="399"/>
      <c r="H1039" s="377">
        <v>708</v>
      </c>
      <c r="I1039" s="396" t="s">
        <v>658</v>
      </c>
      <c r="J1039" s="397" t="str">
        <f>IF(ISBLANK(INDEX('Policy Characteristics'!D:D,MATCH($C1039,'Policy Characteristics'!$C:$C,0))),"",INDEX('Policy Characteristics'!D:D,MATCH($C1039,'Policy Characteristics'!$C:$C,0)))</f>
        <v>End Existing Subsidies</v>
      </c>
      <c r="K1039" s="394" t="str">
        <f>IF(ISBLANK(INDEX('Policy Characteristics'!E:E,MATCH($C1039,'Policy Characteristics'!$C:$C,0))),"",INDEX('Policy Characteristics'!E:E,MATCH($C1039,'Policy Characteristics'!$C:$C,0)))</f>
        <v>cross reduce BAU subsidies</v>
      </c>
      <c r="L1039" s="398">
        <f>IF(ISBLANK(INDEX('Policy Characteristics'!F:F,MATCH($C1039,'Policy Characteristics'!$C:$C,0))),"",INDEX('Policy Characteristics'!F:F,MATCH($C1039,'Policy Characteristics'!$C:$C,0)))</f>
        <v>0</v>
      </c>
      <c r="M1039" s="398">
        <f>IF(ISBLANK(INDEX('Policy Characteristics'!G:G,MATCH($C1039,'Policy Characteristics'!$C:$C,0))),"",INDEX('Policy Characteristics'!G:G,MATCH($C1039,'Policy Characteristics'!$C:$C,0)))</f>
        <v>1</v>
      </c>
      <c r="N1039" s="398">
        <f>IF(ISBLANK(INDEX('Policy Characteristics'!H:H,MATCH($C1039,'Policy Characteristics'!$C:$C,0))),"",INDEX('Policy Characteristics'!H:H,MATCH($C1039,'Policy Characteristics'!$C:$C,0)))</f>
        <v>0.01</v>
      </c>
      <c r="O1039" s="394" t="str">
        <f>IF(ISBLANK(INDEX('Policy Characteristics'!I:I,MATCH($C1039,'Policy Characteristics'!$C:$C,0))),"",INDEX('Policy Characteristics'!I:I,MATCH($C1039,'Policy Characteristics'!$C:$C,0)))</f>
        <v>% reduction in BAU subsidies</v>
      </c>
      <c r="P1039" s="394" t="str">
        <f>IF(ISBLANK(INDEX('Policy Characteristics'!J:J,MATCH($C1039,'Policy Characteristics'!$C:$C,0))),"",INDEX('Policy Characteristics'!J:J,MATCH($C1039,'Policy Characteristics'!$C:$C,0)))</f>
        <v>**Description:** This policy reduces the subsidies paid for the production of the selected energy source(s) in the BAU case.</v>
      </c>
      <c r="Q1039" s="394" t="str">
        <f>IF(ISBLANK(INDEX('Policy Characteristics'!K:K,MATCH($C1039,'Policy Characteristics'!$C:$C,0))),"",INDEX('Policy Characteristics'!K:K,MATCH($C1039,'Policy Characteristics'!$C:$C,0)))</f>
        <v>fuels.html#end-subsidies</v>
      </c>
      <c r="R1039" s="394" t="str">
        <f>IF(ISBLANK(INDEX('Policy Characteristics'!L:L,MATCH($C1039,'Policy Characteristics'!$C:$C,0))),"",INDEX('Policy Characteristics'!L:L,MATCH($C1039,'Policy Characteristics'!$C:$C,0)))</f>
        <v>end-existing-subsidies.html</v>
      </c>
    </row>
    <row r="1040" s="384" customFormat="1" customHeight="1" spans="1:18">
      <c r="A1040" s="394" t="str">
        <f>IF(ISBLANK(INDEX('Policy Characteristics'!A:A,MATCH($C1040,'Policy Characteristics'!$C:$C,0))),"",INDEX('Policy Characteristics'!A:A,MATCH($C1040,'Policy Characteristics'!$C:$C,0)))</f>
        <v>Cross-Sector</v>
      </c>
      <c r="B1040" s="395" t="str">
        <f>IF(ISBLANK(INDEX('Policy Characteristics'!B:B,MATCH($C1040,'Policy Characteristics'!$C:$C,0))),"",INDEX('Policy Characteristics'!B:B,MATCH($C1040,'Policy Characteristics'!$C:$C,0)))</f>
        <v>End Existing Subsidies</v>
      </c>
      <c r="C1040" s="394" t="str">
        <f t="shared" si="48"/>
        <v>Percent Reduction in BAU Subsidies</v>
      </c>
      <c r="D1040" s="399" t="s">
        <v>860</v>
      </c>
      <c r="E1040" s="399"/>
      <c r="F1040" s="399" t="s">
        <v>861</v>
      </c>
      <c r="G1040" s="399"/>
      <c r="H1040" s="377">
        <v>709</v>
      </c>
      <c r="I1040" s="396" t="s">
        <v>658</v>
      </c>
      <c r="J1040" s="397" t="str">
        <f>IF(ISBLANK(INDEX('Policy Characteristics'!D:D,MATCH($C1040,'Policy Characteristics'!$C:$C,0))),"",INDEX('Policy Characteristics'!D:D,MATCH($C1040,'Policy Characteristics'!$C:$C,0)))</f>
        <v>End Existing Subsidies</v>
      </c>
      <c r="K1040" s="394" t="str">
        <f>IF(ISBLANK(INDEX('Policy Characteristics'!E:E,MATCH($C1040,'Policy Characteristics'!$C:$C,0))),"",INDEX('Policy Characteristics'!E:E,MATCH($C1040,'Policy Characteristics'!$C:$C,0)))</f>
        <v>cross reduce BAU subsidies</v>
      </c>
      <c r="L1040" s="398">
        <f>IF(ISBLANK(INDEX('Policy Characteristics'!F:F,MATCH($C1040,'Policy Characteristics'!$C:$C,0))),"",INDEX('Policy Characteristics'!F:F,MATCH($C1040,'Policy Characteristics'!$C:$C,0)))</f>
        <v>0</v>
      </c>
      <c r="M1040" s="398">
        <f>IF(ISBLANK(INDEX('Policy Characteristics'!G:G,MATCH($C1040,'Policy Characteristics'!$C:$C,0))),"",INDEX('Policy Characteristics'!G:G,MATCH($C1040,'Policy Characteristics'!$C:$C,0)))</f>
        <v>1</v>
      </c>
      <c r="N1040" s="398">
        <f>IF(ISBLANK(INDEX('Policy Characteristics'!H:H,MATCH($C1040,'Policy Characteristics'!$C:$C,0))),"",INDEX('Policy Characteristics'!H:H,MATCH($C1040,'Policy Characteristics'!$C:$C,0)))</f>
        <v>0.01</v>
      </c>
      <c r="O1040" s="394" t="str">
        <f>IF(ISBLANK(INDEX('Policy Characteristics'!I:I,MATCH($C1040,'Policy Characteristics'!$C:$C,0))),"",INDEX('Policy Characteristics'!I:I,MATCH($C1040,'Policy Characteristics'!$C:$C,0)))</f>
        <v>% reduction in BAU subsidies</v>
      </c>
      <c r="P1040" s="394" t="str">
        <f>IF(ISBLANK(INDEX('Policy Characteristics'!J:J,MATCH($C1040,'Policy Characteristics'!$C:$C,0))),"",INDEX('Policy Characteristics'!J:J,MATCH($C1040,'Policy Characteristics'!$C:$C,0)))</f>
        <v>**Description:** This policy reduces the subsidies paid for the production of the selected energy source(s) in the BAU case.</v>
      </c>
      <c r="Q1040" s="394" t="str">
        <f>IF(ISBLANK(INDEX('Policy Characteristics'!K:K,MATCH($C1040,'Policy Characteristics'!$C:$C,0))),"",INDEX('Policy Characteristics'!K:K,MATCH($C1040,'Policy Characteristics'!$C:$C,0)))</f>
        <v>fuels.html#end-subsidies</v>
      </c>
      <c r="R1040" s="394" t="str">
        <f>IF(ISBLANK(INDEX('Policy Characteristics'!L:L,MATCH($C1040,'Policy Characteristics'!$C:$C,0))),"",INDEX('Policy Characteristics'!L:L,MATCH($C1040,'Policy Characteristics'!$C:$C,0)))</f>
        <v>end-existing-subsidies.html</v>
      </c>
    </row>
    <row r="1041" s="384" customFormat="1" customHeight="1" spans="1:18">
      <c r="A1041" s="394" t="str">
        <f>IF(ISBLANK(INDEX('Policy Characteristics'!A:A,MATCH($C1041,'Policy Characteristics'!$C:$C,0))),"",INDEX('Policy Characteristics'!A:A,MATCH($C1041,'Policy Characteristics'!$C:$C,0)))</f>
        <v>Cross-Sector</v>
      </c>
      <c r="B1041" s="395" t="str">
        <f>IF(ISBLANK(INDEX('Policy Characteristics'!B:B,MATCH($C1041,'Policy Characteristics'!$C:$C,0))),"",INDEX('Policy Characteristics'!B:B,MATCH($C1041,'Policy Characteristics'!$C:$C,0)))</f>
        <v>End Existing Subsidies</v>
      </c>
      <c r="C1041" s="394" t="str">
        <f t="shared" si="48"/>
        <v>Percent Reduction in BAU Subsidies</v>
      </c>
      <c r="D1041" s="399" t="s">
        <v>830</v>
      </c>
      <c r="E1041" s="399"/>
      <c r="F1041" s="399" t="s">
        <v>831</v>
      </c>
      <c r="G1041" s="399"/>
      <c r="H1041" s="377">
        <v>710</v>
      </c>
      <c r="I1041" s="396" t="s">
        <v>658</v>
      </c>
      <c r="J1041" s="397" t="str">
        <f>IF(ISBLANK(INDEX('Policy Characteristics'!D:D,MATCH($C1041,'Policy Characteristics'!$C:$C,0))),"",INDEX('Policy Characteristics'!D:D,MATCH($C1041,'Policy Characteristics'!$C:$C,0)))</f>
        <v>End Existing Subsidies</v>
      </c>
      <c r="K1041" s="394" t="str">
        <f>IF(ISBLANK(INDEX('Policy Characteristics'!E:E,MATCH($C1041,'Policy Characteristics'!$C:$C,0))),"",INDEX('Policy Characteristics'!E:E,MATCH($C1041,'Policy Characteristics'!$C:$C,0)))</f>
        <v>cross reduce BAU subsidies</v>
      </c>
      <c r="L1041" s="398">
        <f>IF(ISBLANK(INDEX('Policy Characteristics'!F:F,MATCH($C1041,'Policy Characteristics'!$C:$C,0))),"",INDEX('Policy Characteristics'!F:F,MATCH($C1041,'Policy Characteristics'!$C:$C,0)))</f>
        <v>0</v>
      </c>
      <c r="M1041" s="398">
        <f>IF(ISBLANK(INDEX('Policy Characteristics'!G:G,MATCH($C1041,'Policy Characteristics'!$C:$C,0))),"",INDEX('Policy Characteristics'!G:G,MATCH($C1041,'Policy Characteristics'!$C:$C,0)))</f>
        <v>1</v>
      </c>
      <c r="N1041" s="398">
        <f>IF(ISBLANK(INDEX('Policy Characteristics'!H:H,MATCH($C1041,'Policy Characteristics'!$C:$C,0))),"",INDEX('Policy Characteristics'!H:H,MATCH($C1041,'Policy Characteristics'!$C:$C,0)))</f>
        <v>0.01</v>
      </c>
      <c r="O1041" s="394" t="str">
        <f>IF(ISBLANK(INDEX('Policy Characteristics'!I:I,MATCH($C1041,'Policy Characteristics'!$C:$C,0))),"",INDEX('Policy Characteristics'!I:I,MATCH($C1041,'Policy Characteristics'!$C:$C,0)))</f>
        <v>% reduction in BAU subsidies</v>
      </c>
      <c r="P1041" s="394" t="str">
        <f>IF(ISBLANK(INDEX('Policy Characteristics'!J:J,MATCH($C1041,'Policy Characteristics'!$C:$C,0))),"",INDEX('Policy Characteristics'!J:J,MATCH($C1041,'Policy Characteristics'!$C:$C,0)))</f>
        <v>**Description:** This policy reduces the subsidies paid for the production of the selected energy source(s) in the BAU case.</v>
      </c>
      <c r="Q1041" s="394" t="str">
        <f>IF(ISBLANK(INDEX('Policy Characteristics'!K:K,MATCH($C1041,'Policy Characteristics'!$C:$C,0))),"",INDEX('Policy Characteristics'!K:K,MATCH($C1041,'Policy Characteristics'!$C:$C,0)))</f>
        <v>fuels.html#end-subsidies</v>
      </c>
      <c r="R1041" s="394" t="str">
        <f>IF(ISBLANK(INDEX('Policy Characteristics'!L:L,MATCH($C1041,'Policy Characteristics'!$C:$C,0))),"",INDEX('Policy Characteristics'!L:L,MATCH($C1041,'Policy Characteristics'!$C:$C,0)))</f>
        <v>end-existing-subsidies.html</v>
      </c>
    </row>
    <row r="1042" s="384" customFormat="1" customHeight="1" spans="1:18">
      <c r="A1042" s="394" t="str">
        <f>IF(ISBLANK(INDEX('Policy Characteristics'!A:A,MATCH($C1042,'Policy Characteristics'!$C:$C,0))),"",INDEX('Policy Characteristics'!A:A,MATCH($C1042,'Policy Characteristics'!$C:$C,0)))</f>
        <v>Cross-Sector</v>
      </c>
      <c r="B1042" s="395" t="str">
        <f>IF(ISBLANK(INDEX('Policy Characteristics'!B:B,MATCH($C1042,'Policy Characteristics'!$C:$C,0))),"",INDEX('Policy Characteristics'!B:B,MATCH($C1042,'Policy Characteristics'!$C:$C,0)))</f>
        <v>End Existing Subsidies</v>
      </c>
      <c r="C1042" s="394" t="str">
        <f t="shared" si="48"/>
        <v>Percent Reduction in BAU Subsidies</v>
      </c>
      <c r="D1042" s="399" t="s">
        <v>862</v>
      </c>
      <c r="E1042" s="399"/>
      <c r="F1042" s="399" t="s">
        <v>863</v>
      </c>
      <c r="G1042" s="399"/>
      <c r="H1042" s="377">
        <v>711</v>
      </c>
      <c r="I1042" s="396" t="s">
        <v>658</v>
      </c>
      <c r="J1042" s="397" t="str">
        <f>IF(ISBLANK(INDEX('Policy Characteristics'!D:D,MATCH($C1042,'Policy Characteristics'!$C:$C,0))),"",INDEX('Policy Characteristics'!D:D,MATCH($C1042,'Policy Characteristics'!$C:$C,0)))</f>
        <v>End Existing Subsidies</v>
      </c>
      <c r="K1042" s="394" t="str">
        <f>IF(ISBLANK(INDEX('Policy Characteristics'!E:E,MATCH($C1042,'Policy Characteristics'!$C:$C,0))),"",INDEX('Policy Characteristics'!E:E,MATCH($C1042,'Policy Characteristics'!$C:$C,0)))</f>
        <v>cross reduce BAU subsidies</v>
      </c>
      <c r="L1042" s="398">
        <f>IF(ISBLANK(INDEX('Policy Characteristics'!F:F,MATCH($C1042,'Policy Characteristics'!$C:$C,0))),"",INDEX('Policy Characteristics'!F:F,MATCH($C1042,'Policy Characteristics'!$C:$C,0)))</f>
        <v>0</v>
      </c>
      <c r="M1042" s="398">
        <f>IF(ISBLANK(INDEX('Policy Characteristics'!G:G,MATCH($C1042,'Policy Characteristics'!$C:$C,0))),"",INDEX('Policy Characteristics'!G:G,MATCH($C1042,'Policy Characteristics'!$C:$C,0)))</f>
        <v>1</v>
      </c>
      <c r="N1042" s="398">
        <f>IF(ISBLANK(INDEX('Policy Characteristics'!H:H,MATCH($C1042,'Policy Characteristics'!$C:$C,0))),"",INDEX('Policy Characteristics'!H:H,MATCH($C1042,'Policy Characteristics'!$C:$C,0)))</f>
        <v>0.01</v>
      </c>
      <c r="O1042" s="394" t="str">
        <f>IF(ISBLANK(INDEX('Policy Characteristics'!I:I,MATCH($C1042,'Policy Characteristics'!$C:$C,0))),"",INDEX('Policy Characteristics'!I:I,MATCH($C1042,'Policy Characteristics'!$C:$C,0)))</f>
        <v>% reduction in BAU subsidies</v>
      </c>
      <c r="P1042" s="394" t="str">
        <f>IF(ISBLANK(INDEX('Policy Characteristics'!J:J,MATCH($C1042,'Policy Characteristics'!$C:$C,0))),"",INDEX('Policy Characteristics'!J:J,MATCH($C1042,'Policy Characteristics'!$C:$C,0)))</f>
        <v>**Description:** This policy reduces the subsidies paid for the production of the selected energy source(s) in the BAU case.</v>
      </c>
      <c r="Q1042" s="394" t="str">
        <f>IF(ISBLANK(INDEX('Policy Characteristics'!K:K,MATCH($C1042,'Policy Characteristics'!$C:$C,0))),"",INDEX('Policy Characteristics'!K:K,MATCH($C1042,'Policy Characteristics'!$C:$C,0)))</f>
        <v>fuels.html#end-subsidies</v>
      </c>
      <c r="R1042" s="394" t="str">
        <f>IF(ISBLANK(INDEX('Policy Characteristics'!L:L,MATCH($C1042,'Policy Characteristics'!$C:$C,0))),"",INDEX('Policy Characteristics'!L:L,MATCH($C1042,'Policy Characteristics'!$C:$C,0)))</f>
        <v>end-existing-subsidies.html</v>
      </c>
    </row>
    <row r="1043" s="384" customFormat="1" customHeight="1" spans="1:18">
      <c r="A1043" s="394" t="str">
        <f>IF(ISBLANK(INDEX('Policy Characteristics'!A:A,MATCH($C1043,'Policy Characteristics'!$C:$C,0))),"",INDEX('Policy Characteristics'!A:A,MATCH($C1043,'Policy Characteristics'!$C:$C,0)))</f>
        <v>Cross-Sector</v>
      </c>
      <c r="B1043" s="395" t="str">
        <f>IF(ISBLANK(INDEX('Policy Characteristics'!B:B,MATCH($C1043,'Policy Characteristics'!$C:$C,0))),"",INDEX('Policy Characteristics'!B:B,MATCH($C1043,'Policy Characteristics'!$C:$C,0)))</f>
        <v>End Existing Subsidies</v>
      </c>
      <c r="C1043" s="394" t="str">
        <f t="shared" si="48"/>
        <v>Percent Reduction in BAU Subsidies</v>
      </c>
      <c r="D1043" s="399" t="s">
        <v>864</v>
      </c>
      <c r="E1043" s="399"/>
      <c r="F1043" s="399" t="s">
        <v>718</v>
      </c>
      <c r="G1043" s="399"/>
      <c r="H1043" s="377">
        <v>712</v>
      </c>
      <c r="I1043" s="396" t="s">
        <v>658</v>
      </c>
      <c r="J1043" s="397" t="str">
        <f>IF(ISBLANK(INDEX('Policy Characteristics'!D:D,MATCH($C1043,'Policy Characteristics'!$C:$C,0))),"",INDEX('Policy Characteristics'!D:D,MATCH($C1043,'Policy Characteristics'!$C:$C,0)))</f>
        <v>End Existing Subsidies</v>
      </c>
      <c r="K1043" s="394" t="str">
        <f>IF(ISBLANK(INDEX('Policy Characteristics'!E:E,MATCH($C1043,'Policy Characteristics'!$C:$C,0))),"",INDEX('Policy Characteristics'!E:E,MATCH($C1043,'Policy Characteristics'!$C:$C,0)))</f>
        <v>cross reduce BAU subsidies</v>
      </c>
      <c r="L1043" s="398">
        <f>IF(ISBLANK(INDEX('Policy Characteristics'!F:F,MATCH($C1043,'Policy Characteristics'!$C:$C,0))),"",INDEX('Policy Characteristics'!F:F,MATCH($C1043,'Policy Characteristics'!$C:$C,0)))</f>
        <v>0</v>
      </c>
      <c r="M1043" s="398">
        <f>IF(ISBLANK(INDEX('Policy Characteristics'!G:G,MATCH($C1043,'Policy Characteristics'!$C:$C,0))),"",INDEX('Policy Characteristics'!G:G,MATCH($C1043,'Policy Characteristics'!$C:$C,0)))</f>
        <v>1</v>
      </c>
      <c r="N1043" s="398">
        <f>IF(ISBLANK(INDEX('Policy Characteristics'!H:H,MATCH($C1043,'Policy Characteristics'!$C:$C,0))),"",INDEX('Policy Characteristics'!H:H,MATCH($C1043,'Policy Characteristics'!$C:$C,0)))</f>
        <v>0.01</v>
      </c>
      <c r="O1043" s="394" t="str">
        <f>IF(ISBLANK(INDEX('Policy Characteristics'!I:I,MATCH($C1043,'Policy Characteristics'!$C:$C,0))),"",INDEX('Policy Characteristics'!I:I,MATCH($C1043,'Policy Characteristics'!$C:$C,0)))</f>
        <v>% reduction in BAU subsidies</v>
      </c>
      <c r="P1043" s="394" t="str">
        <f>IF(ISBLANK(INDEX('Policy Characteristics'!J:J,MATCH($C1043,'Policy Characteristics'!$C:$C,0))),"",INDEX('Policy Characteristics'!J:J,MATCH($C1043,'Policy Characteristics'!$C:$C,0)))</f>
        <v>**Description:** This policy reduces the subsidies paid for the production of the selected energy source(s) in the BAU case.</v>
      </c>
      <c r="Q1043" s="394" t="str">
        <f>IF(ISBLANK(INDEX('Policy Characteristics'!K:K,MATCH($C1043,'Policy Characteristics'!$C:$C,0))),"",INDEX('Policy Characteristics'!K:K,MATCH($C1043,'Policy Characteristics'!$C:$C,0)))</f>
        <v>fuels.html#end-subsidies</v>
      </c>
      <c r="R1043" s="394" t="str">
        <f>IF(ISBLANK(INDEX('Policy Characteristics'!L:L,MATCH($C1043,'Policy Characteristics'!$C:$C,0))),"",INDEX('Policy Characteristics'!L:L,MATCH($C1043,'Policy Characteristics'!$C:$C,0)))</f>
        <v>end-existing-subsidies.html</v>
      </c>
    </row>
    <row r="1044" s="384" customFormat="1" customHeight="1" spans="1:18">
      <c r="A1044" s="394" t="str">
        <f>IF(ISBLANK(INDEX('Policy Characteristics'!A:A,MATCH($C1044,'Policy Characteristics'!$C:$C,0))),"",INDEX('Policy Characteristics'!A:A,MATCH($C1044,'Policy Characteristics'!$C:$C,0)))</f>
        <v>Cross-Sector</v>
      </c>
      <c r="B1044" s="395" t="str">
        <f>IF(ISBLANK(INDEX('Policy Characteristics'!B:B,MATCH($C1044,'Policy Characteristics'!$C:$C,0))),"",INDEX('Policy Characteristics'!B:B,MATCH($C1044,'Policy Characteristics'!$C:$C,0)))</f>
        <v>End Existing Subsidies</v>
      </c>
      <c r="C1044" s="394" t="str">
        <f t="shared" si="48"/>
        <v>Percent Reduction in BAU Subsidies</v>
      </c>
      <c r="D1044" s="399" t="s">
        <v>832</v>
      </c>
      <c r="E1044" s="399"/>
      <c r="F1044" s="400" t="s">
        <v>724</v>
      </c>
      <c r="G1044" s="399"/>
      <c r="H1044" s="377">
        <v>713</v>
      </c>
      <c r="I1044" s="396" t="s">
        <v>658</v>
      </c>
      <c r="J1044" s="397" t="str">
        <f>IF(ISBLANK(INDEX('Policy Characteristics'!D:D,MATCH($C1044,'Policy Characteristics'!$C:$C,0))),"",INDEX('Policy Characteristics'!D:D,MATCH($C1044,'Policy Characteristics'!$C:$C,0)))</f>
        <v>End Existing Subsidies</v>
      </c>
      <c r="K1044" s="394" t="str">
        <f>IF(ISBLANK(INDEX('Policy Characteristics'!E:E,MATCH($C1044,'Policy Characteristics'!$C:$C,0))),"",INDEX('Policy Characteristics'!E:E,MATCH($C1044,'Policy Characteristics'!$C:$C,0)))</f>
        <v>cross reduce BAU subsidies</v>
      </c>
      <c r="L1044" s="398">
        <f>IF(ISBLANK(INDEX('Policy Characteristics'!F:F,MATCH($C1044,'Policy Characteristics'!$C:$C,0))),"",INDEX('Policy Characteristics'!F:F,MATCH($C1044,'Policy Characteristics'!$C:$C,0)))</f>
        <v>0</v>
      </c>
      <c r="M1044" s="398">
        <f>IF(ISBLANK(INDEX('Policy Characteristics'!G:G,MATCH($C1044,'Policy Characteristics'!$C:$C,0))),"",INDEX('Policy Characteristics'!G:G,MATCH($C1044,'Policy Characteristics'!$C:$C,0)))</f>
        <v>1</v>
      </c>
      <c r="N1044" s="398">
        <f>IF(ISBLANK(INDEX('Policy Characteristics'!H:H,MATCH($C1044,'Policy Characteristics'!$C:$C,0))),"",INDEX('Policy Characteristics'!H:H,MATCH($C1044,'Policy Characteristics'!$C:$C,0)))</f>
        <v>0.01</v>
      </c>
      <c r="O1044" s="394" t="str">
        <f>IF(ISBLANK(INDEX('Policy Characteristics'!I:I,MATCH($C1044,'Policy Characteristics'!$C:$C,0))),"",INDEX('Policy Characteristics'!I:I,MATCH($C1044,'Policy Characteristics'!$C:$C,0)))</f>
        <v>% reduction in BAU subsidies</v>
      </c>
      <c r="P1044" s="394" t="str">
        <f>IF(ISBLANK(INDEX('Policy Characteristics'!J:J,MATCH($C1044,'Policy Characteristics'!$C:$C,0))),"",INDEX('Policy Characteristics'!J:J,MATCH($C1044,'Policy Characteristics'!$C:$C,0)))</f>
        <v>**Description:** This policy reduces the subsidies paid for the production of the selected energy source(s) in the BAU case.</v>
      </c>
      <c r="Q1044" s="394" t="str">
        <f>IF(ISBLANK(INDEX('Policy Characteristics'!K:K,MATCH($C1044,'Policy Characteristics'!$C:$C,0))),"",INDEX('Policy Characteristics'!K:K,MATCH($C1044,'Policy Characteristics'!$C:$C,0)))</f>
        <v>fuels.html#end-subsidies</v>
      </c>
      <c r="R1044" s="394" t="str">
        <f>IF(ISBLANK(INDEX('Policy Characteristics'!L:L,MATCH($C1044,'Policy Characteristics'!$C:$C,0))),"",INDEX('Policy Characteristics'!L:L,MATCH($C1044,'Policy Characteristics'!$C:$C,0)))</f>
        <v>end-existing-subsidies.html</v>
      </c>
    </row>
    <row r="1045" s="384" customFormat="1" customHeight="1" spans="1:18">
      <c r="A1045" s="394" t="str">
        <f>IF(ISBLANK(INDEX('Policy Characteristics'!A:A,MATCH($C1045,'Policy Characteristics'!$C:$C,0))),"",INDEX('Policy Characteristics'!A:A,MATCH($C1045,'Policy Characteristics'!$C:$C,0)))</f>
        <v>Cross-Sector</v>
      </c>
      <c r="B1045" s="395" t="str">
        <f>IF(ISBLANK(INDEX('Policy Characteristics'!B:B,MATCH($C1045,'Policy Characteristics'!$C:$C,0))),"",INDEX('Policy Characteristics'!B:B,MATCH($C1045,'Policy Characteristics'!$C:$C,0)))</f>
        <v>End Existing Subsidies</v>
      </c>
      <c r="C1045" s="394" t="str">
        <f t="shared" si="48"/>
        <v>Percent Reduction in BAU Subsidies</v>
      </c>
      <c r="D1045" s="399" t="s">
        <v>833</v>
      </c>
      <c r="E1045" s="399"/>
      <c r="F1045" s="399" t="s">
        <v>728</v>
      </c>
      <c r="G1045" s="399"/>
      <c r="H1045" s="377">
        <v>714</v>
      </c>
      <c r="I1045" s="396" t="s">
        <v>658</v>
      </c>
      <c r="J1045" s="397" t="str">
        <f>IF(ISBLANK(INDEX('Policy Characteristics'!D:D,MATCH($C1045,'Policy Characteristics'!$C:$C,0))),"",INDEX('Policy Characteristics'!D:D,MATCH($C1045,'Policy Characteristics'!$C:$C,0)))</f>
        <v>End Existing Subsidies</v>
      </c>
      <c r="K1045" s="394" t="str">
        <f>IF(ISBLANK(INDEX('Policy Characteristics'!E:E,MATCH($C1045,'Policy Characteristics'!$C:$C,0))),"",INDEX('Policy Characteristics'!E:E,MATCH($C1045,'Policy Characteristics'!$C:$C,0)))</f>
        <v>cross reduce BAU subsidies</v>
      </c>
      <c r="L1045" s="398">
        <f>IF(ISBLANK(INDEX('Policy Characteristics'!F:F,MATCH($C1045,'Policy Characteristics'!$C:$C,0))),"",INDEX('Policy Characteristics'!F:F,MATCH($C1045,'Policy Characteristics'!$C:$C,0)))</f>
        <v>0</v>
      </c>
      <c r="M1045" s="398">
        <f>IF(ISBLANK(INDEX('Policy Characteristics'!G:G,MATCH($C1045,'Policy Characteristics'!$C:$C,0))),"",INDEX('Policy Characteristics'!G:G,MATCH($C1045,'Policy Characteristics'!$C:$C,0)))</f>
        <v>1</v>
      </c>
      <c r="N1045" s="398">
        <f>IF(ISBLANK(INDEX('Policy Characteristics'!H:H,MATCH($C1045,'Policy Characteristics'!$C:$C,0))),"",INDEX('Policy Characteristics'!H:H,MATCH($C1045,'Policy Characteristics'!$C:$C,0)))</f>
        <v>0.01</v>
      </c>
      <c r="O1045" s="394" t="str">
        <f>IF(ISBLANK(INDEX('Policy Characteristics'!I:I,MATCH($C1045,'Policy Characteristics'!$C:$C,0))),"",INDEX('Policy Characteristics'!I:I,MATCH($C1045,'Policy Characteristics'!$C:$C,0)))</f>
        <v>% reduction in BAU subsidies</v>
      </c>
      <c r="P1045" s="394" t="str">
        <f>IF(ISBLANK(INDEX('Policy Characteristics'!J:J,MATCH($C1045,'Policy Characteristics'!$C:$C,0))),"",INDEX('Policy Characteristics'!J:J,MATCH($C1045,'Policy Characteristics'!$C:$C,0)))</f>
        <v>**Description:** This policy reduces the subsidies paid for the production of the selected energy source(s) in the BAU case.</v>
      </c>
      <c r="Q1045" s="394" t="str">
        <f>IF(ISBLANK(INDEX('Policy Characteristics'!K:K,MATCH($C1045,'Policy Characteristics'!$C:$C,0))),"",INDEX('Policy Characteristics'!K:K,MATCH($C1045,'Policy Characteristics'!$C:$C,0)))</f>
        <v>fuels.html#end-subsidies</v>
      </c>
      <c r="R1045" s="394" t="str">
        <f>IF(ISBLANK(INDEX('Policy Characteristics'!L:L,MATCH($C1045,'Policy Characteristics'!$C:$C,0))),"",INDEX('Policy Characteristics'!L:L,MATCH($C1045,'Policy Characteristics'!$C:$C,0)))</f>
        <v>end-existing-subsidies.html</v>
      </c>
    </row>
    <row r="1046" s="384" customFormat="1" customHeight="1" spans="1:18">
      <c r="A1046" s="394" t="str">
        <f>IF(ISBLANK(INDEX('Policy Characteristics'!A:A,MATCH($C1046,'Policy Characteristics'!$C:$C,0))),"",INDEX('Policy Characteristics'!A:A,MATCH($C1046,'Policy Characteristics'!$C:$C,0)))</f>
        <v>Cross-Sector</v>
      </c>
      <c r="B1046" s="395" t="str">
        <f>IF(ISBLANK(INDEX('Policy Characteristics'!B:B,MATCH($C1046,'Policy Characteristics'!$C:$C,0))),"",INDEX('Policy Characteristics'!B:B,MATCH($C1046,'Policy Characteristics'!$C:$C,0)))</f>
        <v>End Existing Subsidies</v>
      </c>
      <c r="C1046" s="394" t="str">
        <f t="shared" ref="C1046" si="49">C$1029</f>
        <v>Percent Reduction in BAU Subsidies</v>
      </c>
      <c r="D1046" s="399" t="s">
        <v>834</v>
      </c>
      <c r="E1046" s="399"/>
      <c r="F1046" s="399" t="s">
        <v>835</v>
      </c>
      <c r="G1046" s="399"/>
      <c r="H1046" s="377">
        <v>715</v>
      </c>
      <c r="I1046" s="396" t="s">
        <v>658</v>
      </c>
      <c r="J1046" s="397" t="str">
        <f>IF(ISBLANK(INDEX('Policy Characteristics'!D:D,MATCH($C1046,'Policy Characteristics'!$C:$C,0))),"",INDEX('Policy Characteristics'!D:D,MATCH($C1046,'Policy Characteristics'!$C:$C,0)))</f>
        <v>End Existing Subsidies</v>
      </c>
      <c r="K1046" s="394" t="str">
        <f>IF(ISBLANK(INDEX('Policy Characteristics'!E:E,MATCH($C1046,'Policy Characteristics'!$C:$C,0))),"",INDEX('Policy Characteristics'!E:E,MATCH($C1046,'Policy Characteristics'!$C:$C,0)))</f>
        <v>cross reduce BAU subsidies</v>
      </c>
      <c r="L1046" s="398">
        <f>IF(ISBLANK(INDEX('Policy Characteristics'!F:F,MATCH($C1046,'Policy Characteristics'!$C:$C,0))),"",INDEX('Policy Characteristics'!F:F,MATCH($C1046,'Policy Characteristics'!$C:$C,0)))</f>
        <v>0</v>
      </c>
      <c r="M1046" s="398">
        <f>IF(ISBLANK(INDEX('Policy Characteristics'!G:G,MATCH($C1046,'Policy Characteristics'!$C:$C,0))),"",INDEX('Policy Characteristics'!G:G,MATCH($C1046,'Policy Characteristics'!$C:$C,0)))</f>
        <v>1</v>
      </c>
      <c r="N1046" s="398">
        <f>IF(ISBLANK(INDEX('Policy Characteristics'!H:H,MATCH($C1046,'Policy Characteristics'!$C:$C,0))),"",INDEX('Policy Characteristics'!H:H,MATCH($C1046,'Policy Characteristics'!$C:$C,0)))</f>
        <v>0.01</v>
      </c>
      <c r="O1046" s="394" t="str">
        <f>IF(ISBLANK(INDEX('Policy Characteristics'!I:I,MATCH($C1046,'Policy Characteristics'!$C:$C,0))),"",INDEX('Policy Characteristics'!I:I,MATCH($C1046,'Policy Characteristics'!$C:$C,0)))</f>
        <v>% reduction in BAU subsidies</v>
      </c>
      <c r="P1046" s="394" t="str">
        <f>IF(ISBLANK(INDEX('Policy Characteristics'!J:J,MATCH($C1046,'Policy Characteristics'!$C:$C,0))),"",INDEX('Policy Characteristics'!J:J,MATCH($C1046,'Policy Characteristics'!$C:$C,0)))</f>
        <v>**Description:** This policy reduces the subsidies paid for the production of the selected energy source(s) in the BAU case.</v>
      </c>
      <c r="Q1046" s="394" t="str">
        <f>IF(ISBLANK(INDEX('Policy Characteristics'!K:K,MATCH($C1046,'Policy Characteristics'!$C:$C,0))),"",INDEX('Policy Characteristics'!K:K,MATCH($C1046,'Policy Characteristics'!$C:$C,0)))</f>
        <v>fuels.html#end-subsidies</v>
      </c>
      <c r="R1046" s="394" t="str">
        <f>IF(ISBLANK(INDEX('Policy Characteristics'!L:L,MATCH($C1046,'Policy Characteristics'!$C:$C,0))),"",INDEX('Policy Characteristics'!L:L,MATCH($C1046,'Policy Characteristics'!$C:$C,0)))</f>
        <v>end-existing-subsidies.html</v>
      </c>
    </row>
    <row r="1047" s="384" customFormat="1" customHeight="1" spans="1:18">
      <c r="A1047" s="394" t="str">
        <f>IF(ISBLANK(INDEX('Policy Characteristics'!A:A,MATCH($C1047,'Policy Characteristics'!$C:$C,0))),"",INDEX('Policy Characteristics'!A:A,MATCH($C1047,'Policy Characteristics'!$C:$C,0)))</f>
        <v>Cross-Sector</v>
      </c>
      <c r="B1047" s="395" t="str">
        <f>IF(ISBLANK(INDEX('Policy Characteristics'!B:B,MATCH($C1047,'Policy Characteristics'!$C:$C,0))),"",INDEX('Policy Characteristics'!B:B,MATCH($C1047,'Policy Characteristics'!$C:$C,0)))</f>
        <v>End Existing Subsidies</v>
      </c>
      <c r="C1047" s="394" t="str">
        <f t="shared" ref="C1047:C1049" si="50">C$1029</f>
        <v>Percent Reduction in BAU Subsidies</v>
      </c>
      <c r="D1047" s="399" t="s">
        <v>836</v>
      </c>
      <c r="E1047" s="399"/>
      <c r="F1047" s="399" t="s">
        <v>837</v>
      </c>
      <c r="G1047" s="399"/>
      <c r="H1047" s="377">
        <v>716</v>
      </c>
      <c r="I1047" s="396" t="s">
        <v>658</v>
      </c>
      <c r="J1047" s="397" t="str">
        <f>IF(ISBLANK(INDEX('Policy Characteristics'!D:D,MATCH($C1047,'Policy Characteristics'!$C:$C,0))),"",INDEX('Policy Characteristics'!D:D,MATCH($C1047,'Policy Characteristics'!$C:$C,0)))</f>
        <v>End Existing Subsidies</v>
      </c>
      <c r="K1047" s="394" t="str">
        <f>IF(ISBLANK(INDEX('Policy Characteristics'!E:E,MATCH($C1047,'Policy Characteristics'!$C:$C,0))),"",INDEX('Policy Characteristics'!E:E,MATCH($C1047,'Policy Characteristics'!$C:$C,0)))</f>
        <v>cross reduce BAU subsidies</v>
      </c>
      <c r="L1047" s="398">
        <f>IF(ISBLANK(INDEX('Policy Characteristics'!F:F,MATCH($C1047,'Policy Characteristics'!$C:$C,0))),"",INDEX('Policy Characteristics'!F:F,MATCH($C1047,'Policy Characteristics'!$C:$C,0)))</f>
        <v>0</v>
      </c>
      <c r="M1047" s="398">
        <f>IF(ISBLANK(INDEX('Policy Characteristics'!G:G,MATCH($C1047,'Policy Characteristics'!$C:$C,0))),"",INDEX('Policy Characteristics'!G:G,MATCH($C1047,'Policy Characteristics'!$C:$C,0)))</f>
        <v>1</v>
      </c>
      <c r="N1047" s="398">
        <f>IF(ISBLANK(INDEX('Policy Characteristics'!H:H,MATCH($C1047,'Policy Characteristics'!$C:$C,0))),"",INDEX('Policy Characteristics'!H:H,MATCH($C1047,'Policy Characteristics'!$C:$C,0)))</f>
        <v>0.01</v>
      </c>
      <c r="O1047" s="394" t="str">
        <f>IF(ISBLANK(INDEX('Policy Characteristics'!I:I,MATCH($C1047,'Policy Characteristics'!$C:$C,0))),"",INDEX('Policy Characteristics'!I:I,MATCH($C1047,'Policy Characteristics'!$C:$C,0)))</f>
        <v>% reduction in BAU subsidies</v>
      </c>
      <c r="P1047" s="394" t="str">
        <f>IF(ISBLANK(INDEX('Policy Characteristics'!J:J,MATCH($C1047,'Policy Characteristics'!$C:$C,0))),"",INDEX('Policy Characteristics'!J:J,MATCH($C1047,'Policy Characteristics'!$C:$C,0)))</f>
        <v>**Description:** This policy reduces the subsidies paid for the production of the selected energy source(s) in the BAU case.</v>
      </c>
      <c r="Q1047" s="394" t="str">
        <f>IF(ISBLANK(INDEX('Policy Characteristics'!K:K,MATCH($C1047,'Policy Characteristics'!$C:$C,0))),"",INDEX('Policy Characteristics'!K:K,MATCH($C1047,'Policy Characteristics'!$C:$C,0)))</f>
        <v>fuels.html#end-subsidies</v>
      </c>
      <c r="R1047" s="394" t="str">
        <f>IF(ISBLANK(INDEX('Policy Characteristics'!L:L,MATCH($C1047,'Policy Characteristics'!$C:$C,0))),"",INDEX('Policy Characteristics'!L:L,MATCH($C1047,'Policy Characteristics'!$C:$C,0)))</f>
        <v>end-existing-subsidies.html</v>
      </c>
    </row>
    <row r="1048" s="384" customFormat="1" customHeight="1" spans="1:18">
      <c r="A1048" s="394" t="str">
        <f>IF(ISBLANK(INDEX('Policy Characteristics'!A:A,MATCH($C1048,'Policy Characteristics'!$C:$C,0))),"",INDEX('Policy Characteristics'!A:A,MATCH($C1048,'Policy Characteristics'!$C:$C,0)))</f>
        <v>Cross-Sector</v>
      </c>
      <c r="B1048" s="395" t="str">
        <f>IF(ISBLANK(INDEX('Policy Characteristics'!B:B,MATCH($C1048,'Policy Characteristics'!$C:$C,0))),"",INDEX('Policy Characteristics'!B:B,MATCH($C1048,'Policy Characteristics'!$C:$C,0)))</f>
        <v>End Existing Subsidies</v>
      </c>
      <c r="C1048" s="394" t="str">
        <f t="shared" si="50"/>
        <v>Percent Reduction in BAU Subsidies</v>
      </c>
      <c r="D1048" s="399" t="s">
        <v>865</v>
      </c>
      <c r="E1048" s="399"/>
      <c r="F1048" s="399" t="s">
        <v>732</v>
      </c>
      <c r="G1048" s="399"/>
      <c r="H1048" s="377">
        <v>717</v>
      </c>
      <c r="I1048" s="396" t="s">
        <v>658</v>
      </c>
      <c r="J1048" s="397" t="str">
        <f>IF(ISBLANK(INDEX('Policy Characteristics'!D:D,MATCH($C1048,'Policy Characteristics'!$C:$C,0))),"",INDEX('Policy Characteristics'!D:D,MATCH($C1048,'Policy Characteristics'!$C:$C,0)))</f>
        <v>End Existing Subsidies</v>
      </c>
      <c r="K1048" s="394" t="str">
        <f>IF(ISBLANK(INDEX('Policy Characteristics'!E:E,MATCH($C1048,'Policy Characteristics'!$C:$C,0))),"",INDEX('Policy Characteristics'!E:E,MATCH($C1048,'Policy Characteristics'!$C:$C,0)))</f>
        <v>cross reduce BAU subsidies</v>
      </c>
      <c r="L1048" s="398">
        <f>IF(ISBLANK(INDEX('Policy Characteristics'!F:F,MATCH($C1048,'Policy Characteristics'!$C:$C,0))),"",INDEX('Policy Characteristics'!F:F,MATCH($C1048,'Policy Characteristics'!$C:$C,0)))</f>
        <v>0</v>
      </c>
      <c r="M1048" s="398">
        <f>IF(ISBLANK(INDEX('Policy Characteristics'!G:G,MATCH($C1048,'Policy Characteristics'!$C:$C,0))),"",INDEX('Policy Characteristics'!G:G,MATCH($C1048,'Policy Characteristics'!$C:$C,0)))</f>
        <v>1</v>
      </c>
      <c r="N1048" s="398">
        <f>IF(ISBLANK(INDEX('Policy Characteristics'!H:H,MATCH($C1048,'Policy Characteristics'!$C:$C,0))),"",INDEX('Policy Characteristics'!H:H,MATCH($C1048,'Policy Characteristics'!$C:$C,0)))</f>
        <v>0.01</v>
      </c>
      <c r="O1048" s="394" t="str">
        <f>IF(ISBLANK(INDEX('Policy Characteristics'!I:I,MATCH($C1048,'Policy Characteristics'!$C:$C,0))),"",INDEX('Policy Characteristics'!I:I,MATCH($C1048,'Policy Characteristics'!$C:$C,0)))</f>
        <v>% reduction in BAU subsidies</v>
      </c>
      <c r="P1048" s="394" t="str">
        <f>IF(ISBLANK(INDEX('Policy Characteristics'!J:J,MATCH($C1048,'Policy Characteristics'!$C:$C,0))),"",INDEX('Policy Characteristics'!J:J,MATCH($C1048,'Policy Characteristics'!$C:$C,0)))</f>
        <v>**Description:** This policy reduces the subsidies paid for the production of the selected energy source(s) in the BAU case.</v>
      </c>
      <c r="Q1048" s="394" t="str">
        <f>IF(ISBLANK(INDEX('Policy Characteristics'!K:K,MATCH($C1048,'Policy Characteristics'!$C:$C,0))),"",INDEX('Policy Characteristics'!K:K,MATCH($C1048,'Policy Characteristics'!$C:$C,0)))</f>
        <v>fuels.html#end-subsidies</v>
      </c>
      <c r="R1048" s="394" t="str">
        <f>IF(ISBLANK(INDEX('Policy Characteristics'!L:L,MATCH($C1048,'Policy Characteristics'!$C:$C,0))),"",INDEX('Policy Characteristics'!L:L,MATCH($C1048,'Policy Characteristics'!$C:$C,0)))</f>
        <v>end-existing-subsidies.html</v>
      </c>
    </row>
    <row r="1049" s="384" customFormat="1" customHeight="1" spans="1:18">
      <c r="A1049" s="394" t="str">
        <f>IF(ISBLANK(INDEX('Policy Characteristics'!A:A,MATCH($C1049,'Policy Characteristics'!$C:$C,0))),"",INDEX('Policy Characteristics'!A:A,MATCH($C1049,'Policy Characteristics'!$C:$C,0)))</f>
        <v>Cross-Sector</v>
      </c>
      <c r="B1049" s="395" t="str">
        <f>IF(ISBLANK(INDEX('Policy Characteristics'!B:B,MATCH($C1049,'Policy Characteristics'!$C:$C,0))),"",INDEX('Policy Characteristics'!B:B,MATCH($C1049,'Policy Characteristics'!$C:$C,0)))</f>
        <v>End Existing Subsidies</v>
      </c>
      <c r="C1049" s="394" t="str">
        <f t="shared" si="50"/>
        <v>Percent Reduction in BAU Subsidies</v>
      </c>
      <c r="D1049" s="399" t="s">
        <v>866</v>
      </c>
      <c r="E1049" s="399"/>
      <c r="F1049" s="399" t="s">
        <v>867</v>
      </c>
      <c r="G1049" s="399"/>
      <c r="H1049" s="377">
        <v>718</v>
      </c>
      <c r="I1049" s="396" t="s">
        <v>658</v>
      </c>
      <c r="J1049" s="397" t="str">
        <f>IF(ISBLANK(INDEX('Policy Characteristics'!D:D,MATCH($C1049,'Policy Characteristics'!$C:$C,0))),"",INDEX('Policy Characteristics'!D:D,MATCH($C1049,'Policy Characteristics'!$C:$C,0)))</f>
        <v>End Existing Subsidies</v>
      </c>
      <c r="K1049" s="394" t="str">
        <f>IF(ISBLANK(INDEX('Policy Characteristics'!E:E,MATCH($C1049,'Policy Characteristics'!$C:$C,0))),"",INDEX('Policy Characteristics'!E:E,MATCH($C1049,'Policy Characteristics'!$C:$C,0)))</f>
        <v>cross reduce BAU subsidies</v>
      </c>
      <c r="L1049" s="398">
        <f>IF(ISBLANK(INDEX('Policy Characteristics'!F:F,MATCH($C1049,'Policy Characteristics'!$C:$C,0))),"",INDEX('Policy Characteristics'!F:F,MATCH($C1049,'Policy Characteristics'!$C:$C,0)))</f>
        <v>0</v>
      </c>
      <c r="M1049" s="398">
        <f>IF(ISBLANK(INDEX('Policy Characteristics'!G:G,MATCH($C1049,'Policy Characteristics'!$C:$C,0))),"",INDEX('Policy Characteristics'!G:G,MATCH($C1049,'Policy Characteristics'!$C:$C,0)))</f>
        <v>1</v>
      </c>
      <c r="N1049" s="398">
        <f>IF(ISBLANK(INDEX('Policy Characteristics'!H:H,MATCH($C1049,'Policy Characteristics'!$C:$C,0))),"",INDEX('Policy Characteristics'!H:H,MATCH($C1049,'Policy Characteristics'!$C:$C,0)))</f>
        <v>0.01</v>
      </c>
      <c r="O1049" s="394" t="str">
        <f>IF(ISBLANK(INDEX('Policy Characteristics'!I:I,MATCH($C1049,'Policy Characteristics'!$C:$C,0))),"",INDEX('Policy Characteristics'!I:I,MATCH($C1049,'Policy Characteristics'!$C:$C,0)))</f>
        <v>% reduction in BAU subsidies</v>
      </c>
      <c r="P1049" s="394" t="str">
        <f>IF(ISBLANK(INDEX('Policy Characteristics'!J:J,MATCH($C1049,'Policy Characteristics'!$C:$C,0))),"",INDEX('Policy Characteristics'!J:J,MATCH($C1049,'Policy Characteristics'!$C:$C,0)))</f>
        <v>**Description:** This policy reduces the subsidies paid for the production of the selected energy source(s) in the BAU case.</v>
      </c>
      <c r="Q1049" s="394" t="str">
        <f>IF(ISBLANK(INDEX('Policy Characteristics'!K:K,MATCH($C1049,'Policy Characteristics'!$C:$C,0))),"",INDEX('Policy Characteristics'!K:K,MATCH($C1049,'Policy Characteristics'!$C:$C,0)))</f>
        <v>fuels.html#end-subsidies</v>
      </c>
      <c r="R1049" s="394" t="str">
        <f>IF(ISBLANK(INDEX('Policy Characteristics'!L:L,MATCH($C1049,'Policy Characteristics'!$C:$C,0))),"",INDEX('Policy Characteristics'!L:L,MATCH($C1049,'Policy Characteristics'!$C:$C,0)))</f>
        <v>end-existing-subsidies.html</v>
      </c>
    </row>
    <row r="1050" customHeight="1" spans="1:18">
      <c r="A1050" s="394" t="str">
        <f>IF(ISBLANK(INDEX('Policy Characteristics'!A:A,MATCH($C1050,'Policy Characteristics'!$C:$C,0))),"",INDEX('Policy Characteristics'!A:A,MATCH($C1050,'Policy Characteristics'!$C:$C,0)))</f>
        <v>Cross-Sector</v>
      </c>
      <c r="B1050" s="395" t="str">
        <f>IF(ISBLANK(INDEX('Policy Characteristics'!B:B,MATCH($C1050,'Policy Characteristics'!$C:$C,0))),"",INDEX('Policy Characteristics'!B:B,MATCH($C1050,'Policy Characteristics'!$C:$C,0)))</f>
        <v>Exempt Non-CO2 Emissions from C Tax</v>
      </c>
      <c r="C1050" t="s">
        <v>536</v>
      </c>
      <c r="D1050" s="399"/>
      <c r="E1050" s="399"/>
      <c r="F1050" s="399"/>
      <c r="G1050" s="399"/>
      <c r="H1050" s="377">
        <v>719</v>
      </c>
      <c r="I1050" s="396" t="s">
        <v>658</v>
      </c>
      <c r="J1050" s="397" t="str">
        <f>IF(ISBLANK(INDEX('Policy Characteristics'!D:D,MATCH($C1050,'Policy Characteristics'!$C:$C,0))),"",INDEX('Policy Characteristics'!D:D,MATCH($C1050,'Policy Characteristics'!$C:$C,0)))</f>
        <v/>
      </c>
      <c r="K1050" s="394" t="str">
        <f>IF(ISBLANK(INDEX('Policy Characteristics'!E:E,MATCH($C1050,'Policy Characteristics'!$C:$C,0))),"",INDEX('Policy Characteristics'!E:E,MATCH($C1050,'Policy Characteristics'!$C:$C,0)))</f>
        <v>cross toggle whether carbon tax affects non CO2 emissions</v>
      </c>
      <c r="L1050" s="394">
        <f>IF(ISBLANK(INDEX('Policy Characteristics'!F:F,MATCH($C1050,'Policy Characteristics'!$C:$C,0))),"",INDEX('Policy Characteristics'!F:F,MATCH($C1050,'Policy Characteristics'!$C:$C,0)))</f>
        <v>0</v>
      </c>
      <c r="M1050" s="394">
        <f>IF(ISBLANK(INDEX('Policy Characteristics'!G:G,MATCH($C1050,'Policy Characteristics'!$C:$C,0))),"",INDEX('Policy Characteristics'!G:G,MATCH($C1050,'Policy Characteristics'!$C:$C,0)))</f>
        <v>1</v>
      </c>
      <c r="N1050" s="394">
        <f>IF(ISBLANK(INDEX('Policy Characteristics'!H:H,MATCH($C1050,'Policy Characteristics'!$C:$C,0))),"",INDEX('Policy Characteristics'!H:H,MATCH($C1050,'Policy Characteristics'!$C:$C,0)))</f>
        <v>1</v>
      </c>
      <c r="O1050" s="394" t="str">
        <f>IF(ISBLANK(INDEX('Policy Characteristics'!I:I,MATCH($C1050,'Policy Characteristics'!$C:$C,0))),"",INDEX('Policy Characteristics'!I:I,MATCH($C1050,'Policy Characteristics'!$C:$C,0)))</f>
        <v>on/off</v>
      </c>
      <c r="P1050" s="394" t="str">
        <f>IF(ISBLANK(INDEX('Policy Characteristics'!J:J,MATCH($C1050,'Policy Characteristics'!$C:$C,0))),"",INDEX('Policy Characteristics'!J:J,MATCH($C1050,'Policy Characteristics'!$C:$C,0)))</f>
        <v>**Description:** By default, the carbon tax applies to CO2 and non-CO2 emissions. This policy exempts non-CO2 emissions, meaning the carbon tax will only apply to CO2 emissions.</v>
      </c>
      <c r="Q1050" s="394" t="str">
        <f>IF(ISBLANK(INDEX('Policy Characteristics'!K:K,MATCH($C1050,'Policy Characteristics'!$C:$C,0))),"",INDEX('Policy Characteristics'!K:K,MATCH($C1050,'Policy Characteristics'!$C:$C,0)))</f>
        <v>fuels.html#carbon-tax</v>
      </c>
      <c r="R1050" s="394" t="str">
        <f>IF(ISBLANK(INDEX('Policy Characteristics'!L:L,MATCH($C1050,'Policy Characteristics'!$C:$C,0))),"",INDEX('Policy Characteristics'!L:L,MATCH($C1050,'Policy Characteristics'!$C:$C,0)))</f>
        <v>carbon-tax.html</v>
      </c>
    </row>
    <row r="1051" customHeight="1" spans="1:18">
      <c r="A1051" s="394" t="str">
        <f>IF(ISBLANK(INDEX('Policy Characteristics'!A:A,MATCH($C1051,'Policy Characteristics'!$C:$C,0))),"",INDEX('Policy Characteristics'!A:A,MATCH($C1051,'Policy Characteristics'!$C:$C,0)))</f>
        <v>Cross-Sector</v>
      </c>
      <c r="B1051" s="395" t="str">
        <f>IF(ISBLANK(INDEX('Policy Characteristics'!B:B,MATCH($C1051,'Policy Characteristics'!$C:$C,0))),"",INDEX('Policy Characteristics'!B:B,MATCH($C1051,'Policy Characteristics'!$C:$C,0)))</f>
        <v>Exempt Process Emissions from C Tax</v>
      </c>
      <c r="C1051" s="28" t="s">
        <v>540</v>
      </c>
      <c r="D1051" s="399" t="s">
        <v>738</v>
      </c>
      <c r="E1051" s="399"/>
      <c r="F1051" t="s">
        <v>739</v>
      </c>
      <c r="G1051" s="399"/>
      <c r="H1051" s="377">
        <v>1628</v>
      </c>
      <c r="I1051" s="396" t="s">
        <v>648</v>
      </c>
      <c r="J1051" s="397" t="str">
        <f>IF(ISBLANK(INDEX('Policy Characteristics'!D:D,MATCH($C1051,'Policy Characteristics'!$C:$C,0))),"",INDEX('Policy Characteristics'!D:D,MATCH($C1051,'Policy Characteristics'!$C:$C,0)))</f>
        <v/>
      </c>
      <c r="K1051" s="394" t="str">
        <f>IF(ISBLANK(INDEX('Policy Characteristics'!E:E,MATCH($C1051,'Policy Characteristics'!$C:$C,0))),"",INDEX('Policy Characteristics'!E:E,MATCH($C1051,'Policy Characteristics'!$C:$C,0)))</f>
        <v>cross toggle whether carbon tax affects process emissions</v>
      </c>
      <c r="L1051" s="394">
        <f>IF(ISBLANK(INDEX('Policy Characteristics'!F:F,MATCH($C1051,'Policy Characteristics'!$C:$C,0))),"",INDEX('Policy Characteristics'!F:F,MATCH($C1051,'Policy Characteristics'!$C:$C,0)))</f>
        <v>0</v>
      </c>
      <c r="M1051" s="394">
        <f>IF(ISBLANK(INDEX('Policy Characteristics'!G:G,MATCH($C1051,'Policy Characteristics'!$C:$C,0))),"",INDEX('Policy Characteristics'!G:G,MATCH($C1051,'Policy Characteristics'!$C:$C,0)))</f>
        <v>1</v>
      </c>
      <c r="N1051" s="394">
        <f>IF(ISBLANK(INDEX('Policy Characteristics'!H:H,MATCH($C1051,'Policy Characteristics'!$C:$C,0))),"",INDEX('Policy Characteristics'!H:H,MATCH($C1051,'Policy Characteristics'!$C:$C,0)))</f>
        <v>1</v>
      </c>
      <c r="O1051" s="394" t="str">
        <f>IF(ISBLANK(INDEX('Policy Characteristics'!I:I,MATCH($C1051,'Policy Characteristics'!$C:$C,0))),"",INDEX('Policy Characteristics'!I:I,MATCH($C1051,'Policy Characteristics'!$C:$C,0)))</f>
        <v>on/off</v>
      </c>
      <c r="P1051" s="394" t="str">
        <f>IF(ISBLANK(INDEX('Policy Characteristics'!J:J,MATCH($C1051,'Policy Characteristics'!$C:$C,0))),"",INDEX('Policy Characteristics'!J:J,MATCH($C1051,'Policy Characteristics'!$C:$C,0)))</f>
        <v>**Description:** This policy prevents the carbon tax from being levied on process emissions (non-energy greenhouse gas emissions from industrial and agricultural operations).</v>
      </c>
      <c r="Q1051" s="394" t="str">
        <f>IF(ISBLANK(INDEX('Policy Characteristics'!K:K,MATCH($C1051,'Policy Characteristics'!$C:$C,0))),"",INDEX('Policy Characteristics'!K:K,MATCH($C1051,'Policy Characteristics'!$C:$C,0)))</f>
        <v>fuels.html#carbon-tax</v>
      </c>
      <c r="R1051" s="394" t="str">
        <f>IF(ISBLANK(INDEX('Policy Characteristics'!L:L,MATCH($C1051,'Policy Characteristics'!$C:$C,0))),"",INDEX('Policy Characteristics'!L:L,MATCH($C1051,'Policy Characteristics'!$C:$C,0)))</f>
        <v>carbon-tax.html</v>
      </c>
    </row>
    <row r="1052" customHeight="1" spans="1:18">
      <c r="A1052" s="394" t="str">
        <f>IF(ISBLANK(INDEX('Policy Characteristics'!A:A,MATCH($C1052,'Policy Characteristics'!$C:$C,0))),"",INDEX('Policy Characteristics'!A:A,MATCH($C1052,'Policy Characteristics'!$C:$C,0)))</f>
        <v>Cross-Sector</v>
      </c>
      <c r="B1052" s="395" t="str">
        <f>IF(ISBLANK(INDEX('Policy Characteristics'!B:B,MATCH($C1052,'Policy Characteristics'!$C:$C,0))),"",INDEX('Policy Characteristics'!B:B,MATCH($C1052,'Policy Characteristics'!$C:$C,0)))</f>
        <v>Exempt Process Emissions from C Tax</v>
      </c>
      <c r="C1052" s="394" t="str">
        <f>C$1051</f>
        <v>BEPEfCT Boolean Exempt Process Emissions from Carbon Tax</v>
      </c>
      <c r="D1052" s="399" t="s">
        <v>740</v>
      </c>
      <c r="E1052" s="399"/>
      <c r="F1052" t="s">
        <v>741</v>
      </c>
      <c r="G1052" s="399"/>
      <c r="H1052" s="377">
        <v>1629</v>
      </c>
      <c r="I1052" s="396" t="s">
        <v>648</v>
      </c>
      <c r="J1052" s="397" t="str">
        <f>IF(ISBLANK(INDEX('Policy Characteristics'!D:D,MATCH($C1052,'Policy Characteristics'!$C:$C,0))),"",INDEX('Policy Characteristics'!D:D,MATCH($C1052,'Policy Characteristics'!$C:$C,0)))</f>
        <v/>
      </c>
      <c r="K1052" s="394" t="str">
        <f>IF(ISBLANK(INDEX('Policy Characteristics'!E:E,MATCH($C1052,'Policy Characteristics'!$C:$C,0))),"",INDEX('Policy Characteristics'!E:E,MATCH($C1052,'Policy Characteristics'!$C:$C,0)))</f>
        <v>cross toggle whether carbon tax affects process emissions</v>
      </c>
      <c r="L1052" s="394">
        <f>IF(ISBLANK(INDEX('Policy Characteristics'!F:F,MATCH($C1052,'Policy Characteristics'!$C:$C,0))),"",INDEX('Policy Characteristics'!F:F,MATCH($C1052,'Policy Characteristics'!$C:$C,0)))</f>
        <v>0</v>
      </c>
      <c r="M1052" s="394">
        <f>IF(ISBLANK(INDEX('Policy Characteristics'!G:G,MATCH($C1052,'Policy Characteristics'!$C:$C,0))),"",INDEX('Policy Characteristics'!G:G,MATCH($C1052,'Policy Characteristics'!$C:$C,0)))</f>
        <v>1</v>
      </c>
      <c r="N1052" s="394">
        <f>IF(ISBLANK(INDEX('Policy Characteristics'!H:H,MATCH($C1052,'Policy Characteristics'!$C:$C,0))),"",INDEX('Policy Characteristics'!H:H,MATCH($C1052,'Policy Characteristics'!$C:$C,0)))</f>
        <v>1</v>
      </c>
      <c r="O1052" s="394" t="str">
        <f>IF(ISBLANK(INDEX('Policy Characteristics'!I:I,MATCH($C1052,'Policy Characteristics'!$C:$C,0))),"",INDEX('Policy Characteristics'!I:I,MATCH($C1052,'Policy Characteristics'!$C:$C,0)))</f>
        <v>on/off</v>
      </c>
      <c r="P1052" s="394" t="str">
        <f>IF(ISBLANK(INDEX('Policy Characteristics'!J:J,MATCH($C1052,'Policy Characteristics'!$C:$C,0))),"",INDEX('Policy Characteristics'!J:J,MATCH($C1052,'Policy Characteristics'!$C:$C,0)))</f>
        <v>**Description:** This policy prevents the carbon tax from being levied on process emissions (non-energy greenhouse gas emissions from industrial and agricultural operations).</v>
      </c>
      <c r="Q1052" s="394" t="str">
        <f>IF(ISBLANK(INDEX('Policy Characteristics'!K:K,MATCH($C1052,'Policy Characteristics'!$C:$C,0))),"",INDEX('Policy Characteristics'!K:K,MATCH($C1052,'Policy Characteristics'!$C:$C,0)))</f>
        <v>fuels.html#carbon-tax</v>
      </c>
      <c r="R1052" s="394" t="str">
        <f>IF(ISBLANK(INDEX('Policy Characteristics'!L:L,MATCH($C1052,'Policy Characteristics'!$C:$C,0))),"",INDEX('Policy Characteristics'!L:L,MATCH($C1052,'Policy Characteristics'!$C:$C,0)))</f>
        <v>carbon-tax.html</v>
      </c>
    </row>
    <row r="1053" customHeight="1" spans="1:18">
      <c r="A1053" s="394" t="str">
        <f>IF(ISBLANK(INDEX('Policy Characteristics'!A:A,MATCH($C1053,'Policy Characteristics'!$C:$C,0))),"",INDEX('Policy Characteristics'!A:A,MATCH($C1053,'Policy Characteristics'!$C:$C,0)))</f>
        <v>Cross-Sector</v>
      </c>
      <c r="B1053" s="395" t="str">
        <f>IF(ISBLANK(INDEX('Policy Characteristics'!B:B,MATCH($C1053,'Policy Characteristics'!$C:$C,0))),"",INDEX('Policy Characteristics'!B:B,MATCH($C1053,'Policy Characteristics'!$C:$C,0)))</f>
        <v>Exempt Process Emissions from C Tax</v>
      </c>
      <c r="C1053" s="394" t="str">
        <f t="shared" ref="C1053:C1075" si="51">C$1051</f>
        <v>BEPEfCT Boolean Exempt Process Emissions from Carbon Tax</v>
      </c>
      <c r="D1053" s="399" t="s">
        <v>742</v>
      </c>
      <c r="E1053" s="399"/>
      <c r="F1053" t="s">
        <v>743</v>
      </c>
      <c r="G1053" s="399"/>
      <c r="H1053" s="377">
        <v>1630</v>
      </c>
      <c r="I1053" s="396" t="s">
        <v>648</v>
      </c>
      <c r="J1053" s="397" t="str">
        <f>IF(ISBLANK(INDEX('Policy Characteristics'!D:D,MATCH($C1053,'Policy Characteristics'!$C:$C,0))),"",INDEX('Policy Characteristics'!D:D,MATCH($C1053,'Policy Characteristics'!$C:$C,0)))</f>
        <v/>
      </c>
      <c r="K1053" s="394" t="str">
        <f>IF(ISBLANK(INDEX('Policy Characteristics'!E:E,MATCH($C1053,'Policy Characteristics'!$C:$C,0))),"",INDEX('Policy Characteristics'!E:E,MATCH($C1053,'Policy Characteristics'!$C:$C,0)))</f>
        <v>cross toggle whether carbon tax affects process emissions</v>
      </c>
      <c r="L1053" s="394">
        <f>IF(ISBLANK(INDEX('Policy Characteristics'!F:F,MATCH($C1053,'Policy Characteristics'!$C:$C,0))),"",INDEX('Policy Characteristics'!F:F,MATCH($C1053,'Policy Characteristics'!$C:$C,0)))</f>
        <v>0</v>
      </c>
      <c r="M1053" s="394">
        <f>IF(ISBLANK(INDEX('Policy Characteristics'!G:G,MATCH($C1053,'Policy Characteristics'!$C:$C,0))),"",INDEX('Policy Characteristics'!G:G,MATCH($C1053,'Policy Characteristics'!$C:$C,0)))</f>
        <v>1</v>
      </c>
      <c r="N1053" s="394">
        <f>IF(ISBLANK(INDEX('Policy Characteristics'!H:H,MATCH($C1053,'Policy Characteristics'!$C:$C,0))),"",INDEX('Policy Characteristics'!H:H,MATCH($C1053,'Policy Characteristics'!$C:$C,0)))</f>
        <v>1</v>
      </c>
      <c r="O1053" s="394" t="str">
        <f>IF(ISBLANK(INDEX('Policy Characteristics'!I:I,MATCH($C1053,'Policy Characteristics'!$C:$C,0))),"",INDEX('Policy Characteristics'!I:I,MATCH($C1053,'Policy Characteristics'!$C:$C,0)))</f>
        <v>on/off</v>
      </c>
      <c r="P1053" s="394" t="str">
        <f>IF(ISBLANK(INDEX('Policy Characteristics'!J:J,MATCH($C1053,'Policy Characteristics'!$C:$C,0))),"",INDEX('Policy Characteristics'!J:J,MATCH($C1053,'Policy Characteristics'!$C:$C,0)))</f>
        <v>**Description:** This policy prevents the carbon tax from being levied on process emissions (non-energy greenhouse gas emissions from industrial and agricultural operations).</v>
      </c>
      <c r="Q1053" s="394" t="str">
        <f>IF(ISBLANK(INDEX('Policy Characteristics'!K:K,MATCH($C1053,'Policy Characteristics'!$C:$C,0))),"",INDEX('Policy Characteristics'!K:K,MATCH($C1053,'Policy Characteristics'!$C:$C,0)))</f>
        <v>fuels.html#carbon-tax</v>
      </c>
      <c r="R1053" s="394" t="str">
        <f>IF(ISBLANK(INDEX('Policy Characteristics'!L:L,MATCH($C1053,'Policy Characteristics'!$C:$C,0))),"",INDEX('Policy Characteristics'!L:L,MATCH($C1053,'Policy Characteristics'!$C:$C,0)))</f>
        <v>carbon-tax.html</v>
      </c>
    </row>
    <row r="1054" customHeight="1" spans="1:18">
      <c r="A1054" s="394" t="str">
        <f>IF(ISBLANK(INDEX('Policy Characteristics'!A:A,MATCH($C1054,'Policy Characteristics'!$C:$C,0))),"",INDEX('Policy Characteristics'!A:A,MATCH($C1054,'Policy Characteristics'!$C:$C,0)))</f>
        <v>Cross-Sector</v>
      </c>
      <c r="B1054" s="395" t="str">
        <f>IF(ISBLANK(INDEX('Policy Characteristics'!B:B,MATCH($C1054,'Policy Characteristics'!$C:$C,0))),"",INDEX('Policy Characteristics'!B:B,MATCH($C1054,'Policy Characteristics'!$C:$C,0)))</f>
        <v>Exempt Process Emissions from C Tax</v>
      </c>
      <c r="C1054" s="394" t="str">
        <f t="shared" si="51"/>
        <v>BEPEfCT Boolean Exempt Process Emissions from Carbon Tax</v>
      </c>
      <c r="D1054" s="399" t="s">
        <v>744</v>
      </c>
      <c r="E1054" s="399"/>
      <c r="F1054" t="s">
        <v>745</v>
      </c>
      <c r="G1054" s="399"/>
      <c r="H1054" s="377">
        <v>1631</v>
      </c>
      <c r="I1054" s="396" t="s">
        <v>658</v>
      </c>
      <c r="J1054" s="397" t="str">
        <f>IF(ISBLANK(INDEX('Policy Characteristics'!D:D,MATCH($C1054,'Policy Characteristics'!$C:$C,0))),"",INDEX('Policy Characteristics'!D:D,MATCH($C1054,'Policy Characteristics'!$C:$C,0)))</f>
        <v/>
      </c>
      <c r="K1054" s="394" t="str">
        <f>IF(ISBLANK(INDEX('Policy Characteristics'!E:E,MATCH($C1054,'Policy Characteristics'!$C:$C,0))),"",INDEX('Policy Characteristics'!E:E,MATCH($C1054,'Policy Characteristics'!$C:$C,0)))</f>
        <v>cross toggle whether carbon tax affects process emissions</v>
      </c>
      <c r="L1054" s="394">
        <f>IF(ISBLANK(INDEX('Policy Characteristics'!F:F,MATCH($C1054,'Policy Characteristics'!$C:$C,0))),"",INDEX('Policy Characteristics'!F:F,MATCH($C1054,'Policy Characteristics'!$C:$C,0)))</f>
        <v>0</v>
      </c>
      <c r="M1054" s="394">
        <f>IF(ISBLANK(INDEX('Policy Characteristics'!G:G,MATCH($C1054,'Policy Characteristics'!$C:$C,0))),"",INDEX('Policy Characteristics'!G:G,MATCH($C1054,'Policy Characteristics'!$C:$C,0)))</f>
        <v>1</v>
      </c>
      <c r="N1054" s="394">
        <f>IF(ISBLANK(INDEX('Policy Characteristics'!H:H,MATCH($C1054,'Policy Characteristics'!$C:$C,0))),"",INDEX('Policy Characteristics'!H:H,MATCH($C1054,'Policy Characteristics'!$C:$C,0)))</f>
        <v>1</v>
      </c>
      <c r="O1054" s="394" t="str">
        <f>IF(ISBLANK(INDEX('Policy Characteristics'!I:I,MATCH($C1054,'Policy Characteristics'!$C:$C,0))),"",INDEX('Policy Characteristics'!I:I,MATCH($C1054,'Policy Characteristics'!$C:$C,0)))</f>
        <v>on/off</v>
      </c>
      <c r="P1054" s="394" t="str">
        <f>IF(ISBLANK(INDEX('Policy Characteristics'!J:J,MATCH($C1054,'Policy Characteristics'!$C:$C,0))),"",INDEX('Policy Characteristics'!J:J,MATCH($C1054,'Policy Characteristics'!$C:$C,0)))</f>
        <v>**Description:** This policy prevents the carbon tax from being levied on process emissions (non-energy greenhouse gas emissions from industrial and agricultural operations).</v>
      </c>
      <c r="Q1054" s="394" t="str">
        <f>IF(ISBLANK(INDEX('Policy Characteristics'!K:K,MATCH($C1054,'Policy Characteristics'!$C:$C,0))),"",INDEX('Policy Characteristics'!K:K,MATCH($C1054,'Policy Characteristics'!$C:$C,0)))</f>
        <v>fuels.html#carbon-tax</v>
      </c>
      <c r="R1054" s="394" t="str">
        <f>IF(ISBLANK(INDEX('Policy Characteristics'!L:L,MATCH($C1054,'Policy Characteristics'!$C:$C,0))),"",INDEX('Policy Characteristics'!L:L,MATCH($C1054,'Policy Characteristics'!$C:$C,0)))</f>
        <v>carbon-tax.html</v>
      </c>
    </row>
    <row r="1055" customHeight="1" spans="1:18">
      <c r="A1055" s="394" t="str">
        <f>IF(ISBLANK(INDEX('Policy Characteristics'!A:A,MATCH($C1055,'Policy Characteristics'!$C:$C,0))),"",INDEX('Policy Characteristics'!A:A,MATCH($C1055,'Policy Characteristics'!$C:$C,0)))</f>
        <v>Cross-Sector</v>
      </c>
      <c r="B1055" s="395" t="str">
        <f>IF(ISBLANK(INDEX('Policy Characteristics'!B:B,MATCH($C1055,'Policy Characteristics'!$C:$C,0))),"",INDEX('Policy Characteristics'!B:B,MATCH($C1055,'Policy Characteristics'!$C:$C,0)))</f>
        <v>Exempt Process Emissions from C Tax</v>
      </c>
      <c r="C1055" s="394" t="str">
        <f t="shared" si="51"/>
        <v>BEPEfCT Boolean Exempt Process Emissions from Carbon Tax</v>
      </c>
      <c r="D1055" s="399" t="s">
        <v>746</v>
      </c>
      <c r="E1055" s="399"/>
      <c r="F1055" t="s">
        <v>747</v>
      </c>
      <c r="G1055" s="399"/>
      <c r="H1055" s="377">
        <v>1632</v>
      </c>
      <c r="I1055" s="396" t="s">
        <v>658</v>
      </c>
      <c r="J1055" s="397" t="str">
        <f>IF(ISBLANK(INDEX('Policy Characteristics'!D:D,MATCH($C1055,'Policy Characteristics'!$C:$C,0))),"",INDEX('Policy Characteristics'!D:D,MATCH($C1055,'Policy Characteristics'!$C:$C,0)))</f>
        <v/>
      </c>
      <c r="K1055" s="394" t="str">
        <f>IF(ISBLANK(INDEX('Policy Characteristics'!E:E,MATCH($C1055,'Policy Characteristics'!$C:$C,0))),"",INDEX('Policy Characteristics'!E:E,MATCH($C1055,'Policy Characteristics'!$C:$C,0)))</f>
        <v>cross toggle whether carbon tax affects process emissions</v>
      </c>
      <c r="L1055" s="394">
        <f>IF(ISBLANK(INDEX('Policy Characteristics'!F:F,MATCH($C1055,'Policy Characteristics'!$C:$C,0))),"",INDEX('Policy Characteristics'!F:F,MATCH($C1055,'Policy Characteristics'!$C:$C,0)))</f>
        <v>0</v>
      </c>
      <c r="M1055" s="394">
        <f>IF(ISBLANK(INDEX('Policy Characteristics'!G:G,MATCH($C1055,'Policy Characteristics'!$C:$C,0))),"",INDEX('Policy Characteristics'!G:G,MATCH($C1055,'Policy Characteristics'!$C:$C,0)))</f>
        <v>1</v>
      </c>
      <c r="N1055" s="394">
        <f>IF(ISBLANK(INDEX('Policy Characteristics'!H:H,MATCH($C1055,'Policy Characteristics'!$C:$C,0))),"",INDEX('Policy Characteristics'!H:H,MATCH($C1055,'Policy Characteristics'!$C:$C,0)))</f>
        <v>1</v>
      </c>
      <c r="O1055" s="394" t="str">
        <f>IF(ISBLANK(INDEX('Policy Characteristics'!I:I,MATCH($C1055,'Policy Characteristics'!$C:$C,0))),"",INDEX('Policy Characteristics'!I:I,MATCH($C1055,'Policy Characteristics'!$C:$C,0)))</f>
        <v>on/off</v>
      </c>
      <c r="P1055" s="394" t="str">
        <f>IF(ISBLANK(INDEX('Policy Characteristics'!J:J,MATCH($C1055,'Policy Characteristics'!$C:$C,0))),"",INDEX('Policy Characteristics'!J:J,MATCH($C1055,'Policy Characteristics'!$C:$C,0)))</f>
        <v>**Description:** This policy prevents the carbon tax from being levied on process emissions (non-energy greenhouse gas emissions from industrial and agricultural operations).</v>
      </c>
      <c r="Q1055" s="394" t="str">
        <f>IF(ISBLANK(INDEX('Policy Characteristics'!K:K,MATCH($C1055,'Policy Characteristics'!$C:$C,0))),"",INDEX('Policy Characteristics'!K:K,MATCH($C1055,'Policy Characteristics'!$C:$C,0)))</f>
        <v>fuels.html#carbon-tax</v>
      </c>
      <c r="R1055" s="394" t="str">
        <f>IF(ISBLANK(INDEX('Policy Characteristics'!L:L,MATCH($C1055,'Policy Characteristics'!$C:$C,0))),"",INDEX('Policy Characteristics'!L:L,MATCH($C1055,'Policy Characteristics'!$C:$C,0)))</f>
        <v>carbon-tax.html</v>
      </c>
    </row>
    <row r="1056" customHeight="1" spans="1:18">
      <c r="A1056" s="394" t="str">
        <f>IF(ISBLANK(INDEX('Policy Characteristics'!A:A,MATCH($C1056,'Policy Characteristics'!$C:$C,0))),"",INDEX('Policy Characteristics'!A:A,MATCH($C1056,'Policy Characteristics'!$C:$C,0)))</f>
        <v>Cross-Sector</v>
      </c>
      <c r="B1056" s="395" t="str">
        <f>IF(ISBLANK(INDEX('Policy Characteristics'!B:B,MATCH($C1056,'Policy Characteristics'!$C:$C,0))),"",INDEX('Policy Characteristics'!B:B,MATCH($C1056,'Policy Characteristics'!$C:$C,0)))</f>
        <v>Exempt Process Emissions from C Tax</v>
      </c>
      <c r="C1056" s="394" t="str">
        <f t="shared" si="51"/>
        <v>BEPEfCT Boolean Exempt Process Emissions from Carbon Tax</v>
      </c>
      <c r="D1056" s="399" t="s">
        <v>748</v>
      </c>
      <c r="E1056" s="399"/>
      <c r="F1056" t="s">
        <v>749</v>
      </c>
      <c r="G1056" s="399"/>
      <c r="H1056" s="377">
        <v>1633</v>
      </c>
      <c r="I1056" s="396" t="s">
        <v>658</v>
      </c>
      <c r="J1056" s="397" t="str">
        <f>IF(ISBLANK(INDEX('Policy Characteristics'!D:D,MATCH($C1056,'Policy Characteristics'!$C:$C,0))),"",INDEX('Policy Characteristics'!D:D,MATCH($C1056,'Policy Characteristics'!$C:$C,0)))</f>
        <v/>
      </c>
      <c r="K1056" s="394" t="str">
        <f>IF(ISBLANK(INDEX('Policy Characteristics'!E:E,MATCH($C1056,'Policy Characteristics'!$C:$C,0))),"",INDEX('Policy Characteristics'!E:E,MATCH($C1056,'Policy Characteristics'!$C:$C,0)))</f>
        <v>cross toggle whether carbon tax affects process emissions</v>
      </c>
      <c r="L1056" s="394">
        <f>IF(ISBLANK(INDEX('Policy Characteristics'!F:F,MATCH($C1056,'Policy Characteristics'!$C:$C,0))),"",INDEX('Policy Characteristics'!F:F,MATCH($C1056,'Policy Characteristics'!$C:$C,0)))</f>
        <v>0</v>
      </c>
      <c r="M1056" s="394">
        <f>IF(ISBLANK(INDEX('Policy Characteristics'!G:G,MATCH($C1056,'Policy Characteristics'!$C:$C,0))),"",INDEX('Policy Characteristics'!G:G,MATCH($C1056,'Policy Characteristics'!$C:$C,0)))</f>
        <v>1</v>
      </c>
      <c r="N1056" s="394">
        <f>IF(ISBLANK(INDEX('Policy Characteristics'!H:H,MATCH($C1056,'Policy Characteristics'!$C:$C,0))),"",INDEX('Policy Characteristics'!H:H,MATCH($C1056,'Policy Characteristics'!$C:$C,0)))</f>
        <v>1</v>
      </c>
      <c r="O1056" s="394" t="str">
        <f>IF(ISBLANK(INDEX('Policy Characteristics'!I:I,MATCH($C1056,'Policy Characteristics'!$C:$C,0))),"",INDEX('Policy Characteristics'!I:I,MATCH($C1056,'Policy Characteristics'!$C:$C,0)))</f>
        <v>on/off</v>
      </c>
      <c r="P1056" s="394" t="str">
        <f>IF(ISBLANK(INDEX('Policy Characteristics'!J:J,MATCH($C1056,'Policy Characteristics'!$C:$C,0))),"",INDEX('Policy Characteristics'!J:J,MATCH($C1056,'Policy Characteristics'!$C:$C,0)))</f>
        <v>**Description:** This policy prevents the carbon tax from being levied on process emissions (non-energy greenhouse gas emissions from industrial and agricultural operations).</v>
      </c>
      <c r="Q1056" s="394" t="str">
        <f>IF(ISBLANK(INDEX('Policy Characteristics'!K:K,MATCH($C1056,'Policy Characteristics'!$C:$C,0))),"",INDEX('Policy Characteristics'!K:K,MATCH($C1056,'Policy Characteristics'!$C:$C,0)))</f>
        <v>fuels.html#carbon-tax</v>
      </c>
      <c r="R1056" s="394" t="str">
        <f>IF(ISBLANK(INDEX('Policy Characteristics'!L:L,MATCH($C1056,'Policy Characteristics'!$C:$C,0))),"",INDEX('Policy Characteristics'!L:L,MATCH($C1056,'Policy Characteristics'!$C:$C,0)))</f>
        <v>carbon-tax.html</v>
      </c>
    </row>
    <row r="1057" customHeight="1" spans="1:18">
      <c r="A1057" s="394" t="str">
        <f>IF(ISBLANK(INDEX('Policy Characteristics'!A:A,MATCH($C1057,'Policy Characteristics'!$C:$C,0))),"",INDEX('Policy Characteristics'!A:A,MATCH($C1057,'Policy Characteristics'!$C:$C,0)))</f>
        <v>Cross-Sector</v>
      </c>
      <c r="B1057" s="395" t="str">
        <f>IF(ISBLANK(INDEX('Policy Characteristics'!B:B,MATCH($C1057,'Policy Characteristics'!$C:$C,0))),"",INDEX('Policy Characteristics'!B:B,MATCH($C1057,'Policy Characteristics'!$C:$C,0)))</f>
        <v>Exempt Process Emissions from C Tax</v>
      </c>
      <c r="C1057" s="394" t="str">
        <f t="shared" si="51"/>
        <v>BEPEfCT Boolean Exempt Process Emissions from Carbon Tax</v>
      </c>
      <c r="D1057" s="399" t="s">
        <v>750</v>
      </c>
      <c r="E1057" s="399"/>
      <c r="F1057" s="366" t="s">
        <v>751</v>
      </c>
      <c r="G1057" s="399"/>
      <c r="H1057" s="377">
        <v>1634</v>
      </c>
      <c r="I1057" s="396" t="s">
        <v>658</v>
      </c>
      <c r="J1057" s="397" t="str">
        <f>IF(ISBLANK(INDEX('Policy Characteristics'!D:D,MATCH($C1057,'Policy Characteristics'!$C:$C,0))),"",INDEX('Policy Characteristics'!D:D,MATCH($C1057,'Policy Characteristics'!$C:$C,0)))</f>
        <v/>
      </c>
      <c r="K1057" s="394" t="str">
        <f>IF(ISBLANK(INDEX('Policy Characteristics'!E:E,MATCH($C1057,'Policy Characteristics'!$C:$C,0))),"",INDEX('Policy Characteristics'!E:E,MATCH($C1057,'Policy Characteristics'!$C:$C,0)))</f>
        <v>cross toggle whether carbon tax affects process emissions</v>
      </c>
      <c r="L1057" s="394">
        <f>IF(ISBLANK(INDEX('Policy Characteristics'!F:F,MATCH($C1057,'Policy Characteristics'!$C:$C,0))),"",INDEX('Policy Characteristics'!F:F,MATCH($C1057,'Policy Characteristics'!$C:$C,0)))</f>
        <v>0</v>
      </c>
      <c r="M1057" s="394">
        <f>IF(ISBLANK(INDEX('Policy Characteristics'!G:G,MATCH($C1057,'Policy Characteristics'!$C:$C,0))),"",INDEX('Policy Characteristics'!G:G,MATCH($C1057,'Policy Characteristics'!$C:$C,0)))</f>
        <v>1</v>
      </c>
      <c r="N1057" s="394">
        <f>IF(ISBLANK(INDEX('Policy Characteristics'!H:H,MATCH($C1057,'Policy Characteristics'!$C:$C,0))),"",INDEX('Policy Characteristics'!H:H,MATCH($C1057,'Policy Characteristics'!$C:$C,0)))</f>
        <v>1</v>
      </c>
      <c r="O1057" s="394" t="str">
        <f>IF(ISBLANK(INDEX('Policy Characteristics'!I:I,MATCH($C1057,'Policy Characteristics'!$C:$C,0))),"",INDEX('Policy Characteristics'!I:I,MATCH($C1057,'Policy Characteristics'!$C:$C,0)))</f>
        <v>on/off</v>
      </c>
      <c r="P1057" s="394" t="str">
        <f>IF(ISBLANK(INDEX('Policy Characteristics'!J:J,MATCH($C1057,'Policy Characteristics'!$C:$C,0))),"",INDEX('Policy Characteristics'!J:J,MATCH($C1057,'Policy Characteristics'!$C:$C,0)))</f>
        <v>**Description:** This policy prevents the carbon tax from being levied on process emissions (non-energy greenhouse gas emissions from industrial and agricultural operations).</v>
      </c>
      <c r="Q1057" s="394" t="str">
        <f>IF(ISBLANK(INDEX('Policy Characteristics'!K:K,MATCH($C1057,'Policy Characteristics'!$C:$C,0))),"",INDEX('Policy Characteristics'!K:K,MATCH($C1057,'Policy Characteristics'!$C:$C,0)))</f>
        <v>fuels.html#carbon-tax</v>
      </c>
      <c r="R1057" s="394" t="str">
        <f>IF(ISBLANK(INDEX('Policy Characteristics'!L:L,MATCH($C1057,'Policy Characteristics'!$C:$C,0))),"",INDEX('Policy Characteristics'!L:L,MATCH($C1057,'Policy Characteristics'!$C:$C,0)))</f>
        <v>carbon-tax.html</v>
      </c>
    </row>
    <row r="1058" customHeight="1" spans="1:18">
      <c r="A1058" s="394" t="str">
        <f>IF(ISBLANK(INDEX('Policy Characteristics'!A:A,MATCH($C1058,'Policy Characteristics'!$C:$C,0))),"",INDEX('Policy Characteristics'!A:A,MATCH($C1058,'Policy Characteristics'!$C:$C,0)))</f>
        <v>Cross-Sector</v>
      </c>
      <c r="B1058" s="395" t="str">
        <f>IF(ISBLANK(INDEX('Policy Characteristics'!B:B,MATCH($C1058,'Policy Characteristics'!$C:$C,0))),"",INDEX('Policy Characteristics'!B:B,MATCH($C1058,'Policy Characteristics'!$C:$C,0)))</f>
        <v>Exempt Process Emissions from C Tax</v>
      </c>
      <c r="C1058" s="394" t="str">
        <f t="shared" si="51"/>
        <v>BEPEfCT Boolean Exempt Process Emissions from Carbon Tax</v>
      </c>
      <c r="D1058" s="399" t="s">
        <v>752</v>
      </c>
      <c r="E1058" s="399"/>
      <c r="F1058" t="s">
        <v>753</v>
      </c>
      <c r="G1058" s="399"/>
      <c r="H1058" s="377">
        <v>1635</v>
      </c>
      <c r="I1058" s="396" t="s">
        <v>658</v>
      </c>
      <c r="J1058" s="397" t="str">
        <f>IF(ISBLANK(INDEX('Policy Characteristics'!D:D,MATCH($C1058,'Policy Characteristics'!$C:$C,0))),"",INDEX('Policy Characteristics'!D:D,MATCH($C1058,'Policy Characteristics'!$C:$C,0)))</f>
        <v/>
      </c>
      <c r="K1058" s="394" t="str">
        <f>IF(ISBLANK(INDEX('Policy Characteristics'!E:E,MATCH($C1058,'Policy Characteristics'!$C:$C,0))),"",INDEX('Policy Characteristics'!E:E,MATCH($C1058,'Policy Characteristics'!$C:$C,0)))</f>
        <v>cross toggle whether carbon tax affects process emissions</v>
      </c>
      <c r="L1058" s="394">
        <f>IF(ISBLANK(INDEX('Policy Characteristics'!F:F,MATCH($C1058,'Policy Characteristics'!$C:$C,0))),"",INDEX('Policy Characteristics'!F:F,MATCH($C1058,'Policy Characteristics'!$C:$C,0)))</f>
        <v>0</v>
      </c>
      <c r="M1058" s="394">
        <f>IF(ISBLANK(INDEX('Policy Characteristics'!G:G,MATCH($C1058,'Policy Characteristics'!$C:$C,0))),"",INDEX('Policy Characteristics'!G:G,MATCH($C1058,'Policy Characteristics'!$C:$C,0)))</f>
        <v>1</v>
      </c>
      <c r="N1058" s="394">
        <f>IF(ISBLANK(INDEX('Policy Characteristics'!H:H,MATCH($C1058,'Policy Characteristics'!$C:$C,0))),"",INDEX('Policy Characteristics'!H:H,MATCH($C1058,'Policy Characteristics'!$C:$C,0)))</f>
        <v>1</v>
      </c>
      <c r="O1058" s="394" t="str">
        <f>IF(ISBLANK(INDEX('Policy Characteristics'!I:I,MATCH($C1058,'Policy Characteristics'!$C:$C,0))),"",INDEX('Policy Characteristics'!I:I,MATCH($C1058,'Policy Characteristics'!$C:$C,0)))</f>
        <v>on/off</v>
      </c>
      <c r="P1058" s="394" t="str">
        <f>IF(ISBLANK(INDEX('Policy Characteristics'!J:J,MATCH($C1058,'Policy Characteristics'!$C:$C,0))),"",INDEX('Policy Characteristics'!J:J,MATCH($C1058,'Policy Characteristics'!$C:$C,0)))</f>
        <v>**Description:** This policy prevents the carbon tax from being levied on process emissions (non-energy greenhouse gas emissions from industrial and agricultural operations).</v>
      </c>
      <c r="Q1058" s="394" t="str">
        <f>IF(ISBLANK(INDEX('Policy Characteristics'!K:K,MATCH($C1058,'Policy Characteristics'!$C:$C,0))),"",INDEX('Policy Characteristics'!K:K,MATCH($C1058,'Policy Characteristics'!$C:$C,0)))</f>
        <v>fuels.html#carbon-tax</v>
      </c>
      <c r="R1058" s="394" t="str">
        <f>IF(ISBLANK(INDEX('Policy Characteristics'!L:L,MATCH($C1058,'Policy Characteristics'!$C:$C,0))),"",INDEX('Policy Characteristics'!L:L,MATCH($C1058,'Policy Characteristics'!$C:$C,0)))</f>
        <v>carbon-tax.html</v>
      </c>
    </row>
    <row r="1059" customHeight="1" spans="1:18">
      <c r="A1059" s="394" t="str">
        <f>IF(ISBLANK(INDEX('Policy Characteristics'!A:A,MATCH($C1059,'Policy Characteristics'!$C:$C,0))),"",INDEX('Policy Characteristics'!A:A,MATCH($C1059,'Policy Characteristics'!$C:$C,0)))</f>
        <v>Cross-Sector</v>
      </c>
      <c r="B1059" s="395" t="str">
        <f>IF(ISBLANK(INDEX('Policy Characteristics'!B:B,MATCH($C1059,'Policy Characteristics'!$C:$C,0))),"",INDEX('Policy Characteristics'!B:B,MATCH($C1059,'Policy Characteristics'!$C:$C,0)))</f>
        <v>Exempt Process Emissions from C Tax</v>
      </c>
      <c r="C1059" s="394" t="str">
        <f t="shared" si="51"/>
        <v>BEPEfCT Boolean Exempt Process Emissions from Carbon Tax</v>
      </c>
      <c r="D1059" s="399" t="s">
        <v>754</v>
      </c>
      <c r="E1059" s="399"/>
      <c r="F1059" t="s">
        <v>755</v>
      </c>
      <c r="G1059" s="399"/>
      <c r="H1059" s="377">
        <v>1636</v>
      </c>
      <c r="I1059" s="396" t="s">
        <v>658</v>
      </c>
      <c r="J1059" s="397" t="str">
        <f>IF(ISBLANK(INDEX('Policy Characteristics'!D:D,MATCH($C1059,'Policy Characteristics'!$C:$C,0))),"",INDEX('Policy Characteristics'!D:D,MATCH($C1059,'Policy Characteristics'!$C:$C,0)))</f>
        <v/>
      </c>
      <c r="K1059" s="394" t="str">
        <f>IF(ISBLANK(INDEX('Policy Characteristics'!E:E,MATCH($C1059,'Policy Characteristics'!$C:$C,0))),"",INDEX('Policy Characteristics'!E:E,MATCH($C1059,'Policy Characteristics'!$C:$C,0)))</f>
        <v>cross toggle whether carbon tax affects process emissions</v>
      </c>
      <c r="L1059" s="394">
        <f>IF(ISBLANK(INDEX('Policy Characteristics'!F:F,MATCH($C1059,'Policy Characteristics'!$C:$C,0))),"",INDEX('Policy Characteristics'!F:F,MATCH($C1059,'Policy Characteristics'!$C:$C,0)))</f>
        <v>0</v>
      </c>
      <c r="M1059" s="394">
        <f>IF(ISBLANK(INDEX('Policy Characteristics'!G:G,MATCH($C1059,'Policy Characteristics'!$C:$C,0))),"",INDEX('Policy Characteristics'!G:G,MATCH($C1059,'Policy Characteristics'!$C:$C,0)))</f>
        <v>1</v>
      </c>
      <c r="N1059" s="394">
        <f>IF(ISBLANK(INDEX('Policy Characteristics'!H:H,MATCH($C1059,'Policy Characteristics'!$C:$C,0))),"",INDEX('Policy Characteristics'!H:H,MATCH($C1059,'Policy Characteristics'!$C:$C,0)))</f>
        <v>1</v>
      </c>
      <c r="O1059" s="394" t="str">
        <f>IF(ISBLANK(INDEX('Policy Characteristics'!I:I,MATCH($C1059,'Policy Characteristics'!$C:$C,0))),"",INDEX('Policy Characteristics'!I:I,MATCH($C1059,'Policy Characteristics'!$C:$C,0)))</f>
        <v>on/off</v>
      </c>
      <c r="P1059" s="394" t="str">
        <f>IF(ISBLANK(INDEX('Policy Characteristics'!J:J,MATCH($C1059,'Policy Characteristics'!$C:$C,0))),"",INDEX('Policy Characteristics'!J:J,MATCH($C1059,'Policy Characteristics'!$C:$C,0)))</f>
        <v>**Description:** This policy prevents the carbon tax from being levied on process emissions (non-energy greenhouse gas emissions from industrial and agricultural operations).</v>
      </c>
      <c r="Q1059" s="394" t="str">
        <f>IF(ISBLANK(INDEX('Policy Characteristics'!K:K,MATCH($C1059,'Policy Characteristics'!$C:$C,0))),"",INDEX('Policy Characteristics'!K:K,MATCH($C1059,'Policy Characteristics'!$C:$C,0)))</f>
        <v>fuels.html#carbon-tax</v>
      </c>
      <c r="R1059" s="394" t="str">
        <f>IF(ISBLANK(INDEX('Policy Characteristics'!L:L,MATCH($C1059,'Policy Characteristics'!$C:$C,0))),"",INDEX('Policy Characteristics'!L:L,MATCH($C1059,'Policy Characteristics'!$C:$C,0)))</f>
        <v>carbon-tax.html</v>
      </c>
    </row>
    <row r="1060" customHeight="1" spans="1:18">
      <c r="A1060" s="394" t="str">
        <f>IF(ISBLANK(INDEX('Policy Characteristics'!A:A,MATCH($C1060,'Policy Characteristics'!$C:$C,0))),"",INDEX('Policy Characteristics'!A:A,MATCH($C1060,'Policy Characteristics'!$C:$C,0)))</f>
        <v>Cross-Sector</v>
      </c>
      <c r="B1060" s="395" t="str">
        <f>IF(ISBLANK(INDEX('Policy Characteristics'!B:B,MATCH($C1060,'Policy Characteristics'!$C:$C,0))),"",INDEX('Policy Characteristics'!B:B,MATCH($C1060,'Policy Characteristics'!$C:$C,0)))</f>
        <v>Exempt Process Emissions from C Tax</v>
      </c>
      <c r="C1060" s="394" t="str">
        <f t="shared" si="51"/>
        <v>BEPEfCT Boolean Exempt Process Emissions from Carbon Tax</v>
      </c>
      <c r="D1060" s="399" t="s">
        <v>756</v>
      </c>
      <c r="E1060" s="399"/>
      <c r="F1060" t="s">
        <v>757</v>
      </c>
      <c r="G1060" s="399"/>
      <c r="H1060" s="377">
        <v>1637</v>
      </c>
      <c r="I1060" s="396" t="s">
        <v>648</v>
      </c>
      <c r="J1060" s="397" t="str">
        <f>IF(ISBLANK(INDEX('Policy Characteristics'!D:D,MATCH($C1060,'Policy Characteristics'!$C:$C,0))),"",INDEX('Policy Characteristics'!D:D,MATCH($C1060,'Policy Characteristics'!$C:$C,0)))</f>
        <v/>
      </c>
      <c r="K1060" s="394" t="str">
        <f>IF(ISBLANK(INDEX('Policy Characteristics'!E:E,MATCH($C1060,'Policy Characteristics'!$C:$C,0))),"",INDEX('Policy Characteristics'!E:E,MATCH($C1060,'Policy Characteristics'!$C:$C,0)))</f>
        <v>cross toggle whether carbon tax affects process emissions</v>
      </c>
      <c r="L1060" s="394">
        <f>IF(ISBLANK(INDEX('Policy Characteristics'!F:F,MATCH($C1060,'Policy Characteristics'!$C:$C,0))),"",INDEX('Policy Characteristics'!F:F,MATCH($C1060,'Policy Characteristics'!$C:$C,0)))</f>
        <v>0</v>
      </c>
      <c r="M1060" s="394">
        <f>IF(ISBLANK(INDEX('Policy Characteristics'!G:G,MATCH($C1060,'Policy Characteristics'!$C:$C,0))),"",INDEX('Policy Characteristics'!G:G,MATCH($C1060,'Policy Characteristics'!$C:$C,0)))</f>
        <v>1</v>
      </c>
      <c r="N1060" s="394">
        <f>IF(ISBLANK(INDEX('Policy Characteristics'!H:H,MATCH($C1060,'Policy Characteristics'!$C:$C,0))),"",INDEX('Policy Characteristics'!H:H,MATCH($C1060,'Policy Characteristics'!$C:$C,0)))</f>
        <v>1</v>
      </c>
      <c r="O1060" s="394" t="str">
        <f>IF(ISBLANK(INDEX('Policy Characteristics'!I:I,MATCH($C1060,'Policy Characteristics'!$C:$C,0))),"",INDEX('Policy Characteristics'!I:I,MATCH($C1060,'Policy Characteristics'!$C:$C,0)))</f>
        <v>on/off</v>
      </c>
      <c r="P1060" s="394" t="str">
        <f>IF(ISBLANK(INDEX('Policy Characteristics'!J:J,MATCH($C1060,'Policy Characteristics'!$C:$C,0))),"",INDEX('Policy Characteristics'!J:J,MATCH($C1060,'Policy Characteristics'!$C:$C,0)))</f>
        <v>**Description:** This policy prevents the carbon tax from being levied on process emissions (non-energy greenhouse gas emissions from industrial and agricultural operations).</v>
      </c>
      <c r="Q1060" s="394" t="str">
        <f>IF(ISBLANK(INDEX('Policy Characteristics'!K:K,MATCH($C1060,'Policy Characteristics'!$C:$C,0))),"",INDEX('Policy Characteristics'!K:K,MATCH($C1060,'Policy Characteristics'!$C:$C,0)))</f>
        <v>fuels.html#carbon-tax</v>
      </c>
      <c r="R1060" s="394" t="str">
        <f>IF(ISBLANK(INDEX('Policy Characteristics'!L:L,MATCH($C1060,'Policy Characteristics'!$C:$C,0))),"",INDEX('Policy Characteristics'!L:L,MATCH($C1060,'Policy Characteristics'!$C:$C,0)))</f>
        <v>carbon-tax.html</v>
      </c>
    </row>
    <row r="1061" customHeight="1" spans="1:18">
      <c r="A1061" s="394" t="str">
        <f>IF(ISBLANK(INDEX('Policy Characteristics'!A:A,MATCH($C1061,'Policy Characteristics'!$C:$C,0))),"",INDEX('Policy Characteristics'!A:A,MATCH($C1061,'Policy Characteristics'!$C:$C,0)))</f>
        <v>Cross-Sector</v>
      </c>
      <c r="B1061" s="395" t="str">
        <f>IF(ISBLANK(INDEX('Policy Characteristics'!B:B,MATCH($C1061,'Policy Characteristics'!$C:$C,0))),"",INDEX('Policy Characteristics'!B:B,MATCH($C1061,'Policy Characteristics'!$C:$C,0)))</f>
        <v>Exempt Process Emissions from C Tax</v>
      </c>
      <c r="C1061" s="394" t="str">
        <f t="shared" si="51"/>
        <v>BEPEfCT Boolean Exempt Process Emissions from Carbon Tax</v>
      </c>
      <c r="D1061" s="399" t="s">
        <v>758</v>
      </c>
      <c r="E1061" s="399"/>
      <c r="F1061" t="s">
        <v>759</v>
      </c>
      <c r="G1061" s="399"/>
      <c r="H1061" s="377">
        <v>1638</v>
      </c>
      <c r="I1061" s="396" t="s">
        <v>658</v>
      </c>
      <c r="J1061" s="397" t="str">
        <f>IF(ISBLANK(INDEX('Policy Characteristics'!D:D,MATCH($C1061,'Policy Characteristics'!$C:$C,0))),"",INDEX('Policy Characteristics'!D:D,MATCH($C1061,'Policy Characteristics'!$C:$C,0)))</f>
        <v/>
      </c>
      <c r="K1061" s="394" t="str">
        <f>IF(ISBLANK(INDEX('Policy Characteristics'!E:E,MATCH($C1061,'Policy Characteristics'!$C:$C,0))),"",INDEX('Policy Characteristics'!E:E,MATCH($C1061,'Policy Characteristics'!$C:$C,0)))</f>
        <v>cross toggle whether carbon tax affects process emissions</v>
      </c>
      <c r="L1061" s="394">
        <f>IF(ISBLANK(INDEX('Policy Characteristics'!F:F,MATCH($C1061,'Policy Characteristics'!$C:$C,0))),"",INDEX('Policy Characteristics'!F:F,MATCH($C1061,'Policy Characteristics'!$C:$C,0)))</f>
        <v>0</v>
      </c>
      <c r="M1061" s="394">
        <f>IF(ISBLANK(INDEX('Policy Characteristics'!G:G,MATCH($C1061,'Policy Characteristics'!$C:$C,0))),"",INDEX('Policy Characteristics'!G:G,MATCH($C1061,'Policy Characteristics'!$C:$C,0)))</f>
        <v>1</v>
      </c>
      <c r="N1061" s="394">
        <f>IF(ISBLANK(INDEX('Policy Characteristics'!H:H,MATCH($C1061,'Policy Characteristics'!$C:$C,0))),"",INDEX('Policy Characteristics'!H:H,MATCH($C1061,'Policy Characteristics'!$C:$C,0)))</f>
        <v>1</v>
      </c>
      <c r="O1061" s="394" t="str">
        <f>IF(ISBLANK(INDEX('Policy Characteristics'!I:I,MATCH($C1061,'Policy Characteristics'!$C:$C,0))),"",INDEX('Policy Characteristics'!I:I,MATCH($C1061,'Policy Characteristics'!$C:$C,0)))</f>
        <v>on/off</v>
      </c>
      <c r="P1061" s="394" t="str">
        <f>IF(ISBLANK(INDEX('Policy Characteristics'!J:J,MATCH($C1061,'Policy Characteristics'!$C:$C,0))),"",INDEX('Policy Characteristics'!J:J,MATCH($C1061,'Policy Characteristics'!$C:$C,0)))</f>
        <v>**Description:** This policy prevents the carbon tax from being levied on process emissions (non-energy greenhouse gas emissions from industrial and agricultural operations).</v>
      </c>
      <c r="Q1061" s="394" t="str">
        <f>IF(ISBLANK(INDEX('Policy Characteristics'!K:K,MATCH($C1061,'Policy Characteristics'!$C:$C,0))),"",INDEX('Policy Characteristics'!K:K,MATCH($C1061,'Policy Characteristics'!$C:$C,0)))</f>
        <v>fuels.html#carbon-tax</v>
      </c>
      <c r="R1061" s="394" t="str">
        <f>IF(ISBLANK(INDEX('Policy Characteristics'!L:L,MATCH($C1061,'Policy Characteristics'!$C:$C,0))),"",INDEX('Policy Characteristics'!L:L,MATCH($C1061,'Policy Characteristics'!$C:$C,0)))</f>
        <v>carbon-tax.html</v>
      </c>
    </row>
    <row r="1062" customHeight="1" spans="1:18">
      <c r="A1062" s="394" t="str">
        <f>IF(ISBLANK(INDEX('Policy Characteristics'!A:A,MATCH($C1062,'Policy Characteristics'!$C:$C,0))),"",INDEX('Policy Characteristics'!A:A,MATCH($C1062,'Policy Characteristics'!$C:$C,0)))</f>
        <v>Cross-Sector</v>
      </c>
      <c r="B1062" s="395" t="str">
        <f>IF(ISBLANK(INDEX('Policy Characteristics'!B:B,MATCH($C1062,'Policy Characteristics'!$C:$C,0))),"",INDEX('Policy Characteristics'!B:B,MATCH($C1062,'Policy Characteristics'!$C:$C,0)))</f>
        <v>Exempt Process Emissions from C Tax</v>
      </c>
      <c r="C1062" s="394" t="str">
        <f t="shared" si="51"/>
        <v>BEPEfCT Boolean Exempt Process Emissions from Carbon Tax</v>
      </c>
      <c r="D1062" s="399" t="s">
        <v>760</v>
      </c>
      <c r="E1062" s="399"/>
      <c r="F1062" s="366" t="s">
        <v>868</v>
      </c>
      <c r="G1062" s="399"/>
      <c r="H1062" s="377">
        <v>1639</v>
      </c>
      <c r="I1062" s="396" t="s">
        <v>658</v>
      </c>
      <c r="J1062" s="397" t="str">
        <f>IF(ISBLANK(INDEX('Policy Characteristics'!D:D,MATCH($C1062,'Policy Characteristics'!$C:$C,0))),"",INDEX('Policy Characteristics'!D:D,MATCH($C1062,'Policy Characteristics'!$C:$C,0)))</f>
        <v/>
      </c>
      <c r="K1062" s="394" t="str">
        <f>IF(ISBLANK(INDEX('Policy Characteristics'!E:E,MATCH($C1062,'Policy Characteristics'!$C:$C,0))),"",INDEX('Policy Characteristics'!E:E,MATCH($C1062,'Policy Characteristics'!$C:$C,0)))</f>
        <v>cross toggle whether carbon tax affects process emissions</v>
      </c>
      <c r="L1062" s="394">
        <f>IF(ISBLANK(INDEX('Policy Characteristics'!F:F,MATCH($C1062,'Policy Characteristics'!$C:$C,0))),"",INDEX('Policy Characteristics'!F:F,MATCH($C1062,'Policy Characteristics'!$C:$C,0)))</f>
        <v>0</v>
      </c>
      <c r="M1062" s="394">
        <f>IF(ISBLANK(INDEX('Policy Characteristics'!G:G,MATCH($C1062,'Policy Characteristics'!$C:$C,0))),"",INDEX('Policy Characteristics'!G:G,MATCH($C1062,'Policy Characteristics'!$C:$C,0)))</f>
        <v>1</v>
      </c>
      <c r="N1062" s="394">
        <f>IF(ISBLANK(INDEX('Policy Characteristics'!H:H,MATCH($C1062,'Policy Characteristics'!$C:$C,0))),"",INDEX('Policy Characteristics'!H:H,MATCH($C1062,'Policy Characteristics'!$C:$C,0)))</f>
        <v>1</v>
      </c>
      <c r="O1062" s="394" t="str">
        <f>IF(ISBLANK(INDEX('Policy Characteristics'!I:I,MATCH($C1062,'Policy Characteristics'!$C:$C,0))),"",INDEX('Policy Characteristics'!I:I,MATCH($C1062,'Policy Characteristics'!$C:$C,0)))</f>
        <v>on/off</v>
      </c>
      <c r="P1062" s="394" t="str">
        <f>IF(ISBLANK(INDEX('Policy Characteristics'!J:J,MATCH($C1062,'Policy Characteristics'!$C:$C,0))),"",INDEX('Policy Characteristics'!J:J,MATCH($C1062,'Policy Characteristics'!$C:$C,0)))</f>
        <v>**Description:** This policy prevents the carbon tax from being levied on process emissions (non-energy greenhouse gas emissions from industrial and agricultural operations).</v>
      </c>
      <c r="Q1062" s="394" t="str">
        <f>IF(ISBLANK(INDEX('Policy Characteristics'!K:K,MATCH($C1062,'Policy Characteristics'!$C:$C,0))),"",INDEX('Policy Characteristics'!K:K,MATCH($C1062,'Policy Characteristics'!$C:$C,0)))</f>
        <v>fuels.html#carbon-tax</v>
      </c>
      <c r="R1062" s="394" t="str">
        <f>IF(ISBLANK(INDEX('Policy Characteristics'!L:L,MATCH($C1062,'Policy Characteristics'!$C:$C,0))),"",INDEX('Policy Characteristics'!L:L,MATCH($C1062,'Policy Characteristics'!$C:$C,0)))</f>
        <v>carbon-tax.html</v>
      </c>
    </row>
    <row r="1063" customHeight="1" spans="1:18">
      <c r="A1063" s="394" t="str">
        <f>IF(ISBLANK(INDEX('Policy Characteristics'!A:A,MATCH($C1063,'Policy Characteristics'!$C:$C,0))),"",INDEX('Policy Characteristics'!A:A,MATCH($C1063,'Policy Characteristics'!$C:$C,0)))</f>
        <v>Cross-Sector</v>
      </c>
      <c r="B1063" s="395" t="str">
        <f>IF(ISBLANK(INDEX('Policy Characteristics'!B:B,MATCH($C1063,'Policy Characteristics'!$C:$C,0))),"",INDEX('Policy Characteristics'!B:B,MATCH($C1063,'Policy Characteristics'!$C:$C,0)))</f>
        <v>Exempt Process Emissions from C Tax</v>
      </c>
      <c r="C1063" s="394" t="str">
        <f t="shared" si="51"/>
        <v>BEPEfCT Boolean Exempt Process Emissions from Carbon Tax</v>
      </c>
      <c r="D1063" s="399" t="s">
        <v>762</v>
      </c>
      <c r="E1063" s="399"/>
      <c r="F1063" s="366" t="s">
        <v>763</v>
      </c>
      <c r="G1063" s="399"/>
      <c r="H1063" s="377">
        <v>1640</v>
      </c>
      <c r="I1063" s="396" t="s">
        <v>658</v>
      </c>
      <c r="J1063" s="397" t="str">
        <f>IF(ISBLANK(INDEX('Policy Characteristics'!D:D,MATCH($C1063,'Policy Characteristics'!$C:$C,0))),"",INDEX('Policy Characteristics'!D:D,MATCH($C1063,'Policy Characteristics'!$C:$C,0)))</f>
        <v/>
      </c>
      <c r="K1063" s="394" t="str">
        <f>IF(ISBLANK(INDEX('Policy Characteristics'!E:E,MATCH($C1063,'Policy Characteristics'!$C:$C,0))),"",INDEX('Policy Characteristics'!E:E,MATCH($C1063,'Policy Characteristics'!$C:$C,0)))</f>
        <v>cross toggle whether carbon tax affects process emissions</v>
      </c>
      <c r="L1063" s="394">
        <f>IF(ISBLANK(INDEX('Policy Characteristics'!F:F,MATCH($C1063,'Policy Characteristics'!$C:$C,0))),"",INDEX('Policy Characteristics'!F:F,MATCH($C1063,'Policy Characteristics'!$C:$C,0)))</f>
        <v>0</v>
      </c>
      <c r="M1063" s="394">
        <f>IF(ISBLANK(INDEX('Policy Characteristics'!G:G,MATCH($C1063,'Policy Characteristics'!$C:$C,0))),"",INDEX('Policy Characteristics'!G:G,MATCH($C1063,'Policy Characteristics'!$C:$C,0)))</f>
        <v>1</v>
      </c>
      <c r="N1063" s="394">
        <f>IF(ISBLANK(INDEX('Policy Characteristics'!H:H,MATCH($C1063,'Policy Characteristics'!$C:$C,0))),"",INDEX('Policy Characteristics'!H:H,MATCH($C1063,'Policy Characteristics'!$C:$C,0)))</f>
        <v>1</v>
      </c>
      <c r="O1063" s="394" t="str">
        <f>IF(ISBLANK(INDEX('Policy Characteristics'!I:I,MATCH($C1063,'Policy Characteristics'!$C:$C,0))),"",INDEX('Policy Characteristics'!I:I,MATCH($C1063,'Policy Characteristics'!$C:$C,0)))</f>
        <v>on/off</v>
      </c>
      <c r="P1063" s="394" t="str">
        <f>IF(ISBLANK(INDEX('Policy Characteristics'!J:J,MATCH($C1063,'Policy Characteristics'!$C:$C,0))),"",INDEX('Policy Characteristics'!J:J,MATCH($C1063,'Policy Characteristics'!$C:$C,0)))</f>
        <v>**Description:** This policy prevents the carbon tax from being levied on process emissions (non-energy greenhouse gas emissions from industrial and agricultural operations).</v>
      </c>
      <c r="Q1063" s="394" t="str">
        <f>IF(ISBLANK(INDEX('Policy Characteristics'!K:K,MATCH($C1063,'Policy Characteristics'!$C:$C,0))),"",INDEX('Policy Characteristics'!K:K,MATCH($C1063,'Policy Characteristics'!$C:$C,0)))</f>
        <v>fuels.html#carbon-tax</v>
      </c>
      <c r="R1063" s="394" t="str">
        <f>IF(ISBLANK(INDEX('Policy Characteristics'!L:L,MATCH($C1063,'Policy Characteristics'!$C:$C,0))),"",INDEX('Policy Characteristics'!L:L,MATCH($C1063,'Policy Characteristics'!$C:$C,0)))</f>
        <v>carbon-tax.html</v>
      </c>
    </row>
    <row r="1064" customHeight="1" spans="1:18">
      <c r="A1064" s="394" t="str">
        <f>IF(ISBLANK(INDEX('Policy Characteristics'!A:A,MATCH($C1064,'Policy Characteristics'!$C:$C,0))),"",INDEX('Policy Characteristics'!A:A,MATCH($C1064,'Policy Characteristics'!$C:$C,0)))</f>
        <v>Cross-Sector</v>
      </c>
      <c r="B1064" s="395" t="str">
        <f>IF(ISBLANK(INDEX('Policy Characteristics'!B:B,MATCH($C1064,'Policy Characteristics'!$C:$C,0))),"",INDEX('Policy Characteristics'!B:B,MATCH($C1064,'Policy Characteristics'!$C:$C,0)))</f>
        <v>Exempt Process Emissions from C Tax</v>
      </c>
      <c r="C1064" s="394" t="str">
        <f t="shared" si="51"/>
        <v>BEPEfCT Boolean Exempt Process Emissions from Carbon Tax</v>
      </c>
      <c r="D1064" s="399" t="s">
        <v>764</v>
      </c>
      <c r="E1064" s="399"/>
      <c r="F1064" t="s">
        <v>765</v>
      </c>
      <c r="G1064" s="399"/>
      <c r="H1064" s="377">
        <v>1641</v>
      </c>
      <c r="I1064" s="396" t="s">
        <v>658</v>
      </c>
      <c r="J1064" s="397" t="str">
        <f>IF(ISBLANK(INDEX('Policy Characteristics'!D:D,MATCH($C1064,'Policy Characteristics'!$C:$C,0))),"",INDEX('Policy Characteristics'!D:D,MATCH($C1064,'Policy Characteristics'!$C:$C,0)))</f>
        <v/>
      </c>
      <c r="K1064" s="394" t="str">
        <f>IF(ISBLANK(INDEX('Policy Characteristics'!E:E,MATCH($C1064,'Policy Characteristics'!$C:$C,0))),"",INDEX('Policy Characteristics'!E:E,MATCH($C1064,'Policy Characteristics'!$C:$C,0)))</f>
        <v>cross toggle whether carbon tax affects process emissions</v>
      </c>
      <c r="L1064" s="394">
        <f>IF(ISBLANK(INDEX('Policy Characteristics'!F:F,MATCH($C1064,'Policy Characteristics'!$C:$C,0))),"",INDEX('Policy Characteristics'!F:F,MATCH($C1064,'Policy Characteristics'!$C:$C,0)))</f>
        <v>0</v>
      </c>
      <c r="M1064" s="394">
        <f>IF(ISBLANK(INDEX('Policy Characteristics'!G:G,MATCH($C1064,'Policy Characteristics'!$C:$C,0))),"",INDEX('Policy Characteristics'!G:G,MATCH($C1064,'Policy Characteristics'!$C:$C,0)))</f>
        <v>1</v>
      </c>
      <c r="N1064" s="394">
        <f>IF(ISBLANK(INDEX('Policy Characteristics'!H:H,MATCH($C1064,'Policy Characteristics'!$C:$C,0))),"",INDEX('Policy Characteristics'!H:H,MATCH($C1064,'Policy Characteristics'!$C:$C,0)))</f>
        <v>1</v>
      </c>
      <c r="O1064" s="394" t="str">
        <f>IF(ISBLANK(INDEX('Policy Characteristics'!I:I,MATCH($C1064,'Policy Characteristics'!$C:$C,0))),"",INDEX('Policy Characteristics'!I:I,MATCH($C1064,'Policy Characteristics'!$C:$C,0)))</f>
        <v>on/off</v>
      </c>
      <c r="P1064" s="394" t="str">
        <f>IF(ISBLANK(INDEX('Policy Characteristics'!J:J,MATCH($C1064,'Policy Characteristics'!$C:$C,0))),"",INDEX('Policy Characteristics'!J:J,MATCH($C1064,'Policy Characteristics'!$C:$C,0)))</f>
        <v>**Description:** This policy prevents the carbon tax from being levied on process emissions (non-energy greenhouse gas emissions from industrial and agricultural operations).</v>
      </c>
      <c r="Q1064" s="394" t="str">
        <f>IF(ISBLANK(INDEX('Policy Characteristics'!K:K,MATCH($C1064,'Policy Characteristics'!$C:$C,0))),"",INDEX('Policy Characteristics'!K:K,MATCH($C1064,'Policy Characteristics'!$C:$C,0)))</f>
        <v>fuels.html#carbon-tax</v>
      </c>
      <c r="R1064" s="394" t="str">
        <f>IF(ISBLANK(INDEX('Policy Characteristics'!L:L,MATCH($C1064,'Policy Characteristics'!$C:$C,0))),"",INDEX('Policy Characteristics'!L:L,MATCH($C1064,'Policy Characteristics'!$C:$C,0)))</f>
        <v>carbon-tax.html</v>
      </c>
    </row>
    <row r="1065" customHeight="1" spans="1:18">
      <c r="A1065" s="394" t="str">
        <f>IF(ISBLANK(INDEX('Policy Characteristics'!A:A,MATCH($C1065,'Policy Characteristics'!$C:$C,0))),"",INDEX('Policy Characteristics'!A:A,MATCH($C1065,'Policy Characteristics'!$C:$C,0)))</f>
        <v>Cross-Sector</v>
      </c>
      <c r="B1065" s="395" t="str">
        <f>IF(ISBLANK(INDEX('Policy Characteristics'!B:B,MATCH($C1065,'Policy Characteristics'!$C:$C,0))),"",INDEX('Policy Characteristics'!B:B,MATCH($C1065,'Policy Characteristics'!$C:$C,0)))</f>
        <v>Exempt Process Emissions from C Tax</v>
      </c>
      <c r="C1065" s="394" t="str">
        <f t="shared" si="51"/>
        <v>BEPEfCT Boolean Exempt Process Emissions from Carbon Tax</v>
      </c>
      <c r="D1065" s="399" t="s">
        <v>766</v>
      </c>
      <c r="E1065" s="399"/>
      <c r="F1065" t="s">
        <v>767</v>
      </c>
      <c r="G1065" s="399"/>
      <c r="H1065" s="377">
        <v>1642</v>
      </c>
      <c r="I1065" s="396" t="s">
        <v>658</v>
      </c>
      <c r="J1065" s="397" t="str">
        <f>IF(ISBLANK(INDEX('Policy Characteristics'!D:D,MATCH($C1065,'Policy Characteristics'!$C:$C,0))),"",INDEX('Policy Characteristics'!D:D,MATCH($C1065,'Policy Characteristics'!$C:$C,0)))</f>
        <v/>
      </c>
      <c r="K1065" s="394" t="str">
        <f>IF(ISBLANK(INDEX('Policy Characteristics'!E:E,MATCH($C1065,'Policy Characteristics'!$C:$C,0))),"",INDEX('Policy Characteristics'!E:E,MATCH($C1065,'Policy Characteristics'!$C:$C,0)))</f>
        <v>cross toggle whether carbon tax affects process emissions</v>
      </c>
      <c r="L1065" s="394">
        <f>IF(ISBLANK(INDEX('Policy Characteristics'!F:F,MATCH($C1065,'Policy Characteristics'!$C:$C,0))),"",INDEX('Policy Characteristics'!F:F,MATCH($C1065,'Policy Characteristics'!$C:$C,0)))</f>
        <v>0</v>
      </c>
      <c r="M1065" s="394">
        <f>IF(ISBLANK(INDEX('Policy Characteristics'!G:G,MATCH($C1065,'Policy Characteristics'!$C:$C,0))),"",INDEX('Policy Characteristics'!G:G,MATCH($C1065,'Policy Characteristics'!$C:$C,0)))</f>
        <v>1</v>
      </c>
      <c r="N1065" s="394">
        <f>IF(ISBLANK(INDEX('Policy Characteristics'!H:H,MATCH($C1065,'Policy Characteristics'!$C:$C,0))),"",INDEX('Policy Characteristics'!H:H,MATCH($C1065,'Policy Characteristics'!$C:$C,0)))</f>
        <v>1</v>
      </c>
      <c r="O1065" s="394" t="str">
        <f>IF(ISBLANK(INDEX('Policy Characteristics'!I:I,MATCH($C1065,'Policy Characteristics'!$C:$C,0))),"",INDEX('Policy Characteristics'!I:I,MATCH($C1065,'Policy Characteristics'!$C:$C,0)))</f>
        <v>on/off</v>
      </c>
      <c r="P1065" s="394" t="str">
        <f>IF(ISBLANK(INDEX('Policy Characteristics'!J:J,MATCH($C1065,'Policy Characteristics'!$C:$C,0))),"",INDEX('Policy Characteristics'!J:J,MATCH($C1065,'Policy Characteristics'!$C:$C,0)))</f>
        <v>**Description:** This policy prevents the carbon tax from being levied on process emissions (non-energy greenhouse gas emissions from industrial and agricultural operations).</v>
      </c>
      <c r="Q1065" s="394" t="str">
        <f>IF(ISBLANK(INDEX('Policy Characteristics'!K:K,MATCH($C1065,'Policy Characteristics'!$C:$C,0))),"",INDEX('Policy Characteristics'!K:K,MATCH($C1065,'Policy Characteristics'!$C:$C,0)))</f>
        <v>fuels.html#carbon-tax</v>
      </c>
      <c r="R1065" s="394" t="str">
        <f>IF(ISBLANK(INDEX('Policy Characteristics'!L:L,MATCH($C1065,'Policy Characteristics'!$C:$C,0))),"",INDEX('Policy Characteristics'!L:L,MATCH($C1065,'Policy Characteristics'!$C:$C,0)))</f>
        <v>carbon-tax.html</v>
      </c>
    </row>
    <row r="1066" customHeight="1" spans="1:18">
      <c r="A1066" s="394" t="str">
        <f>IF(ISBLANK(INDEX('Policy Characteristics'!A:A,MATCH($C1066,'Policy Characteristics'!$C:$C,0))),"",INDEX('Policy Characteristics'!A:A,MATCH($C1066,'Policy Characteristics'!$C:$C,0)))</f>
        <v>Cross-Sector</v>
      </c>
      <c r="B1066" s="395" t="str">
        <f>IF(ISBLANK(INDEX('Policy Characteristics'!B:B,MATCH($C1066,'Policy Characteristics'!$C:$C,0))),"",INDEX('Policy Characteristics'!B:B,MATCH($C1066,'Policy Characteristics'!$C:$C,0)))</f>
        <v>Exempt Process Emissions from C Tax</v>
      </c>
      <c r="C1066" s="394" t="str">
        <f t="shared" si="51"/>
        <v>BEPEfCT Boolean Exempt Process Emissions from Carbon Tax</v>
      </c>
      <c r="D1066" s="399" t="s">
        <v>768</v>
      </c>
      <c r="E1066" s="399"/>
      <c r="F1066" t="s">
        <v>769</v>
      </c>
      <c r="G1066" s="399"/>
      <c r="H1066" s="377">
        <v>1643</v>
      </c>
      <c r="I1066" s="396" t="s">
        <v>658</v>
      </c>
      <c r="J1066" s="397" t="str">
        <f>IF(ISBLANK(INDEX('Policy Characteristics'!D:D,MATCH($C1066,'Policy Characteristics'!$C:$C,0))),"",INDEX('Policy Characteristics'!D:D,MATCH($C1066,'Policy Characteristics'!$C:$C,0)))</f>
        <v/>
      </c>
      <c r="K1066" s="394" t="str">
        <f>IF(ISBLANK(INDEX('Policy Characteristics'!E:E,MATCH($C1066,'Policy Characteristics'!$C:$C,0))),"",INDEX('Policy Characteristics'!E:E,MATCH($C1066,'Policy Characteristics'!$C:$C,0)))</f>
        <v>cross toggle whether carbon tax affects process emissions</v>
      </c>
      <c r="L1066" s="394">
        <f>IF(ISBLANK(INDEX('Policy Characteristics'!F:F,MATCH($C1066,'Policy Characteristics'!$C:$C,0))),"",INDEX('Policy Characteristics'!F:F,MATCH($C1066,'Policy Characteristics'!$C:$C,0)))</f>
        <v>0</v>
      </c>
      <c r="M1066" s="394">
        <f>IF(ISBLANK(INDEX('Policy Characteristics'!G:G,MATCH($C1066,'Policy Characteristics'!$C:$C,0))),"",INDEX('Policy Characteristics'!G:G,MATCH($C1066,'Policy Characteristics'!$C:$C,0)))</f>
        <v>1</v>
      </c>
      <c r="N1066" s="394">
        <f>IF(ISBLANK(INDEX('Policy Characteristics'!H:H,MATCH($C1066,'Policy Characteristics'!$C:$C,0))),"",INDEX('Policy Characteristics'!H:H,MATCH($C1066,'Policy Characteristics'!$C:$C,0)))</f>
        <v>1</v>
      </c>
      <c r="O1066" s="394" t="str">
        <f>IF(ISBLANK(INDEX('Policy Characteristics'!I:I,MATCH($C1066,'Policy Characteristics'!$C:$C,0))),"",INDEX('Policy Characteristics'!I:I,MATCH($C1066,'Policy Characteristics'!$C:$C,0)))</f>
        <v>on/off</v>
      </c>
      <c r="P1066" s="394" t="str">
        <f>IF(ISBLANK(INDEX('Policy Characteristics'!J:J,MATCH($C1066,'Policy Characteristics'!$C:$C,0))),"",INDEX('Policy Characteristics'!J:J,MATCH($C1066,'Policy Characteristics'!$C:$C,0)))</f>
        <v>**Description:** This policy prevents the carbon tax from being levied on process emissions (non-energy greenhouse gas emissions from industrial and agricultural operations).</v>
      </c>
      <c r="Q1066" s="394" t="str">
        <f>IF(ISBLANK(INDEX('Policy Characteristics'!K:K,MATCH($C1066,'Policy Characteristics'!$C:$C,0))),"",INDEX('Policy Characteristics'!K:K,MATCH($C1066,'Policy Characteristics'!$C:$C,0)))</f>
        <v>fuels.html#carbon-tax</v>
      </c>
      <c r="R1066" s="394" t="str">
        <f>IF(ISBLANK(INDEX('Policy Characteristics'!L:L,MATCH($C1066,'Policy Characteristics'!$C:$C,0))),"",INDEX('Policy Characteristics'!L:L,MATCH($C1066,'Policy Characteristics'!$C:$C,0)))</f>
        <v>carbon-tax.html</v>
      </c>
    </row>
    <row r="1067" customHeight="1" spans="1:18">
      <c r="A1067" s="394" t="str">
        <f>IF(ISBLANK(INDEX('Policy Characteristics'!A:A,MATCH($C1067,'Policy Characteristics'!$C:$C,0))),"",INDEX('Policy Characteristics'!A:A,MATCH($C1067,'Policy Characteristics'!$C:$C,0)))</f>
        <v>Cross-Sector</v>
      </c>
      <c r="B1067" s="395" t="str">
        <f>IF(ISBLANK(INDEX('Policy Characteristics'!B:B,MATCH($C1067,'Policy Characteristics'!$C:$C,0))),"",INDEX('Policy Characteristics'!B:B,MATCH($C1067,'Policy Characteristics'!$C:$C,0)))</f>
        <v>Exempt Process Emissions from C Tax</v>
      </c>
      <c r="C1067" s="394" t="str">
        <f t="shared" si="51"/>
        <v>BEPEfCT Boolean Exempt Process Emissions from Carbon Tax</v>
      </c>
      <c r="D1067" s="399" t="s">
        <v>770</v>
      </c>
      <c r="E1067" s="399"/>
      <c r="F1067" t="s">
        <v>771</v>
      </c>
      <c r="G1067" s="399"/>
      <c r="H1067" s="377">
        <v>1644</v>
      </c>
      <c r="I1067" s="396" t="s">
        <v>658</v>
      </c>
      <c r="J1067" s="397" t="str">
        <f>IF(ISBLANK(INDEX('Policy Characteristics'!D:D,MATCH($C1067,'Policy Characteristics'!$C:$C,0))),"",INDEX('Policy Characteristics'!D:D,MATCH($C1067,'Policy Characteristics'!$C:$C,0)))</f>
        <v/>
      </c>
      <c r="K1067" s="394" t="str">
        <f>IF(ISBLANK(INDEX('Policy Characteristics'!E:E,MATCH($C1067,'Policy Characteristics'!$C:$C,0))),"",INDEX('Policy Characteristics'!E:E,MATCH($C1067,'Policy Characteristics'!$C:$C,0)))</f>
        <v>cross toggle whether carbon tax affects process emissions</v>
      </c>
      <c r="L1067" s="394">
        <f>IF(ISBLANK(INDEX('Policy Characteristics'!F:F,MATCH($C1067,'Policy Characteristics'!$C:$C,0))),"",INDEX('Policy Characteristics'!F:F,MATCH($C1067,'Policy Characteristics'!$C:$C,0)))</f>
        <v>0</v>
      </c>
      <c r="M1067" s="394">
        <f>IF(ISBLANK(INDEX('Policy Characteristics'!G:G,MATCH($C1067,'Policy Characteristics'!$C:$C,0))),"",INDEX('Policy Characteristics'!G:G,MATCH($C1067,'Policy Characteristics'!$C:$C,0)))</f>
        <v>1</v>
      </c>
      <c r="N1067" s="394">
        <f>IF(ISBLANK(INDEX('Policy Characteristics'!H:H,MATCH($C1067,'Policy Characteristics'!$C:$C,0))),"",INDEX('Policy Characteristics'!H:H,MATCH($C1067,'Policy Characteristics'!$C:$C,0)))</f>
        <v>1</v>
      </c>
      <c r="O1067" s="394" t="str">
        <f>IF(ISBLANK(INDEX('Policy Characteristics'!I:I,MATCH($C1067,'Policy Characteristics'!$C:$C,0))),"",INDEX('Policy Characteristics'!I:I,MATCH($C1067,'Policy Characteristics'!$C:$C,0)))</f>
        <v>on/off</v>
      </c>
      <c r="P1067" s="394" t="str">
        <f>IF(ISBLANK(INDEX('Policy Characteristics'!J:J,MATCH($C1067,'Policy Characteristics'!$C:$C,0))),"",INDEX('Policy Characteristics'!J:J,MATCH($C1067,'Policy Characteristics'!$C:$C,0)))</f>
        <v>**Description:** This policy prevents the carbon tax from being levied on process emissions (non-energy greenhouse gas emissions from industrial and agricultural operations).</v>
      </c>
      <c r="Q1067" s="394" t="str">
        <f>IF(ISBLANK(INDEX('Policy Characteristics'!K:K,MATCH($C1067,'Policy Characteristics'!$C:$C,0))),"",INDEX('Policy Characteristics'!K:K,MATCH($C1067,'Policy Characteristics'!$C:$C,0)))</f>
        <v>fuels.html#carbon-tax</v>
      </c>
      <c r="R1067" s="394" t="str">
        <f>IF(ISBLANK(INDEX('Policy Characteristics'!L:L,MATCH($C1067,'Policy Characteristics'!$C:$C,0))),"",INDEX('Policy Characteristics'!L:L,MATCH($C1067,'Policy Characteristics'!$C:$C,0)))</f>
        <v>carbon-tax.html</v>
      </c>
    </row>
    <row r="1068" customHeight="1" spans="1:18">
      <c r="A1068" s="394" t="str">
        <f>IF(ISBLANK(INDEX('Policy Characteristics'!A:A,MATCH($C1068,'Policy Characteristics'!$C:$C,0))),"",INDEX('Policy Characteristics'!A:A,MATCH($C1068,'Policy Characteristics'!$C:$C,0)))</f>
        <v>Cross-Sector</v>
      </c>
      <c r="B1068" s="395" t="str">
        <f>IF(ISBLANK(INDEX('Policy Characteristics'!B:B,MATCH($C1068,'Policy Characteristics'!$C:$C,0))),"",INDEX('Policy Characteristics'!B:B,MATCH($C1068,'Policy Characteristics'!$C:$C,0)))</f>
        <v>Exempt Process Emissions from C Tax</v>
      </c>
      <c r="C1068" s="394" t="str">
        <f t="shared" si="51"/>
        <v>BEPEfCT Boolean Exempt Process Emissions from Carbon Tax</v>
      </c>
      <c r="D1068" s="399" t="s">
        <v>772</v>
      </c>
      <c r="E1068" s="399"/>
      <c r="F1068" t="s">
        <v>773</v>
      </c>
      <c r="G1068" s="399"/>
      <c r="H1068" s="377">
        <v>1645</v>
      </c>
      <c r="I1068" s="396" t="s">
        <v>658</v>
      </c>
      <c r="J1068" s="397" t="str">
        <f>IF(ISBLANK(INDEX('Policy Characteristics'!D:D,MATCH($C1068,'Policy Characteristics'!$C:$C,0))),"",INDEX('Policy Characteristics'!D:D,MATCH($C1068,'Policy Characteristics'!$C:$C,0)))</f>
        <v/>
      </c>
      <c r="K1068" s="394" t="str">
        <f>IF(ISBLANK(INDEX('Policy Characteristics'!E:E,MATCH($C1068,'Policy Characteristics'!$C:$C,0))),"",INDEX('Policy Characteristics'!E:E,MATCH($C1068,'Policy Characteristics'!$C:$C,0)))</f>
        <v>cross toggle whether carbon tax affects process emissions</v>
      </c>
      <c r="L1068" s="394">
        <f>IF(ISBLANK(INDEX('Policy Characteristics'!F:F,MATCH($C1068,'Policy Characteristics'!$C:$C,0))),"",INDEX('Policy Characteristics'!F:F,MATCH($C1068,'Policy Characteristics'!$C:$C,0)))</f>
        <v>0</v>
      </c>
      <c r="M1068" s="394">
        <f>IF(ISBLANK(INDEX('Policy Characteristics'!G:G,MATCH($C1068,'Policy Characteristics'!$C:$C,0))),"",INDEX('Policy Characteristics'!G:G,MATCH($C1068,'Policy Characteristics'!$C:$C,0)))</f>
        <v>1</v>
      </c>
      <c r="N1068" s="394">
        <f>IF(ISBLANK(INDEX('Policy Characteristics'!H:H,MATCH($C1068,'Policy Characteristics'!$C:$C,0))),"",INDEX('Policy Characteristics'!H:H,MATCH($C1068,'Policy Characteristics'!$C:$C,0)))</f>
        <v>1</v>
      </c>
      <c r="O1068" s="394" t="str">
        <f>IF(ISBLANK(INDEX('Policy Characteristics'!I:I,MATCH($C1068,'Policy Characteristics'!$C:$C,0))),"",INDEX('Policy Characteristics'!I:I,MATCH($C1068,'Policy Characteristics'!$C:$C,0)))</f>
        <v>on/off</v>
      </c>
      <c r="P1068" s="394" t="str">
        <f>IF(ISBLANK(INDEX('Policy Characteristics'!J:J,MATCH($C1068,'Policy Characteristics'!$C:$C,0))),"",INDEX('Policy Characteristics'!J:J,MATCH($C1068,'Policy Characteristics'!$C:$C,0)))</f>
        <v>**Description:** This policy prevents the carbon tax from being levied on process emissions (non-energy greenhouse gas emissions from industrial and agricultural operations).</v>
      </c>
      <c r="Q1068" s="394" t="str">
        <f>IF(ISBLANK(INDEX('Policy Characteristics'!K:K,MATCH($C1068,'Policy Characteristics'!$C:$C,0))),"",INDEX('Policy Characteristics'!K:K,MATCH($C1068,'Policy Characteristics'!$C:$C,0)))</f>
        <v>fuels.html#carbon-tax</v>
      </c>
      <c r="R1068" s="394" t="str">
        <f>IF(ISBLANK(INDEX('Policy Characteristics'!L:L,MATCH($C1068,'Policy Characteristics'!$C:$C,0))),"",INDEX('Policy Characteristics'!L:L,MATCH($C1068,'Policy Characteristics'!$C:$C,0)))</f>
        <v>carbon-tax.html</v>
      </c>
    </row>
    <row r="1069" customHeight="1" spans="1:18">
      <c r="A1069" s="394" t="str">
        <f>IF(ISBLANK(INDEX('Policy Characteristics'!A:A,MATCH($C1069,'Policy Characteristics'!$C:$C,0))),"",INDEX('Policy Characteristics'!A:A,MATCH($C1069,'Policy Characteristics'!$C:$C,0)))</f>
        <v>Cross-Sector</v>
      </c>
      <c r="B1069" s="395" t="str">
        <f>IF(ISBLANK(INDEX('Policy Characteristics'!B:B,MATCH($C1069,'Policy Characteristics'!$C:$C,0))),"",INDEX('Policy Characteristics'!B:B,MATCH($C1069,'Policy Characteristics'!$C:$C,0)))</f>
        <v>Exempt Process Emissions from C Tax</v>
      </c>
      <c r="C1069" s="394" t="str">
        <f t="shared" si="51"/>
        <v>BEPEfCT Boolean Exempt Process Emissions from Carbon Tax</v>
      </c>
      <c r="D1069" s="399" t="s">
        <v>774</v>
      </c>
      <c r="E1069" s="399"/>
      <c r="F1069" t="s">
        <v>775</v>
      </c>
      <c r="G1069" s="399"/>
      <c r="H1069" s="377">
        <v>1646</v>
      </c>
      <c r="I1069" s="396" t="s">
        <v>658</v>
      </c>
      <c r="J1069" s="397" t="str">
        <f>IF(ISBLANK(INDEX('Policy Characteristics'!D:D,MATCH($C1069,'Policy Characteristics'!$C:$C,0))),"",INDEX('Policy Characteristics'!D:D,MATCH($C1069,'Policy Characteristics'!$C:$C,0)))</f>
        <v/>
      </c>
      <c r="K1069" s="394" t="str">
        <f>IF(ISBLANK(INDEX('Policy Characteristics'!E:E,MATCH($C1069,'Policy Characteristics'!$C:$C,0))),"",INDEX('Policy Characteristics'!E:E,MATCH($C1069,'Policy Characteristics'!$C:$C,0)))</f>
        <v>cross toggle whether carbon tax affects process emissions</v>
      </c>
      <c r="L1069" s="394">
        <f>IF(ISBLANK(INDEX('Policy Characteristics'!F:F,MATCH($C1069,'Policy Characteristics'!$C:$C,0))),"",INDEX('Policy Characteristics'!F:F,MATCH($C1069,'Policy Characteristics'!$C:$C,0)))</f>
        <v>0</v>
      </c>
      <c r="M1069" s="394">
        <f>IF(ISBLANK(INDEX('Policy Characteristics'!G:G,MATCH($C1069,'Policy Characteristics'!$C:$C,0))),"",INDEX('Policy Characteristics'!G:G,MATCH($C1069,'Policy Characteristics'!$C:$C,0)))</f>
        <v>1</v>
      </c>
      <c r="N1069" s="394">
        <f>IF(ISBLANK(INDEX('Policy Characteristics'!H:H,MATCH($C1069,'Policy Characteristics'!$C:$C,0))),"",INDEX('Policy Characteristics'!H:H,MATCH($C1069,'Policy Characteristics'!$C:$C,0)))</f>
        <v>1</v>
      </c>
      <c r="O1069" s="394" t="str">
        <f>IF(ISBLANK(INDEX('Policy Characteristics'!I:I,MATCH($C1069,'Policy Characteristics'!$C:$C,0))),"",INDEX('Policy Characteristics'!I:I,MATCH($C1069,'Policy Characteristics'!$C:$C,0)))</f>
        <v>on/off</v>
      </c>
      <c r="P1069" s="394" t="str">
        <f>IF(ISBLANK(INDEX('Policy Characteristics'!J:J,MATCH($C1069,'Policy Characteristics'!$C:$C,0))),"",INDEX('Policy Characteristics'!J:J,MATCH($C1069,'Policy Characteristics'!$C:$C,0)))</f>
        <v>**Description:** This policy prevents the carbon tax from being levied on process emissions (non-energy greenhouse gas emissions from industrial and agricultural operations).</v>
      </c>
      <c r="Q1069" s="394" t="str">
        <f>IF(ISBLANK(INDEX('Policy Characteristics'!K:K,MATCH($C1069,'Policy Characteristics'!$C:$C,0))),"",INDEX('Policy Characteristics'!K:K,MATCH($C1069,'Policy Characteristics'!$C:$C,0)))</f>
        <v>fuels.html#carbon-tax</v>
      </c>
      <c r="R1069" s="394" t="str">
        <f>IF(ISBLANK(INDEX('Policy Characteristics'!L:L,MATCH($C1069,'Policy Characteristics'!$C:$C,0))),"",INDEX('Policy Characteristics'!L:L,MATCH($C1069,'Policy Characteristics'!$C:$C,0)))</f>
        <v>carbon-tax.html</v>
      </c>
    </row>
    <row r="1070" customHeight="1" spans="1:18">
      <c r="A1070" s="394" t="str">
        <f>IF(ISBLANK(INDEX('Policy Characteristics'!A:A,MATCH($C1070,'Policy Characteristics'!$C:$C,0))),"",INDEX('Policy Characteristics'!A:A,MATCH($C1070,'Policy Characteristics'!$C:$C,0)))</f>
        <v>Cross-Sector</v>
      </c>
      <c r="B1070" s="395" t="str">
        <f>IF(ISBLANK(INDEX('Policy Characteristics'!B:B,MATCH($C1070,'Policy Characteristics'!$C:$C,0))),"",INDEX('Policy Characteristics'!B:B,MATCH($C1070,'Policy Characteristics'!$C:$C,0)))</f>
        <v>Exempt Process Emissions from C Tax</v>
      </c>
      <c r="C1070" s="394" t="str">
        <f t="shared" si="51"/>
        <v>BEPEfCT Boolean Exempt Process Emissions from Carbon Tax</v>
      </c>
      <c r="D1070" s="399" t="s">
        <v>776</v>
      </c>
      <c r="E1070" s="399"/>
      <c r="F1070" t="s">
        <v>777</v>
      </c>
      <c r="G1070" s="399"/>
      <c r="H1070" s="377">
        <v>1647</v>
      </c>
      <c r="I1070" s="396" t="s">
        <v>658</v>
      </c>
      <c r="J1070" s="397" t="str">
        <f>IF(ISBLANK(INDEX('Policy Characteristics'!D:D,MATCH($C1070,'Policy Characteristics'!$C:$C,0))),"",INDEX('Policy Characteristics'!D:D,MATCH($C1070,'Policy Characteristics'!$C:$C,0)))</f>
        <v/>
      </c>
      <c r="K1070" s="394" t="str">
        <f>IF(ISBLANK(INDEX('Policy Characteristics'!E:E,MATCH($C1070,'Policy Characteristics'!$C:$C,0))),"",INDEX('Policy Characteristics'!E:E,MATCH($C1070,'Policy Characteristics'!$C:$C,0)))</f>
        <v>cross toggle whether carbon tax affects process emissions</v>
      </c>
      <c r="L1070" s="394">
        <f>IF(ISBLANK(INDEX('Policy Characteristics'!F:F,MATCH($C1070,'Policy Characteristics'!$C:$C,0))),"",INDEX('Policy Characteristics'!F:F,MATCH($C1070,'Policy Characteristics'!$C:$C,0)))</f>
        <v>0</v>
      </c>
      <c r="M1070" s="394">
        <f>IF(ISBLANK(INDEX('Policy Characteristics'!G:G,MATCH($C1070,'Policy Characteristics'!$C:$C,0))),"",INDEX('Policy Characteristics'!G:G,MATCH($C1070,'Policy Characteristics'!$C:$C,0)))</f>
        <v>1</v>
      </c>
      <c r="N1070" s="394">
        <f>IF(ISBLANK(INDEX('Policy Characteristics'!H:H,MATCH($C1070,'Policy Characteristics'!$C:$C,0))),"",INDEX('Policy Characteristics'!H:H,MATCH($C1070,'Policy Characteristics'!$C:$C,0)))</f>
        <v>1</v>
      </c>
      <c r="O1070" s="394" t="str">
        <f>IF(ISBLANK(INDEX('Policy Characteristics'!I:I,MATCH($C1070,'Policy Characteristics'!$C:$C,0))),"",INDEX('Policy Characteristics'!I:I,MATCH($C1070,'Policy Characteristics'!$C:$C,0)))</f>
        <v>on/off</v>
      </c>
      <c r="P1070" s="394" t="str">
        <f>IF(ISBLANK(INDEX('Policy Characteristics'!J:J,MATCH($C1070,'Policy Characteristics'!$C:$C,0))),"",INDEX('Policy Characteristics'!J:J,MATCH($C1070,'Policy Characteristics'!$C:$C,0)))</f>
        <v>**Description:** This policy prevents the carbon tax from being levied on process emissions (non-energy greenhouse gas emissions from industrial and agricultural operations).</v>
      </c>
      <c r="Q1070" s="394" t="str">
        <f>IF(ISBLANK(INDEX('Policy Characteristics'!K:K,MATCH($C1070,'Policy Characteristics'!$C:$C,0))),"",INDEX('Policy Characteristics'!K:K,MATCH($C1070,'Policy Characteristics'!$C:$C,0)))</f>
        <v>fuels.html#carbon-tax</v>
      </c>
      <c r="R1070" s="394" t="str">
        <f>IF(ISBLANK(INDEX('Policy Characteristics'!L:L,MATCH($C1070,'Policy Characteristics'!$C:$C,0))),"",INDEX('Policy Characteristics'!L:L,MATCH($C1070,'Policy Characteristics'!$C:$C,0)))</f>
        <v>carbon-tax.html</v>
      </c>
    </row>
    <row r="1071" customHeight="1" spans="1:18">
      <c r="A1071" s="394" t="str">
        <f>IF(ISBLANK(INDEX('Policy Characteristics'!A:A,MATCH($C1071,'Policy Characteristics'!$C:$C,0))),"",INDEX('Policy Characteristics'!A:A,MATCH($C1071,'Policy Characteristics'!$C:$C,0)))</f>
        <v>Cross-Sector</v>
      </c>
      <c r="B1071" s="395" t="str">
        <f>IF(ISBLANK(INDEX('Policy Characteristics'!B:B,MATCH($C1071,'Policy Characteristics'!$C:$C,0))),"",INDEX('Policy Characteristics'!B:B,MATCH($C1071,'Policy Characteristics'!$C:$C,0)))</f>
        <v>Exempt Process Emissions from C Tax</v>
      </c>
      <c r="C1071" s="394" t="str">
        <f t="shared" si="51"/>
        <v>BEPEfCT Boolean Exempt Process Emissions from Carbon Tax</v>
      </c>
      <c r="D1071" s="399" t="s">
        <v>778</v>
      </c>
      <c r="E1071" s="399"/>
      <c r="F1071" t="s">
        <v>779</v>
      </c>
      <c r="G1071" s="399"/>
      <c r="H1071" s="377">
        <v>1648</v>
      </c>
      <c r="I1071" s="396" t="s">
        <v>658</v>
      </c>
      <c r="J1071" s="397" t="str">
        <f>IF(ISBLANK(INDEX('Policy Characteristics'!D:D,MATCH($C1071,'Policy Characteristics'!$C:$C,0))),"",INDEX('Policy Characteristics'!D:D,MATCH($C1071,'Policy Characteristics'!$C:$C,0)))</f>
        <v/>
      </c>
      <c r="K1071" s="394" t="str">
        <f>IF(ISBLANK(INDEX('Policy Characteristics'!E:E,MATCH($C1071,'Policy Characteristics'!$C:$C,0))),"",INDEX('Policy Characteristics'!E:E,MATCH($C1071,'Policy Characteristics'!$C:$C,0)))</f>
        <v>cross toggle whether carbon tax affects process emissions</v>
      </c>
      <c r="L1071" s="394">
        <f>IF(ISBLANK(INDEX('Policy Characteristics'!F:F,MATCH($C1071,'Policy Characteristics'!$C:$C,0))),"",INDEX('Policy Characteristics'!F:F,MATCH($C1071,'Policy Characteristics'!$C:$C,0)))</f>
        <v>0</v>
      </c>
      <c r="M1071" s="394">
        <f>IF(ISBLANK(INDEX('Policy Characteristics'!G:G,MATCH($C1071,'Policy Characteristics'!$C:$C,0))),"",INDEX('Policy Characteristics'!G:G,MATCH($C1071,'Policy Characteristics'!$C:$C,0)))</f>
        <v>1</v>
      </c>
      <c r="N1071" s="394">
        <f>IF(ISBLANK(INDEX('Policy Characteristics'!H:H,MATCH($C1071,'Policy Characteristics'!$C:$C,0))),"",INDEX('Policy Characteristics'!H:H,MATCH($C1071,'Policy Characteristics'!$C:$C,0)))</f>
        <v>1</v>
      </c>
      <c r="O1071" s="394" t="str">
        <f>IF(ISBLANK(INDEX('Policy Characteristics'!I:I,MATCH($C1071,'Policy Characteristics'!$C:$C,0))),"",INDEX('Policy Characteristics'!I:I,MATCH($C1071,'Policy Characteristics'!$C:$C,0)))</f>
        <v>on/off</v>
      </c>
      <c r="P1071" s="394" t="str">
        <f>IF(ISBLANK(INDEX('Policy Characteristics'!J:J,MATCH($C1071,'Policy Characteristics'!$C:$C,0))),"",INDEX('Policy Characteristics'!J:J,MATCH($C1071,'Policy Characteristics'!$C:$C,0)))</f>
        <v>**Description:** This policy prevents the carbon tax from being levied on process emissions (non-energy greenhouse gas emissions from industrial and agricultural operations).</v>
      </c>
      <c r="Q1071" s="394" t="str">
        <f>IF(ISBLANK(INDEX('Policy Characteristics'!K:K,MATCH($C1071,'Policy Characteristics'!$C:$C,0))),"",INDEX('Policy Characteristics'!K:K,MATCH($C1071,'Policy Characteristics'!$C:$C,0)))</f>
        <v>fuels.html#carbon-tax</v>
      </c>
      <c r="R1071" s="394" t="str">
        <f>IF(ISBLANK(INDEX('Policy Characteristics'!L:L,MATCH($C1071,'Policy Characteristics'!$C:$C,0))),"",INDEX('Policy Characteristics'!L:L,MATCH($C1071,'Policy Characteristics'!$C:$C,0)))</f>
        <v>carbon-tax.html</v>
      </c>
    </row>
    <row r="1072" customHeight="1" spans="1:18">
      <c r="A1072" s="394" t="str">
        <f>IF(ISBLANK(INDEX('Policy Characteristics'!A:A,MATCH($C1072,'Policy Characteristics'!$C:$C,0))),"",INDEX('Policy Characteristics'!A:A,MATCH($C1072,'Policy Characteristics'!$C:$C,0)))</f>
        <v>Cross-Sector</v>
      </c>
      <c r="B1072" s="395" t="str">
        <f>IF(ISBLANK(INDEX('Policy Characteristics'!B:B,MATCH($C1072,'Policy Characteristics'!$C:$C,0))),"",INDEX('Policy Characteristics'!B:B,MATCH($C1072,'Policy Characteristics'!$C:$C,0)))</f>
        <v>Exempt Process Emissions from C Tax</v>
      </c>
      <c r="C1072" s="394" t="str">
        <f t="shared" si="51"/>
        <v>BEPEfCT Boolean Exempt Process Emissions from Carbon Tax</v>
      </c>
      <c r="D1072" s="399" t="s">
        <v>780</v>
      </c>
      <c r="E1072" s="399"/>
      <c r="F1072" t="s">
        <v>781</v>
      </c>
      <c r="G1072" s="399"/>
      <c r="H1072" s="377">
        <v>1649</v>
      </c>
      <c r="I1072" s="396" t="s">
        <v>658</v>
      </c>
      <c r="J1072" s="397" t="str">
        <f>IF(ISBLANK(INDEX('Policy Characteristics'!D:D,MATCH($C1072,'Policy Characteristics'!$C:$C,0))),"",INDEX('Policy Characteristics'!D:D,MATCH($C1072,'Policy Characteristics'!$C:$C,0)))</f>
        <v/>
      </c>
      <c r="K1072" s="394" t="str">
        <f>IF(ISBLANK(INDEX('Policy Characteristics'!E:E,MATCH($C1072,'Policy Characteristics'!$C:$C,0))),"",INDEX('Policy Characteristics'!E:E,MATCH($C1072,'Policy Characteristics'!$C:$C,0)))</f>
        <v>cross toggle whether carbon tax affects process emissions</v>
      </c>
      <c r="L1072" s="394">
        <f>IF(ISBLANK(INDEX('Policy Characteristics'!F:F,MATCH($C1072,'Policy Characteristics'!$C:$C,0))),"",INDEX('Policy Characteristics'!F:F,MATCH($C1072,'Policy Characteristics'!$C:$C,0)))</f>
        <v>0</v>
      </c>
      <c r="M1072" s="394">
        <f>IF(ISBLANK(INDEX('Policy Characteristics'!G:G,MATCH($C1072,'Policy Characteristics'!$C:$C,0))),"",INDEX('Policy Characteristics'!G:G,MATCH($C1072,'Policy Characteristics'!$C:$C,0)))</f>
        <v>1</v>
      </c>
      <c r="N1072" s="394">
        <f>IF(ISBLANK(INDEX('Policy Characteristics'!H:H,MATCH($C1072,'Policy Characteristics'!$C:$C,0))),"",INDEX('Policy Characteristics'!H:H,MATCH($C1072,'Policy Characteristics'!$C:$C,0)))</f>
        <v>1</v>
      </c>
      <c r="O1072" s="394" t="str">
        <f>IF(ISBLANK(INDEX('Policy Characteristics'!I:I,MATCH($C1072,'Policy Characteristics'!$C:$C,0))),"",INDEX('Policy Characteristics'!I:I,MATCH($C1072,'Policy Characteristics'!$C:$C,0)))</f>
        <v>on/off</v>
      </c>
      <c r="P1072" s="394" t="str">
        <f>IF(ISBLANK(INDEX('Policy Characteristics'!J:J,MATCH($C1072,'Policy Characteristics'!$C:$C,0))),"",INDEX('Policy Characteristics'!J:J,MATCH($C1072,'Policy Characteristics'!$C:$C,0)))</f>
        <v>**Description:** This policy prevents the carbon tax from being levied on process emissions (non-energy greenhouse gas emissions from industrial and agricultural operations).</v>
      </c>
      <c r="Q1072" s="394" t="str">
        <f>IF(ISBLANK(INDEX('Policy Characteristics'!K:K,MATCH($C1072,'Policy Characteristics'!$C:$C,0))),"",INDEX('Policy Characteristics'!K:K,MATCH($C1072,'Policy Characteristics'!$C:$C,0)))</f>
        <v>fuels.html#carbon-tax</v>
      </c>
      <c r="R1072" s="394" t="str">
        <f>IF(ISBLANK(INDEX('Policy Characteristics'!L:L,MATCH($C1072,'Policy Characteristics'!$C:$C,0))),"",INDEX('Policy Characteristics'!L:L,MATCH($C1072,'Policy Characteristics'!$C:$C,0)))</f>
        <v>carbon-tax.html</v>
      </c>
    </row>
    <row r="1073" customHeight="1" spans="1:18">
      <c r="A1073" s="394" t="str">
        <f>IF(ISBLANK(INDEX('Policy Characteristics'!A:A,MATCH($C1073,'Policy Characteristics'!$C:$C,0))),"",INDEX('Policy Characteristics'!A:A,MATCH($C1073,'Policy Characteristics'!$C:$C,0)))</f>
        <v>Cross-Sector</v>
      </c>
      <c r="B1073" s="395" t="str">
        <f>IF(ISBLANK(INDEX('Policy Characteristics'!B:B,MATCH($C1073,'Policy Characteristics'!$C:$C,0))),"",INDEX('Policy Characteristics'!B:B,MATCH($C1073,'Policy Characteristics'!$C:$C,0)))</f>
        <v>Exempt Process Emissions from C Tax</v>
      </c>
      <c r="C1073" s="394" t="str">
        <f t="shared" si="51"/>
        <v>BEPEfCT Boolean Exempt Process Emissions from Carbon Tax</v>
      </c>
      <c r="D1073" s="399" t="s">
        <v>782</v>
      </c>
      <c r="E1073" s="399"/>
      <c r="F1073" s="366" t="s">
        <v>783</v>
      </c>
      <c r="G1073" s="399"/>
      <c r="H1073" s="377">
        <v>1650</v>
      </c>
      <c r="I1073" s="396" t="s">
        <v>648</v>
      </c>
      <c r="J1073" s="397" t="str">
        <f>IF(ISBLANK(INDEX('Policy Characteristics'!D:D,MATCH($C1073,'Policy Characteristics'!$C:$C,0))),"",INDEX('Policy Characteristics'!D:D,MATCH($C1073,'Policy Characteristics'!$C:$C,0)))</f>
        <v/>
      </c>
      <c r="K1073" s="394" t="str">
        <f>IF(ISBLANK(INDEX('Policy Characteristics'!E:E,MATCH($C1073,'Policy Characteristics'!$C:$C,0))),"",INDEX('Policy Characteristics'!E:E,MATCH($C1073,'Policy Characteristics'!$C:$C,0)))</f>
        <v>cross toggle whether carbon tax affects process emissions</v>
      </c>
      <c r="L1073" s="394">
        <f>IF(ISBLANK(INDEX('Policy Characteristics'!F:F,MATCH($C1073,'Policy Characteristics'!$C:$C,0))),"",INDEX('Policy Characteristics'!F:F,MATCH($C1073,'Policy Characteristics'!$C:$C,0)))</f>
        <v>0</v>
      </c>
      <c r="M1073" s="394">
        <f>IF(ISBLANK(INDEX('Policy Characteristics'!G:G,MATCH($C1073,'Policy Characteristics'!$C:$C,0))),"",INDEX('Policy Characteristics'!G:G,MATCH($C1073,'Policy Characteristics'!$C:$C,0)))</f>
        <v>1</v>
      </c>
      <c r="N1073" s="394">
        <f>IF(ISBLANK(INDEX('Policy Characteristics'!H:H,MATCH($C1073,'Policy Characteristics'!$C:$C,0))),"",INDEX('Policy Characteristics'!H:H,MATCH($C1073,'Policy Characteristics'!$C:$C,0)))</f>
        <v>1</v>
      </c>
      <c r="O1073" s="394" t="str">
        <f>IF(ISBLANK(INDEX('Policy Characteristics'!I:I,MATCH($C1073,'Policy Characteristics'!$C:$C,0))),"",INDEX('Policy Characteristics'!I:I,MATCH($C1073,'Policy Characteristics'!$C:$C,0)))</f>
        <v>on/off</v>
      </c>
      <c r="P1073" s="394" t="str">
        <f>IF(ISBLANK(INDEX('Policy Characteristics'!J:J,MATCH($C1073,'Policy Characteristics'!$C:$C,0))),"",INDEX('Policy Characteristics'!J:J,MATCH($C1073,'Policy Characteristics'!$C:$C,0)))</f>
        <v>**Description:** This policy prevents the carbon tax from being levied on process emissions (non-energy greenhouse gas emissions from industrial and agricultural operations).</v>
      </c>
      <c r="Q1073" s="394" t="str">
        <f>IF(ISBLANK(INDEX('Policy Characteristics'!K:K,MATCH($C1073,'Policy Characteristics'!$C:$C,0))),"",INDEX('Policy Characteristics'!K:K,MATCH($C1073,'Policy Characteristics'!$C:$C,0)))</f>
        <v>fuels.html#carbon-tax</v>
      </c>
      <c r="R1073" s="394" t="str">
        <f>IF(ISBLANK(INDEX('Policy Characteristics'!L:L,MATCH($C1073,'Policy Characteristics'!$C:$C,0))),"",INDEX('Policy Characteristics'!L:L,MATCH($C1073,'Policy Characteristics'!$C:$C,0)))</f>
        <v>carbon-tax.html</v>
      </c>
    </row>
    <row r="1074" customHeight="1" spans="1:18">
      <c r="A1074" s="394" t="str">
        <f>IF(ISBLANK(INDEX('Policy Characteristics'!A:A,MATCH($C1074,'Policy Characteristics'!$C:$C,0))),"",INDEX('Policy Characteristics'!A:A,MATCH($C1074,'Policy Characteristics'!$C:$C,0)))</f>
        <v>Cross-Sector</v>
      </c>
      <c r="B1074" s="395" t="str">
        <f>IF(ISBLANK(INDEX('Policy Characteristics'!B:B,MATCH($C1074,'Policy Characteristics'!$C:$C,0))),"",INDEX('Policy Characteristics'!B:B,MATCH($C1074,'Policy Characteristics'!$C:$C,0)))</f>
        <v>Exempt Process Emissions from C Tax</v>
      </c>
      <c r="C1074" s="394" t="str">
        <f t="shared" si="51"/>
        <v>BEPEfCT Boolean Exempt Process Emissions from Carbon Tax</v>
      </c>
      <c r="D1074" s="399" t="s">
        <v>784</v>
      </c>
      <c r="E1074" s="399"/>
      <c r="F1074" t="s">
        <v>785</v>
      </c>
      <c r="G1074" s="399"/>
      <c r="H1074" s="377">
        <v>1651</v>
      </c>
      <c r="I1074" s="396" t="s">
        <v>648</v>
      </c>
      <c r="J1074" s="397" t="str">
        <f>IF(ISBLANK(INDEX('Policy Characteristics'!D:D,MATCH($C1074,'Policy Characteristics'!$C:$C,0))),"",INDEX('Policy Characteristics'!D:D,MATCH($C1074,'Policy Characteristics'!$C:$C,0)))</f>
        <v/>
      </c>
      <c r="K1074" s="394" t="str">
        <f>IF(ISBLANK(INDEX('Policy Characteristics'!E:E,MATCH($C1074,'Policy Characteristics'!$C:$C,0))),"",INDEX('Policy Characteristics'!E:E,MATCH($C1074,'Policy Characteristics'!$C:$C,0)))</f>
        <v>cross toggle whether carbon tax affects process emissions</v>
      </c>
      <c r="L1074" s="394">
        <f>IF(ISBLANK(INDEX('Policy Characteristics'!F:F,MATCH($C1074,'Policy Characteristics'!$C:$C,0))),"",INDEX('Policy Characteristics'!F:F,MATCH($C1074,'Policy Characteristics'!$C:$C,0)))</f>
        <v>0</v>
      </c>
      <c r="M1074" s="394">
        <f>IF(ISBLANK(INDEX('Policy Characteristics'!G:G,MATCH($C1074,'Policy Characteristics'!$C:$C,0))),"",INDEX('Policy Characteristics'!G:G,MATCH($C1074,'Policy Characteristics'!$C:$C,0)))</f>
        <v>1</v>
      </c>
      <c r="N1074" s="394">
        <f>IF(ISBLANK(INDEX('Policy Characteristics'!H:H,MATCH($C1074,'Policy Characteristics'!$C:$C,0))),"",INDEX('Policy Characteristics'!H:H,MATCH($C1074,'Policy Characteristics'!$C:$C,0)))</f>
        <v>1</v>
      </c>
      <c r="O1074" s="394" t="str">
        <f>IF(ISBLANK(INDEX('Policy Characteristics'!I:I,MATCH($C1074,'Policy Characteristics'!$C:$C,0))),"",INDEX('Policy Characteristics'!I:I,MATCH($C1074,'Policy Characteristics'!$C:$C,0)))</f>
        <v>on/off</v>
      </c>
      <c r="P1074" s="394" t="str">
        <f>IF(ISBLANK(INDEX('Policy Characteristics'!J:J,MATCH($C1074,'Policy Characteristics'!$C:$C,0))),"",INDEX('Policy Characteristics'!J:J,MATCH($C1074,'Policy Characteristics'!$C:$C,0)))</f>
        <v>**Description:** This policy prevents the carbon tax from being levied on process emissions (non-energy greenhouse gas emissions from industrial and agricultural operations).</v>
      </c>
      <c r="Q1074" s="394" t="str">
        <f>IF(ISBLANK(INDEX('Policy Characteristics'!K:K,MATCH($C1074,'Policy Characteristics'!$C:$C,0))),"",INDEX('Policy Characteristics'!K:K,MATCH($C1074,'Policy Characteristics'!$C:$C,0)))</f>
        <v>fuels.html#carbon-tax</v>
      </c>
      <c r="R1074" s="394" t="str">
        <f>IF(ISBLANK(INDEX('Policy Characteristics'!L:L,MATCH($C1074,'Policy Characteristics'!$C:$C,0))),"",INDEX('Policy Characteristics'!L:L,MATCH($C1074,'Policy Characteristics'!$C:$C,0)))</f>
        <v>carbon-tax.html</v>
      </c>
    </row>
    <row r="1075" customHeight="1" spans="1:18">
      <c r="A1075" s="394" t="str">
        <f>IF(ISBLANK(INDEX('Policy Characteristics'!A:A,MATCH($C1075,'Policy Characteristics'!$C:$C,0))),"",INDEX('Policy Characteristics'!A:A,MATCH($C1075,'Policy Characteristics'!$C:$C,0)))</f>
        <v>Cross-Sector</v>
      </c>
      <c r="B1075" s="395" t="str">
        <f>IF(ISBLANK(INDEX('Policy Characteristics'!B:B,MATCH($C1075,'Policy Characteristics'!$C:$C,0))),"",INDEX('Policy Characteristics'!B:B,MATCH($C1075,'Policy Characteristics'!$C:$C,0)))</f>
        <v>Exempt Process Emissions from C Tax</v>
      </c>
      <c r="C1075" s="394" t="str">
        <f t="shared" si="51"/>
        <v>BEPEfCT Boolean Exempt Process Emissions from Carbon Tax</v>
      </c>
      <c r="D1075" s="399" t="s">
        <v>786</v>
      </c>
      <c r="E1075" s="399"/>
      <c r="F1075" t="s">
        <v>787</v>
      </c>
      <c r="G1075" s="399"/>
      <c r="H1075" s="377">
        <v>1652</v>
      </c>
      <c r="I1075" s="396" t="s">
        <v>658</v>
      </c>
      <c r="J1075" s="397" t="str">
        <f>IF(ISBLANK(INDEX('Policy Characteristics'!D:D,MATCH($C1075,'Policy Characteristics'!$C:$C,0))),"",INDEX('Policy Characteristics'!D:D,MATCH($C1075,'Policy Characteristics'!$C:$C,0)))</f>
        <v/>
      </c>
      <c r="K1075" s="394" t="str">
        <f>IF(ISBLANK(INDEX('Policy Characteristics'!E:E,MATCH($C1075,'Policy Characteristics'!$C:$C,0))),"",INDEX('Policy Characteristics'!E:E,MATCH($C1075,'Policy Characteristics'!$C:$C,0)))</f>
        <v>cross toggle whether carbon tax affects process emissions</v>
      </c>
      <c r="L1075" s="394">
        <f>IF(ISBLANK(INDEX('Policy Characteristics'!F:F,MATCH($C1075,'Policy Characteristics'!$C:$C,0))),"",INDEX('Policy Characteristics'!F:F,MATCH($C1075,'Policy Characteristics'!$C:$C,0)))</f>
        <v>0</v>
      </c>
      <c r="M1075" s="394">
        <f>IF(ISBLANK(INDEX('Policy Characteristics'!G:G,MATCH($C1075,'Policy Characteristics'!$C:$C,0))),"",INDEX('Policy Characteristics'!G:G,MATCH($C1075,'Policy Characteristics'!$C:$C,0)))</f>
        <v>1</v>
      </c>
      <c r="N1075" s="394">
        <f>IF(ISBLANK(INDEX('Policy Characteristics'!H:H,MATCH($C1075,'Policy Characteristics'!$C:$C,0))),"",INDEX('Policy Characteristics'!H:H,MATCH($C1075,'Policy Characteristics'!$C:$C,0)))</f>
        <v>1</v>
      </c>
      <c r="O1075" s="394" t="str">
        <f>IF(ISBLANK(INDEX('Policy Characteristics'!I:I,MATCH($C1075,'Policy Characteristics'!$C:$C,0))),"",INDEX('Policy Characteristics'!I:I,MATCH($C1075,'Policy Characteristics'!$C:$C,0)))</f>
        <v>on/off</v>
      </c>
      <c r="P1075" s="394" t="str">
        <f>IF(ISBLANK(INDEX('Policy Characteristics'!J:J,MATCH($C1075,'Policy Characteristics'!$C:$C,0))),"",INDEX('Policy Characteristics'!J:J,MATCH($C1075,'Policy Characteristics'!$C:$C,0)))</f>
        <v>**Description:** This policy prevents the carbon tax from being levied on process emissions (non-energy greenhouse gas emissions from industrial and agricultural operations).</v>
      </c>
      <c r="Q1075" s="394" t="str">
        <f>IF(ISBLANK(INDEX('Policy Characteristics'!K:K,MATCH($C1075,'Policy Characteristics'!$C:$C,0))),"",INDEX('Policy Characteristics'!K:K,MATCH($C1075,'Policy Characteristics'!$C:$C,0)))</f>
        <v>fuels.html#carbon-tax</v>
      </c>
      <c r="R1075" s="394" t="str">
        <f>IF(ISBLANK(INDEX('Policy Characteristics'!L:L,MATCH($C1075,'Policy Characteristics'!$C:$C,0))),"",INDEX('Policy Characteristics'!L:L,MATCH($C1075,'Policy Characteristics'!$C:$C,0)))</f>
        <v>carbon-tax.html</v>
      </c>
    </row>
    <row r="1076" customHeight="1" spans="1:18">
      <c r="A1076" s="394" t="str">
        <f>IF(ISBLANK(INDEX('Policy Characteristics'!A:A,MATCH($C1076,'Policy Characteristics'!$C:$C,0))),"",INDEX('Policy Characteristics'!A:A,MATCH($C1076,'Policy Characteristics'!$C:$C,0)))</f>
        <v>Cross-Sector</v>
      </c>
      <c r="B1076" s="395" t="str">
        <f>IF(ISBLANK(INDEX('Policy Characteristics'!B:B,MATCH($C1076,'Policy Characteristics'!$C:$C,0))),"",INDEX('Policy Characteristics'!B:B,MATCH($C1076,'Policy Characteristics'!$C:$C,0)))</f>
        <v>Toggle Carbon Tax Border Adjustment</v>
      </c>
      <c r="C1076" s="28" t="s">
        <v>544</v>
      </c>
      <c r="D1076" s="399"/>
      <c r="E1076" s="399"/>
      <c r="F1076" s="399"/>
      <c r="G1076" s="399"/>
      <c r="H1076" s="377">
        <v>1627</v>
      </c>
      <c r="I1076" s="396" t="s">
        <v>648</v>
      </c>
      <c r="J1076" s="397" t="str">
        <f>IF(ISBLANK(INDEX('Policy Characteristics'!D:D,MATCH($C1076,'Policy Characteristics'!$C:$C,0))),"",INDEX('Policy Characteristics'!D:D,MATCH($C1076,'Policy Characteristics'!$C:$C,0)))</f>
        <v/>
      </c>
      <c r="K1076" s="394" t="str">
        <f>IF(ISBLANK(INDEX('Policy Characteristics'!E:E,MATCH($C1076,'Policy Characteristics'!$C:$C,0))),"",INDEX('Policy Characteristics'!E:E,MATCH($C1076,'Policy Characteristics'!$C:$C,0)))</f>
        <v/>
      </c>
      <c r="L1076" s="394">
        <f>IF(ISBLANK(INDEX('Policy Characteristics'!F:F,MATCH($C1076,'Policy Characteristics'!$C:$C,0))),"",INDEX('Policy Characteristics'!F:F,MATCH($C1076,'Policy Characteristics'!$C:$C,0)))</f>
        <v>0</v>
      </c>
      <c r="M1076" s="394">
        <f>IF(ISBLANK(INDEX('Policy Characteristics'!G:G,MATCH($C1076,'Policy Characteristics'!$C:$C,0))),"",INDEX('Policy Characteristics'!G:G,MATCH($C1076,'Policy Characteristics'!$C:$C,0)))</f>
        <v>1</v>
      </c>
      <c r="N1076" s="394">
        <f>IF(ISBLANK(INDEX('Policy Characteristics'!H:H,MATCH($C1076,'Policy Characteristics'!$C:$C,0))),"",INDEX('Policy Characteristics'!H:H,MATCH($C1076,'Policy Characteristics'!$C:$C,0)))</f>
        <v>1</v>
      </c>
      <c r="O1076" s="394" t="str">
        <f>IF(ISBLANK(INDEX('Policy Characteristics'!I:I,MATCH($C1076,'Policy Characteristics'!$C:$C,0))),"",INDEX('Policy Characteristics'!I:I,MATCH($C1076,'Policy Characteristics'!$C:$C,0)))</f>
        <v>on/off</v>
      </c>
      <c r="P1076" s="394" t="str">
        <f>IF(ISBLANK(INDEX('Policy Characteristics'!J:J,MATCH($C1076,'Policy Characteristics'!$C:$C,0))),"",INDEX('Policy Characteristics'!J:J,MATCH($C1076,'Policy Characteristics'!$C:$C,0)))</f>
        <v>**Description:** By default, carbon taxes apply to only domestically produced goods. If set to zero, this policy enables carbon tax border adjustments, meaning the carbon tax will apply to both domestically produced and imported goods.</v>
      </c>
      <c r="Q1076" s="394" t="str">
        <f>IF(ISBLANK(INDEX('Policy Characteristics'!K:K,MATCH($C1076,'Policy Characteristics'!$C:$C,0))),"",INDEX('Policy Characteristics'!K:K,MATCH($C1076,'Policy Characteristics'!$C:$C,0)))</f>
        <v>fuels.html#carbon-tax</v>
      </c>
      <c r="R1076" s="394" t="str">
        <f>IF(ISBLANK(INDEX('Policy Characteristics'!L:L,MATCH($C1076,'Policy Characteristics'!$C:$C,0))),"",INDEX('Policy Characteristics'!L:L,MATCH($C1076,'Policy Characteristics'!$C:$C,0)))</f>
        <v>carbon-tax.html</v>
      </c>
    </row>
    <row r="1077" customHeight="1" spans="1:18">
      <c r="A1077" s="394" t="str">
        <f>IF(ISBLANK(INDEX('Policy Characteristics'!A:A,MATCH($C1077,'Policy Characteristics'!$C:$C,0))),"",INDEX('Policy Characteristics'!A:A,MATCH($C1077,'Policy Characteristics'!$C:$C,0)))</f>
        <v>Cross-Sector</v>
      </c>
      <c r="B1077" s="395" t="str">
        <f>IF(ISBLANK(INDEX('Policy Characteristics'!B:B,MATCH($C1077,'Policy Characteristics'!$C:$C,0))),"",INDEX('Policy Characteristics'!B:B,MATCH($C1077,'Policy Characteristics'!$C:$C,0)))</f>
        <v>Fixed Energy Prices</v>
      </c>
      <c r="C1077" t="s">
        <v>547</v>
      </c>
      <c r="D1077" s="399" t="s">
        <v>850</v>
      </c>
      <c r="E1077" s="399"/>
      <c r="F1077" s="399" t="s">
        <v>851</v>
      </c>
      <c r="G1077" s="399"/>
      <c r="H1077" s="377">
        <v>720</v>
      </c>
      <c r="I1077" s="396" t="s">
        <v>658</v>
      </c>
      <c r="J1077" s="397" t="str">
        <f>IF(ISBLANK(INDEX('Policy Characteristics'!D:D,MATCH($C1077,'Policy Characteristics'!$C:$C,0))),"",INDEX('Policy Characteristics'!D:D,MATCH($C1077,'Policy Characteristics'!$C:$C,0)))</f>
        <v>Fixed Energy Prices</v>
      </c>
      <c r="K1077" s="394" t="str">
        <f>IF(ISBLANK(INDEX('Policy Characteristics'!E:E,MATCH($C1077,'Policy Characteristics'!$C:$C,0))),"",INDEX('Policy Characteristics'!E:E,MATCH($C1077,'Policy Characteristics'!$C:$C,0)))</f>
        <v>cross toggle whether policies affect energy prices</v>
      </c>
      <c r="L1077" s="394">
        <f>IF(ISBLANK(INDEX('Policy Characteristics'!F:F,MATCH($C1077,'Policy Characteristics'!$C:$C,0))),"",INDEX('Policy Characteristics'!F:F,MATCH($C1077,'Policy Characteristics'!$C:$C,0)))</f>
        <v>0</v>
      </c>
      <c r="M1077" s="394">
        <f>IF(ISBLANK(INDEX('Policy Characteristics'!G:G,MATCH($C1077,'Policy Characteristics'!$C:$C,0))),"",INDEX('Policy Characteristics'!G:G,MATCH($C1077,'Policy Characteristics'!$C:$C,0)))</f>
        <v>1</v>
      </c>
      <c r="N1077" s="394">
        <f>IF(ISBLANK(INDEX('Policy Characteristics'!H:H,MATCH($C1077,'Policy Characteristics'!$C:$C,0))),"",INDEX('Policy Characteristics'!H:H,MATCH($C1077,'Policy Characteristics'!$C:$C,0)))</f>
        <v>1</v>
      </c>
      <c r="O1077" s="394" t="str">
        <f>IF(ISBLANK(INDEX('Policy Characteristics'!I:I,MATCH($C1077,'Policy Characteristics'!$C:$C,0))),"",INDEX('Policy Characteristics'!I:I,MATCH($C1077,'Policy Characteristics'!$C:$C,0)))</f>
        <v>on/off</v>
      </c>
      <c r="P1077" s="394" t="str">
        <f>IF(ISBLANK(INDEX('Policy Characteristics'!J:J,MATCH($C1077,'Policy Characteristics'!$C:$C,0))),"",INDEX('Policy Characteristics'!J:J,MATCH($C1077,'Policy Characteristics'!$C:$C,0)))</f>
        <v>**Description:** By default, policies affect energy prices. Turning on this policy prevents policy from affecting energy prices.</v>
      </c>
      <c r="Q1077" s="394" t="str">
        <f>IF(ISBLANK(INDEX('Policy Characteristics'!K:K,MATCH($C1077,'Policy Characteristics'!$C:$C,0))),"",INDEX('Policy Characteristics'!K:K,MATCH($C1077,'Policy Characteristics'!$C:$C,0)))</f>
        <v/>
      </c>
      <c r="R1077" s="394" t="str">
        <f>IF(ISBLANK(INDEX('Policy Characteristics'!L:L,MATCH($C1077,'Policy Characteristics'!$C:$C,0))),"",INDEX('Policy Characteristics'!L:L,MATCH($C1077,'Policy Characteristics'!$C:$C,0)))</f>
        <v/>
      </c>
    </row>
    <row r="1078" customHeight="1" spans="1:18">
      <c r="A1078" s="394" t="str">
        <f>IF(ISBLANK(INDEX('Policy Characteristics'!A:A,MATCH($C1078,'Policy Characteristics'!$C:$C,0))),"",INDEX('Policy Characteristics'!A:A,MATCH($C1078,'Policy Characteristics'!$C:$C,0)))</f>
        <v>Cross-Sector</v>
      </c>
      <c r="B1078" s="395" t="str">
        <f>IF(ISBLANK(INDEX('Policy Characteristics'!B:B,MATCH($C1078,'Policy Characteristics'!$C:$C,0))),"",INDEX('Policy Characteristics'!B:B,MATCH($C1078,'Policy Characteristics'!$C:$C,0)))</f>
        <v>Fixed Energy Prices</v>
      </c>
      <c r="C1078" s="394" t="str">
        <f t="shared" ref="C1078:C1079" si="52">C$1077</f>
        <v>Toggle Whether Policies Affect Energy Prices</v>
      </c>
      <c r="D1078" s="399" t="s">
        <v>862</v>
      </c>
      <c r="E1078" s="399"/>
      <c r="F1078" s="399" t="s">
        <v>863</v>
      </c>
      <c r="G1078" s="399"/>
      <c r="H1078" s="377">
        <v>721</v>
      </c>
      <c r="I1078" s="396" t="s">
        <v>658</v>
      </c>
      <c r="J1078" s="397" t="str">
        <f>IF(ISBLANK(INDEX('Policy Characteristics'!D:D,MATCH($C1078,'Policy Characteristics'!$C:$C,0))),"",INDEX('Policy Characteristics'!D:D,MATCH($C1078,'Policy Characteristics'!$C:$C,0)))</f>
        <v>Fixed Energy Prices</v>
      </c>
      <c r="K1078" s="394" t="str">
        <f>IF(ISBLANK(INDEX('Policy Characteristics'!E:E,MATCH($C1078,'Policy Characteristics'!$C:$C,0))),"",INDEX('Policy Characteristics'!E:E,MATCH($C1078,'Policy Characteristics'!$C:$C,0)))</f>
        <v>cross toggle whether policies affect energy prices</v>
      </c>
      <c r="L1078" s="394">
        <f>IF(ISBLANK(INDEX('Policy Characteristics'!F:F,MATCH($C1078,'Policy Characteristics'!$C:$C,0))),"",INDEX('Policy Characteristics'!F:F,MATCH($C1078,'Policy Characteristics'!$C:$C,0)))</f>
        <v>0</v>
      </c>
      <c r="M1078" s="394">
        <f>IF(ISBLANK(INDEX('Policy Characteristics'!G:G,MATCH($C1078,'Policy Characteristics'!$C:$C,0))),"",INDEX('Policy Characteristics'!G:G,MATCH($C1078,'Policy Characteristics'!$C:$C,0)))</f>
        <v>1</v>
      </c>
      <c r="N1078" s="394">
        <f>IF(ISBLANK(INDEX('Policy Characteristics'!H:H,MATCH($C1078,'Policy Characteristics'!$C:$C,0))),"",INDEX('Policy Characteristics'!H:H,MATCH($C1078,'Policy Characteristics'!$C:$C,0)))</f>
        <v>1</v>
      </c>
      <c r="O1078" s="394" t="str">
        <f>IF(ISBLANK(INDEX('Policy Characteristics'!I:I,MATCH($C1078,'Policy Characteristics'!$C:$C,0))),"",INDEX('Policy Characteristics'!I:I,MATCH($C1078,'Policy Characteristics'!$C:$C,0)))</f>
        <v>on/off</v>
      </c>
      <c r="P1078" s="394" t="str">
        <f>IF(ISBLANK(INDEX('Policy Characteristics'!J:J,MATCH($C1078,'Policy Characteristics'!$C:$C,0))),"",INDEX('Policy Characteristics'!J:J,MATCH($C1078,'Policy Characteristics'!$C:$C,0)))</f>
        <v>**Description:** By default, policies affect energy prices. Turning on this policy prevents policy from affecting energy prices.</v>
      </c>
      <c r="Q1078" s="394" t="str">
        <f>IF(ISBLANK(INDEX('Policy Characteristics'!K:K,MATCH($C1078,'Policy Characteristics'!$C:$C,0))),"",INDEX('Policy Characteristics'!K:K,MATCH($C1078,'Policy Characteristics'!$C:$C,0)))</f>
        <v/>
      </c>
      <c r="R1078" s="394" t="str">
        <f>IF(ISBLANK(INDEX('Policy Characteristics'!L:L,MATCH($C1078,'Policy Characteristics'!$C:$C,0))),"",INDEX('Policy Characteristics'!L:L,MATCH($C1078,'Policy Characteristics'!$C:$C,0)))</f>
        <v/>
      </c>
    </row>
    <row r="1079" customHeight="1" spans="1:18">
      <c r="A1079" s="394" t="str">
        <f>IF(ISBLANK(INDEX('Policy Characteristics'!A:A,MATCH($C1079,'Policy Characteristics'!$C:$C,0))),"",INDEX('Policy Characteristics'!A:A,MATCH($C1079,'Policy Characteristics'!$C:$C,0)))</f>
        <v>Cross-Sector</v>
      </c>
      <c r="B1079" s="395" t="str">
        <f>IF(ISBLANK(INDEX('Policy Characteristics'!B:B,MATCH($C1079,'Policy Characteristics'!$C:$C,0))),"",INDEX('Policy Characteristics'!B:B,MATCH($C1079,'Policy Characteristics'!$C:$C,0)))</f>
        <v>Fixed Energy Prices</v>
      </c>
      <c r="C1079" s="394" t="str">
        <f t="shared" si="52"/>
        <v>Toggle Whether Policies Affect Energy Prices</v>
      </c>
      <c r="D1079" s="399" t="s">
        <v>866</v>
      </c>
      <c r="E1079" s="399"/>
      <c r="F1079" s="399" t="s">
        <v>867</v>
      </c>
      <c r="G1079" s="399"/>
      <c r="H1079" s="377">
        <v>722</v>
      </c>
      <c r="I1079" s="396" t="s">
        <v>658</v>
      </c>
      <c r="J1079" s="397" t="str">
        <f>IF(ISBLANK(INDEX('Policy Characteristics'!D:D,MATCH($C1079,'Policy Characteristics'!$C:$C,0))),"",INDEX('Policy Characteristics'!D:D,MATCH($C1079,'Policy Characteristics'!$C:$C,0)))</f>
        <v>Fixed Energy Prices</v>
      </c>
      <c r="K1079" s="394" t="str">
        <f>IF(ISBLANK(INDEX('Policy Characteristics'!E:E,MATCH($C1079,'Policy Characteristics'!$C:$C,0))),"",INDEX('Policy Characteristics'!E:E,MATCH($C1079,'Policy Characteristics'!$C:$C,0)))</f>
        <v>cross toggle whether policies affect energy prices</v>
      </c>
      <c r="L1079" s="394">
        <f>IF(ISBLANK(INDEX('Policy Characteristics'!F:F,MATCH($C1079,'Policy Characteristics'!$C:$C,0))),"",INDEX('Policy Characteristics'!F:F,MATCH($C1079,'Policy Characteristics'!$C:$C,0)))</f>
        <v>0</v>
      </c>
      <c r="M1079" s="394">
        <f>IF(ISBLANK(INDEX('Policy Characteristics'!G:G,MATCH($C1079,'Policy Characteristics'!$C:$C,0))),"",INDEX('Policy Characteristics'!G:G,MATCH($C1079,'Policy Characteristics'!$C:$C,0)))</f>
        <v>1</v>
      </c>
      <c r="N1079" s="394">
        <f>IF(ISBLANK(INDEX('Policy Characteristics'!H:H,MATCH($C1079,'Policy Characteristics'!$C:$C,0))),"",INDEX('Policy Characteristics'!H:H,MATCH($C1079,'Policy Characteristics'!$C:$C,0)))</f>
        <v>1</v>
      </c>
      <c r="O1079" s="394" t="str">
        <f>IF(ISBLANK(INDEX('Policy Characteristics'!I:I,MATCH($C1079,'Policy Characteristics'!$C:$C,0))),"",INDEX('Policy Characteristics'!I:I,MATCH($C1079,'Policy Characteristics'!$C:$C,0)))</f>
        <v>on/off</v>
      </c>
      <c r="P1079" s="394" t="str">
        <f>IF(ISBLANK(INDEX('Policy Characteristics'!J:J,MATCH($C1079,'Policy Characteristics'!$C:$C,0))),"",INDEX('Policy Characteristics'!J:J,MATCH($C1079,'Policy Characteristics'!$C:$C,0)))</f>
        <v>**Description:** By default, policies affect energy prices. Turning on this policy prevents policy from affecting energy prices.</v>
      </c>
      <c r="Q1079" s="394" t="str">
        <f>IF(ISBLANK(INDEX('Policy Characteristics'!K:K,MATCH($C1079,'Policy Characteristics'!$C:$C,0))),"",INDEX('Policy Characteristics'!K:K,MATCH($C1079,'Policy Characteristics'!$C:$C,0)))</f>
        <v/>
      </c>
      <c r="R1079" s="394" t="str">
        <f>IF(ISBLANK(INDEX('Policy Characteristics'!L:L,MATCH($C1079,'Policy Characteristics'!$C:$C,0))),"",INDEX('Policy Characteristics'!L:L,MATCH($C1079,'Policy Characteristics'!$C:$C,0)))</f>
        <v/>
      </c>
    </row>
    <row r="1080" customHeight="1" spans="1:18">
      <c r="A1080" s="394" t="str">
        <f>IF(ISBLANK(INDEX('Policy Characteristics'!A:A,MATCH($C1080,'Policy Characteristics'!$C:$C,0))),"",INDEX('Policy Characteristics'!A:A,MATCH($C1080,'Policy Characteristics'!$C:$C,0)))</f>
        <v>Cross-Sector</v>
      </c>
      <c r="B1080" s="395" t="str">
        <f>IF(ISBLANK(INDEX('Policy Characteristics'!B:B,MATCH($C1080,'Policy Characteristics'!$C:$C,0))),"",INDEX('Policy Characteristics'!B:B,MATCH($C1080,'Policy Characteristics'!$C:$C,0)))</f>
        <v>Fixed Energy Prices</v>
      </c>
      <c r="C1080" t="s">
        <v>547</v>
      </c>
      <c r="D1080" s="399" t="s">
        <v>823</v>
      </c>
      <c r="E1080" s="399"/>
      <c r="F1080" s="399" t="s">
        <v>702</v>
      </c>
      <c r="G1080" s="399"/>
      <c r="H1080" s="377">
        <v>836</v>
      </c>
      <c r="I1080" s="396" t="s">
        <v>658</v>
      </c>
      <c r="J1080" s="397" t="str">
        <f>IF(ISBLANK(INDEX('Policy Characteristics'!D:D,MATCH($C1080,'Policy Characteristics'!$C:$C,0))),"",INDEX('Policy Characteristics'!D:D,MATCH($C1080,'Policy Characteristics'!$C:$C,0)))</f>
        <v>Fixed Energy Prices</v>
      </c>
      <c r="K1080" s="394" t="str">
        <f>IF(ISBLANK(INDEX('Policy Characteristics'!E:E,MATCH($C1080,'Policy Characteristics'!$C:$C,0))),"",INDEX('Policy Characteristics'!E:E,MATCH($C1080,'Policy Characteristics'!$C:$C,0)))</f>
        <v>cross toggle whether policies affect energy prices</v>
      </c>
      <c r="L1080" s="394">
        <f>IF(ISBLANK(INDEX('Policy Characteristics'!F:F,MATCH($C1080,'Policy Characteristics'!$C:$C,0))),"",INDEX('Policy Characteristics'!F:F,MATCH($C1080,'Policy Characteristics'!$C:$C,0)))</f>
        <v>0</v>
      </c>
      <c r="M1080" s="394">
        <f>IF(ISBLANK(INDEX('Policy Characteristics'!G:G,MATCH($C1080,'Policy Characteristics'!$C:$C,0))),"",INDEX('Policy Characteristics'!G:G,MATCH($C1080,'Policy Characteristics'!$C:$C,0)))</f>
        <v>1</v>
      </c>
      <c r="N1080" s="394">
        <f>IF(ISBLANK(INDEX('Policy Characteristics'!H:H,MATCH($C1080,'Policy Characteristics'!$C:$C,0))),"",INDEX('Policy Characteristics'!H:H,MATCH($C1080,'Policy Characteristics'!$C:$C,0)))</f>
        <v>1</v>
      </c>
      <c r="O1080" s="394" t="str">
        <f>IF(ISBLANK(INDEX('Policy Characteristics'!I:I,MATCH($C1080,'Policy Characteristics'!$C:$C,0))),"",INDEX('Policy Characteristics'!I:I,MATCH($C1080,'Policy Characteristics'!$C:$C,0)))</f>
        <v>on/off</v>
      </c>
      <c r="P1080" s="394" t="str">
        <f>IF(ISBLANK(INDEX('Policy Characteristics'!J:J,MATCH($C1080,'Policy Characteristics'!$C:$C,0))),"",INDEX('Policy Characteristics'!J:J,MATCH($C1080,'Policy Characteristics'!$C:$C,0)))</f>
        <v>**Description:** By default, policies affect energy prices. Turning on this policy prevents policy from affecting energy prices.</v>
      </c>
      <c r="Q1080" s="394" t="str">
        <f>IF(ISBLANK(INDEX('Policy Characteristics'!K:K,MATCH($C1080,'Policy Characteristics'!$C:$C,0))),"",INDEX('Policy Characteristics'!K:K,MATCH($C1080,'Policy Characteristics'!$C:$C,0)))</f>
        <v/>
      </c>
      <c r="R1080" s="394" t="str">
        <f>IF(ISBLANK(INDEX('Policy Characteristics'!L:L,MATCH($C1080,'Policy Characteristics'!$C:$C,0))),"",INDEX('Policy Characteristics'!L:L,MATCH($C1080,'Policy Characteristics'!$C:$C,0)))</f>
        <v/>
      </c>
    </row>
    <row r="1081" customHeight="1" spans="1:18">
      <c r="A1081" s="394" t="str">
        <f>IF(ISBLANK(INDEX('Policy Characteristics'!A:A,MATCH($C1081,'Policy Characteristics'!$C:$C,0))),"",INDEX('Policy Characteristics'!A:A,MATCH($C1081,'Policy Characteristics'!$C:$C,0)))</f>
        <v>Cross-Sector</v>
      </c>
      <c r="B1081" s="395" t="str">
        <f>IF(ISBLANK(INDEX('Policy Characteristics'!B:B,MATCH($C1081,'Policy Characteristics'!$C:$C,0))),"",INDEX('Policy Characteristics'!B:B,MATCH($C1081,'Policy Characteristics'!$C:$C,0)))</f>
        <v>Fixed Energy Prices</v>
      </c>
      <c r="C1081" s="394" t="str">
        <f t="shared" ref="C1081:C1091" si="53">C$1080</f>
        <v>Toggle Whether Policies Affect Energy Prices</v>
      </c>
      <c r="D1081" s="399" t="s">
        <v>824</v>
      </c>
      <c r="E1081" s="399"/>
      <c r="F1081" s="399" t="s">
        <v>825</v>
      </c>
      <c r="G1081" s="399"/>
      <c r="H1081" s="377">
        <v>837</v>
      </c>
      <c r="I1081" s="396" t="s">
        <v>658</v>
      </c>
      <c r="J1081" s="397" t="str">
        <f>IF(ISBLANK(INDEX('Policy Characteristics'!D:D,MATCH($C1081,'Policy Characteristics'!$C:$C,0))),"",INDEX('Policy Characteristics'!D:D,MATCH($C1081,'Policy Characteristics'!$C:$C,0)))</f>
        <v>Fixed Energy Prices</v>
      </c>
      <c r="K1081" s="394" t="str">
        <f>IF(ISBLANK(INDEX('Policy Characteristics'!E:E,MATCH($C1081,'Policy Characteristics'!$C:$C,0))),"",INDEX('Policy Characteristics'!E:E,MATCH($C1081,'Policy Characteristics'!$C:$C,0)))</f>
        <v>cross toggle whether policies affect energy prices</v>
      </c>
      <c r="L1081" s="394">
        <f>IF(ISBLANK(INDEX('Policy Characteristics'!F:F,MATCH($C1081,'Policy Characteristics'!$C:$C,0))),"",INDEX('Policy Characteristics'!F:F,MATCH($C1081,'Policy Characteristics'!$C:$C,0)))</f>
        <v>0</v>
      </c>
      <c r="M1081" s="394">
        <f>IF(ISBLANK(INDEX('Policy Characteristics'!G:G,MATCH($C1081,'Policy Characteristics'!$C:$C,0))),"",INDEX('Policy Characteristics'!G:G,MATCH($C1081,'Policy Characteristics'!$C:$C,0)))</f>
        <v>1</v>
      </c>
      <c r="N1081" s="394">
        <f>IF(ISBLANK(INDEX('Policy Characteristics'!H:H,MATCH($C1081,'Policy Characteristics'!$C:$C,0))),"",INDEX('Policy Characteristics'!H:H,MATCH($C1081,'Policy Characteristics'!$C:$C,0)))</f>
        <v>1</v>
      </c>
      <c r="O1081" s="394" t="str">
        <f>IF(ISBLANK(INDEX('Policy Characteristics'!I:I,MATCH($C1081,'Policy Characteristics'!$C:$C,0))),"",INDEX('Policy Characteristics'!I:I,MATCH($C1081,'Policy Characteristics'!$C:$C,0)))</f>
        <v>on/off</v>
      </c>
      <c r="P1081" s="394" t="str">
        <f>IF(ISBLANK(INDEX('Policy Characteristics'!J:J,MATCH($C1081,'Policy Characteristics'!$C:$C,0))),"",INDEX('Policy Characteristics'!J:J,MATCH($C1081,'Policy Characteristics'!$C:$C,0)))</f>
        <v>**Description:** By default, policies affect energy prices. Turning on this policy prevents policy from affecting energy prices.</v>
      </c>
      <c r="Q1081" s="394" t="str">
        <f>IF(ISBLANK(INDEX('Policy Characteristics'!K:K,MATCH($C1081,'Policy Characteristics'!$C:$C,0))),"",INDEX('Policy Characteristics'!K:K,MATCH($C1081,'Policy Characteristics'!$C:$C,0)))</f>
        <v/>
      </c>
      <c r="R1081" s="394" t="str">
        <f>IF(ISBLANK(INDEX('Policy Characteristics'!L:L,MATCH($C1081,'Policy Characteristics'!$C:$C,0))),"",INDEX('Policy Characteristics'!L:L,MATCH($C1081,'Policy Characteristics'!$C:$C,0)))</f>
        <v/>
      </c>
    </row>
    <row r="1082" customHeight="1" spans="1:18">
      <c r="A1082" s="394" t="str">
        <f>IF(ISBLANK(INDEX('Policy Characteristics'!A:A,MATCH($C1082,'Policy Characteristics'!$C:$C,0))),"",INDEX('Policy Characteristics'!A:A,MATCH($C1082,'Policy Characteristics'!$C:$C,0)))</f>
        <v>Cross-Sector</v>
      </c>
      <c r="B1082" s="395" t="str">
        <f>IF(ISBLANK(INDEX('Policy Characteristics'!B:B,MATCH($C1082,'Policy Characteristics'!$C:$C,0))),"",INDEX('Policy Characteristics'!B:B,MATCH($C1082,'Policy Characteristics'!$C:$C,0)))</f>
        <v>Fixed Energy Prices</v>
      </c>
      <c r="C1082" s="394" t="str">
        <f t="shared" si="53"/>
        <v>Toggle Whether Policies Affect Energy Prices</v>
      </c>
      <c r="D1082" s="399" t="s">
        <v>857</v>
      </c>
      <c r="E1082" s="399"/>
      <c r="F1082" s="399" t="s">
        <v>716</v>
      </c>
      <c r="G1082" s="399"/>
      <c r="H1082" s="377">
        <v>838</v>
      </c>
      <c r="I1082" s="396" t="s">
        <v>658</v>
      </c>
      <c r="J1082" s="397" t="str">
        <f>IF(ISBLANK(INDEX('Policy Characteristics'!D:D,MATCH($C1082,'Policy Characteristics'!$C:$C,0))),"",INDEX('Policy Characteristics'!D:D,MATCH($C1082,'Policy Characteristics'!$C:$C,0)))</f>
        <v>Fixed Energy Prices</v>
      </c>
      <c r="K1082" s="394" t="str">
        <f>IF(ISBLANK(INDEX('Policy Characteristics'!E:E,MATCH($C1082,'Policy Characteristics'!$C:$C,0))),"",INDEX('Policy Characteristics'!E:E,MATCH($C1082,'Policy Characteristics'!$C:$C,0)))</f>
        <v>cross toggle whether policies affect energy prices</v>
      </c>
      <c r="L1082" s="394">
        <f>IF(ISBLANK(INDEX('Policy Characteristics'!F:F,MATCH($C1082,'Policy Characteristics'!$C:$C,0))),"",INDEX('Policy Characteristics'!F:F,MATCH($C1082,'Policy Characteristics'!$C:$C,0)))</f>
        <v>0</v>
      </c>
      <c r="M1082" s="394">
        <f>IF(ISBLANK(INDEX('Policy Characteristics'!G:G,MATCH($C1082,'Policy Characteristics'!$C:$C,0))),"",INDEX('Policy Characteristics'!G:G,MATCH($C1082,'Policy Characteristics'!$C:$C,0)))</f>
        <v>1</v>
      </c>
      <c r="N1082" s="394">
        <f>IF(ISBLANK(INDEX('Policy Characteristics'!H:H,MATCH($C1082,'Policy Characteristics'!$C:$C,0))),"",INDEX('Policy Characteristics'!H:H,MATCH($C1082,'Policy Characteristics'!$C:$C,0)))</f>
        <v>1</v>
      </c>
      <c r="O1082" s="394" t="str">
        <f>IF(ISBLANK(INDEX('Policy Characteristics'!I:I,MATCH($C1082,'Policy Characteristics'!$C:$C,0))),"",INDEX('Policy Characteristics'!I:I,MATCH($C1082,'Policy Characteristics'!$C:$C,0)))</f>
        <v>on/off</v>
      </c>
      <c r="P1082" s="394" t="str">
        <f>IF(ISBLANK(INDEX('Policy Characteristics'!J:J,MATCH($C1082,'Policy Characteristics'!$C:$C,0))),"",INDEX('Policy Characteristics'!J:J,MATCH($C1082,'Policy Characteristics'!$C:$C,0)))</f>
        <v>**Description:** By default, policies affect energy prices. Turning on this policy prevents policy from affecting energy prices.</v>
      </c>
      <c r="Q1082" s="394" t="str">
        <f>IF(ISBLANK(INDEX('Policy Characteristics'!K:K,MATCH($C1082,'Policy Characteristics'!$C:$C,0))),"",INDEX('Policy Characteristics'!K:K,MATCH($C1082,'Policy Characteristics'!$C:$C,0)))</f>
        <v/>
      </c>
      <c r="R1082" s="394" t="str">
        <f>IF(ISBLANK(INDEX('Policy Characteristics'!L:L,MATCH($C1082,'Policy Characteristics'!$C:$C,0))),"",INDEX('Policy Characteristics'!L:L,MATCH($C1082,'Policy Characteristics'!$C:$C,0)))</f>
        <v/>
      </c>
    </row>
    <row r="1083" customHeight="1" spans="1:18">
      <c r="A1083" s="394" t="str">
        <f>IF(ISBLANK(INDEX('Policy Characteristics'!A:A,MATCH($C1083,'Policy Characteristics'!$C:$C,0))),"",INDEX('Policy Characteristics'!A:A,MATCH($C1083,'Policy Characteristics'!$C:$C,0)))</f>
        <v>Cross-Sector</v>
      </c>
      <c r="B1083" s="395" t="str">
        <f>IF(ISBLANK(INDEX('Policy Characteristics'!B:B,MATCH($C1083,'Policy Characteristics'!$C:$C,0))),"",INDEX('Policy Characteristics'!B:B,MATCH($C1083,'Policy Characteristics'!$C:$C,0)))</f>
        <v>Fixed Energy Prices</v>
      </c>
      <c r="C1083" s="394" t="str">
        <f t="shared" si="53"/>
        <v>Toggle Whether Policies Affect Energy Prices</v>
      </c>
      <c r="D1083" s="399" t="s">
        <v>826</v>
      </c>
      <c r="E1083" s="399"/>
      <c r="F1083" s="399" t="s">
        <v>827</v>
      </c>
      <c r="G1083" s="399"/>
      <c r="H1083" s="377">
        <v>839</v>
      </c>
      <c r="I1083" s="396" t="s">
        <v>658</v>
      </c>
      <c r="J1083" s="397" t="str">
        <f>IF(ISBLANK(INDEX('Policy Characteristics'!D:D,MATCH($C1083,'Policy Characteristics'!$C:$C,0))),"",INDEX('Policy Characteristics'!D:D,MATCH($C1083,'Policy Characteristics'!$C:$C,0)))</f>
        <v>Fixed Energy Prices</v>
      </c>
      <c r="K1083" s="394" t="str">
        <f>IF(ISBLANK(INDEX('Policy Characteristics'!E:E,MATCH($C1083,'Policy Characteristics'!$C:$C,0))),"",INDEX('Policy Characteristics'!E:E,MATCH($C1083,'Policy Characteristics'!$C:$C,0)))</f>
        <v>cross toggle whether policies affect energy prices</v>
      </c>
      <c r="L1083" s="394">
        <f>IF(ISBLANK(INDEX('Policy Characteristics'!F:F,MATCH($C1083,'Policy Characteristics'!$C:$C,0))),"",INDEX('Policy Characteristics'!F:F,MATCH($C1083,'Policy Characteristics'!$C:$C,0)))</f>
        <v>0</v>
      </c>
      <c r="M1083" s="394">
        <f>IF(ISBLANK(INDEX('Policy Characteristics'!G:G,MATCH($C1083,'Policy Characteristics'!$C:$C,0))),"",INDEX('Policy Characteristics'!G:G,MATCH($C1083,'Policy Characteristics'!$C:$C,0)))</f>
        <v>1</v>
      </c>
      <c r="N1083" s="394">
        <f>IF(ISBLANK(INDEX('Policy Characteristics'!H:H,MATCH($C1083,'Policy Characteristics'!$C:$C,0))),"",INDEX('Policy Characteristics'!H:H,MATCH($C1083,'Policy Characteristics'!$C:$C,0)))</f>
        <v>1</v>
      </c>
      <c r="O1083" s="394" t="str">
        <f>IF(ISBLANK(INDEX('Policy Characteristics'!I:I,MATCH($C1083,'Policy Characteristics'!$C:$C,0))),"",INDEX('Policy Characteristics'!I:I,MATCH($C1083,'Policy Characteristics'!$C:$C,0)))</f>
        <v>on/off</v>
      </c>
      <c r="P1083" s="394" t="str">
        <f>IF(ISBLANK(INDEX('Policy Characteristics'!J:J,MATCH($C1083,'Policy Characteristics'!$C:$C,0))),"",INDEX('Policy Characteristics'!J:J,MATCH($C1083,'Policy Characteristics'!$C:$C,0)))</f>
        <v>**Description:** By default, policies affect energy prices. Turning on this policy prevents policy from affecting energy prices.</v>
      </c>
      <c r="Q1083" s="394" t="str">
        <f>IF(ISBLANK(INDEX('Policy Characteristics'!K:K,MATCH($C1083,'Policy Characteristics'!$C:$C,0))),"",INDEX('Policy Characteristics'!K:K,MATCH($C1083,'Policy Characteristics'!$C:$C,0)))</f>
        <v/>
      </c>
      <c r="R1083" s="394" t="str">
        <f>IF(ISBLANK(INDEX('Policy Characteristics'!L:L,MATCH($C1083,'Policy Characteristics'!$C:$C,0))),"",INDEX('Policy Characteristics'!L:L,MATCH($C1083,'Policy Characteristics'!$C:$C,0)))</f>
        <v/>
      </c>
    </row>
    <row r="1084" customHeight="1" spans="1:18">
      <c r="A1084" s="394" t="str">
        <f>IF(ISBLANK(INDEX('Policy Characteristics'!A:A,MATCH($C1084,'Policy Characteristics'!$C:$C,0))),"",INDEX('Policy Characteristics'!A:A,MATCH($C1084,'Policy Characteristics'!$C:$C,0)))</f>
        <v>Cross-Sector</v>
      </c>
      <c r="B1084" s="395" t="str">
        <f>IF(ISBLANK(INDEX('Policy Characteristics'!B:B,MATCH($C1084,'Policy Characteristics'!$C:$C,0))),"",INDEX('Policy Characteristics'!B:B,MATCH($C1084,'Policy Characteristics'!$C:$C,0)))</f>
        <v>Fixed Energy Prices</v>
      </c>
      <c r="C1084" s="394" t="str">
        <f t="shared" si="53"/>
        <v>Toggle Whether Policies Affect Energy Prices</v>
      </c>
      <c r="D1084" s="399" t="s">
        <v>828</v>
      </c>
      <c r="E1084" s="399"/>
      <c r="F1084" s="399" t="s">
        <v>829</v>
      </c>
      <c r="G1084" s="399"/>
      <c r="H1084" s="377">
        <v>840</v>
      </c>
      <c r="I1084" s="396" t="s">
        <v>658</v>
      </c>
      <c r="J1084" s="397" t="str">
        <f>IF(ISBLANK(INDEX('Policy Characteristics'!D:D,MATCH($C1084,'Policy Characteristics'!$C:$C,0))),"",INDEX('Policy Characteristics'!D:D,MATCH($C1084,'Policy Characteristics'!$C:$C,0)))</f>
        <v>Fixed Energy Prices</v>
      </c>
      <c r="K1084" s="394" t="str">
        <f>IF(ISBLANK(INDEX('Policy Characteristics'!E:E,MATCH($C1084,'Policy Characteristics'!$C:$C,0))),"",INDEX('Policy Characteristics'!E:E,MATCH($C1084,'Policy Characteristics'!$C:$C,0)))</f>
        <v>cross toggle whether policies affect energy prices</v>
      </c>
      <c r="L1084" s="394">
        <f>IF(ISBLANK(INDEX('Policy Characteristics'!F:F,MATCH($C1084,'Policy Characteristics'!$C:$C,0))),"",INDEX('Policy Characteristics'!F:F,MATCH($C1084,'Policy Characteristics'!$C:$C,0)))</f>
        <v>0</v>
      </c>
      <c r="M1084" s="394">
        <f>IF(ISBLANK(INDEX('Policy Characteristics'!G:G,MATCH($C1084,'Policy Characteristics'!$C:$C,0))),"",INDEX('Policy Characteristics'!G:G,MATCH($C1084,'Policy Characteristics'!$C:$C,0)))</f>
        <v>1</v>
      </c>
      <c r="N1084" s="394">
        <f>IF(ISBLANK(INDEX('Policy Characteristics'!H:H,MATCH($C1084,'Policy Characteristics'!$C:$C,0))),"",INDEX('Policy Characteristics'!H:H,MATCH($C1084,'Policy Characteristics'!$C:$C,0)))</f>
        <v>1</v>
      </c>
      <c r="O1084" s="394" t="str">
        <f>IF(ISBLANK(INDEX('Policy Characteristics'!I:I,MATCH($C1084,'Policy Characteristics'!$C:$C,0))),"",INDEX('Policy Characteristics'!I:I,MATCH($C1084,'Policy Characteristics'!$C:$C,0)))</f>
        <v>on/off</v>
      </c>
      <c r="P1084" s="394" t="str">
        <f>IF(ISBLANK(INDEX('Policy Characteristics'!J:J,MATCH($C1084,'Policy Characteristics'!$C:$C,0))),"",INDEX('Policy Characteristics'!J:J,MATCH($C1084,'Policy Characteristics'!$C:$C,0)))</f>
        <v>**Description:** By default, policies affect energy prices. Turning on this policy prevents policy from affecting energy prices.</v>
      </c>
      <c r="Q1084" s="394" t="str">
        <f>IF(ISBLANK(INDEX('Policy Characteristics'!K:K,MATCH($C1084,'Policy Characteristics'!$C:$C,0))),"",INDEX('Policy Characteristics'!K:K,MATCH($C1084,'Policy Characteristics'!$C:$C,0)))</f>
        <v/>
      </c>
      <c r="R1084" s="394" t="str">
        <f>IF(ISBLANK(INDEX('Policy Characteristics'!L:L,MATCH($C1084,'Policy Characteristics'!$C:$C,0))),"",INDEX('Policy Characteristics'!L:L,MATCH($C1084,'Policy Characteristics'!$C:$C,0)))</f>
        <v/>
      </c>
    </row>
    <row r="1085" customHeight="1" spans="1:18">
      <c r="A1085" s="394" t="str">
        <f>IF(ISBLANK(INDEX('Policy Characteristics'!A:A,MATCH($C1085,'Policy Characteristics'!$C:$C,0))),"",INDEX('Policy Characteristics'!A:A,MATCH($C1085,'Policy Characteristics'!$C:$C,0)))</f>
        <v>Cross-Sector</v>
      </c>
      <c r="B1085" s="395" t="str">
        <f>IF(ISBLANK(INDEX('Policy Characteristics'!B:B,MATCH($C1085,'Policy Characteristics'!$C:$C,0))),"",INDEX('Policy Characteristics'!B:B,MATCH($C1085,'Policy Characteristics'!$C:$C,0)))</f>
        <v>Fixed Energy Prices</v>
      </c>
      <c r="C1085" s="394" t="str">
        <f t="shared" si="53"/>
        <v>Toggle Whether Policies Affect Energy Prices</v>
      </c>
      <c r="D1085" s="399" t="s">
        <v>858</v>
      </c>
      <c r="E1085" s="399"/>
      <c r="F1085" s="399" t="s">
        <v>859</v>
      </c>
      <c r="G1085" s="399"/>
      <c r="H1085" s="377">
        <v>841</v>
      </c>
      <c r="I1085" s="396" t="s">
        <v>658</v>
      </c>
      <c r="J1085" s="397" t="str">
        <f>IF(ISBLANK(INDEX('Policy Characteristics'!D:D,MATCH($C1085,'Policy Characteristics'!$C:$C,0))),"",INDEX('Policy Characteristics'!D:D,MATCH($C1085,'Policy Characteristics'!$C:$C,0)))</f>
        <v>Fixed Energy Prices</v>
      </c>
      <c r="K1085" s="394" t="str">
        <f>IF(ISBLANK(INDEX('Policy Characteristics'!E:E,MATCH($C1085,'Policy Characteristics'!$C:$C,0))),"",INDEX('Policy Characteristics'!E:E,MATCH($C1085,'Policy Characteristics'!$C:$C,0)))</f>
        <v>cross toggle whether policies affect energy prices</v>
      </c>
      <c r="L1085" s="394">
        <f>IF(ISBLANK(INDEX('Policy Characteristics'!F:F,MATCH($C1085,'Policy Characteristics'!$C:$C,0))),"",INDEX('Policy Characteristics'!F:F,MATCH($C1085,'Policy Characteristics'!$C:$C,0)))</f>
        <v>0</v>
      </c>
      <c r="M1085" s="394">
        <f>IF(ISBLANK(INDEX('Policy Characteristics'!G:G,MATCH($C1085,'Policy Characteristics'!$C:$C,0))),"",INDEX('Policy Characteristics'!G:G,MATCH($C1085,'Policy Characteristics'!$C:$C,0)))</f>
        <v>1</v>
      </c>
      <c r="N1085" s="394">
        <f>IF(ISBLANK(INDEX('Policy Characteristics'!H:H,MATCH($C1085,'Policy Characteristics'!$C:$C,0))),"",INDEX('Policy Characteristics'!H:H,MATCH($C1085,'Policy Characteristics'!$C:$C,0)))</f>
        <v>1</v>
      </c>
      <c r="O1085" s="394" t="str">
        <f>IF(ISBLANK(INDEX('Policy Characteristics'!I:I,MATCH($C1085,'Policy Characteristics'!$C:$C,0))),"",INDEX('Policy Characteristics'!I:I,MATCH($C1085,'Policy Characteristics'!$C:$C,0)))</f>
        <v>on/off</v>
      </c>
      <c r="P1085" s="394" t="str">
        <f>IF(ISBLANK(INDEX('Policy Characteristics'!J:J,MATCH($C1085,'Policy Characteristics'!$C:$C,0))),"",INDEX('Policy Characteristics'!J:J,MATCH($C1085,'Policy Characteristics'!$C:$C,0)))</f>
        <v>**Description:** By default, policies affect energy prices. Turning on this policy prevents policy from affecting energy prices.</v>
      </c>
      <c r="Q1085" s="394" t="str">
        <f>IF(ISBLANK(INDEX('Policy Characteristics'!K:K,MATCH($C1085,'Policy Characteristics'!$C:$C,0))),"",INDEX('Policy Characteristics'!K:K,MATCH($C1085,'Policy Characteristics'!$C:$C,0)))</f>
        <v/>
      </c>
      <c r="R1085" s="394" t="str">
        <f>IF(ISBLANK(INDEX('Policy Characteristics'!L:L,MATCH($C1085,'Policy Characteristics'!$C:$C,0))),"",INDEX('Policy Characteristics'!L:L,MATCH($C1085,'Policy Characteristics'!$C:$C,0)))</f>
        <v/>
      </c>
    </row>
    <row r="1086" customHeight="1" spans="1:18">
      <c r="A1086" s="394" t="str">
        <f>IF(ISBLANK(INDEX('Policy Characteristics'!A:A,MATCH($C1086,'Policy Characteristics'!$C:$C,0))),"",INDEX('Policy Characteristics'!A:A,MATCH($C1086,'Policy Characteristics'!$C:$C,0)))</f>
        <v>Cross-Sector</v>
      </c>
      <c r="B1086" s="395" t="str">
        <f>IF(ISBLANK(INDEX('Policy Characteristics'!B:B,MATCH($C1086,'Policy Characteristics'!$C:$C,0))),"",INDEX('Policy Characteristics'!B:B,MATCH($C1086,'Policy Characteristics'!$C:$C,0)))</f>
        <v>Fixed Energy Prices</v>
      </c>
      <c r="C1086" s="394" t="str">
        <f t="shared" si="53"/>
        <v>Toggle Whether Policies Affect Energy Prices</v>
      </c>
      <c r="D1086" s="399" t="s">
        <v>860</v>
      </c>
      <c r="E1086" s="399"/>
      <c r="F1086" s="399" t="s">
        <v>861</v>
      </c>
      <c r="G1086" s="399"/>
      <c r="H1086" s="377">
        <v>842</v>
      </c>
      <c r="I1086" s="396" t="s">
        <v>658</v>
      </c>
      <c r="J1086" s="397" t="str">
        <f>IF(ISBLANK(INDEX('Policy Characteristics'!D:D,MATCH($C1086,'Policy Characteristics'!$C:$C,0))),"",INDEX('Policy Characteristics'!D:D,MATCH($C1086,'Policy Characteristics'!$C:$C,0)))</f>
        <v>Fixed Energy Prices</v>
      </c>
      <c r="K1086" s="394" t="str">
        <f>IF(ISBLANK(INDEX('Policy Characteristics'!E:E,MATCH($C1086,'Policy Characteristics'!$C:$C,0))),"",INDEX('Policy Characteristics'!E:E,MATCH($C1086,'Policy Characteristics'!$C:$C,0)))</f>
        <v>cross toggle whether policies affect energy prices</v>
      </c>
      <c r="L1086" s="394">
        <f>IF(ISBLANK(INDEX('Policy Characteristics'!F:F,MATCH($C1086,'Policy Characteristics'!$C:$C,0))),"",INDEX('Policy Characteristics'!F:F,MATCH($C1086,'Policy Characteristics'!$C:$C,0)))</f>
        <v>0</v>
      </c>
      <c r="M1086" s="394">
        <f>IF(ISBLANK(INDEX('Policy Characteristics'!G:G,MATCH($C1086,'Policy Characteristics'!$C:$C,0))),"",INDEX('Policy Characteristics'!G:G,MATCH($C1086,'Policy Characteristics'!$C:$C,0)))</f>
        <v>1</v>
      </c>
      <c r="N1086" s="394">
        <f>IF(ISBLANK(INDEX('Policy Characteristics'!H:H,MATCH($C1086,'Policy Characteristics'!$C:$C,0))),"",INDEX('Policy Characteristics'!H:H,MATCH($C1086,'Policy Characteristics'!$C:$C,0)))</f>
        <v>1</v>
      </c>
      <c r="O1086" s="394" t="str">
        <f>IF(ISBLANK(INDEX('Policy Characteristics'!I:I,MATCH($C1086,'Policy Characteristics'!$C:$C,0))),"",INDEX('Policy Characteristics'!I:I,MATCH($C1086,'Policy Characteristics'!$C:$C,0)))</f>
        <v>on/off</v>
      </c>
      <c r="P1086" s="394" t="str">
        <f>IF(ISBLANK(INDEX('Policy Characteristics'!J:J,MATCH($C1086,'Policy Characteristics'!$C:$C,0))),"",INDEX('Policy Characteristics'!J:J,MATCH($C1086,'Policy Characteristics'!$C:$C,0)))</f>
        <v>**Description:** By default, policies affect energy prices. Turning on this policy prevents policy from affecting energy prices.</v>
      </c>
      <c r="Q1086" s="394" t="str">
        <f>IF(ISBLANK(INDEX('Policy Characteristics'!K:K,MATCH($C1086,'Policy Characteristics'!$C:$C,0))),"",INDEX('Policy Characteristics'!K:K,MATCH($C1086,'Policy Characteristics'!$C:$C,0)))</f>
        <v/>
      </c>
      <c r="R1086" s="394" t="str">
        <f>IF(ISBLANK(INDEX('Policy Characteristics'!L:L,MATCH($C1086,'Policy Characteristics'!$C:$C,0))),"",INDEX('Policy Characteristics'!L:L,MATCH($C1086,'Policy Characteristics'!$C:$C,0)))</f>
        <v/>
      </c>
    </row>
    <row r="1087" customHeight="1" spans="1:18">
      <c r="A1087" s="394" t="str">
        <f>IF(ISBLANK(INDEX('Policy Characteristics'!A:A,MATCH($C1087,'Policy Characteristics'!$C:$C,0))),"",INDEX('Policy Characteristics'!A:A,MATCH($C1087,'Policy Characteristics'!$C:$C,0)))</f>
        <v>Cross-Sector</v>
      </c>
      <c r="B1087" s="395" t="str">
        <f>IF(ISBLANK(INDEX('Policy Characteristics'!B:B,MATCH($C1087,'Policy Characteristics'!$C:$C,0))),"",INDEX('Policy Characteristics'!B:B,MATCH($C1087,'Policy Characteristics'!$C:$C,0)))</f>
        <v>Fixed Energy Prices</v>
      </c>
      <c r="C1087" s="394" t="str">
        <f t="shared" si="53"/>
        <v>Toggle Whether Policies Affect Energy Prices</v>
      </c>
      <c r="D1087" s="399" t="s">
        <v>830</v>
      </c>
      <c r="E1087" s="399"/>
      <c r="F1087" s="399" t="s">
        <v>831</v>
      </c>
      <c r="G1087" s="399"/>
      <c r="H1087" s="377">
        <v>843</v>
      </c>
      <c r="I1087" s="396" t="s">
        <v>658</v>
      </c>
      <c r="J1087" s="397" t="str">
        <f>IF(ISBLANK(INDEX('Policy Characteristics'!D:D,MATCH($C1087,'Policy Characteristics'!$C:$C,0))),"",INDEX('Policy Characteristics'!D:D,MATCH($C1087,'Policy Characteristics'!$C:$C,0)))</f>
        <v>Fixed Energy Prices</v>
      </c>
      <c r="K1087" s="394" t="str">
        <f>IF(ISBLANK(INDEX('Policy Characteristics'!E:E,MATCH($C1087,'Policy Characteristics'!$C:$C,0))),"",INDEX('Policy Characteristics'!E:E,MATCH($C1087,'Policy Characteristics'!$C:$C,0)))</f>
        <v>cross toggle whether policies affect energy prices</v>
      </c>
      <c r="L1087" s="394">
        <f>IF(ISBLANK(INDEX('Policy Characteristics'!F:F,MATCH($C1087,'Policy Characteristics'!$C:$C,0))),"",INDEX('Policy Characteristics'!F:F,MATCH($C1087,'Policy Characteristics'!$C:$C,0)))</f>
        <v>0</v>
      </c>
      <c r="M1087" s="394">
        <f>IF(ISBLANK(INDEX('Policy Characteristics'!G:G,MATCH($C1087,'Policy Characteristics'!$C:$C,0))),"",INDEX('Policy Characteristics'!G:G,MATCH($C1087,'Policy Characteristics'!$C:$C,0)))</f>
        <v>1</v>
      </c>
      <c r="N1087" s="394">
        <f>IF(ISBLANK(INDEX('Policy Characteristics'!H:H,MATCH($C1087,'Policy Characteristics'!$C:$C,0))),"",INDEX('Policy Characteristics'!H:H,MATCH($C1087,'Policy Characteristics'!$C:$C,0)))</f>
        <v>1</v>
      </c>
      <c r="O1087" s="394" t="str">
        <f>IF(ISBLANK(INDEX('Policy Characteristics'!I:I,MATCH($C1087,'Policy Characteristics'!$C:$C,0))),"",INDEX('Policy Characteristics'!I:I,MATCH($C1087,'Policy Characteristics'!$C:$C,0)))</f>
        <v>on/off</v>
      </c>
      <c r="P1087" s="394" t="str">
        <f>IF(ISBLANK(INDEX('Policy Characteristics'!J:J,MATCH($C1087,'Policy Characteristics'!$C:$C,0))),"",INDEX('Policy Characteristics'!J:J,MATCH($C1087,'Policy Characteristics'!$C:$C,0)))</f>
        <v>**Description:** By default, policies affect energy prices. Turning on this policy prevents policy from affecting energy prices.</v>
      </c>
      <c r="Q1087" s="394" t="str">
        <f>IF(ISBLANK(INDEX('Policy Characteristics'!K:K,MATCH($C1087,'Policy Characteristics'!$C:$C,0))),"",INDEX('Policy Characteristics'!K:K,MATCH($C1087,'Policy Characteristics'!$C:$C,0)))</f>
        <v/>
      </c>
      <c r="R1087" s="394" t="str">
        <f>IF(ISBLANK(INDEX('Policy Characteristics'!L:L,MATCH($C1087,'Policy Characteristics'!$C:$C,0))),"",INDEX('Policy Characteristics'!L:L,MATCH($C1087,'Policy Characteristics'!$C:$C,0)))</f>
        <v/>
      </c>
    </row>
    <row r="1088" customHeight="1" spans="1:18">
      <c r="A1088" s="394" t="str">
        <f>IF(ISBLANK(INDEX('Policy Characteristics'!A:A,MATCH($C1088,'Policy Characteristics'!$C:$C,0))),"",INDEX('Policy Characteristics'!A:A,MATCH($C1088,'Policy Characteristics'!$C:$C,0)))</f>
        <v>Cross-Sector</v>
      </c>
      <c r="B1088" s="395" t="str">
        <f>IF(ISBLANK(INDEX('Policy Characteristics'!B:B,MATCH($C1088,'Policy Characteristics'!$C:$C,0))),"",INDEX('Policy Characteristics'!B:B,MATCH($C1088,'Policy Characteristics'!$C:$C,0)))</f>
        <v>Fixed Energy Prices</v>
      </c>
      <c r="C1088" s="394" t="str">
        <f t="shared" si="53"/>
        <v>Toggle Whether Policies Affect Energy Prices</v>
      </c>
      <c r="D1088" s="399" t="s">
        <v>832</v>
      </c>
      <c r="E1088" s="399"/>
      <c r="F1088" s="400" t="s">
        <v>724</v>
      </c>
      <c r="G1088" s="399"/>
      <c r="H1088" s="377">
        <v>844</v>
      </c>
      <c r="I1088" s="396" t="s">
        <v>658</v>
      </c>
      <c r="J1088" s="397" t="str">
        <f>IF(ISBLANK(INDEX('Policy Characteristics'!D:D,MATCH($C1088,'Policy Characteristics'!$C:$C,0))),"",INDEX('Policy Characteristics'!D:D,MATCH($C1088,'Policy Characteristics'!$C:$C,0)))</f>
        <v>Fixed Energy Prices</v>
      </c>
      <c r="K1088" s="394" t="str">
        <f>IF(ISBLANK(INDEX('Policy Characteristics'!E:E,MATCH($C1088,'Policy Characteristics'!$C:$C,0))),"",INDEX('Policy Characteristics'!E:E,MATCH($C1088,'Policy Characteristics'!$C:$C,0)))</f>
        <v>cross toggle whether policies affect energy prices</v>
      </c>
      <c r="L1088" s="394">
        <f>IF(ISBLANK(INDEX('Policy Characteristics'!F:F,MATCH($C1088,'Policy Characteristics'!$C:$C,0))),"",INDEX('Policy Characteristics'!F:F,MATCH($C1088,'Policy Characteristics'!$C:$C,0)))</f>
        <v>0</v>
      </c>
      <c r="M1088" s="394">
        <f>IF(ISBLANK(INDEX('Policy Characteristics'!G:G,MATCH($C1088,'Policy Characteristics'!$C:$C,0))),"",INDEX('Policy Characteristics'!G:G,MATCH($C1088,'Policy Characteristics'!$C:$C,0)))</f>
        <v>1</v>
      </c>
      <c r="N1088" s="394">
        <f>IF(ISBLANK(INDEX('Policy Characteristics'!H:H,MATCH($C1088,'Policy Characteristics'!$C:$C,0))),"",INDEX('Policy Characteristics'!H:H,MATCH($C1088,'Policy Characteristics'!$C:$C,0)))</f>
        <v>1</v>
      </c>
      <c r="O1088" s="394" t="str">
        <f>IF(ISBLANK(INDEX('Policy Characteristics'!I:I,MATCH($C1088,'Policy Characteristics'!$C:$C,0))),"",INDEX('Policy Characteristics'!I:I,MATCH($C1088,'Policy Characteristics'!$C:$C,0)))</f>
        <v>on/off</v>
      </c>
      <c r="P1088" s="394" t="str">
        <f>IF(ISBLANK(INDEX('Policy Characteristics'!J:J,MATCH($C1088,'Policy Characteristics'!$C:$C,0))),"",INDEX('Policy Characteristics'!J:J,MATCH($C1088,'Policy Characteristics'!$C:$C,0)))</f>
        <v>**Description:** By default, policies affect energy prices. Turning on this policy prevents policy from affecting energy prices.</v>
      </c>
      <c r="Q1088" s="394" t="str">
        <f>IF(ISBLANK(INDEX('Policy Characteristics'!K:K,MATCH($C1088,'Policy Characteristics'!$C:$C,0))),"",INDEX('Policy Characteristics'!K:K,MATCH($C1088,'Policy Characteristics'!$C:$C,0)))</f>
        <v/>
      </c>
      <c r="R1088" s="394" t="str">
        <f>IF(ISBLANK(INDEX('Policy Characteristics'!L:L,MATCH($C1088,'Policy Characteristics'!$C:$C,0))),"",INDEX('Policy Characteristics'!L:L,MATCH($C1088,'Policy Characteristics'!$C:$C,0)))</f>
        <v/>
      </c>
    </row>
    <row r="1089" customHeight="1" spans="1:18">
      <c r="A1089" s="394" t="str">
        <f>IF(ISBLANK(INDEX('Policy Characteristics'!A:A,MATCH($C1089,'Policy Characteristics'!$C:$C,0))),"",INDEX('Policy Characteristics'!A:A,MATCH($C1089,'Policy Characteristics'!$C:$C,0)))</f>
        <v>Cross-Sector</v>
      </c>
      <c r="B1089" s="395" t="str">
        <f>IF(ISBLANK(INDEX('Policy Characteristics'!B:B,MATCH($C1089,'Policy Characteristics'!$C:$C,0))),"",INDEX('Policy Characteristics'!B:B,MATCH($C1089,'Policy Characteristics'!$C:$C,0)))</f>
        <v>Fixed Energy Prices</v>
      </c>
      <c r="C1089" s="394" t="str">
        <f t="shared" si="53"/>
        <v>Toggle Whether Policies Affect Energy Prices</v>
      </c>
      <c r="D1089" s="399" t="s">
        <v>833</v>
      </c>
      <c r="E1089" s="399"/>
      <c r="F1089" s="399" t="s">
        <v>728</v>
      </c>
      <c r="G1089" s="399"/>
      <c r="H1089" s="377">
        <v>845</v>
      </c>
      <c r="I1089" s="396" t="s">
        <v>658</v>
      </c>
      <c r="J1089" s="397" t="str">
        <f>IF(ISBLANK(INDEX('Policy Characteristics'!D:D,MATCH($C1089,'Policy Characteristics'!$C:$C,0))),"",INDEX('Policy Characteristics'!D:D,MATCH($C1089,'Policy Characteristics'!$C:$C,0)))</f>
        <v>Fixed Energy Prices</v>
      </c>
      <c r="K1089" s="394" t="str">
        <f>IF(ISBLANK(INDEX('Policy Characteristics'!E:E,MATCH($C1089,'Policy Characteristics'!$C:$C,0))),"",INDEX('Policy Characteristics'!E:E,MATCH($C1089,'Policy Characteristics'!$C:$C,0)))</f>
        <v>cross toggle whether policies affect energy prices</v>
      </c>
      <c r="L1089" s="394">
        <f>IF(ISBLANK(INDEX('Policy Characteristics'!F:F,MATCH($C1089,'Policy Characteristics'!$C:$C,0))),"",INDEX('Policy Characteristics'!F:F,MATCH($C1089,'Policy Characteristics'!$C:$C,0)))</f>
        <v>0</v>
      </c>
      <c r="M1089" s="394">
        <f>IF(ISBLANK(INDEX('Policy Characteristics'!G:G,MATCH($C1089,'Policy Characteristics'!$C:$C,0))),"",INDEX('Policy Characteristics'!G:G,MATCH($C1089,'Policy Characteristics'!$C:$C,0)))</f>
        <v>1</v>
      </c>
      <c r="N1089" s="394">
        <f>IF(ISBLANK(INDEX('Policy Characteristics'!H:H,MATCH($C1089,'Policy Characteristics'!$C:$C,0))),"",INDEX('Policy Characteristics'!H:H,MATCH($C1089,'Policy Characteristics'!$C:$C,0)))</f>
        <v>1</v>
      </c>
      <c r="O1089" s="394" t="str">
        <f>IF(ISBLANK(INDEX('Policy Characteristics'!I:I,MATCH($C1089,'Policy Characteristics'!$C:$C,0))),"",INDEX('Policy Characteristics'!I:I,MATCH($C1089,'Policy Characteristics'!$C:$C,0)))</f>
        <v>on/off</v>
      </c>
      <c r="P1089" s="394" t="str">
        <f>IF(ISBLANK(INDEX('Policy Characteristics'!J:J,MATCH($C1089,'Policy Characteristics'!$C:$C,0))),"",INDEX('Policy Characteristics'!J:J,MATCH($C1089,'Policy Characteristics'!$C:$C,0)))</f>
        <v>**Description:** By default, policies affect energy prices. Turning on this policy prevents policy from affecting energy prices.</v>
      </c>
      <c r="Q1089" s="394" t="str">
        <f>IF(ISBLANK(INDEX('Policy Characteristics'!K:K,MATCH($C1089,'Policy Characteristics'!$C:$C,0))),"",INDEX('Policy Characteristics'!K:K,MATCH($C1089,'Policy Characteristics'!$C:$C,0)))</f>
        <v/>
      </c>
      <c r="R1089" s="394" t="str">
        <f>IF(ISBLANK(INDEX('Policy Characteristics'!L:L,MATCH($C1089,'Policy Characteristics'!$C:$C,0))),"",INDEX('Policy Characteristics'!L:L,MATCH($C1089,'Policy Characteristics'!$C:$C,0)))</f>
        <v/>
      </c>
    </row>
    <row r="1090" customHeight="1" spans="1:18">
      <c r="A1090" s="394" t="str">
        <f>IF(ISBLANK(INDEX('Policy Characteristics'!A:A,MATCH($C1090,'Policy Characteristics'!$C:$C,0))),"",INDEX('Policy Characteristics'!A:A,MATCH($C1090,'Policy Characteristics'!$C:$C,0)))</f>
        <v>Cross-Sector</v>
      </c>
      <c r="B1090" s="395" t="str">
        <f>IF(ISBLANK(INDEX('Policy Characteristics'!B:B,MATCH($C1090,'Policy Characteristics'!$C:$C,0))),"",INDEX('Policy Characteristics'!B:B,MATCH($C1090,'Policy Characteristics'!$C:$C,0)))</f>
        <v>Fixed Energy Prices</v>
      </c>
      <c r="C1090" s="394" t="str">
        <f t="shared" si="53"/>
        <v>Toggle Whether Policies Affect Energy Prices</v>
      </c>
      <c r="D1090" s="399" t="s">
        <v>834</v>
      </c>
      <c r="E1090" s="399"/>
      <c r="F1090" s="399" t="s">
        <v>835</v>
      </c>
      <c r="G1090" s="399"/>
      <c r="H1090" s="377">
        <v>846</v>
      </c>
      <c r="I1090" s="396" t="s">
        <v>658</v>
      </c>
      <c r="J1090" s="397" t="str">
        <f>IF(ISBLANK(INDEX('Policy Characteristics'!D:D,MATCH($C1090,'Policy Characteristics'!$C:$C,0))),"",INDEX('Policy Characteristics'!D:D,MATCH($C1090,'Policy Characteristics'!$C:$C,0)))</f>
        <v>Fixed Energy Prices</v>
      </c>
      <c r="K1090" s="394" t="str">
        <f>IF(ISBLANK(INDEX('Policy Characteristics'!E:E,MATCH($C1090,'Policy Characteristics'!$C:$C,0))),"",INDEX('Policy Characteristics'!E:E,MATCH($C1090,'Policy Characteristics'!$C:$C,0)))</f>
        <v>cross toggle whether policies affect energy prices</v>
      </c>
      <c r="L1090" s="394">
        <f>IF(ISBLANK(INDEX('Policy Characteristics'!F:F,MATCH($C1090,'Policy Characteristics'!$C:$C,0))),"",INDEX('Policy Characteristics'!F:F,MATCH($C1090,'Policy Characteristics'!$C:$C,0)))</f>
        <v>0</v>
      </c>
      <c r="M1090" s="394">
        <f>IF(ISBLANK(INDEX('Policy Characteristics'!G:G,MATCH($C1090,'Policy Characteristics'!$C:$C,0))),"",INDEX('Policy Characteristics'!G:G,MATCH($C1090,'Policy Characteristics'!$C:$C,0)))</f>
        <v>1</v>
      </c>
      <c r="N1090" s="394">
        <f>IF(ISBLANK(INDEX('Policy Characteristics'!H:H,MATCH($C1090,'Policy Characteristics'!$C:$C,0))),"",INDEX('Policy Characteristics'!H:H,MATCH($C1090,'Policy Characteristics'!$C:$C,0)))</f>
        <v>1</v>
      </c>
      <c r="O1090" s="394" t="str">
        <f>IF(ISBLANK(INDEX('Policy Characteristics'!I:I,MATCH($C1090,'Policy Characteristics'!$C:$C,0))),"",INDEX('Policy Characteristics'!I:I,MATCH($C1090,'Policy Characteristics'!$C:$C,0)))</f>
        <v>on/off</v>
      </c>
      <c r="P1090" s="394" t="str">
        <f>IF(ISBLANK(INDEX('Policy Characteristics'!J:J,MATCH($C1090,'Policy Characteristics'!$C:$C,0))),"",INDEX('Policy Characteristics'!J:J,MATCH($C1090,'Policy Characteristics'!$C:$C,0)))</f>
        <v>**Description:** By default, policies affect energy prices. Turning on this policy prevents policy from affecting energy prices.</v>
      </c>
      <c r="Q1090" s="394" t="str">
        <f>IF(ISBLANK(INDEX('Policy Characteristics'!K:K,MATCH($C1090,'Policy Characteristics'!$C:$C,0))),"",INDEX('Policy Characteristics'!K:K,MATCH($C1090,'Policy Characteristics'!$C:$C,0)))</f>
        <v/>
      </c>
      <c r="R1090" s="394" t="str">
        <f>IF(ISBLANK(INDEX('Policy Characteristics'!L:L,MATCH($C1090,'Policy Characteristics'!$C:$C,0))),"",INDEX('Policy Characteristics'!L:L,MATCH($C1090,'Policy Characteristics'!$C:$C,0)))</f>
        <v/>
      </c>
    </row>
    <row r="1091" customHeight="1" spans="1:18">
      <c r="A1091" s="394" t="str">
        <f>IF(ISBLANK(INDEX('Policy Characteristics'!A:A,MATCH($C1091,'Policy Characteristics'!$C:$C,0))),"",INDEX('Policy Characteristics'!A:A,MATCH($C1091,'Policy Characteristics'!$C:$C,0)))</f>
        <v>Cross-Sector</v>
      </c>
      <c r="B1091" s="395" t="str">
        <f>IF(ISBLANK(INDEX('Policy Characteristics'!B:B,MATCH($C1091,'Policy Characteristics'!$C:$C,0))),"",INDEX('Policy Characteristics'!B:B,MATCH($C1091,'Policy Characteristics'!$C:$C,0)))</f>
        <v>Fixed Energy Prices</v>
      </c>
      <c r="C1091" s="394" t="str">
        <f t="shared" si="53"/>
        <v>Toggle Whether Policies Affect Energy Prices</v>
      </c>
      <c r="D1091" s="399" t="s">
        <v>836</v>
      </c>
      <c r="E1091" s="399"/>
      <c r="F1091" s="399" t="s">
        <v>837</v>
      </c>
      <c r="G1091" s="399"/>
      <c r="H1091" s="377">
        <v>847</v>
      </c>
      <c r="I1091" s="396" t="s">
        <v>658</v>
      </c>
      <c r="J1091" s="397" t="str">
        <f>IF(ISBLANK(INDEX('Policy Characteristics'!D:D,MATCH($C1091,'Policy Characteristics'!$C:$C,0))),"",INDEX('Policy Characteristics'!D:D,MATCH($C1091,'Policy Characteristics'!$C:$C,0)))</f>
        <v>Fixed Energy Prices</v>
      </c>
      <c r="K1091" s="394" t="str">
        <f>IF(ISBLANK(INDEX('Policy Characteristics'!E:E,MATCH($C1091,'Policy Characteristics'!$C:$C,0))),"",INDEX('Policy Characteristics'!E:E,MATCH($C1091,'Policy Characteristics'!$C:$C,0)))</f>
        <v>cross toggle whether policies affect energy prices</v>
      </c>
      <c r="L1091" s="394">
        <f>IF(ISBLANK(INDEX('Policy Characteristics'!F:F,MATCH($C1091,'Policy Characteristics'!$C:$C,0))),"",INDEX('Policy Characteristics'!F:F,MATCH($C1091,'Policy Characteristics'!$C:$C,0)))</f>
        <v>0</v>
      </c>
      <c r="M1091" s="394">
        <f>IF(ISBLANK(INDEX('Policy Characteristics'!G:G,MATCH($C1091,'Policy Characteristics'!$C:$C,0))),"",INDEX('Policy Characteristics'!G:G,MATCH($C1091,'Policy Characteristics'!$C:$C,0)))</f>
        <v>1</v>
      </c>
      <c r="N1091" s="394">
        <f>IF(ISBLANK(INDEX('Policy Characteristics'!H:H,MATCH($C1091,'Policy Characteristics'!$C:$C,0))),"",INDEX('Policy Characteristics'!H:H,MATCH($C1091,'Policy Characteristics'!$C:$C,0)))</f>
        <v>1</v>
      </c>
      <c r="O1091" s="394" t="str">
        <f>IF(ISBLANK(INDEX('Policy Characteristics'!I:I,MATCH($C1091,'Policy Characteristics'!$C:$C,0))),"",INDEX('Policy Characteristics'!I:I,MATCH($C1091,'Policy Characteristics'!$C:$C,0)))</f>
        <v>on/off</v>
      </c>
      <c r="P1091" s="394" t="str">
        <f>IF(ISBLANK(INDEX('Policy Characteristics'!J:J,MATCH($C1091,'Policy Characteristics'!$C:$C,0))),"",INDEX('Policy Characteristics'!J:J,MATCH($C1091,'Policy Characteristics'!$C:$C,0)))</f>
        <v>**Description:** By default, policies affect energy prices. Turning on this policy prevents policy from affecting energy prices.</v>
      </c>
      <c r="Q1091" s="394" t="str">
        <f>IF(ISBLANK(INDEX('Policy Characteristics'!K:K,MATCH($C1091,'Policy Characteristics'!$C:$C,0))),"",INDEX('Policy Characteristics'!K:K,MATCH($C1091,'Policy Characteristics'!$C:$C,0)))</f>
        <v/>
      </c>
      <c r="R1091" s="394" t="str">
        <f>IF(ISBLANK(INDEX('Policy Characteristics'!L:L,MATCH($C1091,'Policy Characteristics'!$C:$C,0))),"",INDEX('Policy Characteristics'!L:L,MATCH($C1091,'Policy Characteristics'!$C:$C,0)))</f>
        <v/>
      </c>
    </row>
    <row r="1092" customHeight="1" spans="1:18">
      <c r="A1092" s="394" t="str">
        <f>IF(ISBLANK(INDEX('Policy Characteristics'!A:A,MATCH($C1092,'Policy Characteristics'!$C:$C,0))),"",INDEX('Policy Characteristics'!A:A,MATCH($C1092,'Policy Characteristics'!$C:$C,0)))</f>
        <v>Cross-Sector</v>
      </c>
      <c r="B1092" s="395" t="str">
        <f>IF(ISBLANK(INDEX('Policy Characteristics'!B:B,MATCH($C1092,'Policy Characteristics'!$C:$C,0))),"",INDEX('Policy Characteristics'!B:B,MATCH($C1092,'Policy Characteristics'!$C:$C,0)))</f>
        <v>Fuel Price Deregulation</v>
      </c>
      <c r="C1092" t="s">
        <v>550</v>
      </c>
      <c r="D1092" s="399" t="s">
        <v>823</v>
      </c>
      <c r="E1092" s="399"/>
      <c r="F1092" s="399" t="s">
        <v>702</v>
      </c>
      <c r="G1092" s="399"/>
      <c r="H1092" s="377">
        <v>723</v>
      </c>
      <c r="I1092" s="396" t="s">
        <v>658</v>
      </c>
      <c r="J1092" s="397" t="str">
        <f>IF(ISBLANK(INDEX('Policy Characteristics'!D:D,MATCH($C1092,'Policy Characteristics'!$C:$C,0))),"",INDEX('Policy Characteristics'!D:D,MATCH($C1092,'Policy Characteristics'!$C:$C,0)))</f>
        <v>Fuel Price Deregulation</v>
      </c>
      <c r="K1092" s="394" t="str">
        <f>IF(ISBLANK(INDEX('Policy Characteristics'!E:E,MATCH($C1092,'Policy Characteristics'!$C:$C,0))),"",INDEX('Policy Characteristics'!E:E,MATCH($C1092,'Policy Characteristics'!$C:$C,0)))</f>
        <v>cross fuel price deregulation</v>
      </c>
      <c r="L1092" s="398">
        <f>IF(ISBLANK(INDEX('Policy Characteristics'!F:F,MATCH($C1092,'Policy Characteristics'!$C:$C,0))),"",INDEX('Policy Characteristics'!F:F,MATCH($C1092,'Policy Characteristics'!$C:$C,0)))</f>
        <v>0</v>
      </c>
      <c r="M1092" s="398">
        <f>IF(ISBLANK(INDEX('Policy Characteristics'!G:G,MATCH($C1092,'Policy Characteristics'!$C:$C,0))),"",INDEX('Policy Characteristics'!G:G,MATCH($C1092,'Policy Characteristics'!$C:$C,0)))</f>
        <v>1</v>
      </c>
      <c r="N1092" s="398">
        <f>IF(ISBLANK(INDEX('Policy Characteristics'!H:H,MATCH($C1092,'Policy Characteristics'!$C:$C,0))),"",INDEX('Policy Characteristics'!H:H,MATCH($C1092,'Policy Characteristics'!$C:$C,0)))</f>
        <v>0.01</v>
      </c>
      <c r="O1092" s="394" t="str">
        <f>IF(ISBLANK(INDEX('Policy Characteristics'!I:I,MATCH($C1092,'Policy Characteristics'!$C:$C,0))),"",INDEX('Policy Characteristics'!I:I,MATCH($C1092,'Policy Characteristics'!$C:$C,0)))</f>
        <v>% of price deregulated</v>
      </c>
      <c r="P1092" s="394" t="str">
        <f>IF(ISBLANK(INDEX('Policy Characteristics'!J:J,MATCH($C1092,'Policy Characteristics'!$C:$C,0))),"",INDEX('Policy Characteristics'!J:J,MATCH($C1092,'Policy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2" s="394" t="str">
        <f>IF(ISBLANK(INDEX('Policy Characteristics'!K:K,MATCH($C1092,'Policy Characteristics'!$C:$C,0))),"",INDEX('Policy Characteristics'!K:K,MATCH($C1092,'Policy Characteristics'!$C:$C,0)))</f>
        <v>fuels.html#fuel-price-deregulation</v>
      </c>
      <c r="R1092" s="394" t="str">
        <f>IF(ISBLANK(INDEX('Policy Characteristics'!L:L,MATCH($C1092,'Policy Characteristics'!$C:$C,0))),"",INDEX('Policy Characteristics'!L:L,MATCH($C1092,'Policy Characteristics'!$C:$C,0)))</f>
        <v/>
      </c>
    </row>
    <row r="1093" customHeight="1" spans="1:18">
      <c r="A1093" s="394" t="str">
        <f>IF(ISBLANK(INDEX('Policy Characteristics'!A:A,MATCH($C1093,'Policy Characteristics'!$C:$C,0))),"",INDEX('Policy Characteristics'!A:A,MATCH($C1093,'Policy Characteristics'!$C:$C,0)))</f>
        <v>Cross-Sector</v>
      </c>
      <c r="B1093" s="395" t="str">
        <f>IF(ISBLANK(INDEX('Policy Characteristics'!B:B,MATCH($C1093,'Policy Characteristics'!$C:$C,0))),"",INDEX('Policy Characteristics'!B:B,MATCH($C1093,'Policy Characteristics'!$C:$C,0)))</f>
        <v>Fuel Price Deregulation</v>
      </c>
      <c r="C1093" s="394" t="str">
        <f t="shared" ref="C1093:C1106" si="54">C$1092</f>
        <v>Fuel Price Deregulation</v>
      </c>
      <c r="D1093" s="399" t="s">
        <v>824</v>
      </c>
      <c r="E1093" s="399"/>
      <c r="F1093" s="399" t="s">
        <v>825</v>
      </c>
      <c r="G1093" s="399"/>
      <c r="H1093" s="377">
        <v>724</v>
      </c>
      <c r="I1093" s="396" t="s">
        <v>658</v>
      </c>
      <c r="J1093" s="397" t="str">
        <f>IF(ISBLANK(INDEX('Policy Characteristics'!D:D,MATCH($C1093,'Policy Characteristics'!$C:$C,0))),"",INDEX('Policy Characteristics'!D:D,MATCH($C1093,'Policy Characteristics'!$C:$C,0)))</f>
        <v>Fuel Price Deregulation</v>
      </c>
      <c r="K1093" s="394" t="str">
        <f>IF(ISBLANK(INDEX('Policy Characteristics'!E:E,MATCH($C1093,'Policy Characteristics'!$C:$C,0))),"",INDEX('Policy Characteristics'!E:E,MATCH($C1093,'Policy Characteristics'!$C:$C,0)))</f>
        <v>cross fuel price deregulation</v>
      </c>
      <c r="L1093" s="398">
        <f>IF(ISBLANK(INDEX('Policy Characteristics'!F:F,MATCH($C1093,'Policy Characteristics'!$C:$C,0))),"",INDEX('Policy Characteristics'!F:F,MATCH($C1093,'Policy Characteristics'!$C:$C,0)))</f>
        <v>0</v>
      </c>
      <c r="M1093" s="398">
        <f>IF(ISBLANK(INDEX('Policy Characteristics'!G:G,MATCH($C1093,'Policy Characteristics'!$C:$C,0))),"",INDEX('Policy Characteristics'!G:G,MATCH($C1093,'Policy Characteristics'!$C:$C,0)))</f>
        <v>1</v>
      </c>
      <c r="N1093" s="398">
        <f>IF(ISBLANK(INDEX('Policy Characteristics'!H:H,MATCH($C1093,'Policy Characteristics'!$C:$C,0))),"",INDEX('Policy Characteristics'!H:H,MATCH($C1093,'Policy Characteristics'!$C:$C,0)))</f>
        <v>0.01</v>
      </c>
      <c r="O1093" s="394" t="str">
        <f>IF(ISBLANK(INDEX('Policy Characteristics'!I:I,MATCH($C1093,'Policy Characteristics'!$C:$C,0))),"",INDEX('Policy Characteristics'!I:I,MATCH($C1093,'Policy Characteristics'!$C:$C,0)))</f>
        <v>% of price deregulated</v>
      </c>
      <c r="P1093" s="394" t="str">
        <f>IF(ISBLANK(INDEX('Policy Characteristics'!J:J,MATCH($C1093,'Policy Characteristics'!$C:$C,0))),"",INDEX('Policy Characteristics'!J:J,MATCH($C1093,'Policy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3" s="394" t="str">
        <f>IF(ISBLANK(INDEX('Policy Characteristics'!K:K,MATCH($C1093,'Policy Characteristics'!$C:$C,0))),"",INDEX('Policy Characteristics'!K:K,MATCH($C1093,'Policy Characteristics'!$C:$C,0)))</f>
        <v>fuels.html#fuel-price-deregulation</v>
      </c>
      <c r="R1093" s="394" t="str">
        <f>IF(ISBLANK(INDEX('Policy Characteristics'!L:L,MATCH($C1093,'Policy Characteristics'!$C:$C,0))),"",INDEX('Policy Characteristics'!L:L,MATCH($C1093,'Policy Characteristics'!$C:$C,0)))</f>
        <v/>
      </c>
    </row>
    <row r="1094" customHeight="1" spans="1:18">
      <c r="A1094" s="394" t="str">
        <f>IF(ISBLANK(INDEX('Policy Characteristics'!A:A,MATCH($C1094,'Policy Characteristics'!$C:$C,0))),"",INDEX('Policy Characteristics'!A:A,MATCH($C1094,'Policy Characteristics'!$C:$C,0)))</f>
        <v>Cross-Sector</v>
      </c>
      <c r="B1094" s="395" t="str">
        <f>IF(ISBLANK(INDEX('Policy Characteristics'!B:B,MATCH($C1094,'Policy Characteristics'!$C:$C,0))),"",INDEX('Policy Characteristics'!B:B,MATCH($C1094,'Policy Characteristics'!$C:$C,0)))</f>
        <v>Fuel Price Deregulation</v>
      </c>
      <c r="C1094" s="394" t="str">
        <f t="shared" si="54"/>
        <v>Fuel Price Deregulation</v>
      </c>
      <c r="D1094" s="399" t="s">
        <v>852</v>
      </c>
      <c r="E1094" s="399"/>
      <c r="F1094" s="399" t="s">
        <v>706</v>
      </c>
      <c r="G1094" s="399"/>
      <c r="H1094" s="377">
        <v>725</v>
      </c>
      <c r="I1094" s="396" t="s">
        <v>658</v>
      </c>
      <c r="J1094" s="397" t="str">
        <f>IF(ISBLANK(INDEX('Policy Characteristics'!D:D,MATCH($C1094,'Policy Characteristics'!$C:$C,0))),"",INDEX('Policy Characteristics'!D:D,MATCH($C1094,'Policy Characteristics'!$C:$C,0)))</f>
        <v>Fuel Price Deregulation</v>
      </c>
      <c r="K1094" s="394" t="str">
        <f>IF(ISBLANK(INDEX('Policy Characteristics'!E:E,MATCH($C1094,'Policy Characteristics'!$C:$C,0))),"",INDEX('Policy Characteristics'!E:E,MATCH($C1094,'Policy Characteristics'!$C:$C,0)))</f>
        <v>cross fuel price deregulation</v>
      </c>
      <c r="L1094" s="398">
        <f>IF(ISBLANK(INDEX('Policy Characteristics'!F:F,MATCH($C1094,'Policy Characteristics'!$C:$C,0))),"",INDEX('Policy Characteristics'!F:F,MATCH($C1094,'Policy Characteristics'!$C:$C,0)))</f>
        <v>0</v>
      </c>
      <c r="M1094" s="398">
        <f>IF(ISBLANK(INDEX('Policy Characteristics'!G:G,MATCH($C1094,'Policy Characteristics'!$C:$C,0))),"",INDEX('Policy Characteristics'!G:G,MATCH($C1094,'Policy Characteristics'!$C:$C,0)))</f>
        <v>1</v>
      </c>
      <c r="N1094" s="398">
        <f>IF(ISBLANK(INDEX('Policy Characteristics'!H:H,MATCH($C1094,'Policy Characteristics'!$C:$C,0))),"",INDEX('Policy Characteristics'!H:H,MATCH($C1094,'Policy Characteristics'!$C:$C,0)))</f>
        <v>0.01</v>
      </c>
      <c r="O1094" s="394" t="str">
        <f>IF(ISBLANK(INDEX('Policy Characteristics'!I:I,MATCH($C1094,'Policy Characteristics'!$C:$C,0))),"",INDEX('Policy Characteristics'!I:I,MATCH($C1094,'Policy Characteristics'!$C:$C,0)))</f>
        <v>% of price deregulated</v>
      </c>
      <c r="P1094" s="394" t="str">
        <f>IF(ISBLANK(INDEX('Policy Characteristics'!J:J,MATCH($C1094,'Policy Characteristics'!$C:$C,0))),"",INDEX('Policy Characteristics'!J:J,MATCH($C1094,'Policy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4" s="394" t="str">
        <f>IF(ISBLANK(INDEX('Policy Characteristics'!K:K,MATCH($C1094,'Policy Characteristics'!$C:$C,0))),"",INDEX('Policy Characteristics'!K:K,MATCH($C1094,'Policy Characteristics'!$C:$C,0)))</f>
        <v>fuels.html#fuel-price-deregulation</v>
      </c>
      <c r="R1094" s="394" t="str">
        <f>IF(ISBLANK(INDEX('Policy Characteristics'!L:L,MATCH($C1094,'Policy Characteristics'!$C:$C,0))),"",INDEX('Policy Characteristics'!L:L,MATCH($C1094,'Policy Characteristics'!$C:$C,0)))</f>
        <v/>
      </c>
    </row>
    <row r="1095" customHeight="1" spans="1:18">
      <c r="A1095" s="394" t="str">
        <f>IF(ISBLANK(INDEX('Policy Characteristics'!A:A,MATCH($C1095,'Policy Characteristics'!$C:$C,0))),"",INDEX('Policy Characteristics'!A:A,MATCH($C1095,'Policy Characteristics'!$C:$C,0)))</f>
        <v>Cross-Sector</v>
      </c>
      <c r="B1095" s="395" t="str">
        <f>IF(ISBLANK(INDEX('Policy Characteristics'!B:B,MATCH($C1095,'Policy Characteristics'!$C:$C,0))),"",INDEX('Policy Characteristics'!B:B,MATCH($C1095,'Policy Characteristics'!$C:$C,0)))</f>
        <v>Fuel Price Deregulation</v>
      </c>
      <c r="C1095" s="394" t="str">
        <f t="shared" si="54"/>
        <v>Fuel Price Deregulation</v>
      </c>
      <c r="D1095" s="399" t="s">
        <v>857</v>
      </c>
      <c r="E1095" s="399"/>
      <c r="F1095" s="399" t="s">
        <v>716</v>
      </c>
      <c r="G1095" s="399"/>
      <c r="H1095" s="377">
        <v>726</v>
      </c>
      <c r="I1095" s="396" t="s">
        <v>658</v>
      </c>
      <c r="J1095" s="397" t="str">
        <f>IF(ISBLANK(INDEX('Policy Characteristics'!D:D,MATCH($C1095,'Policy Characteristics'!$C:$C,0))),"",INDEX('Policy Characteristics'!D:D,MATCH($C1095,'Policy Characteristics'!$C:$C,0)))</f>
        <v>Fuel Price Deregulation</v>
      </c>
      <c r="K1095" s="394" t="str">
        <f>IF(ISBLANK(INDEX('Policy Characteristics'!E:E,MATCH($C1095,'Policy Characteristics'!$C:$C,0))),"",INDEX('Policy Characteristics'!E:E,MATCH($C1095,'Policy Characteristics'!$C:$C,0)))</f>
        <v>cross fuel price deregulation</v>
      </c>
      <c r="L1095" s="398">
        <f>IF(ISBLANK(INDEX('Policy Characteristics'!F:F,MATCH($C1095,'Policy Characteristics'!$C:$C,0))),"",INDEX('Policy Characteristics'!F:F,MATCH($C1095,'Policy Characteristics'!$C:$C,0)))</f>
        <v>0</v>
      </c>
      <c r="M1095" s="398">
        <f>IF(ISBLANK(INDEX('Policy Characteristics'!G:G,MATCH($C1095,'Policy Characteristics'!$C:$C,0))),"",INDEX('Policy Characteristics'!G:G,MATCH($C1095,'Policy Characteristics'!$C:$C,0)))</f>
        <v>1</v>
      </c>
      <c r="N1095" s="398">
        <f>IF(ISBLANK(INDEX('Policy Characteristics'!H:H,MATCH($C1095,'Policy Characteristics'!$C:$C,0))),"",INDEX('Policy Characteristics'!H:H,MATCH($C1095,'Policy Characteristics'!$C:$C,0)))</f>
        <v>0.01</v>
      </c>
      <c r="O1095" s="394" t="str">
        <f>IF(ISBLANK(INDEX('Policy Characteristics'!I:I,MATCH($C1095,'Policy Characteristics'!$C:$C,0))),"",INDEX('Policy Characteristics'!I:I,MATCH($C1095,'Policy Characteristics'!$C:$C,0)))</f>
        <v>% of price deregulated</v>
      </c>
      <c r="P1095" s="394" t="str">
        <f>IF(ISBLANK(INDEX('Policy Characteristics'!J:J,MATCH($C1095,'Policy Characteristics'!$C:$C,0))),"",INDEX('Policy Characteristics'!J:J,MATCH($C1095,'Policy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5" s="394" t="str">
        <f>IF(ISBLANK(INDEX('Policy Characteristics'!K:K,MATCH($C1095,'Policy Characteristics'!$C:$C,0))),"",INDEX('Policy Characteristics'!K:K,MATCH($C1095,'Policy Characteristics'!$C:$C,0)))</f>
        <v>fuels.html#fuel-price-deregulation</v>
      </c>
      <c r="R1095" s="394" t="str">
        <f>IF(ISBLANK(INDEX('Policy Characteristics'!L:L,MATCH($C1095,'Policy Characteristics'!$C:$C,0))),"",INDEX('Policy Characteristics'!L:L,MATCH($C1095,'Policy Characteristics'!$C:$C,0)))</f>
        <v/>
      </c>
    </row>
    <row r="1096" customHeight="1" spans="1:18">
      <c r="A1096" s="394" t="str">
        <f>IF(ISBLANK(INDEX('Policy Characteristics'!A:A,MATCH($C1096,'Policy Characteristics'!$C:$C,0))),"",INDEX('Policy Characteristics'!A:A,MATCH($C1096,'Policy Characteristics'!$C:$C,0)))</f>
        <v>Cross-Sector</v>
      </c>
      <c r="B1096" s="395" t="str">
        <f>IF(ISBLANK(INDEX('Policy Characteristics'!B:B,MATCH($C1096,'Policy Characteristics'!$C:$C,0))),"",INDEX('Policy Characteristics'!B:B,MATCH($C1096,'Policy Characteristics'!$C:$C,0)))</f>
        <v>Fuel Price Deregulation</v>
      </c>
      <c r="C1096" s="394" t="str">
        <f t="shared" si="54"/>
        <v>Fuel Price Deregulation</v>
      </c>
      <c r="D1096" s="399" t="s">
        <v>826</v>
      </c>
      <c r="E1096" s="399"/>
      <c r="F1096" s="399" t="s">
        <v>827</v>
      </c>
      <c r="G1096" s="399"/>
      <c r="H1096" s="377">
        <v>727</v>
      </c>
      <c r="I1096" s="396" t="s">
        <v>658</v>
      </c>
      <c r="J1096" s="397" t="str">
        <f>IF(ISBLANK(INDEX('Policy Characteristics'!D:D,MATCH($C1096,'Policy Characteristics'!$C:$C,0))),"",INDEX('Policy Characteristics'!D:D,MATCH($C1096,'Policy Characteristics'!$C:$C,0)))</f>
        <v>Fuel Price Deregulation</v>
      </c>
      <c r="K1096" s="394" t="str">
        <f>IF(ISBLANK(INDEX('Policy Characteristics'!E:E,MATCH($C1096,'Policy Characteristics'!$C:$C,0))),"",INDEX('Policy Characteristics'!E:E,MATCH($C1096,'Policy Characteristics'!$C:$C,0)))</f>
        <v>cross fuel price deregulation</v>
      </c>
      <c r="L1096" s="398">
        <f>IF(ISBLANK(INDEX('Policy Characteristics'!F:F,MATCH($C1096,'Policy Characteristics'!$C:$C,0))),"",INDEX('Policy Characteristics'!F:F,MATCH($C1096,'Policy Characteristics'!$C:$C,0)))</f>
        <v>0</v>
      </c>
      <c r="M1096" s="398">
        <f>IF(ISBLANK(INDEX('Policy Characteristics'!G:G,MATCH($C1096,'Policy Characteristics'!$C:$C,0))),"",INDEX('Policy Characteristics'!G:G,MATCH($C1096,'Policy Characteristics'!$C:$C,0)))</f>
        <v>1</v>
      </c>
      <c r="N1096" s="398">
        <f>IF(ISBLANK(INDEX('Policy Characteristics'!H:H,MATCH($C1096,'Policy Characteristics'!$C:$C,0))),"",INDEX('Policy Characteristics'!H:H,MATCH($C1096,'Policy Characteristics'!$C:$C,0)))</f>
        <v>0.01</v>
      </c>
      <c r="O1096" s="394" t="str">
        <f>IF(ISBLANK(INDEX('Policy Characteristics'!I:I,MATCH($C1096,'Policy Characteristics'!$C:$C,0))),"",INDEX('Policy Characteristics'!I:I,MATCH($C1096,'Policy Characteristics'!$C:$C,0)))</f>
        <v>% of price deregulated</v>
      </c>
      <c r="P1096" s="394" t="str">
        <f>IF(ISBLANK(INDEX('Policy Characteristics'!J:J,MATCH($C1096,'Policy Characteristics'!$C:$C,0))),"",INDEX('Policy Characteristics'!J:J,MATCH($C1096,'Policy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6" s="394" t="str">
        <f>IF(ISBLANK(INDEX('Policy Characteristics'!K:K,MATCH($C1096,'Policy Characteristics'!$C:$C,0))),"",INDEX('Policy Characteristics'!K:K,MATCH($C1096,'Policy Characteristics'!$C:$C,0)))</f>
        <v>fuels.html#fuel-price-deregulation</v>
      </c>
      <c r="R1096" s="394" t="str">
        <f>IF(ISBLANK(INDEX('Policy Characteristics'!L:L,MATCH($C1096,'Policy Characteristics'!$C:$C,0))),"",INDEX('Policy Characteristics'!L:L,MATCH($C1096,'Policy Characteristics'!$C:$C,0)))</f>
        <v/>
      </c>
    </row>
    <row r="1097" customHeight="1" spans="1:18">
      <c r="A1097" s="394" t="str">
        <f>IF(ISBLANK(INDEX('Policy Characteristics'!A:A,MATCH($C1097,'Policy Characteristics'!$C:$C,0))),"",INDEX('Policy Characteristics'!A:A,MATCH($C1097,'Policy Characteristics'!$C:$C,0)))</f>
        <v>Cross-Sector</v>
      </c>
      <c r="B1097" s="395" t="str">
        <f>IF(ISBLANK(INDEX('Policy Characteristics'!B:B,MATCH($C1097,'Policy Characteristics'!$C:$C,0))),"",INDEX('Policy Characteristics'!B:B,MATCH($C1097,'Policy Characteristics'!$C:$C,0)))</f>
        <v>Fuel Price Deregulation</v>
      </c>
      <c r="C1097" s="394" t="str">
        <f t="shared" si="54"/>
        <v>Fuel Price Deregulation</v>
      </c>
      <c r="D1097" s="399" t="s">
        <v>828</v>
      </c>
      <c r="E1097" s="399"/>
      <c r="F1097" s="399" t="s">
        <v>829</v>
      </c>
      <c r="G1097" s="399"/>
      <c r="H1097" s="377">
        <v>728</v>
      </c>
      <c r="I1097" s="396" t="s">
        <v>658</v>
      </c>
      <c r="J1097" s="397" t="str">
        <f>IF(ISBLANK(INDEX('Policy Characteristics'!D:D,MATCH($C1097,'Policy Characteristics'!$C:$C,0))),"",INDEX('Policy Characteristics'!D:D,MATCH($C1097,'Policy Characteristics'!$C:$C,0)))</f>
        <v>Fuel Price Deregulation</v>
      </c>
      <c r="K1097" s="394" t="str">
        <f>IF(ISBLANK(INDEX('Policy Characteristics'!E:E,MATCH($C1097,'Policy Characteristics'!$C:$C,0))),"",INDEX('Policy Characteristics'!E:E,MATCH($C1097,'Policy Characteristics'!$C:$C,0)))</f>
        <v>cross fuel price deregulation</v>
      </c>
      <c r="L1097" s="398">
        <f>IF(ISBLANK(INDEX('Policy Characteristics'!F:F,MATCH($C1097,'Policy Characteristics'!$C:$C,0))),"",INDEX('Policy Characteristics'!F:F,MATCH($C1097,'Policy Characteristics'!$C:$C,0)))</f>
        <v>0</v>
      </c>
      <c r="M1097" s="398">
        <f>IF(ISBLANK(INDEX('Policy Characteristics'!G:G,MATCH($C1097,'Policy Characteristics'!$C:$C,0))),"",INDEX('Policy Characteristics'!G:G,MATCH($C1097,'Policy Characteristics'!$C:$C,0)))</f>
        <v>1</v>
      </c>
      <c r="N1097" s="398">
        <f>IF(ISBLANK(INDEX('Policy Characteristics'!H:H,MATCH($C1097,'Policy Characteristics'!$C:$C,0))),"",INDEX('Policy Characteristics'!H:H,MATCH($C1097,'Policy Characteristics'!$C:$C,0)))</f>
        <v>0.01</v>
      </c>
      <c r="O1097" s="394" t="str">
        <f>IF(ISBLANK(INDEX('Policy Characteristics'!I:I,MATCH($C1097,'Policy Characteristics'!$C:$C,0))),"",INDEX('Policy Characteristics'!I:I,MATCH($C1097,'Policy Characteristics'!$C:$C,0)))</f>
        <v>% of price deregulated</v>
      </c>
      <c r="P1097" s="394" t="str">
        <f>IF(ISBLANK(INDEX('Policy Characteristics'!J:J,MATCH($C1097,'Policy Characteristics'!$C:$C,0))),"",INDEX('Policy Characteristics'!J:J,MATCH($C1097,'Policy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7" s="394" t="str">
        <f>IF(ISBLANK(INDEX('Policy Characteristics'!K:K,MATCH($C1097,'Policy Characteristics'!$C:$C,0))),"",INDEX('Policy Characteristics'!K:K,MATCH($C1097,'Policy Characteristics'!$C:$C,0)))</f>
        <v>fuels.html#fuel-price-deregulation</v>
      </c>
      <c r="R1097" s="394" t="str">
        <f>IF(ISBLANK(INDEX('Policy Characteristics'!L:L,MATCH($C1097,'Policy Characteristics'!$C:$C,0))),"",INDEX('Policy Characteristics'!L:L,MATCH($C1097,'Policy Characteristics'!$C:$C,0)))</f>
        <v/>
      </c>
    </row>
    <row r="1098" customHeight="1" spans="1:18">
      <c r="A1098" s="394" t="str">
        <f>IF(ISBLANK(INDEX('Policy Characteristics'!A:A,MATCH($C1098,'Policy Characteristics'!$C:$C,0))),"",INDEX('Policy Characteristics'!A:A,MATCH($C1098,'Policy Characteristics'!$C:$C,0)))</f>
        <v>Cross-Sector</v>
      </c>
      <c r="B1098" s="395" t="str">
        <f>IF(ISBLANK(INDEX('Policy Characteristics'!B:B,MATCH($C1098,'Policy Characteristics'!$C:$C,0))),"",INDEX('Policy Characteristics'!B:B,MATCH($C1098,'Policy Characteristics'!$C:$C,0)))</f>
        <v>Fuel Price Deregulation</v>
      </c>
      <c r="C1098" s="394" t="str">
        <f t="shared" si="54"/>
        <v>Fuel Price Deregulation</v>
      </c>
      <c r="D1098" s="399" t="s">
        <v>858</v>
      </c>
      <c r="E1098" s="399"/>
      <c r="F1098" s="399" t="s">
        <v>859</v>
      </c>
      <c r="G1098" s="399"/>
      <c r="H1098" s="377">
        <v>729</v>
      </c>
      <c r="I1098" s="396" t="s">
        <v>658</v>
      </c>
      <c r="J1098" s="397" t="str">
        <f>IF(ISBLANK(INDEX('Policy Characteristics'!D:D,MATCH($C1098,'Policy Characteristics'!$C:$C,0))),"",INDEX('Policy Characteristics'!D:D,MATCH($C1098,'Policy Characteristics'!$C:$C,0)))</f>
        <v>Fuel Price Deregulation</v>
      </c>
      <c r="K1098" s="394" t="str">
        <f>IF(ISBLANK(INDEX('Policy Characteristics'!E:E,MATCH($C1098,'Policy Characteristics'!$C:$C,0))),"",INDEX('Policy Characteristics'!E:E,MATCH($C1098,'Policy Characteristics'!$C:$C,0)))</f>
        <v>cross fuel price deregulation</v>
      </c>
      <c r="L1098" s="398">
        <f>IF(ISBLANK(INDEX('Policy Characteristics'!F:F,MATCH($C1098,'Policy Characteristics'!$C:$C,0))),"",INDEX('Policy Characteristics'!F:F,MATCH($C1098,'Policy Characteristics'!$C:$C,0)))</f>
        <v>0</v>
      </c>
      <c r="M1098" s="398">
        <f>IF(ISBLANK(INDEX('Policy Characteristics'!G:G,MATCH($C1098,'Policy Characteristics'!$C:$C,0))),"",INDEX('Policy Characteristics'!G:G,MATCH($C1098,'Policy Characteristics'!$C:$C,0)))</f>
        <v>1</v>
      </c>
      <c r="N1098" s="398">
        <f>IF(ISBLANK(INDEX('Policy Characteristics'!H:H,MATCH($C1098,'Policy Characteristics'!$C:$C,0))),"",INDEX('Policy Characteristics'!H:H,MATCH($C1098,'Policy Characteristics'!$C:$C,0)))</f>
        <v>0.01</v>
      </c>
      <c r="O1098" s="394" t="str">
        <f>IF(ISBLANK(INDEX('Policy Characteristics'!I:I,MATCH($C1098,'Policy Characteristics'!$C:$C,0))),"",INDEX('Policy Characteristics'!I:I,MATCH($C1098,'Policy Characteristics'!$C:$C,0)))</f>
        <v>% of price deregulated</v>
      </c>
      <c r="P1098" s="394" t="str">
        <f>IF(ISBLANK(INDEX('Policy Characteristics'!J:J,MATCH($C1098,'Policy Characteristics'!$C:$C,0))),"",INDEX('Policy Characteristics'!J:J,MATCH($C1098,'Policy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8" s="394" t="str">
        <f>IF(ISBLANK(INDEX('Policy Characteristics'!K:K,MATCH($C1098,'Policy Characteristics'!$C:$C,0))),"",INDEX('Policy Characteristics'!K:K,MATCH($C1098,'Policy Characteristics'!$C:$C,0)))</f>
        <v>fuels.html#fuel-price-deregulation</v>
      </c>
      <c r="R1098" s="394" t="str">
        <f>IF(ISBLANK(INDEX('Policy Characteristics'!L:L,MATCH($C1098,'Policy Characteristics'!$C:$C,0))),"",INDEX('Policy Characteristics'!L:L,MATCH($C1098,'Policy Characteristics'!$C:$C,0)))</f>
        <v/>
      </c>
    </row>
    <row r="1099" customHeight="1" spans="1:18">
      <c r="A1099" s="394" t="str">
        <f>IF(ISBLANK(INDEX('Policy Characteristics'!A:A,MATCH($C1099,'Policy Characteristics'!$C:$C,0))),"",INDEX('Policy Characteristics'!A:A,MATCH($C1099,'Policy Characteristics'!$C:$C,0)))</f>
        <v>Cross-Sector</v>
      </c>
      <c r="B1099" s="395" t="str">
        <f>IF(ISBLANK(INDEX('Policy Characteristics'!B:B,MATCH($C1099,'Policy Characteristics'!$C:$C,0))),"",INDEX('Policy Characteristics'!B:B,MATCH($C1099,'Policy Characteristics'!$C:$C,0)))</f>
        <v>Fuel Price Deregulation</v>
      </c>
      <c r="C1099" s="394" t="str">
        <f t="shared" si="54"/>
        <v>Fuel Price Deregulation</v>
      </c>
      <c r="D1099" s="399" t="s">
        <v>860</v>
      </c>
      <c r="E1099" s="399"/>
      <c r="F1099" s="399" t="s">
        <v>861</v>
      </c>
      <c r="G1099" s="399"/>
      <c r="H1099" s="377">
        <v>730</v>
      </c>
      <c r="I1099" s="396" t="s">
        <v>658</v>
      </c>
      <c r="J1099" s="397" t="str">
        <f>IF(ISBLANK(INDEX('Policy Characteristics'!D:D,MATCH($C1099,'Policy Characteristics'!$C:$C,0))),"",INDEX('Policy Characteristics'!D:D,MATCH($C1099,'Policy Characteristics'!$C:$C,0)))</f>
        <v>Fuel Price Deregulation</v>
      </c>
      <c r="K1099" s="394" t="str">
        <f>IF(ISBLANK(INDEX('Policy Characteristics'!E:E,MATCH($C1099,'Policy Characteristics'!$C:$C,0))),"",INDEX('Policy Characteristics'!E:E,MATCH($C1099,'Policy Characteristics'!$C:$C,0)))</f>
        <v>cross fuel price deregulation</v>
      </c>
      <c r="L1099" s="398">
        <f>IF(ISBLANK(INDEX('Policy Characteristics'!F:F,MATCH($C1099,'Policy Characteristics'!$C:$C,0))),"",INDEX('Policy Characteristics'!F:F,MATCH($C1099,'Policy Characteristics'!$C:$C,0)))</f>
        <v>0</v>
      </c>
      <c r="M1099" s="398">
        <f>IF(ISBLANK(INDEX('Policy Characteristics'!G:G,MATCH($C1099,'Policy Characteristics'!$C:$C,0))),"",INDEX('Policy Characteristics'!G:G,MATCH($C1099,'Policy Characteristics'!$C:$C,0)))</f>
        <v>1</v>
      </c>
      <c r="N1099" s="398">
        <f>IF(ISBLANK(INDEX('Policy Characteristics'!H:H,MATCH($C1099,'Policy Characteristics'!$C:$C,0))),"",INDEX('Policy Characteristics'!H:H,MATCH($C1099,'Policy Characteristics'!$C:$C,0)))</f>
        <v>0.01</v>
      </c>
      <c r="O1099" s="394" t="str">
        <f>IF(ISBLANK(INDEX('Policy Characteristics'!I:I,MATCH($C1099,'Policy Characteristics'!$C:$C,0))),"",INDEX('Policy Characteristics'!I:I,MATCH($C1099,'Policy Characteristics'!$C:$C,0)))</f>
        <v>% of price deregulated</v>
      </c>
      <c r="P1099" s="394" t="str">
        <f>IF(ISBLANK(INDEX('Policy Characteristics'!J:J,MATCH($C1099,'Policy Characteristics'!$C:$C,0))),"",INDEX('Policy Characteristics'!J:J,MATCH($C1099,'Policy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9" s="394" t="str">
        <f>IF(ISBLANK(INDEX('Policy Characteristics'!K:K,MATCH($C1099,'Policy Characteristics'!$C:$C,0))),"",INDEX('Policy Characteristics'!K:K,MATCH($C1099,'Policy Characteristics'!$C:$C,0)))</f>
        <v>fuels.html#fuel-price-deregulation</v>
      </c>
      <c r="R1099" s="394" t="str">
        <f>IF(ISBLANK(INDEX('Policy Characteristics'!L:L,MATCH($C1099,'Policy Characteristics'!$C:$C,0))),"",INDEX('Policy Characteristics'!L:L,MATCH($C1099,'Policy Characteristics'!$C:$C,0)))</f>
        <v/>
      </c>
    </row>
    <row r="1100" customHeight="1" spans="1:18">
      <c r="A1100" s="394" t="str">
        <f>IF(ISBLANK(INDEX('Policy Characteristics'!A:A,MATCH($C1100,'Policy Characteristics'!$C:$C,0))),"",INDEX('Policy Characteristics'!A:A,MATCH($C1100,'Policy Characteristics'!$C:$C,0)))</f>
        <v>Cross-Sector</v>
      </c>
      <c r="B1100" s="395" t="str">
        <f>IF(ISBLANK(INDEX('Policy Characteristics'!B:B,MATCH($C1100,'Policy Characteristics'!$C:$C,0))),"",INDEX('Policy Characteristics'!B:B,MATCH($C1100,'Policy Characteristics'!$C:$C,0)))</f>
        <v>Fuel Price Deregulation</v>
      </c>
      <c r="C1100" s="394" t="str">
        <f t="shared" si="54"/>
        <v>Fuel Price Deregulation</v>
      </c>
      <c r="D1100" s="399" t="s">
        <v>830</v>
      </c>
      <c r="E1100" s="399"/>
      <c r="F1100" s="399" t="s">
        <v>831</v>
      </c>
      <c r="G1100" s="399"/>
      <c r="H1100" s="377">
        <v>731</v>
      </c>
      <c r="I1100" s="396" t="s">
        <v>658</v>
      </c>
      <c r="J1100" s="397" t="str">
        <f>IF(ISBLANK(INDEX('Policy Characteristics'!D:D,MATCH($C1100,'Policy Characteristics'!$C:$C,0))),"",INDEX('Policy Characteristics'!D:D,MATCH($C1100,'Policy Characteristics'!$C:$C,0)))</f>
        <v>Fuel Price Deregulation</v>
      </c>
      <c r="K1100" s="394" t="str">
        <f>IF(ISBLANK(INDEX('Policy Characteristics'!E:E,MATCH($C1100,'Policy Characteristics'!$C:$C,0))),"",INDEX('Policy Characteristics'!E:E,MATCH($C1100,'Policy Characteristics'!$C:$C,0)))</f>
        <v>cross fuel price deregulation</v>
      </c>
      <c r="L1100" s="398">
        <f>IF(ISBLANK(INDEX('Policy Characteristics'!F:F,MATCH($C1100,'Policy Characteristics'!$C:$C,0))),"",INDEX('Policy Characteristics'!F:F,MATCH($C1100,'Policy Characteristics'!$C:$C,0)))</f>
        <v>0</v>
      </c>
      <c r="M1100" s="398">
        <f>IF(ISBLANK(INDEX('Policy Characteristics'!G:G,MATCH($C1100,'Policy Characteristics'!$C:$C,0))),"",INDEX('Policy Characteristics'!G:G,MATCH($C1100,'Policy Characteristics'!$C:$C,0)))</f>
        <v>1</v>
      </c>
      <c r="N1100" s="398">
        <f>IF(ISBLANK(INDEX('Policy Characteristics'!H:H,MATCH($C1100,'Policy Characteristics'!$C:$C,0))),"",INDEX('Policy Characteristics'!H:H,MATCH($C1100,'Policy Characteristics'!$C:$C,0)))</f>
        <v>0.01</v>
      </c>
      <c r="O1100" s="394" t="str">
        <f>IF(ISBLANK(INDEX('Policy Characteristics'!I:I,MATCH($C1100,'Policy Characteristics'!$C:$C,0))),"",INDEX('Policy Characteristics'!I:I,MATCH($C1100,'Policy Characteristics'!$C:$C,0)))</f>
        <v>% of price deregulated</v>
      </c>
      <c r="P1100" s="394" t="str">
        <f>IF(ISBLANK(INDEX('Policy Characteristics'!J:J,MATCH($C1100,'Policy Characteristics'!$C:$C,0))),"",INDEX('Policy Characteristics'!J:J,MATCH($C1100,'Policy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0" s="394" t="str">
        <f>IF(ISBLANK(INDEX('Policy Characteristics'!K:K,MATCH($C1100,'Policy Characteristics'!$C:$C,0))),"",INDEX('Policy Characteristics'!K:K,MATCH($C1100,'Policy Characteristics'!$C:$C,0)))</f>
        <v>fuels.html#fuel-price-deregulation</v>
      </c>
      <c r="R1100" s="394" t="str">
        <f>IF(ISBLANK(INDEX('Policy Characteristics'!L:L,MATCH($C1100,'Policy Characteristics'!$C:$C,0))),"",INDEX('Policy Characteristics'!L:L,MATCH($C1100,'Policy Characteristics'!$C:$C,0)))</f>
        <v/>
      </c>
    </row>
    <row r="1101" customHeight="1" spans="1:18">
      <c r="A1101" s="394" t="str">
        <f>IF(ISBLANK(INDEX('Policy Characteristics'!A:A,MATCH($C1101,'Policy Characteristics'!$C:$C,0))),"",INDEX('Policy Characteristics'!A:A,MATCH($C1101,'Policy Characteristics'!$C:$C,0)))</f>
        <v>Cross-Sector</v>
      </c>
      <c r="B1101" s="395" t="str">
        <f>IF(ISBLANK(INDEX('Policy Characteristics'!B:B,MATCH($C1101,'Policy Characteristics'!$C:$C,0))),"",INDEX('Policy Characteristics'!B:B,MATCH($C1101,'Policy Characteristics'!$C:$C,0)))</f>
        <v>Fuel Price Deregulation</v>
      </c>
      <c r="C1101" s="394" t="str">
        <f t="shared" si="54"/>
        <v>Fuel Price Deregulation</v>
      </c>
      <c r="D1101" s="399" t="s">
        <v>832</v>
      </c>
      <c r="E1101" s="399"/>
      <c r="F1101" s="400" t="s">
        <v>724</v>
      </c>
      <c r="G1101" s="399"/>
      <c r="H1101" s="377">
        <v>732</v>
      </c>
      <c r="I1101" s="396" t="s">
        <v>658</v>
      </c>
      <c r="J1101" s="397" t="str">
        <f>IF(ISBLANK(INDEX('Policy Characteristics'!D:D,MATCH($C1101,'Policy Characteristics'!$C:$C,0))),"",INDEX('Policy Characteristics'!D:D,MATCH($C1101,'Policy Characteristics'!$C:$C,0)))</f>
        <v>Fuel Price Deregulation</v>
      </c>
      <c r="K1101" s="394" t="str">
        <f>IF(ISBLANK(INDEX('Policy Characteristics'!E:E,MATCH($C1101,'Policy Characteristics'!$C:$C,0))),"",INDEX('Policy Characteristics'!E:E,MATCH($C1101,'Policy Characteristics'!$C:$C,0)))</f>
        <v>cross fuel price deregulation</v>
      </c>
      <c r="L1101" s="398">
        <f>IF(ISBLANK(INDEX('Policy Characteristics'!F:F,MATCH($C1101,'Policy Characteristics'!$C:$C,0))),"",INDEX('Policy Characteristics'!F:F,MATCH($C1101,'Policy Characteristics'!$C:$C,0)))</f>
        <v>0</v>
      </c>
      <c r="M1101" s="398">
        <f>IF(ISBLANK(INDEX('Policy Characteristics'!G:G,MATCH($C1101,'Policy Characteristics'!$C:$C,0))),"",INDEX('Policy Characteristics'!G:G,MATCH($C1101,'Policy Characteristics'!$C:$C,0)))</f>
        <v>1</v>
      </c>
      <c r="N1101" s="398">
        <f>IF(ISBLANK(INDEX('Policy Characteristics'!H:H,MATCH($C1101,'Policy Characteristics'!$C:$C,0))),"",INDEX('Policy Characteristics'!H:H,MATCH($C1101,'Policy Characteristics'!$C:$C,0)))</f>
        <v>0.01</v>
      </c>
      <c r="O1101" s="394" t="str">
        <f>IF(ISBLANK(INDEX('Policy Characteristics'!I:I,MATCH($C1101,'Policy Characteristics'!$C:$C,0))),"",INDEX('Policy Characteristics'!I:I,MATCH($C1101,'Policy Characteristics'!$C:$C,0)))</f>
        <v>% of price deregulated</v>
      </c>
      <c r="P1101" s="394" t="str">
        <f>IF(ISBLANK(INDEX('Policy Characteristics'!J:J,MATCH($C1101,'Policy Characteristics'!$C:$C,0))),"",INDEX('Policy Characteristics'!J:J,MATCH($C1101,'Policy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1" s="394" t="str">
        <f>IF(ISBLANK(INDEX('Policy Characteristics'!K:K,MATCH($C1101,'Policy Characteristics'!$C:$C,0))),"",INDEX('Policy Characteristics'!K:K,MATCH($C1101,'Policy Characteristics'!$C:$C,0)))</f>
        <v>fuels.html#fuel-price-deregulation</v>
      </c>
      <c r="R1101" s="394" t="str">
        <f>IF(ISBLANK(INDEX('Policy Characteristics'!L:L,MATCH($C1101,'Policy Characteristics'!$C:$C,0))),"",INDEX('Policy Characteristics'!L:L,MATCH($C1101,'Policy Characteristics'!$C:$C,0)))</f>
        <v/>
      </c>
    </row>
    <row r="1102" customHeight="1" spans="1:18">
      <c r="A1102" s="394" t="str">
        <f>IF(ISBLANK(INDEX('Policy Characteristics'!A:A,MATCH($C1102,'Policy Characteristics'!$C:$C,0))),"",INDEX('Policy Characteristics'!A:A,MATCH($C1102,'Policy Characteristics'!$C:$C,0)))</f>
        <v>Cross-Sector</v>
      </c>
      <c r="B1102" s="395" t="str">
        <f>IF(ISBLANK(INDEX('Policy Characteristics'!B:B,MATCH($C1102,'Policy Characteristics'!$C:$C,0))),"",INDEX('Policy Characteristics'!B:B,MATCH($C1102,'Policy Characteristics'!$C:$C,0)))</f>
        <v>Fuel Price Deregulation</v>
      </c>
      <c r="C1102" s="394" t="str">
        <f t="shared" si="54"/>
        <v>Fuel Price Deregulation</v>
      </c>
      <c r="D1102" s="399" t="s">
        <v>833</v>
      </c>
      <c r="E1102" s="399"/>
      <c r="F1102" s="399" t="s">
        <v>728</v>
      </c>
      <c r="G1102" s="399"/>
      <c r="H1102" s="377">
        <v>733</v>
      </c>
      <c r="I1102" s="396" t="s">
        <v>658</v>
      </c>
      <c r="J1102" s="397" t="str">
        <f>IF(ISBLANK(INDEX('Policy Characteristics'!D:D,MATCH($C1102,'Policy Characteristics'!$C:$C,0))),"",INDEX('Policy Characteristics'!D:D,MATCH($C1102,'Policy Characteristics'!$C:$C,0)))</f>
        <v>Fuel Price Deregulation</v>
      </c>
      <c r="K1102" s="394" t="str">
        <f>IF(ISBLANK(INDEX('Policy Characteristics'!E:E,MATCH($C1102,'Policy Characteristics'!$C:$C,0))),"",INDEX('Policy Characteristics'!E:E,MATCH($C1102,'Policy Characteristics'!$C:$C,0)))</f>
        <v>cross fuel price deregulation</v>
      </c>
      <c r="L1102" s="398">
        <f>IF(ISBLANK(INDEX('Policy Characteristics'!F:F,MATCH($C1102,'Policy Characteristics'!$C:$C,0))),"",INDEX('Policy Characteristics'!F:F,MATCH($C1102,'Policy Characteristics'!$C:$C,0)))</f>
        <v>0</v>
      </c>
      <c r="M1102" s="398">
        <f>IF(ISBLANK(INDEX('Policy Characteristics'!G:G,MATCH($C1102,'Policy Characteristics'!$C:$C,0))),"",INDEX('Policy Characteristics'!G:G,MATCH($C1102,'Policy Characteristics'!$C:$C,0)))</f>
        <v>1</v>
      </c>
      <c r="N1102" s="398">
        <f>IF(ISBLANK(INDEX('Policy Characteristics'!H:H,MATCH($C1102,'Policy Characteristics'!$C:$C,0))),"",INDEX('Policy Characteristics'!H:H,MATCH($C1102,'Policy Characteristics'!$C:$C,0)))</f>
        <v>0.01</v>
      </c>
      <c r="O1102" s="394" t="str">
        <f>IF(ISBLANK(INDEX('Policy Characteristics'!I:I,MATCH($C1102,'Policy Characteristics'!$C:$C,0))),"",INDEX('Policy Characteristics'!I:I,MATCH($C1102,'Policy Characteristics'!$C:$C,0)))</f>
        <v>% of price deregulated</v>
      </c>
      <c r="P1102" s="394" t="str">
        <f>IF(ISBLANK(INDEX('Policy Characteristics'!J:J,MATCH($C1102,'Policy Characteristics'!$C:$C,0))),"",INDEX('Policy Characteristics'!J:J,MATCH($C1102,'Policy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2" s="394" t="str">
        <f>IF(ISBLANK(INDEX('Policy Characteristics'!K:K,MATCH($C1102,'Policy Characteristics'!$C:$C,0))),"",INDEX('Policy Characteristics'!K:K,MATCH($C1102,'Policy Characteristics'!$C:$C,0)))</f>
        <v>fuels.html#fuel-price-deregulation</v>
      </c>
      <c r="R1102" s="394" t="str">
        <f>IF(ISBLANK(INDEX('Policy Characteristics'!L:L,MATCH($C1102,'Policy Characteristics'!$C:$C,0))),"",INDEX('Policy Characteristics'!L:L,MATCH($C1102,'Policy Characteristics'!$C:$C,0)))</f>
        <v/>
      </c>
    </row>
    <row r="1103" customHeight="1" spans="1:18">
      <c r="A1103" s="394" t="str">
        <f>IF(ISBLANK(INDEX('Policy Characteristics'!A:A,MATCH($C1103,'Policy Characteristics'!$C:$C,0))),"",INDEX('Policy Characteristics'!A:A,MATCH($C1103,'Policy Characteristics'!$C:$C,0)))</f>
        <v>Cross-Sector</v>
      </c>
      <c r="B1103" s="395" t="str">
        <f>IF(ISBLANK(INDEX('Policy Characteristics'!B:B,MATCH($C1103,'Policy Characteristics'!$C:$C,0))),"",INDEX('Policy Characteristics'!B:B,MATCH($C1103,'Policy Characteristics'!$C:$C,0)))</f>
        <v>Fuel Price Deregulation</v>
      </c>
      <c r="C1103" s="394" t="str">
        <f t="shared" si="54"/>
        <v>Fuel Price Deregulation</v>
      </c>
      <c r="D1103" s="399" t="s">
        <v>834</v>
      </c>
      <c r="E1103" s="399"/>
      <c r="F1103" s="399" t="s">
        <v>835</v>
      </c>
      <c r="G1103" s="399"/>
      <c r="H1103" s="377">
        <v>734</v>
      </c>
      <c r="I1103" s="396" t="s">
        <v>658</v>
      </c>
      <c r="J1103" s="397" t="str">
        <f>IF(ISBLANK(INDEX('Policy Characteristics'!D:D,MATCH($C1103,'Policy Characteristics'!$C:$C,0))),"",INDEX('Policy Characteristics'!D:D,MATCH($C1103,'Policy Characteristics'!$C:$C,0)))</f>
        <v>Fuel Price Deregulation</v>
      </c>
      <c r="K1103" s="394" t="str">
        <f>IF(ISBLANK(INDEX('Policy Characteristics'!E:E,MATCH($C1103,'Policy Characteristics'!$C:$C,0))),"",INDEX('Policy Characteristics'!E:E,MATCH($C1103,'Policy Characteristics'!$C:$C,0)))</f>
        <v>cross fuel price deregulation</v>
      </c>
      <c r="L1103" s="398">
        <f>IF(ISBLANK(INDEX('Policy Characteristics'!F:F,MATCH($C1103,'Policy Characteristics'!$C:$C,0))),"",INDEX('Policy Characteristics'!F:F,MATCH($C1103,'Policy Characteristics'!$C:$C,0)))</f>
        <v>0</v>
      </c>
      <c r="M1103" s="398">
        <f>IF(ISBLANK(INDEX('Policy Characteristics'!G:G,MATCH($C1103,'Policy Characteristics'!$C:$C,0))),"",INDEX('Policy Characteristics'!G:G,MATCH($C1103,'Policy Characteristics'!$C:$C,0)))</f>
        <v>1</v>
      </c>
      <c r="N1103" s="398">
        <f>IF(ISBLANK(INDEX('Policy Characteristics'!H:H,MATCH($C1103,'Policy Characteristics'!$C:$C,0))),"",INDEX('Policy Characteristics'!H:H,MATCH($C1103,'Policy Characteristics'!$C:$C,0)))</f>
        <v>0.01</v>
      </c>
      <c r="O1103" s="394" t="str">
        <f>IF(ISBLANK(INDEX('Policy Characteristics'!I:I,MATCH($C1103,'Policy Characteristics'!$C:$C,0))),"",INDEX('Policy Characteristics'!I:I,MATCH($C1103,'Policy Characteristics'!$C:$C,0)))</f>
        <v>% of price deregulated</v>
      </c>
      <c r="P1103" s="394" t="str">
        <f>IF(ISBLANK(INDEX('Policy Characteristics'!J:J,MATCH($C1103,'Policy Characteristics'!$C:$C,0))),"",INDEX('Policy Characteristics'!J:J,MATCH($C1103,'Policy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3" s="394" t="str">
        <f>IF(ISBLANK(INDEX('Policy Characteristics'!K:K,MATCH($C1103,'Policy Characteristics'!$C:$C,0))),"",INDEX('Policy Characteristics'!K:K,MATCH($C1103,'Policy Characteristics'!$C:$C,0)))</f>
        <v>fuels.html#fuel-price-deregulation</v>
      </c>
      <c r="R1103" s="394" t="str">
        <f>IF(ISBLANK(INDEX('Policy Characteristics'!L:L,MATCH($C1103,'Policy Characteristics'!$C:$C,0))),"",INDEX('Policy Characteristics'!L:L,MATCH($C1103,'Policy Characteristics'!$C:$C,0)))</f>
        <v/>
      </c>
    </row>
    <row r="1104" customHeight="1" spans="1:18">
      <c r="A1104" s="394" t="str">
        <f>IF(ISBLANK(INDEX('Policy Characteristics'!A:A,MATCH($C1104,'Policy Characteristics'!$C:$C,0))),"",INDEX('Policy Characteristics'!A:A,MATCH($C1104,'Policy Characteristics'!$C:$C,0)))</f>
        <v>Cross-Sector</v>
      </c>
      <c r="B1104" s="395" t="str">
        <f>IF(ISBLANK(INDEX('Policy Characteristics'!B:B,MATCH($C1104,'Policy Characteristics'!$C:$C,0))),"",INDEX('Policy Characteristics'!B:B,MATCH($C1104,'Policy Characteristics'!$C:$C,0)))</f>
        <v>Fuel Price Deregulation</v>
      </c>
      <c r="C1104" s="394" t="str">
        <f t="shared" si="54"/>
        <v>Fuel Price Deregulation</v>
      </c>
      <c r="D1104" s="399" t="s">
        <v>836</v>
      </c>
      <c r="E1104" s="399"/>
      <c r="F1104" s="399" t="s">
        <v>837</v>
      </c>
      <c r="G1104" s="399"/>
      <c r="H1104" s="377">
        <v>735</v>
      </c>
      <c r="I1104" s="396" t="s">
        <v>658</v>
      </c>
      <c r="J1104" s="397" t="str">
        <f>IF(ISBLANK(INDEX('Policy Characteristics'!D:D,MATCH($C1104,'Policy Characteristics'!$C:$C,0))),"",INDEX('Policy Characteristics'!D:D,MATCH($C1104,'Policy Characteristics'!$C:$C,0)))</f>
        <v>Fuel Price Deregulation</v>
      </c>
      <c r="K1104" s="394" t="str">
        <f>IF(ISBLANK(INDEX('Policy Characteristics'!E:E,MATCH($C1104,'Policy Characteristics'!$C:$C,0))),"",INDEX('Policy Characteristics'!E:E,MATCH($C1104,'Policy Characteristics'!$C:$C,0)))</f>
        <v>cross fuel price deregulation</v>
      </c>
      <c r="L1104" s="398">
        <f>IF(ISBLANK(INDEX('Policy Characteristics'!F:F,MATCH($C1104,'Policy Characteristics'!$C:$C,0))),"",INDEX('Policy Characteristics'!F:F,MATCH($C1104,'Policy Characteristics'!$C:$C,0)))</f>
        <v>0</v>
      </c>
      <c r="M1104" s="398">
        <f>IF(ISBLANK(INDEX('Policy Characteristics'!G:G,MATCH($C1104,'Policy Characteristics'!$C:$C,0))),"",INDEX('Policy Characteristics'!G:G,MATCH($C1104,'Policy Characteristics'!$C:$C,0)))</f>
        <v>1</v>
      </c>
      <c r="N1104" s="398">
        <f>IF(ISBLANK(INDEX('Policy Characteristics'!H:H,MATCH($C1104,'Policy Characteristics'!$C:$C,0))),"",INDEX('Policy Characteristics'!H:H,MATCH($C1104,'Policy Characteristics'!$C:$C,0)))</f>
        <v>0.01</v>
      </c>
      <c r="O1104" s="394" t="str">
        <f>IF(ISBLANK(INDEX('Policy Characteristics'!I:I,MATCH($C1104,'Policy Characteristics'!$C:$C,0))),"",INDEX('Policy Characteristics'!I:I,MATCH($C1104,'Policy Characteristics'!$C:$C,0)))</f>
        <v>% of price deregulated</v>
      </c>
      <c r="P1104" s="394" t="str">
        <f>IF(ISBLANK(INDEX('Policy Characteristics'!J:J,MATCH($C1104,'Policy Characteristics'!$C:$C,0))),"",INDEX('Policy Characteristics'!J:J,MATCH($C1104,'Policy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4" s="394" t="str">
        <f>IF(ISBLANK(INDEX('Policy Characteristics'!K:K,MATCH($C1104,'Policy Characteristics'!$C:$C,0))),"",INDEX('Policy Characteristics'!K:K,MATCH($C1104,'Policy Characteristics'!$C:$C,0)))</f>
        <v>fuels.html#fuel-price-deregulation</v>
      </c>
      <c r="R1104" s="394" t="str">
        <f>IF(ISBLANK(INDEX('Policy Characteristics'!L:L,MATCH($C1104,'Policy Characteristics'!$C:$C,0))),"",INDEX('Policy Characteristics'!L:L,MATCH($C1104,'Policy Characteristics'!$C:$C,0)))</f>
        <v/>
      </c>
    </row>
    <row r="1105" customHeight="1" spans="1:18">
      <c r="A1105" s="394" t="str">
        <f>IF(ISBLANK(INDEX('Policy Characteristics'!A:A,MATCH($C1105,'Policy Characteristics'!$C:$C,0))),"",INDEX('Policy Characteristics'!A:A,MATCH($C1105,'Policy Characteristics'!$C:$C,0)))</f>
        <v>Cross-Sector</v>
      </c>
      <c r="B1105" s="395" t="str">
        <f>IF(ISBLANK(INDEX('Policy Characteristics'!B:B,MATCH($C1105,'Policy Characteristics'!$C:$C,0))),"",INDEX('Policy Characteristics'!B:B,MATCH($C1105,'Policy Characteristics'!$C:$C,0)))</f>
        <v>Fuel Price Deregulation</v>
      </c>
      <c r="C1105" s="394" t="str">
        <f t="shared" si="54"/>
        <v>Fuel Price Deregulation</v>
      </c>
      <c r="D1105" s="399" t="s">
        <v>865</v>
      </c>
      <c r="E1105" s="399"/>
      <c r="F1105" s="399" t="s">
        <v>732</v>
      </c>
      <c r="G1105" s="399"/>
      <c r="H1105" s="377">
        <v>736</v>
      </c>
      <c r="I1105" s="396" t="s">
        <v>658</v>
      </c>
      <c r="J1105" s="397" t="str">
        <f>IF(ISBLANK(INDEX('Policy Characteristics'!D:D,MATCH($C1105,'Policy Characteristics'!$C:$C,0))),"",INDEX('Policy Characteristics'!D:D,MATCH($C1105,'Policy Characteristics'!$C:$C,0)))</f>
        <v>Fuel Price Deregulation</v>
      </c>
      <c r="K1105" s="394" t="str">
        <f>IF(ISBLANK(INDEX('Policy Characteristics'!E:E,MATCH($C1105,'Policy Characteristics'!$C:$C,0))),"",INDEX('Policy Characteristics'!E:E,MATCH($C1105,'Policy Characteristics'!$C:$C,0)))</f>
        <v>cross fuel price deregulation</v>
      </c>
      <c r="L1105" s="398">
        <f>IF(ISBLANK(INDEX('Policy Characteristics'!F:F,MATCH($C1105,'Policy Characteristics'!$C:$C,0))),"",INDEX('Policy Characteristics'!F:F,MATCH($C1105,'Policy Characteristics'!$C:$C,0)))</f>
        <v>0</v>
      </c>
      <c r="M1105" s="398">
        <f>IF(ISBLANK(INDEX('Policy Characteristics'!G:G,MATCH($C1105,'Policy Characteristics'!$C:$C,0))),"",INDEX('Policy Characteristics'!G:G,MATCH($C1105,'Policy Characteristics'!$C:$C,0)))</f>
        <v>1</v>
      </c>
      <c r="N1105" s="398">
        <f>IF(ISBLANK(INDEX('Policy Characteristics'!H:H,MATCH($C1105,'Policy Characteristics'!$C:$C,0))),"",INDEX('Policy Characteristics'!H:H,MATCH($C1105,'Policy Characteristics'!$C:$C,0)))</f>
        <v>0.01</v>
      </c>
      <c r="O1105" s="394" t="str">
        <f>IF(ISBLANK(INDEX('Policy Characteristics'!I:I,MATCH($C1105,'Policy Characteristics'!$C:$C,0))),"",INDEX('Policy Characteristics'!I:I,MATCH($C1105,'Policy Characteristics'!$C:$C,0)))</f>
        <v>% of price deregulated</v>
      </c>
      <c r="P1105" s="394" t="str">
        <f>IF(ISBLANK(INDEX('Policy Characteristics'!J:J,MATCH($C1105,'Policy Characteristics'!$C:$C,0))),"",INDEX('Policy Characteristics'!J:J,MATCH($C1105,'Policy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5" s="394" t="str">
        <f>IF(ISBLANK(INDEX('Policy Characteristics'!K:K,MATCH($C1105,'Policy Characteristics'!$C:$C,0))),"",INDEX('Policy Characteristics'!K:K,MATCH($C1105,'Policy Characteristics'!$C:$C,0)))</f>
        <v>fuels.html#fuel-price-deregulation</v>
      </c>
      <c r="R1105" s="394" t="str">
        <f>IF(ISBLANK(INDEX('Policy Characteristics'!L:L,MATCH($C1105,'Policy Characteristics'!$C:$C,0))),"",INDEX('Policy Characteristics'!L:L,MATCH($C1105,'Policy Characteristics'!$C:$C,0)))</f>
        <v/>
      </c>
    </row>
    <row r="1106" customHeight="1" spans="1:18">
      <c r="A1106" s="394" t="str">
        <f>IF(ISBLANK(INDEX('Policy Characteristics'!A:A,MATCH($C1106,'Policy Characteristics'!$C:$C,0))),"",INDEX('Policy Characteristics'!A:A,MATCH($C1106,'Policy Characteristics'!$C:$C,0)))</f>
        <v>Cross-Sector</v>
      </c>
      <c r="B1106" s="395" t="str">
        <f>IF(ISBLANK(INDEX('Policy Characteristics'!B:B,MATCH($C1106,'Policy Characteristics'!$C:$C,0))),"",INDEX('Policy Characteristics'!B:B,MATCH($C1106,'Policy Characteristics'!$C:$C,0)))</f>
        <v>Fuel Price Deregulation</v>
      </c>
      <c r="C1106" s="394" t="str">
        <f t="shared" si="54"/>
        <v>Fuel Price Deregulation</v>
      </c>
      <c r="D1106" s="399" t="s">
        <v>866</v>
      </c>
      <c r="E1106" s="399"/>
      <c r="F1106" s="399" t="s">
        <v>867</v>
      </c>
      <c r="G1106" s="399"/>
      <c r="H1106" s="377">
        <v>737</v>
      </c>
      <c r="I1106" s="396" t="s">
        <v>658</v>
      </c>
      <c r="J1106" s="397" t="str">
        <f>IF(ISBLANK(INDEX('Policy Characteristics'!D:D,MATCH($C1106,'Policy Characteristics'!$C:$C,0))),"",INDEX('Policy Characteristics'!D:D,MATCH($C1106,'Policy Characteristics'!$C:$C,0)))</f>
        <v>Fuel Price Deregulation</v>
      </c>
      <c r="K1106" s="394" t="str">
        <f>IF(ISBLANK(INDEX('Policy Characteristics'!E:E,MATCH($C1106,'Policy Characteristics'!$C:$C,0))),"",INDEX('Policy Characteristics'!E:E,MATCH($C1106,'Policy Characteristics'!$C:$C,0)))</f>
        <v>cross fuel price deregulation</v>
      </c>
      <c r="L1106" s="398">
        <f>IF(ISBLANK(INDEX('Policy Characteristics'!F:F,MATCH($C1106,'Policy Characteristics'!$C:$C,0))),"",INDEX('Policy Characteristics'!F:F,MATCH($C1106,'Policy Characteristics'!$C:$C,0)))</f>
        <v>0</v>
      </c>
      <c r="M1106" s="398">
        <f>IF(ISBLANK(INDEX('Policy Characteristics'!G:G,MATCH($C1106,'Policy Characteristics'!$C:$C,0))),"",INDEX('Policy Characteristics'!G:G,MATCH($C1106,'Policy Characteristics'!$C:$C,0)))</f>
        <v>1</v>
      </c>
      <c r="N1106" s="398">
        <f>IF(ISBLANK(INDEX('Policy Characteristics'!H:H,MATCH($C1106,'Policy Characteristics'!$C:$C,0))),"",INDEX('Policy Characteristics'!H:H,MATCH($C1106,'Policy Characteristics'!$C:$C,0)))</f>
        <v>0.01</v>
      </c>
      <c r="O1106" s="394" t="str">
        <f>IF(ISBLANK(INDEX('Policy Characteristics'!I:I,MATCH($C1106,'Policy Characteristics'!$C:$C,0))),"",INDEX('Policy Characteristics'!I:I,MATCH($C1106,'Policy Characteristics'!$C:$C,0)))</f>
        <v>% of price deregulated</v>
      </c>
      <c r="P1106" s="394" t="str">
        <f>IF(ISBLANK(INDEX('Policy Characteristics'!J:J,MATCH($C1106,'Policy Characteristics'!$C:$C,0))),"",INDEX('Policy Characteristics'!J:J,MATCH($C1106,'Policy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6" s="394" t="str">
        <f>IF(ISBLANK(INDEX('Policy Characteristics'!K:K,MATCH($C1106,'Policy Characteristics'!$C:$C,0))),"",INDEX('Policy Characteristics'!K:K,MATCH($C1106,'Policy Characteristics'!$C:$C,0)))</f>
        <v>fuels.html#fuel-price-deregulation</v>
      </c>
      <c r="R1106" s="394" t="str">
        <f>IF(ISBLANK(INDEX('Policy Characteristics'!L:L,MATCH($C1106,'Policy Characteristics'!$C:$C,0))),"",INDEX('Policy Characteristics'!L:L,MATCH($C1106,'Policy Characteristics'!$C:$C,0)))</f>
        <v/>
      </c>
    </row>
    <row r="1107" s="384" customFormat="1" customHeight="1" spans="1:18">
      <c r="A1107" s="394" t="str">
        <f>IF(ISBLANK(INDEX('Policy Characteristics'!A:A,MATCH($C1107,'Policy Characteristics'!$C:$C,0))),"",INDEX('Policy Characteristics'!A:A,MATCH($C1107,'Policy Characteristics'!$C:$C,0)))</f>
        <v>Cross-Sector</v>
      </c>
      <c r="B1107" s="395" t="str">
        <f>IF(ISBLANK(INDEX('Policy Characteristics'!B:B,MATCH($C1107,'Policy Characteristics'!$C:$C,0))),"",INDEX('Policy Characteristics'!B:B,MATCH($C1107,'Policy Characteristics'!$C:$C,0)))</f>
        <v>Fuel Taxes or Subsidies</v>
      </c>
      <c r="C1107" t="s">
        <v>556</v>
      </c>
      <c r="D1107" s="399" t="s">
        <v>850</v>
      </c>
      <c r="E1107" s="399"/>
      <c r="F1107" s="399" t="s">
        <v>851</v>
      </c>
      <c r="G1107" s="399"/>
      <c r="H1107" s="377">
        <v>78</v>
      </c>
      <c r="I1107" s="396" t="s">
        <v>648</v>
      </c>
      <c r="J1107" s="397" t="str">
        <f>IF(ISBLANK(INDEX('Policy Characteristics'!D:D,MATCH($C1107,'Policy Characteristics'!$C:$C,0))),"",INDEX('Policy Characteristics'!D:D,MATCH($C1107,'Policy Characteristics'!$C:$C,0)))</f>
        <v>Fuel Taxes or Subsidies</v>
      </c>
      <c r="K1107" s="394" t="str">
        <f>IF(ISBLANK(INDEX('Policy Characteristics'!E:E,MATCH($C1107,'Policy Characteristics'!$C:$C,0))),"",INDEX('Policy Characteristics'!E:E,MATCH($C1107,'Policy Characteristics'!$C:$C,0)))</f>
        <v>cross fuel tax</v>
      </c>
      <c r="L1107" s="398">
        <f>IF(ISBLANK(INDEX('Policy Characteristics'!F:F,MATCH($C1107,'Policy Characteristics'!$C:$C,0))),"",INDEX('Policy Characteristics'!F:F,MATCH($C1107,'Policy Characteristics'!$C:$C,0)))</f>
        <v>-0.5</v>
      </c>
      <c r="M1107" s="398">
        <f>IF(ISBLANK(INDEX('Policy Characteristics'!G:G,MATCH($C1107,'Policy Characteristics'!$C:$C,0))),"",INDEX('Policy Characteristics'!G:G,MATCH($C1107,'Policy Characteristics'!$C:$C,0)))</f>
        <v>0.5</v>
      </c>
      <c r="N1107" s="398">
        <f>IF(ISBLANK(INDEX('Policy Characteristics'!H:H,MATCH($C1107,'Policy Characteristics'!$C:$C,0))),"",INDEX('Policy Characteristics'!H:H,MATCH($C1107,'Policy Characteristics'!$C:$C,0)))</f>
        <v>0.01</v>
      </c>
      <c r="O1107" s="394" t="str">
        <f>IF(ISBLANK(INDEX('Policy Characteristics'!I:I,MATCH($C1107,'Policy Characteristics'!$C:$C,0))),"",INDEX('Policy Characteristics'!I:I,MATCH($C1107,'Policy Characteristics'!$C:$C,0)))</f>
        <v>% of BAU price</v>
      </c>
      <c r="P1107" s="394" t="str">
        <f>IF(ISBLANK(INDEX('Policy Characteristics'!J:J,MATCH($C1107,'Policy Characteristics'!$C:$C,0))),"",INDEX('Policy Characteristics'!J:J,MATCH($C1107,'Policy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07" s="394" t="str">
        <f>IF(ISBLANK(INDEX('Policy Characteristics'!K:K,MATCH($C1107,'Policy Characteristics'!$C:$C,0))),"",INDEX('Policy Characteristics'!K:K,MATCH($C1107,'Policy Characteristics'!$C:$C,0)))</f>
        <v>fuels.html#fuel-taxes</v>
      </c>
      <c r="R1107" s="394" t="str">
        <f>IF(ISBLANK(INDEX('Policy Characteristics'!L:L,MATCH($C1107,'Policy Characteristics'!$C:$C,0))),"",INDEX('Policy Characteristics'!L:L,MATCH($C1107,'Policy Characteristics'!$C:$C,0)))</f>
        <v>fuel-taxes.html</v>
      </c>
    </row>
    <row r="1108" s="384" customFormat="1" customHeight="1" spans="1:18">
      <c r="A1108" s="394" t="str">
        <f>IF(ISBLANK(INDEX('Policy Characteristics'!A:A,MATCH($C1108,'Policy Characteristics'!$C:$C,0))),"",INDEX('Policy Characteristics'!A:A,MATCH($C1108,'Policy Characteristics'!$C:$C,0)))</f>
        <v>Cross-Sector</v>
      </c>
      <c r="B1108" s="395" t="str">
        <f>IF(ISBLANK(INDEX('Policy Characteristics'!B:B,MATCH($C1108,'Policy Characteristics'!$C:$C,0))),"",INDEX('Policy Characteristics'!B:B,MATCH($C1108,'Policy Characteristics'!$C:$C,0)))</f>
        <v>Fuel Taxes or Subsidies</v>
      </c>
      <c r="C1108" s="404" t="str">
        <f t="shared" ref="C1108:C1120" si="55">C$1107</f>
        <v>Additional Fuel Tax or Subsidy Rate by Fuel</v>
      </c>
      <c r="D1108" s="399" t="s">
        <v>823</v>
      </c>
      <c r="E1108" s="399"/>
      <c r="F1108" s="399" t="s">
        <v>702</v>
      </c>
      <c r="G1108" s="401"/>
      <c r="H1108" s="377">
        <v>79</v>
      </c>
      <c r="I1108" s="396" t="s">
        <v>648</v>
      </c>
      <c r="J1108" s="397" t="str">
        <f>IF(ISBLANK(INDEX('Policy Characteristics'!D:D,MATCH($C1108,'Policy Characteristics'!$C:$C,0))),"",INDEX('Policy Characteristics'!D:D,MATCH($C1108,'Policy Characteristics'!$C:$C,0)))</f>
        <v>Fuel Taxes or Subsidies</v>
      </c>
      <c r="K1108" s="394" t="str">
        <f>IF(ISBLANK(INDEX('Policy Characteristics'!E:E,MATCH($C1108,'Policy Characteristics'!$C:$C,0))),"",INDEX('Policy Characteristics'!E:E,MATCH($C1108,'Policy Characteristics'!$C:$C,0)))</f>
        <v>cross fuel tax</v>
      </c>
      <c r="L1108" s="398">
        <f>IF(ISBLANK(INDEX('Policy Characteristics'!F:F,MATCH($C1108,'Policy Characteristics'!$C:$C,0))),"",INDEX('Policy Characteristics'!F:F,MATCH($C1108,'Policy Characteristics'!$C:$C,0)))</f>
        <v>-0.5</v>
      </c>
      <c r="M1108" s="398">
        <f>IF(ISBLANK(INDEX('Policy Characteristics'!G:G,MATCH($C1108,'Policy Characteristics'!$C:$C,0))),"",INDEX('Policy Characteristics'!G:G,MATCH($C1108,'Policy Characteristics'!$C:$C,0)))</f>
        <v>0.5</v>
      </c>
      <c r="N1108" s="398">
        <f>IF(ISBLANK(INDEX('Policy Characteristics'!H:H,MATCH($C1108,'Policy Characteristics'!$C:$C,0))),"",INDEX('Policy Characteristics'!H:H,MATCH($C1108,'Policy Characteristics'!$C:$C,0)))</f>
        <v>0.01</v>
      </c>
      <c r="O1108" s="394" t="str">
        <f>IF(ISBLANK(INDEX('Policy Characteristics'!I:I,MATCH($C1108,'Policy Characteristics'!$C:$C,0))),"",INDEX('Policy Characteristics'!I:I,MATCH($C1108,'Policy Characteristics'!$C:$C,0)))</f>
        <v>% of BAU price</v>
      </c>
      <c r="P1108" s="394" t="str">
        <f>IF(ISBLANK(INDEX('Policy Characteristics'!J:J,MATCH($C1108,'Policy Characteristics'!$C:$C,0))),"",INDEX('Policy Characteristics'!J:J,MATCH($C1108,'Policy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08" s="394" t="str">
        <f>IF(ISBLANK(INDEX('Policy Characteristics'!K:K,MATCH($C1108,'Policy Characteristics'!$C:$C,0))),"",INDEX('Policy Characteristics'!K:K,MATCH($C1108,'Policy Characteristics'!$C:$C,0)))</f>
        <v>fuels.html#fuel-taxes</v>
      </c>
      <c r="R1108" s="394" t="str">
        <f>IF(ISBLANK(INDEX('Policy Characteristics'!L:L,MATCH($C1108,'Policy Characteristics'!$C:$C,0))),"",INDEX('Policy Characteristics'!L:L,MATCH($C1108,'Policy Characteristics'!$C:$C,0)))</f>
        <v>fuel-taxes.html</v>
      </c>
    </row>
    <row r="1109" s="384" customFormat="1" customHeight="1" spans="1:18">
      <c r="A1109" s="394" t="str">
        <f>IF(ISBLANK(INDEX('Policy Characteristics'!A:A,MATCH($C1109,'Policy Characteristics'!$C:$C,0))),"",INDEX('Policy Characteristics'!A:A,MATCH($C1109,'Policy Characteristics'!$C:$C,0)))</f>
        <v>Cross-Sector</v>
      </c>
      <c r="B1109" s="395" t="str">
        <f>IF(ISBLANK(INDEX('Policy Characteristics'!B:B,MATCH($C1109,'Policy Characteristics'!$C:$C,0))),"",INDEX('Policy Characteristics'!B:B,MATCH($C1109,'Policy Characteristics'!$C:$C,0)))</f>
        <v>Fuel Taxes or Subsidies</v>
      </c>
      <c r="C1109" s="404" t="str">
        <f t="shared" si="55"/>
        <v>Additional Fuel Tax or Subsidy Rate by Fuel</v>
      </c>
      <c r="D1109" s="399" t="s">
        <v>824</v>
      </c>
      <c r="E1109" s="399"/>
      <c r="F1109" s="399" t="s">
        <v>825</v>
      </c>
      <c r="G1109" s="401"/>
      <c r="H1109" s="377">
        <v>80</v>
      </c>
      <c r="I1109" s="396" t="s">
        <v>648</v>
      </c>
      <c r="J1109" s="397" t="str">
        <f>IF(ISBLANK(INDEX('Policy Characteristics'!D:D,MATCH($C1109,'Policy Characteristics'!$C:$C,0))),"",INDEX('Policy Characteristics'!D:D,MATCH($C1109,'Policy Characteristics'!$C:$C,0)))</f>
        <v>Fuel Taxes or Subsidies</v>
      </c>
      <c r="K1109" s="394" t="str">
        <f>IF(ISBLANK(INDEX('Policy Characteristics'!E:E,MATCH($C1109,'Policy Characteristics'!$C:$C,0))),"",INDEX('Policy Characteristics'!E:E,MATCH($C1109,'Policy Characteristics'!$C:$C,0)))</f>
        <v>cross fuel tax</v>
      </c>
      <c r="L1109" s="398">
        <f>IF(ISBLANK(INDEX('Policy Characteristics'!F:F,MATCH($C1109,'Policy Characteristics'!$C:$C,0))),"",INDEX('Policy Characteristics'!F:F,MATCH($C1109,'Policy Characteristics'!$C:$C,0)))</f>
        <v>-0.5</v>
      </c>
      <c r="M1109" s="398">
        <f>IF(ISBLANK(INDEX('Policy Characteristics'!G:G,MATCH($C1109,'Policy Characteristics'!$C:$C,0))),"",INDEX('Policy Characteristics'!G:G,MATCH($C1109,'Policy Characteristics'!$C:$C,0)))</f>
        <v>0.5</v>
      </c>
      <c r="N1109" s="398">
        <f>IF(ISBLANK(INDEX('Policy Characteristics'!H:H,MATCH($C1109,'Policy Characteristics'!$C:$C,0))),"",INDEX('Policy Characteristics'!H:H,MATCH($C1109,'Policy Characteristics'!$C:$C,0)))</f>
        <v>0.01</v>
      </c>
      <c r="O1109" s="394" t="str">
        <f>IF(ISBLANK(INDEX('Policy Characteristics'!I:I,MATCH($C1109,'Policy Characteristics'!$C:$C,0))),"",INDEX('Policy Characteristics'!I:I,MATCH($C1109,'Policy Characteristics'!$C:$C,0)))</f>
        <v>% of BAU price</v>
      </c>
      <c r="P1109" s="394" t="str">
        <f>IF(ISBLANK(INDEX('Policy Characteristics'!J:J,MATCH($C1109,'Policy Characteristics'!$C:$C,0))),"",INDEX('Policy Characteristics'!J:J,MATCH($C1109,'Policy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09" s="394" t="str">
        <f>IF(ISBLANK(INDEX('Policy Characteristics'!K:K,MATCH($C1109,'Policy Characteristics'!$C:$C,0))),"",INDEX('Policy Characteristics'!K:K,MATCH($C1109,'Policy Characteristics'!$C:$C,0)))</f>
        <v>fuels.html#fuel-taxes</v>
      </c>
      <c r="R1109" s="394" t="str">
        <f>IF(ISBLANK(INDEX('Policy Characteristics'!L:L,MATCH($C1109,'Policy Characteristics'!$C:$C,0))),"",INDEX('Policy Characteristics'!L:L,MATCH($C1109,'Policy Characteristics'!$C:$C,0)))</f>
        <v>fuel-taxes.html</v>
      </c>
    </row>
    <row r="1110" s="384" customFormat="1" customHeight="1" spans="1:18">
      <c r="A1110" s="394" t="str">
        <f>IF(ISBLANK(INDEX('Policy Characteristics'!A:A,MATCH($C1110,'Policy Characteristics'!$C:$C,0))),"",INDEX('Policy Characteristics'!A:A,MATCH($C1110,'Policy Characteristics'!$C:$C,0)))</f>
        <v>Cross-Sector</v>
      </c>
      <c r="B1110" s="395" t="str">
        <f>IF(ISBLANK(INDEX('Policy Characteristics'!B:B,MATCH($C1110,'Policy Characteristics'!$C:$C,0))),"",INDEX('Policy Characteristics'!B:B,MATCH($C1110,'Policy Characteristics'!$C:$C,0)))</f>
        <v>Fuel Taxes or Subsidies</v>
      </c>
      <c r="C1110" s="404" t="str">
        <f t="shared" si="55"/>
        <v>Additional Fuel Tax or Subsidy Rate by Fuel</v>
      </c>
      <c r="D1110" s="399" t="s">
        <v>852</v>
      </c>
      <c r="E1110" s="399"/>
      <c r="F1110" s="399" t="s">
        <v>706</v>
      </c>
      <c r="G1110" s="401"/>
      <c r="H1110" s="377">
        <v>738</v>
      </c>
      <c r="I1110" s="396" t="s">
        <v>658</v>
      </c>
      <c r="J1110" s="397" t="str">
        <f>IF(ISBLANK(INDEX('Policy Characteristics'!D:D,MATCH($C1110,'Policy Characteristics'!$C:$C,0))),"",INDEX('Policy Characteristics'!D:D,MATCH($C1110,'Policy Characteristics'!$C:$C,0)))</f>
        <v>Fuel Taxes or Subsidies</v>
      </c>
      <c r="K1110" s="394" t="str">
        <f>IF(ISBLANK(INDEX('Policy Characteristics'!E:E,MATCH($C1110,'Policy Characteristics'!$C:$C,0))),"",INDEX('Policy Characteristics'!E:E,MATCH($C1110,'Policy Characteristics'!$C:$C,0)))</f>
        <v>cross fuel tax</v>
      </c>
      <c r="L1110" s="398">
        <f>IF(ISBLANK(INDEX('Policy Characteristics'!F:F,MATCH($C1110,'Policy Characteristics'!$C:$C,0))),"",INDEX('Policy Characteristics'!F:F,MATCH($C1110,'Policy Characteristics'!$C:$C,0)))</f>
        <v>-0.5</v>
      </c>
      <c r="M1110" s="398">
        <f>IF(ISBLANK(INDEX('Policy Characteristics'!G:G,MATCH($C1110,'Policy Characteristics'!$C:$C,0))),"",INDEX('Policy Characteristics'!G:G,MATCH($C1110,'Policy Characteristics'!$C:$C,0)))</f>
        <v>0.5</v>
      </c>
      <c r="N1110" s="398">
        <f>IF(ISBLANK(INDEX('Policy Characteristics'!H:H,MATCH($C1110,'Policy Characteristics'!$C:$C,0))),"",INDEX('Policy Characteristics'!H:H,MATCH($C1110,'Policy Characteristics'!$C:$C,0)))</f>
        <v>0.01</v>
      </c>
      <c r="O1110" s="394" t="str">
        <f>IF(ISBLANK(INDEX('Policy Characteristics'!I:I,MATCH($C1110,'Policy Characteristics'!$C:$C,0))),"",INDEX('Policy Characteristics'!I:I,MATCH($C1110,'Policy Characteristics'!$C:$C,0)))</f>
        <v>% of BAU price</v>
      </c>
      <c r="P1110" s="394" t="str">
        <f>IF(ISBLANK(INDEX('Policy Characteristics'!J:J,MATCH($C1110,'Policy Characteristics'!$C:$C,0))),"",INDEX('Policy Characteristics'!J:J,MATCH($C1110,'Policy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0" s="394" t="str">
        <f>IF(ISBLANK(INDEX('Policy Characteristics'!K:K,MATCH($C1110,'Policy Characteristics'!$C:$C,0))),"",INDEX('Policy Characteristics'!K:K,MATCH($C1110,'Policy Characteristics'!$C:$C,0)))</f>
        <v>fuels.html#fuel-taxes</v>
      </c>
      <c r="R1110" s="394" t="str">
        <f>IF(ISBLANK(INDEX('Policy Characteristics'!L:L,MATCH($C1110,'Policy Characteristics'!$C:$C,0))),"",INDEX('Policy Characteristics'!L:L,MATCH($C1110,'Policy Characteristics'!$C:$C,0)))</f>
        <v>fuel-taxes.html</v>
      </c>
    </row>
    <row r="1111" s="384" customFormat="1" customHeight="1" spans="1:18">
      <c r="A1111" s="394" t="str">
        <f>IF(ISBLANK(INDEX('Policy Characteristics'!A:A,MATCH($C1111,'Policy Characteristics'!$C:$C,0))),"",INDEX('Policy Characteristics'!A:A,MATCH($C1111,'Policy Characteristics'!$C:$C,0)))</f>
        <v>Cross-Sector</v>
      </c>
      <c r="B1111" s="395" t="str">
        <f>IF(ISBLANK(INDEX('Policy Characteristics'!B:B,MATCH($C1111,'Policy Characteristics'!$C:$C,0))),"",INDEX('Policy Characteristics'!B:B,MATCH($C1111,'Policy Characteristics'!$C:$C,0)))</f>
        <v>Fuel Taxes or Subsidies</v>
      </c>
      <c r="C1111" s="404" t="str">
        <f t="shared" si="55"/>
        <v>Additional Fuel Tax or Subsidy Rate by Fuel</v>
      </c>
      <c r="D1111" s="399" t="s">
        <v>857</v>
      </c>
      <c r="E1111" s="399"/>
      <c r="F1111" s="399" t="s">
        <v>716</v>
      </c>
      <c r="G1111" s="401"/>
      <c r="H1111" s="377">
        <v>739</v>
      </c>
      <c r="I1111" s="396" t="s">
        <v>658</v>
      </c>
      <c r="J1111" s="397" t="str">
        <f>IF(ISBLANK(INDEX('Policy Characteristics'!D:D,MATCH($C1111,'Policy Characteristics'!$C:$C,0))),"",INDEX('Policy Characteristics'!D:D,MATCH($C1111,'Policy Characteristics'!$C:$C,0)))</f>
        <v>Fuel Taxes or Subsidies</v>
      </c>
      <c r="K1111" s="394" t="str">
        <f>IF(ISBLANK(INDEX('Policy Characteristics'!E:E,MATCH($C1111,'Policy Characteristics'!$C:$C,0))),"",INDEX('Policy Characteristics'!E:E,MATCH($C1111,'Policy Characteristics'!$C:$C,0)))</f>
        <v>cross fuel tax</v>
      </c>
      <c r="L1111" s="398">
        <f>IF(ISBLANK(INDEX('Policy Characteristics'!F:F,MATCH($C1111,'Policy Characteristics'!$C:$C,0))),"",INDEX('Policy Characteristics'!F:F,MATCH($C1111,'Policy Characteristics'!$C:$C,0)))</f>
        <v>-0.5</v>
      </c>
      <c r="M1111" s="398">
        <f>IF(ISBLANK(INDEX('Policy Characteristics'!G:G,MATCH($C1111,'Policy Characteristics'!$C:$C,0))),"",INDEX('Policy Characteristics'!G:G,MATCH($C1111,'Policy Characteristics'!$C:$C,0)))</f>
        <v>0.5</v>
      </c>
      <c r="N1111" s="398">
        <f>IF(ISBLANK(INDEX('Policy Characteristics'!H:H,MATCH($C1111,'Policy Characteristics'!$C:$C,0))),"",INDEX('Policy Characteristics'!H:H,MATCH($C1111,'Policy Characteristics'!$C:$C,0)))</f>
        <v>0.01</v>
      </c>
      <c r="O1111" s="394" t="str">
        <f>IF(ISBLANK(INDEX('Policy Characteristics'!I:I,MATCH($C1111,'Policy Characteristics'!$C:$C,0))),"",INDEX('Policy Characteristics'!I:I,MATCH($C1111,'Policy Characteristics'!$C:$C,0)))</f>
        <v>% of BAU price</v>
      </c>
      <c r="P1111" s="394" t="str">
        <f>IF(ISBLANK(INDEX('Policy Characteristics'!J:J,MATCH($C1111,'Policy Characteristics'!$C:$C,0))),"",INDEX('Policy Characteristics'!J:J,MATCH($C1111,'Policy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1" s="394" t="str">
        <f>IF(ISBLANK(INDEX('Policy Characteristics'!K:K,MATCH($C1111,'Policy Characteristics'!$C:$C,0))),"",INDEX('Policy Characteristics'!K:K,MATCH($C1111,'Policy Characteristics'!$C:$C,0)))</f>
        <v>fuels.html#fuel-taxes</v>
      </c>
      <c r="R1111" s="394" t="str">
        <f>IF(ISBLANK(INDEX('Policy Characteristics'!L:L,MATCH($C1111,'Policy Characteristics'!$C:$C,0))),"",INDEX('Policy Characteristics'!L:L,MATCH($C1111,'Policy Characteristics'!$C:$C,0)))</f>
        <v>fuel-taxes.html</v>
      </c>
    </row>
    <row r="1112" s="384" customFormat="1" customHeight="1" spans="1:18">
      <c r="A1112" s="394" t="str">
        <f>IF(ISBLANK(INDEX('Policy Characteristics'!A:A,MATCH($C1112,'Policy Characteristics'!$C:$C,0))),"",INDEX('Policy Characteristics'!A:A,MATCH($C1112,'Policy Characteristics'!$C:$C,0)))</f>
        <v>Cross-Sector</v>
      </c>
      <c r="B1112" s="395" t="str">
        <f>IF(ISBLANK(INDEX('Policy Characteristics'!B:B,MATCH($C1112,'Policy Characteristics'!$C:$C,0))),"",INDEX('Policy Characteristics'!B:B,MATCH($C1112,'Policy Characteristics'!$C:$C,0)))</f>
        <v>Fuel Taxes or Subsidies</v>
      </c>
      <c r="C1112" s="404" t="str">
        <f t="shared" si="55"/>
        <v>Additional Fuel Tax or Subsidy Rate by Fuel</v>
      </c>
      <c r="D1112" s="399" t="s">
        <v>826</v>
      </c>
      <c r="E1112" s="399"/>
      <c r="F1112" s="399" t="s">
        <v>827</v>
      </c>
      <c r="G1112" s="401"/>
      <c r="H1112" s="377">
        <v>81</v>
      </c>
      <c r="I1112" s="396" t="s">
        <v>648</v>
      </c>
      <c r="J1112" s="397" t="str">
        <f>IF(ISBLANK(INDEX('Policy Characteristics'!D:D,MATCH($C1112,'Policy Characteristics'!$C:$C,0))),"",INDEX('Policy Characteristics'!D:D,MATCH($C1112,'Policy Characteristics'!$C:$C,0)))</f>
        <v>Fuel Taxes or Subsidies</v>
      </c>
      <c r="K1112" s="394" t="str">
        <f>IF(ISBLANK(INDEX('Policy Characteristics'!E:E,MATCH($C1112,'Policy Characteristics'!$C:$C,0))),"",INDEX('Policy Characteristics'!E:E,MATCH($C1112,'Policy Characteristics'!$C:$C,0)))</f>
        <v>cross fuel tax</v>
      </c>
      <c r="L1112" s="398">
        <f>IF(ISBLANK(INDEX('Policy Characteristics'!F:F,MATCH($C1112,'Policy Characteristics'!$C:$C,0))),"",INDEX('Policy Characteristics'!F:F,MATCH($C1112,'Policy Characteristics'!$C:$C,0)))</f>
        <v>-0.5</v>
      </c>
      <c r="M1112" s="398">
        <f>IF(ISBLANK(INDEX('Policy Characteristics'!G:G,MATCH($C1112,'Policy Characteristics'!$C:$C,0))),"",INDEX('Policy Characteristics'!G:G,MATCH($C1112,'Policy Characteristics'!$C:$C,0)))</f>
        <v>0.5</v>
      </c>
      <c r="N1112" s="398">
        <f>IF(ISBLANK(INDEX('Policy Characteristics'!H:H,MATCH($C1112,'Policy Characteristics'!$C:$C,0))),"",INDEX('Policy Characteristics'!H:H,MATCH($C1112,'Policy Characteristics'!$C:$C,0)))</f>
        <v>0.01</v>
      </c>
      <c r="O1112" s="394" t="str">
        <f>IF(ISBLANK(INDEX('Policy Characteristics'!I:I,MATCH($C1112,'Policy Characteristics'!$C:$C,0))),"",INDEX('Policy Characteristics'!I:I,MATCH($C1112,'Policy Characteristics'!$C:$C,0)))</f>
        <v>% of BAU price</v>
      </c>
      <c r="P1112" s="394" t="str">
        <f>IF(ISBLANK(INDEX('Policy Characteristics'!J:J,MATCH($C1112,'Policy Characteristics'!$C:$C,0))),"",INDEX('Policy Characteristics'!J:J,MATCH($C1112,'Policy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2" s="394" t="str">
        <f>IF(ISBLANK(INDEX('Policy Characteristics'!K:K,MATCH($C1112,'Policy Characteristics'!$C:$C,0))),"",INDEX('Policy Characteristics'!K:K,MATCH($C1112,'Policy Characteristics'!$C:$C,0)))</f>
        <v>fuels.html#fuel-taxes</v>
      </c>
      <c r="R1112" s="394" t="str">
        <f>IF(ISBLANK(INDEX('Policy Characteristics'!L:L,MATCH($C1112,'Policy Characteristics'!$C:$C,0))),"",INDEX('Policy Characteristics'!L:L,MATCH($C1112,'Policy Characteristics'!$C:$C,0)))</f>
        <v>fuel-taxes.html</v>
      </c>
    </row>
    <row r="1113" s="384" customFormat="1" customHeight="1" spans="1:18">
      <c r="A1113" s="394" t="str">
        <f>IF(ISBLANK(INDEX('Policy Characteristics'!A:A,MATCH($C1113,'Policy Characteristics'!$C:$C,0))),"",INDEX('Policy Characteristics'!A:A,MATCH($C1113,'Policy Characteristics'!$C:$C,0)))</f>
        <v>Cross-Sector</v>
      </c>
      <c r="B1113" s="395" t="str">
        <f>IF(ISBLANK(INDEX('Policy Characteristics'!B:B,MATCH($C1113,'Policy Characteristics'!$C:$C,0))),"",INDEX('Policy Characteristics'!B:B,MATCH($C1113,'Policy Characteristics'!$C:$C,0)))</f>
        <v>Fuel Taxes or Subsidies</v>
      </c>
      <c r="C1113" s="404" t="str">
        <f t="shared" si="55"/>
        <v>Additional Fuel Tax or Subsidy Rate by Fuel</v>
      </c>
      <c r="D1113" s="399" t="s">
        <v>828</v>
      </c>
      <c r="E1113" s="399"/>
      <c r="F1113" s="399" t="s">
        <v>829</v>
      </c>
      <c r="G1113" s="401"/>
      <c r="H1113" s="377">
        <v>82</v>
      </c>
      <c r="I1113" s="396" t="s">
        <v>648</v>
      </c>
      <c r="J1113" s="397" t="str">
        <f>IF(ISBLANK(INDEX('Policy Characteristics'!D:D,MATCH($C1113,'Policy Characteristics'!$C:$C,0))),"",INDEX('Policy Characteristics'!D:D,MATCH($C1113,'Policy Characteristics'!$C:$C,0)))</f>
        <v>Fuel Taxes or Subsidies</v>
      </c>
      <c r="K1113" s="394" t="str">
        <f>IF(ISBLANK(INDEX('Policy Characteristics'!E:E,MATCH($C1113,'Policy Characteristics'!$C:$C,0))),"",INDEX('Policy Characteristics'!E:E,MATCH($C1113,'Policy Characteristics'!$C:$C,0)))</f>
        <v>cross fuel tax</v>
      </c>
      <c r="L1113" s="398">
        <f>IF(ISBLANK(INDEX('Policy Characteristics'!F:F,MATCH($C1113,'Policy Characteristics'!$C:$C,0))),"",INDEX('Policy Characteristics'!F:F,MATCH($C1113,'Policy Characteristics'!$C:$C,0)))</f>
        <v>-0.5</v>
      </c>
      <c r="M1113" s="398">
        <f>IF(ISBLANK(INDEX('Policy Characteristics'!G:G,MATCH($C1113,'Policy Characteristics'!$C:$C,0))),"",INDEX('Policy Characteristics'!G:G,MATCH($C1113,'Policy Characteristics'!$C:$C,0)))</f>
        <v>0.5</v>
      </c>
      <c r="N1113" s="398">
        <f>IF(ISBLANK(INDEX('Policy Characteristics'!H:H,MATCH($C1113,'Policy Characteristics'!$C:$C,0))),"",INDEX('Policy Characteristics'!H:H,MATCH($C1113,'Policy Characteristics'!$C:$C,0)))</f>
        <v>0.01</v>
      </c>
      <c r="O1113" s="394" t="str">
        <f>IF(ISBLANK(INDEX('Policy Characteristics'!I:I,MATCH($C1113,'Policy Characteristics'!$C:$C,0))),"",INDEX('Policy Characteristics'!I:I,MATCH($C1113,'Policy Characteristics'!$C:$C,0)))</f>
        <v>% of BAU price</v>
      </c>
      <c r="P1113" s="394" t="str">
        <f>IF(ISBLANK(INDEX('Policy Characteristics'!J:J,MATCH($C1113,'Policy Characteristics'!$C:$C,0))),"",INDEX('Policy Characteristics'!J:J,MATCH($C1113,'Policy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3" s="394" t="str">
        <f>IF(ISBLANK(INDEX('Policy Characteristics'!K:K,MATCH($C1113,'Policy Characteristics'!$C:$C,0))),"",INDEX('Policy Characteristics'!K:K,MATCH($C1113,'Policy Characteristics'!$C:$C,0)))</f>
        <v>fuels.html#fuel-taxes</v>
      </c>
      <c r="R1113" s="394" t="str">
        <f>IF(ISBLANK(INDEX('Policy Characteristics'!L:L,MATCH($C1113,'Policy Characteristics'!$C:$C,0))),"",INDEX('Policy Characteristics'!L:L,MATCH($C1113,'Policy Characteristics'!$C:$C,0)))</f>
        <v>fuel-taxes.html</v>
      </c>
    </row>
    <row r="1114" s="384" customFormat="1" customHeight="1" spans="1:18">
      <c r="A1114" s="394" t="str">
        <f>IF(ISBLANK(INDEX('Policy Characteristics'!A:A,MATCH($C1114,'Policy Characteristics'!$C:$C,0))),"",INDEX('Policy Characteristics'!A:A,MATCH($C1114,'Policy Characteristics'!$C:$C,0)))</f>
        <v>Cross-Sector</v>
      </c>
      <c r="B1114" s="395" t="str">
        <f>IF(ISBLANK(INDEX('Policy Characteristics'!B:B,MATCH($C1114,'Policy Characteristics'!$C:$C,0))),"",INDEX('Policy Characteristics'!B:B,MATCH($C1114,'Policy Characteristics'!$C:$C,0)))</f>
        <v>Fuel Taxes or Subsidies</v>
      </c>
      <c r="C1114" s="404" t="str">
        <f t="shared" si="55"/>
        <v>Additional Fuel Tax or Subsidy Rate by Fuel</v>
      </c>
      <c r="D1114" s="399" t="s">
        <v>858</v>
      </c>
      <c r="E1114" s="399"/>
      <c r="F1114" s="399" t="s">
        <v>859</v>
      </c>
      <c r="G1114" s="401"/>
      <c r="H1114" s="377">
        <v>740</v>
      </c>
      <c r="I1114" s="396" t="s">
        <v>658</v>
      </c>
      <c r="J1114" s="397" t="str">
        <f>IF(ISBLANK(INDEX('Policy Characteristics'!D:D,MATCH($C1114,'Policy Characteristics'!$C:$C,0))),"",INDEX('Policy Characteristics'!D:D,MATCH($C1114,'Policy Characteristics'!$C:$C,0)))</f>
        <v>Fuel Taxes or Subsidies</v>
      </c>
      <c r="K1114" s="394" t="str">
        <f>IF(ISBLANK(INDEX('Policy Characteristics'!E:E,MATCH($C1114,'Policy Characteristics'!$C:$C,0))),"",INDEX('Policy Characteristics'!E:E,MATCH($C1114,'Policy Characteristics'!$C:$C,0)))</f>
        <v>cross fuel tax</v>
      </c>
      <c r="L1114" s="398">
        <f>IF(ISBLANK(INDEX('Policy Characteristics'!F:F,MATCH($C1114,'Policy Characteristics'!$C:$C,0))),"",INDEX('Policy Characteristics'!F:F,MATCH($C1114,'Policy Characteristics'!$C:$C,0)))</f>
        <v>-0.5</v>
      </c>
      <c r="M1114" s="398">
        <f>IF(ISBLANK(INDEX('Policy Characteristics'!G:G,MATCH($C1114,'Policy Characteristics'!$C:$C,0))),"",INDEX('Policy Characteristics'!G:G,MATCH($C1114,'Policy Characteristics'!$C:$C,0)))</f>
        <v>0.5</v>
      </c>
      <c r="N1114" s="398">
        <f>IF(ISBLANK(INDEX('Policy Characteristics'!H:H,MATCH($C1114,'Policy Characteristics'!$C:$C,0))),"",INDEX('Policy Characteristics'!H:H,MATCH($C1114,'Policy Characteristics'!$C:$C,0)))</f>
        <v>0.01</v>
      </c>
      <c r="O1114" s="394" t="str">
        <f>IF(ISBLANK(INDEX('Policy Characteristics'!I:I,MATCH($C1114,'Policy Characteristics'!$C:$C,0))),"",INDEX('Policy Characteristics'!I:I,MATCH($C1114,'Policy Characteristics'!$C:$C,0)))</f>
        <v>% of BAU price</v>
      </c>
      <c r="P1114" s="394" t="str">
        <f>IF(ISBLANK(INDEX('Policy Characteristics'!J:J,MATCH($C1114,'Policy Characteristics'!$C:$C,0))),"",INDEX('Policy Characteristics'!J:J,MATCH($C1114,'Policy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4" s="394" t="str">
        <f>IF(ISBLANK(INDEX('Policy Characteristics'!K:K,MATCH($C1114,'Policy Characteristics'!$C:$C,0))),"",INDEX('Policy Characteristics'!K:K,MATCH($C1114,'Policy Characteristics'!$C:$C,0)))</f>
        <v>fuels.html#fuel-taxes</v>
      </c>
      <c r="R1114" s="394" t="str">
        <f>IF(ISBLANK(INDEX('Policy Characteristics'!L:L,MATCH($C1114,'Policy Characteristics'!$C:$C,0))),"",INDEX('Policy Characteristics'!L:L,MATCH($C1114,'Policy Characteristics'!$C:$C,0)))</f>
        <v>fuel-taxes.html</v>
      </c>
    </row>
    <row r="1115" s="384" customFormat="1" customHeight="1" spans="1:18">
      <c r="A1115" s="394" t="str">
        <f>IF(ISBLANK(INDEX('Policy Characteristics'!A:A,MATCH($C1115,'Policy Characteristics'!$C:$C,0))),"",INDEX('Policy Characteristics'!A:A,MATCH($C1115,'Policy Characteristics'!$C:$C,0)))</f>
        <v>Cross-Sector</v>
      </c>
      <c r="B1115" s="395" t="str">
        <f>IF(ISBLANK(INDEX('Policy Characteristics'!B:B,MATCH($C1115,'Policy Characteristics'!$C:$C,0))),"",INDEX('Policy Characteristics'!B:B,MATCH($C1115,'Policy Characteristics'!$C:$C,0)))</f>
        <v>Fuel Taxes or Subsidies</v>
      </c>
      <c r="C1115" s="404" t="str">
        <f t="shared" si="55"/>
        <v>Additional Fuel Tax or Subsidy Rate by Fuel</v>
      </c>
      <c r="D1115" s="399" t="s">
        <v>860</v>
      </c>
      <c r="E1115" s="399"/>
      <c r="F1115" s="399" t="s">
        <v>861</v>
      </c>
      <c r="G1115" s="401"/>
      <c r="H1115" s="377">
        <v>741</v>
      </c>
      <c r="I1115" s="396" t="s">
        <v>658</v>
      </c>
      <c r="J1115" s="397" t="str">
        <f>IF(ISBLANK(INDEX('Policy Characteristics'!D:D,MATCH($C1115,'Policy Characteristics'!$C:$C,0))),"",INDEX('Policy Characteristics'!D:D,MATCH($C1115,'Policy Characteristics'!$C:$C,0)))</f>
        <v>Fuel Taxes or Subsidies</v>
      </c>
      <c r="K1115" s="394" t="str">
        <f>IF(ISBLANK(INDEX('Policy Characteristics'!E:E,MATCH($C1115,'Policy Characteristics'!$C:$C,0))),"",INDEX('Policy Characteristics'!E:E,MATCH($C1115,'Policy Characteristics'!$C:$C,0)))</f>
        <v>cross fuel tax</v>
      </c>
      <c r="L1115" s="398">
        <f>IF(ISBLANK(INDEX('Policy Characteristics'!F:F,MATCH($C1115,'Policy Characteristics'!$C:$C,0))),"",INDEX('Policy Characteristics'!F:F,MATCH($C1115,'Policy Characteristics'!$C:$C,0)))</f>
        <v>-0.5</v>
      </c>
      <c r="M1115" s="398">
        <f>IF(ISBLANK(INDEX('Policy Characteristics'!G:G,MATCH($C1115,'Policy Characteristics'!$C:$C,0))),"",INDEX('Policy Characteristics'!G:G,MATCH($C1115,'Policy Characteristics'!$C:$C,0)))</f>
        <v>0.5</v>
      </c>
      <c r="N1115" s="398">
        <f>IF(ISBLANK(INDEX('Policy Characteristics'!H:H,MATCH($C1115,'Policy Characteristics'!$C:$C,0))),"",INDEX('Policy Characteristics'!H:H,MATCH($C1115,'Policy Characteristics'!$C:$C,0)))</f>
        <v>0.01</v>
      </c>
      <c r="O1115" s="394" t="str">
        <f>IF(ISBLANK(INDEX('Policy Characteristics'!I:I,MATCH($C1115,'Policy Characteristics'!$C:$C,0))),"",INDEX('Policy Characteristics'!I:I,MATCH($C1115,'Policy Characteristics'!$C:$C,0)))</f>
        <v>% of BAU price</v>
      </c>
      <c r="P1115" s="394" t="str">
        <f>IF(ISBLANK(INDEX('Policy Characteristics'!J:J,MATCH($C1115,'Policy Characteristics'!$C:$C,0))),"",INDEX('Policy Characteristics'!J:J,MATCH($C1115,'Policy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5" s="394" t="str">
        <f>IF(ISBLANK(INDEX('Policy Characteristics'!K:K,MATCH($C1115,'Policy Characteristics'!$C:$C,0))),"",INDEX('Policy Characteristics'!K:K,MATCH($C1115,'Policy Characteristics'!$C:$C,0)))</f>
        <v>fuels.html#fuel-taxes</v>
      </c>
      <c r="R1115" s="394" t="str">
        <f>IF(ISBLANK(INDEX('Policy Characteristics'!L:L,MATCH($C1115,'Policy Characteristics'!$C:$C,0))),"",INDEX('Policy Characteristics'!L:L,MATCH($C1115,'Policy Characteristics'!$C:$C,0)))</f>
        <v>fuel-taxes.html</v>
      </c>
    </row>
    <row r="1116" customHeight="1" spans="1:18">
      <c r="A1116" s="394" t="str">
        <f>IF(ISBLANK(INDEX('Policy Characteristics'!A:A,MATCH($C1116,'Policy Characteristics'!$C:$C,0))),"",INDEX('Policy Characteristics'!A:A,MATCH($C1116,'Policy Characteristics'!$C:$C,0)))</f>
        <v>Cross-Sector</v>
      </c>
      <c r="B1116" s="395" t="str">
        <f>IF(ISBLANK(INDEX('Policy Characteristics'!B:B,MATCH($C1116,'Policy Characteristics'!$C:$C,0))),"",INDEX('Policy Characteristics'!B:B,MATCH($C1116,'Policy Characteristics'!$C:$C,0)))</f>
        <v>Fuel Taxes or Subsidies</v>
      </c>
      <c r="C1116" s="404" t="str">
        <f t="shared" si="55"/>
        <v>Additional Fuel Tax or Subsidy Rate by Fuel</v>
      </c>
      <c r="D1116" s="399" t="s">
        <v>830</v>
      </c>
      <c r="E1116" s="399"/>
      <c r="F1116" s="399" t="s">
        <v>831</v>
      </c>
      <c r="G1116" s="401"/>
      <c r="H1116" s="377">
        <v>742</v>
      </c>
      <c r="I1116" s="396" t="s">
        <v>658</v>
      </c>
      <c r="J1116" s="397" t="str">
        <f>IF(ISBLANK(INDEX('Policy Characteristics'!D:D,MATCH($C1116,'Policy Characteristics'!$C:$C,0))),"",INDEX('Policy Characteristics'!D:D,MATCH($C1116,'Policy Characteristics'!$C:$C,0)))</f>
        <v>Fuel Taxes or Subsidies</v>
      </c>
      <c r="K1116" s="394" t="str">
        <f>IF(ISBLANK(INDEX('Policy Characteristics'!E:E,MATCH($C1116,'Policy Characteristics'!$C:$C,0))),"",INDEX('Policy Characteristics'!E:E,MATCH($C1116,'Policy Characteristics'!$C:$C,0)))</f>
        <v>cross fuel tax</v>
      </c>
      <c r="L1116" s="398">
        <f>IF(ISBLANK(INDEX('Policy Characteristics'!F:F,MATCH($C1116,'Policy Characteristics'!$C:$C,0))),"",INDEX('Policy Characteristics'!F:F,MATCH($C1116,'Policy Characteristics'!$C:$C,0)))</f>
        <v>-0.5</v>
      </c>
      <c r="M1116" s="398">
        <f>IF(ISBLANK(INDEX('Policy Characteristics'!G:G,MATCH($C1116,'Policy Characteristics'!$C:$C,0))),"",INDEX('Policy Characteristics'!G:G,MATCH($C1116,'Policy Characteristics'!$C:$C,0)))</f>
        <v>0.5</v>
      </c>
      <c r="N1116" s="398">
        <f>IF(ISBLANK(INDEX('Policy Characteristics'!H:H,MATCH($C1116,'Policy Characteristics'!$C:$C,0))),"",INDEX('Policy Characteristics'!H:H,MATCH($C1116,'Policy Characteristics'!$C:$C,0)))</f>
        <v>0.01</v>
      </c>
      <c r="O1116" s="394" t="str">
        <f>IF(ISBLANK(INDEX('Policy Characteristics'!I:I,MATCH($C1116,'Policy Characteristics'!$C:$C,0))),"",INDEX('Policy Characteristics'!I:I,MATCH($C1116,'Policy Characteristics'!$C:$C,0)))</f>
        <v>% of BAU price</v>
      </c>
      <c r="P1116" s="394" t="str">
        <f>IF(ISBLANK(INDEX('Policy Characteristics'!J:J,MATCH($C1116,'Policy Characteristics'!$C:$C,0))),"",INDEX('Policy Characteristics'!J:J,MATCH($C1116,'Policy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6" s="394" t="str">
        <f>IF(ISBLANK(INDEX('Policy Characteristics'!K:K,MATCH($C1116,'Policy Characteristics'!$C:$C,0))),"",INDEX('Policy Characteristics'!K:K,MATCH($C1116,'Policy Characteristics'!$C:$C,0)))</f>
        <v>fuels.html#fuel-taxes</v>
      </c>
      <c r="R1116" s="394" t="str">
        <f>IF(ISBLANK(INDEX('Policy Characteristics'!L:L,MATCH($C1116,'Policy Characteristics'!$C:$C,0))),"",INDEX('Policy Characteristics'!L:L,MATCH($C1116,'Policy Characteristics'!$C:$C,0)))</f>
        <v>fuel-taxes.html</v>
      </c>
    </row>
    <row r="1117" customHeight="1" spans="1:18">
      <c r="A1117" s="394" t="str">
        <f>IF(ISBLANK(INDEX('Policy Characteristics'!A:A,MATCH($C1117,'Policy Characteristics'!$C:$C,0))),"",INDEX('Policy Characteristics'!A:A,MATCH($C1117,'Policy Characteristics'!$C:$C,0)))</f>
        <v>Cross-Sector</v>
      </c>
      <c r="B1117" s="395" t="str">
        <f>IF(ISBLANK(INDEX('Policy Characteristics'!B:B,MATCH($C1117,'Policy Characteristics'!$C:$C,0))),"",INDEX('Policy Characteristics'!B:B,MATCH($C1117,'Policy Characteristics'!$C:$C,0)))</f>
        <v>Fuel Taxes or Subsidies</v>
      </c>
      <c r="C1117" s="404" t="str">
        <f t="shared" si="55"/>
        <v>Additional Fuel Tax or Subsidy Rate by Fuel</v>
      </c>
      <c r="D1117" s="399" t="s">
        <v>862</v>
      </c>
      <c r="E1117" s="399"/>
      <c r="F1117" s="399" t="s">
        <v>863</v>
      </c>
      <c r="G1117" s="401"/>
      <c r="H1117" s="377">
        <v>743</v>
      </c>
      <c r="I1117" s="396" t="s">
        <v>658</v>
      </c>
      <c r="J1117" s="397" t="str">
        <f>IF(ISBLANK(INDEX('Policy Characteristics'!D:D,MATCH($C1117,'Policy Characteristics'!$C:$C,0))),"",INDEX('Policy Characteristics'!D:D,MATCH($C1117,'Policy Characteristics'!$C:$C,0)))</f>
        <v>Fuel Taxes or Subsidies</v>
      </c>
      <c r="K1117" s="394" t="str">
        <f>IF(ISBLANK(INDEX('Policy Characteristics'!E:E,MATCH($C1117,'Policy Characteristics'!$C:$C,0))),"",INDEX('Policy Characteristics'!E:E,MATCH($C1117,'Policy Characteristics'!$C:$C,0)))</f>
        <v>cross fuel tax</v>
      </c>
      <c r="L1117" s="398">
        <f>IF(ISBLANK(INDEX('Policy Characteristics'!F:F,MATCH($C1117,'Policy Characteristics'!$C:$C,0))),"",INDEX('Policy Characteristics'!F:F,MATCH($C1117,'Policy Characteristics'!$C:$C,0)))</f>
        <v>-0.5</v>
      </c>
      <c r="M1117" s="398">
        <f>IF(ISBLANK(INDEX('Policy Characteristics'!G:G,MATCH($C1117,'Policy Characteristics'!$C:$C,0))),"",INDEX('Policy Characteristics'!G:G,MATCH($C1117,'Policy Characteristics'!$C:$C,0)))</f>
        <v>0.5</v>
      </c>
      <c r="N1117" s="398">
        <f>IF(ISBLANK(INDEX('Policy Characteristics'!H:H,MATCH($C1117,'Policy Characteristics'!$C:$C,0))),"",INDEX('Policy Characteristics'!H:H,MATCH($C1117,'Policy Characteristics'!$C:$C,0)))</f>
        <v>0.01</v>
      </c>
      <c r="O1117" s="394" t="str">
        <f>IF(ISBLANK(INDEX('Policy Characteristics'!I:I,MATCH($C1117,'Policy Characteristics'!$C:$C,0))),"",INDEX('Policy Characteristics'!I:I,MATCH($C1117,'Policy Characteristics'!$C:$C,0)))</f>
        <v>% of BAU price</v>
      </c>
      <c r="P1117" s="394" t="str">
        <f>IF(ISBLANK(INDEX('Policy Characteristics'!J:J,MATCH($C1117,'Policy Characteristics'!$C:$C,0))),"",INDEX('Policy Characteristics'!J:J,MATCH($C1117,'Policy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7" s="394" t="str">
        <f>IF(ISBLANK(INDEX('Policy Characteristics'!K:K,MATCH($C1117,'Policy Characteristics'!$C:$C,0))),"",INDEX('Policy Characteristics'!K:K,MATCH($C1117,'Policy Characteristics'!$C:$C,0)))</f>
        <v>fuels.html#fuel-taxes</v>
      </c>
      <c r="R1117" s="394" t="str">
        <f>IF(ISBLANK(INDEX('Policy Characteristics'!L:L,MATCH($C1117,'Policy Characteristics'!$C:$C,0))),"",INDEX('Policy Characteristics'!L:L,MATCH($C1117,'Policy Characteristics'!$C:$C,0)))</f>
        <v>fuel-taxes.html</v>
      </c>
    </row>
    <row r="1118" customHeight="1" spans="1:18">
      <c r="A1118" s="394" t="str">
        <f>IF(ISBLANK(INDEX('Policy Characteristics'!A:A,MATCH($C1118,'Policy Characteristics'!$C:$C,0))),"",INDEX('Policy Characteristics'!A:A,MATCH($C1118,'Policy Characteristics'!$C:$C,0)))</f>
        <v>Cross-Sector</v>
      </c>
      <c r="B1118" s="395" t="str">
        <f>IF(ISBLANK(INDEX('Policy Characteristics'!B:B,MATCH($C1118,'Policy Characteristics'!$C:$C,0))),"",INDEX('Policy Characteristics'!B:B,MATCH($C1118,'Policy Characteristics'!$C:$C,0)))</f>
        <v>Fuel Taxes or Subsidies</v>
      </c>
      <c r="C1118" s="404" t="str">
        <f t="shared" si="55"/>
        <v>Additional Fuel Tax or Subsidy Rate by Fuel</v>
      </c>
      <c r="D1118" s="399" t="s">
        <v>832</v>
      </c>
      <c r="E1118" s="399"/>
      <c r="F1118" s="400" t="s">
        <v>724</v>
      </c>
      <c r="G1118" s="401"/>
      <c r="H1118" s="377">
        <v>744</v>
      </c>
      <c r="I1118" s="396" t="s">
        <v>658</v>
      </c>
      <c r="J1118" s="397" t="str">
        <f>IF(ISBLANK(INDEX('Policy Characteristics'!D:D,MATCH($C1118,'Policy Characteristics'!$C:$C,0))),"",INDEX('Policy Characteristics'!D:D,MATCH($C1118,'Policy Characteristics'!$C:$C,0)))</f>
        <v>Fuel Taxes or Subsidies</v>
      </c>
      <c r="K1118" s="394" t="str">
        <f>IF(ISBLANK(INDEX('Policy Characteristics'!E:E,MATCH($C1118,'Policy Characteristics'!$C:$C,0))),"",INDEX('Policy Characteristics'!E:E,MATCH($C1118,'Policy Characteristics'!$C:$C,0)))</f>
        <v>cross fuel tax</v>
      </c>
      <c r="L1118" s="398">
        <f>IF(ISBLANK(INDEX('Policy Characteristics'!F:F,MATCH($C1118,'Policy Characteristics'!$C:$C,0))),"",INDEX('Policy Characteristics'!F:F,MATCH($C1118,'Policy Characteristics'!$C:$C,0)))</f>
        <v>-0.5</v>
      </c>
      <c r="M1118" s="398">
        <f>IF(ISBLANK(INDEX('Policy Characteristics'!G:G,MATCH($C1118,'Policy Characteristics'!$C:$C,0))),"",INDEX('Policy Characteristics'!G:G,MATCH($C1118,'Policy Characteristics'!$C:$C,0)))</f>
        <v>0.5</v>
      </c>
      <c r="N1118" s="398">
        <f>IF(ISBLANK(INDEX('Policy Characteristics'!H:H,MATCH($C1118,'Policy Characteristics'!$C:$C,0))),"",INDEX('Policy Characteristics'!H:H,MATCH($C1118,'Policy Characteristics'!$C:$C,0)))</f>
        <v>0.01</v>
      </c>
      <c r="O1118" s="394" t="str">
        <f>IF(ISBLANK(INDEX('Policy Characteristics'!I:I,MATCH($C1118,'Policy Characteristics'!$C:$C,0))),"",INDEX('Policy Characteristics'!I:I,MATCH($C1118,'Policy Characteristics'!$C:$C,0)))</f>
        <v>% of BAU price</v>
      </c>
      <c r="P1118" s="394" t="str">
        <f>IF(ISBLANK(INDEX('Policy Characteristics'!J:J,MATCH($C1118,'Policy Characteristics'!$C:$C,0))),"",INDEX('Policy Characteristics'!J:J,MATCH($C1118,'Policy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8" s="394" t="str">
        <f>IF(ISBLANK(INDEX('Policy Characteristics'!K:K,MATCH($C1118,'Policy Characteristics'!$C:$C,0))),"",INDEX('Policy Characteristics'!K:K,MATCH($C1118,'Policy Characteristics'!$C:$C,0)))</f>
        <v>fuels.html#fuel-taxes</v>
      </c>
      <c r="R1118" s="394" t="str">
        <f>IF(ISBLANK(INDEX('Policy Characteristics'!L:L,MATCH($C1118,'Policy Characteristics'!$C:$C,0))),"",INDEX('Policy Characteristics'!L:L,MATCH($C1118,'Policy Characteristics'!$C:$C,0)))</f>
        <v>fuel-taxes.html</v>
      </c>
    </row>
    <row r="1119" customHeight="1" spans="1:18">
      <c r="A1119" s="394" t="str">
        <f>IF(ISBLANK(INDEX('Policy Characteristics'!A:A,MATCH($C1119,'Policy Characteristics'!$C:$C,0))),"",INDEX('Policy Characteristics'!A:A,MATCH($C1119,'Policy Characteristics'!$C:$C,0)))</f>
        <v>Cross-Sector</v>
      </c>
      <c r="B1119" s="395" t="str">
        <f>IF(ISBLANK(INDEX('Policy Characteristics'!B:B,MATCH($C1119,'Policy Characteristics'!$C:$C,0))),"",INDEX('Policy Characteristics'!B:B,MATCH($C1119,'Policy Characteristics'!$C:$C,0)))</f>
        <v>Fuel Taxes or Subsidies</v>
      </c>
      <c r="C1119" s="404" t="str">
        <f t="shared" si="55"/>
        <v>Additional Fuel Tax or Subsidy Rate by Fuel</v>
      </c>
      <c r="D1119" s="399" t="s">
        <v>833</v>
      </c>
      <c r="E1119" s="399"/>
      <c r="F1119" s="399" t="s">
        <v>728</v>
      </c>
      <c r="G1119" s="401"/>
      <c r="H1119" s="377">
        <v>745</v>
      </c>
      <c r="I1119" s="396" t="s">
        <v>658</v>
      </c>
      <c r="J1119" s="397" t="str">
        <f>IF(ISBLANK(INDEX('Policy Characteristics'!D:D,MATCH($C1119,'Policy Characteristics'!$C:$C,0))),"",INDEX('Policy Characteristics'!D:D,MATCH($C1119,'Policy Characteristics'!$C:$C,0)))</f>
        <v>Fuel Taxes or Subsidies</v>
      </c>
      <c r="K1119" s="394" t="str">
        <f>IF(ISBLANK(INDEX('Policy Characteristics'!E:E,MATCH($C1119,'Policy Characteristics'!$C:$C,0))),"",INDEX('Policy Characteristics'!E:E,MATCH($C1119,'Policy Characteristics'!$C:$C,0)))</f>
        <v>cross fuel tax</v>
      </c>
      <c r="L1119" s="398">
        <f>IF(ISBLANK(INDEX('Policy Characteristics'!F:F,MATCH($C1119,'Policy Characteristics'!$C:$C,0))),"",INDEX('Policy Characteristics'!F:F,MATCH($C1119,'Policy Characteristics'!$C:$C,0)))</f>
        <v>-0.5</v>
      </c>
      <c r="M1119" s="398">
        <f>IF(ISBLANK(INDEX('Policy Characteristics'!G:G,MATCH($C1119,'Policy Characteristics'!$C:$C,0))),"",INDEX('Policy Characteristics'!G:G,MATCH($C1119,'Policy Characteristics'!$C:$C,0)))</f>
        <v>0.5</v>
      </c>
      <c r="N1119" s="398">
        <f>IF(ISBLANK(INDEX('Policy Characteristics'!H:H,MATCH($C1119,'Policy Characteristics'!$C:$C,0))),"",INDEX('Policy Characteristics'!H:H,MATCH($C1119,'Policy Characteristics'!$C:$C,0)))</f>
        <v>0.01</v>
      </c>
      <c r="O1119" s="394" t="str">
        <f>IF(ISBLANK(INDEX('Policy Characteristics'!I:I,MATCH($C1119,'Policy Characteristics'!$C:$C,0))),"",INDEX('Policy Characteristics'!I:I,MATCH($C1119,'Policy Characteristics'!$C:$C,0)))</f>
        <v>% of BAU price</v>
      </c>
      <c r="P1119" s="394" t="str">
        <f>IF(ISBLANK(INDEX('Policy Characteristics'!J:J,MATCH($C1119,'Policy Characteristics'!$C:$C,0))),"",INDEX('Policy Characteristics'!J:J,MATCH($C1119,'Policy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9" s="394" t="str">
        <f>IF(ISBLANK(INDEX('Policy Characteristics'!K:K,MATCH($C1119,'Policy Characteristics'!$C:$C,0))),"",INDEX('Policy Characteristics'!K:K,MATCH($C1119,'Policy Characteristics'!$C:$C,0)))</f>
        <v>fuels.html#fuel-taxes</v>
      </c>
      <c r="R1119" s="394" t="str">
        <f>IF(ISBLANK(INDEX('Policy Characteristics'!L:L,MATCH($C1119,'Policy Characteristics'!$C:$C,0))),"",INDEX('Policy Characteristics'!L:L,MATCH($C1119,'Policy Characteristics'!$C:$C,0)))</f>
        <v>fuel-taxes.html</v>
      </c>
    </row>
    <row r="1120" customHeight="1" spans="1:18">
      <c r="A1120" s="394" t="str">
        <f>IF(ISBLANK(INDEX('Policy Characteristics'!A:A,MATCH($C1120,'Policy Characteristics'!$C:$C,0))),"",INDEX('Policy Characteristics'!A:A,MATCH($C1120,'Policy Characteristics'!$C:$C,0)))</f>
        <v>Cross-Sector</v>
      </c>
      <c r="B1120" s="395" t="str">
        <f>IF(ISBLANK(INDEX('Policy Characteristics'!B:B,MATCH($C1120,'Policy Characteristics'!$C:$C,0))),"",INDEX('Policy Characteristics'!B:B,MATCH($C1120,'Policy Characteristics'!$C:$C,0)))</f>
        <v>Fuel Taxes or Subsidies</v>
      </c>
      <c r="C1120" s="404" t="str">
        <f t="shared" si="55"/>
        <v>Additional Fuel Tax or Subsidy Rate by Fuel</v>
      </c>
      <c r="D1120" s="399" t="s">
        <v>834</v>
      </c>
      <c r="E1120" s="399"/>
      <c r="F1120" s="399" t="s">
        <v>835</v>
      </c>
      <c r="G1120" s="401"/>
      <c r="H1120" s="377">
        <v>746</v>
      </c>
      <c r="I1120" s="396" t="s">
        <v>658</v>
      </c>
      <c r="J1120" s="397" t="str">
        <f>IF(ISBLANK(INDEX('Policy Characteristics'!D:D,MATCH($C1120,'Policy Characteristics'!$C:$C,0))),"",INDEX('Policy Characteristics'!D:D,MATCH($C1120,'Policy Characteristics'!$C:$C,0)))</f>
        <v>Fuel Taxes or Subsidies</v>
      </c>
      <c r="K1120" s="394" t="str">
        <f>IF(ISBLANK(INDEX('Policy Characteristics'!E:E,MATCH($C1120,'Policy Characteristics'!$C:$C,0))),"",INDEX('Policy Characteristics'!E:E,MATCH($C1120,'Policy Characteristics'!$C:$C,0)))</f>
        <v>cross fuel tax</v>
      </c>
      <c r="L1120" s="398">
        <f>IF(ISBLANK(INDEX('Policy Characteristics'!F:F,MATCH($C1120,'Policy Characteristics'!$C:$C,0))),"",INDEX('Policy Characteristics'!F:F,MATCH($C1120,'Policy Characteristics'!$C:$C,0)))</f>
        <v>-0.5</v>
      </c>
      <c r="M1120" s="398">
        <f>IF(ISBLANK(INDEX('Policy Characteristics'!G:G,MATCH($C1120,'Policy Characteristics'!$C:$C,0))),"",INDEX('Policy Characteristics'!G:G,MATCH($C1120,'Policy Characteristics'!$C:$C,0)))</f>
        <v>0.5</v>
      </c>
      <c r="N1120" s="398">
        <f>IF(ISBLANK(INDEX('Policy Characteristics'!H:H,MATCH($C1120,'Policy Characteristics'!$C:$C,0))),"",INDEX('Policy Characteristics'!H:H,MATCH($C1120,'Policy Characteristics'!$C:$C,0)))</f>
        <v>0.01</v>
      </c>
      <c r="O1120" s="394" t="str">
        <f>IF(ISBLANK(INDEX('Policy Characteristics'!I:I,MATCH($C1120,'Policy Characteristics'!$C:$C,0))),"",INDEX('Policy Characteristics'!I:I,MATCH($C1120,'Policy Characteristics'!$C:$C,0)))</f>
        <v>% of BAU price</v>
      </c>
      <c r="P1120" s="394" t="str">
        <f>IF(ISBLANK(INDEX('Policy Characteristics'!J:J,MATCH($C1120,'Policy Characteristics'!$C:$C,0))),"",INDEX('Policy Characteristics'!J:J,MATCH($C1120,'Policy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0" s="394" t="str">
        <f>IF(ISBLANK(INDEX('Policy Characteristics'!K:K,MATCH($C1120,'Policy Characteristics'!$C:$C,0))),"",INDEX('Policy Characteristics'!K:K,MATCH($C1120,'Policy Characteristics'!$C:$C,0)))</f>
        <v>fuels.html#fuel-taxes</v>
      </c>
      <c r="R1120" s="394" t="str">
        <f>IF(ISBLANK(INDEX('Policy Characteristics'!L:L,MATCH($C1120,'Policy Characteristics'!$C:$C,0))),"",INDEX('Policy Characteristics'!L:L,MATCH($C1120,'Policy Characteristics'!$C:$C,0)))</f>
        <v>fuel-taxes.html</v>
      </c>
    </row>
    <row r="1121" customHeight="1" spans="1:18">
      <c r="A1121" s="394" t="str">
        <f>IF(ISBLANK(INDEX('Policy Characteristics'!A:A,MATCH($C1121,'Policy Characteristics'!$C:$C,0))),"",INDEX('Policy Characteristics'!A:A,MATCH($C1121,'Policy Characteristics'!$C:$C,0)))</f>
        <v>Cross-Sector</v>
      </c>
      <c r="B1121" s="395" t="str">
        <f>IF(ISBLANK(INDEX('Policy Characteristics'!B:B,MATCH($C1121,'Policy Characteristics'!$C:$C,0))),"",INDEX('Policy Characteristics'!B:B,MATCH($C1121,'Policy Characteristics'!$C:$C,0)))</f>
        <v>Fuel Taxes or Subsidies</v>
      </c>
      <c r="C1121" s="404" t="str">
        <f t="shared" ref="C1121:C1123" si="56">C$1107</f>
        <v>Additional Fuel Tax or Subsidy Rate by Fuel</v>
      </c>
      <c r="D1121" s="399" t="s">
        <v>836</v>
      </c>
      <c r="E1121" s="399"/>
      <c r="F1121" s="399" t="s">
        <v>837</v>
      </c>
      <c r="G1121" s="401"/>
      <c r="H1121" s="377">
        <v>747</v>
      </c>
      <c r="I1121" s="396" t="s">
        <v>658</v>
      </c>
      <c r="J1121" s="397" t="str">
        <f>IF(ISBLANK(INDEX('Policy Characteristics'!D:D,MATCH($C1121,'Policy Characteristics'!$C:$C,0))),"",INDEX('Policy Characteristics'!D:D,MATCH($C1121,'Policy Characteristics'!$C:$C,0)))</f>
        <v>Fuel Taxes or Subsidies</v>
      </c>
      <c r="K1121" s="394" t="str">
        <f>IF(ISBLANK(INDEX('Policy Characteristics'!E:E,MATCH($C1121,'Policy Characteristics'!$C:$C,0))),"",INDEX('Policy Characteristics'!E:E,MATCH($C1121,'Policy Characteristics'!$C:$C,0)))</f>
        <v>cross fuel tax</v>
      </c>
      <c r="L1121" s="398">
        <f>IF(ISBLANK(INDEX('Policy Characteristics'!F:F,MATCH($C1121,'Policy Characteristics'!$C:$C,0))),"",INDEX('Policy Characteristics'!F:F,MATCH($C1121,'Policy Characteristics'!$C:$C,0)))</f>
        <v>-0.5</v>
      </c>
      <c r="M1121" s="398">
        <f>IF(ISBLANK(INDEX('Policy Characteristics'!G:G,MATCH($C1121,'Policy Characteristics'!$C:$C,0))),"",INDEX('Policy Characteristics'!G:G,MATCH($C1121,'Policy Characteristics'!$C:$C,0)))</f>
        <v>0.5</v>
      </c>
      <c r="N1121" s="398">
        <f>IF(ISBLANK(INDEX('Policy Characteristics'!H:H,MATCH($C1121,'Policy Characteristics'!$C:$C,0))),"",INDEX('Policy Characteristics'!H:H,MATCH($C1121,'Policy Characteristics'!$C:$C,0)))</f>
        <v>0.01</v>
      </c>
      <c r="O1121" s="394" t="str">
        <f>IF(ISBLANK(INDEX('Policy Characteristics'!I:I,MATCH($C1121,'Policy Characteristics'!$C:$C,0))),"",INDEX('Policy Characteristics'!I:I,MATCH($C1121,'Policy Characteristics'!$C:$C,0)))</f>
        <v>% of BAU price</v>
      </c>
      <c r="P1121" s="394" t="str">
        <f>IF(ISBLANK(INDEX('Policy Characteristics'!J:J,MATCH($C1121,'Policy Characteristics'!$C:$C,0))),"",INDEX('Policy Characteristics'!J:J,MATCH($C1121,'Policy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1" s="394" t="str">
        <f>IF(ISBLANK(INDEX('Policy Characteristics'!K:K,MATCH($C1121,'Policy Characteristics'!$C:$C,0))),"",INDEX('Policy Characteristics'!K:K,MATCH($C1121,'Policy Characteristics'!$C:$C,0)))</f>
        <v>fuels.html#fuel-taxes</v>
      </c>
      <c r="R1121" s="394" t="str">
        <f>IF(ISBLANK(INDEX('Policy Characteristics'!L:L,MATCH($C1121,'Policy Characteristics'!$C:$C,0))),"",INDEX('Policy Characteristics'!L:L,MATCH($C1121,'Policy Characteristics'!$C:$C,0)))</f>
        <v>fuel-taxes.html</v>
      </c>
    </row>
    <row r="1122" customHeight="1" spans="1:18">
      <c r="A1122" s="394" t="str">
        <f>IF(ISBLANK(INDEX('Policy Characteristics'!A:A,MATCH($C1122,'Policy Characteristics'!$C:$C,0))),"",INDEX('Policy Characteristics'!A:A,MATCH($C1122,'Policy Characteristics'!$C:$C,0)))</f>
        <v>Cross-Sector</v>
      </c>
      <c r="B1122" s="395" t="str">
        <f>IF(ISBLANK(INDEX('Policy Characteristics'!B:B,MATCH($C1122,'Policy Characteristics'!$C:$C,0))),"",INDEX('Policy Characteristics'!B:B,MATCH($C1122,'Policy Characteristics'!$C:$C,0)))</f>
        <v>Fuel Taxes or Subsidies</v>
      </c>
      <c r="C1122" s="404" t="str">
        <f t="shared" si="56"/>
        <v>Additional Fuel Tax or Subsidy Rate by Fuel</v>
      </c>
      <c r="D1122" s="399" t="s">
        <v>865</v>
      </c>
      <c r="E1122" s="399"/>
      <c r="F1122" s="399" t="s">
        <v>732</v>
      </c>
      <c r="G1122" s="401"/>
      <c r="H1122" s="377">
        <v>748</v>
      </c>
      <c r="I1122" s="396" t="s">
        <v>658</v>
      </c>
      <c r="J1122" s="397" t="str">
        <f>IF(ISBLANK(INDEX('Policy Characteristics'!D:D,MATCH($C1122,'Policy Characteristics'!$C:$C,0))),"",INDEX('Policy Characteristics'!D:D,MATCH($C1122,'Policy Characteristics'!$C:$C,0)))</f>
        <v>Fuel Taxes or Subsidies</v>
      </c>
      <c r="K1122" s="394" t="str">
        <f>IF(ISBLANK(INDEX('Policy Characteristics'!E:E,MATCH($C1122,'Policy Characteristics'!$C:$C,0))),"",INDEX('Policy Characteristics'!E:E,MATCH($C1122,'Policy Characteristics'!$C:$C,0)))</f>
        <v>cross fuel tax</v>
      </c>
      <c r="L1122" s="398">
        <f>IF(ISBLANK(INDEX('Policy Characteristics'!F:F,MATCH($C1122,'Policy Characteristics'!$C:$C,0))),"",INDEX('Policy Characteristics'!F:F,MATCH($C1122,'Policy Characteristics'!$C:$C,0)))</f>
        <v>-0.5</v>
      </c>
      <c r="M1122" s="398">
        <f>IF(ISBLANK(INDEX('Policy Characteristics'!G:G,MATCH($C1122,'Policy Characteristics'!$C:$C,0))),"",INDEX('Policy Characteristics'!G:G,MATCH($C1122,'Policy Characteristics'!$C:$C,0)))</f>
        <v>0.5</v>
      </c>
      <c r="N1122" s="398">
        <f>IF(ISBLANK(INDEX('Policy Characteristics'!H:H,MATCH($C1122,'Policy Characteristics'!$C:$C,0))),"",INDEX('Policy Characteristics'!H:H,MATCH($C1122,'Policy Characteristics'!$C:$C,0)))</f>
        <v>0.01</v>
      </c>
      <c r="O1122" s="394" t="str">
        <f>IF(ISBLANK(INDEX('Policy Characteristics'!I:I,MATCH($C1122,'Policy Characteristics'!$C:$C,0))),"",INDEX('Policy Characteristics'!I:I,MATCH($C1122,'Policy Characteristics'!$C:$C,0)))</f>
        <v>% of BAU price</v>
      </c>
      <c r="P1122" s="394" t="str">
        <f>IF(ISBLANK(INDEX('Policy Characteristics'!J:J,MATCH($C1122,'Policy Characteristics'!$C:$C,0))),"",INDEX('Policy Characteristics'!J:J,MATCH($C1122,'Policy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2" s="394" t="str">
        <f>IF(ISBLANK(INDEX('Policy Characteristics'!K:K,MATCH($C1122,'Policy Characteristics'!$C:$C,0))),"",INDEX('Policy Characteristics'!K:K,MATCH($C1122,'Policy Characteristics'!$C:$C,0)))</f>
        <v>fuels.html#fuel-taxes</v>
      </c>
      <c r="R1122" s="394" t="str">
        <f>IF(ISBLANK(INDEX('Policy Characteristics'!L:L,MATCH($C1122,'Policy Characteristics'!$C:$C,0))),"",INDEX('Policy Characteristics'!L:L,MATCH($C1122,'Policy Characteristics'!$C:$C,0)))</f>
        <v>fuel-taxes.html</v>
      </c>
    </row>
    <row r="1123" customHeight="1" spans="1:18">
      <c r="A1123" s="394" t="str">
        <f>IF(ISBLANK(INDEX('Policy Characteristics'!A:A,MATCH($C1123,'Policy Characteristics'!$C:$C,0))),"",INDEX('Policy Characteristics'!A:A,MATCH($C1123,'Policy Characteristics'!$C:$C,0)))</f>
        <v>Cross-Sector</v>
      </c>
      <c r="B1123" s="395" t="str">
        <f>IF(ISBLANK(INDEX('Policy Characteristics'!B:B,MATCH($C1123,'Policy Characteristics'!$C:$C,0))),"",INDEX('Policy Characteristics'!B:B,MATCH($C1123,'Policy Characteristics'!$C:$C,0)))</f>
        <v>Fuel Taxes or Subsidies</v>
      </c>
      <c r="C1123" s="404" t="str">
        <f t="shared" si="56"/>
        <v>Additional Fuel Tax or Subsidy Rate by Fuel</v>
      </c>
      <c r="D1123" s="399" t="s">
        <v>866</v>
      </c>
      <c r="E1123" s="399"/>
      <c r="F1123" s="399" t="s">
        <v>867</v>
      </c>
      <c r="G1123" s="401"/>
      <c r="H1123" s="377">
        <v>749</v>
      </c>
      <c r="I1123" s="396" t="s">
        <v>658</v>
      </c>
      <c r="J1123" s="397" t="str">
        <f>IF(ISBLANK(INDEX('Policy Characteristics'!D:D,MATCH($C1123,'Policy Characteristics'!$C:$C,0))),"",INDEX('Policy Characteristics'!D:D,MATCH($C1123,'Policy Characteristics'!$C:$C,0)))</f>
        <v>Fuel Taxes or Subsidies</v>
      </c>
      <c r="K1123" s="394" t="str">
        <f>IF(ISBLANK(INDEX('Policy Characteristics'!E:E,MATCH($C1123,'Policy Characteristics'!$C:$C,0))),"",INDEX('Policy Characteristics'!E:E,MATCH($C1123,'Policy Characteristics'!$C:$C,0)))</f>
        <v>cross fuel tax</v>
      </c>
      <c r="L1123" s="398">
        <f>IF(ISBLANK(INDEX('Policy Characteristics'!F:F,MATCH($C1123,'Policy Characteristics'!$C:$C,0))),"",INDEX('Policy Characteristics'!F:F,MATCH($C1123,'Policy Characteristics'!$C:$C,0)))</f>
        <v>-0.5</v>
      </c>
      <c r="M1123" s="398">
        <f>IF(ISBLANK(INDEX('Policy Characteristics'!G:G,MATCH($C1123,'Policy Characteristics'!$C:$C,0))),"",INDEX('Policy Characteristics'!G:G,MATCH($C1123,'Policy Characteristics'!$C:$C,0)))</f>
        <v>0.5</v>
      </c>
      <c r="N1123" s="398">
        <f>IF(ISBLANK(INDEX('Policy Characteristics'!H:H,MATCH($C1123,'Policy Characteristics'!$C:$C,0))),"",INDEX('Policy Characteristics'!H:H,MATCH($C1123,'Policy Characteristics'!$C:$C,0)))</f>
        <v>0.01</v>
      </c>
      <c r="O1123" s="394" t="str">
        <f>IF(ISBLANK(INDEX('Policy Characteristics'!I:I,MATCH($C1123,'Policy Characteristics'!$C:$C,0))),"",INDEX('Policy Characteristics'!I:I,MATCH($C1123,'Policy Characteristics'!$C:$C,0)))</f>
        <v>% of BAU price</v>
      </c>
      <c r="P1123" s="394" t="str">
        <f>IF(ISBLANK(INDEX('Policy Characteristics'!J:J,MATCH($C1123,'Policy Characteristics'!$C:$C,0))),"",INDEX('Policy Characteristics'!J:J,MATCH($C1123,'Policy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3" s="394" t="str">
        <f>IF(ISBLANK(INDEX('Policy Characteristics'!K:K,MATCH($C1123,'Policy Characteristics'!$C:$C,0))),"",INDEX('Policy Characteristics'!K:K,MATCH($C1123,'Policy Characteristics'!$C:$C,0)))</f>
        <v>fuels.html#fuel-taxes</v>
      </c>
      <c r="R1123" s="394" t="str">
        <f>IF(ISBLANK(INDEX('Policy Characteristics'!L:L,MATCH($C1123,'Policy Characteristics'!$C:$C,0))),"",INDEX('Policy Characteristics'!L:L,MATCH($C1123,'Policy Characteristics'!$C:$C,0)))</f>
        <v>fuel-taxes.html</v>
      </c>
    </row>
    <row r="1124" customHeight="1" spans="1:18">
      <c r="A1124" s="394" t="str">
        <f>IF(ISBLANK(INDEX('Policy Characteristics'!A:A,MATCH($C1124,'Policy Characteristics'!$C:$C,0))),"",INDEX('Policy Characteristics'!A:A,MATCH($C1124,'Policy Characteristics'!$C:$C,0)))</f>
        <v>Research and Development</v>
      </c>
      <c r="B1124" s="395" t="str">
        <f>IF(ISBLANK(INDEX('Policy Characteristics'!B:B,MATCH($C1124,'Policy Characteristics'!$C:$C,0))),"",INDEX('Policy Characteristics'!B:B,MATCH($C1124,'Policy Characteristics'!$C:$C,0)))</f>
        <v>Capital Cost Reduction</v>
      </c>
      <c r="C1124" t="s">
        <v>565</v>
      </c>
      <c r="D1124" s="399" t="s">
        <v>683</v>
      </c>
      <c r="E1124" s="399"/>
      <c r="F1124" s="399" t="s">
        <v>869</v>
      </c>
      <c r="G1124" s="399"/>
      <c r="H1124" s="377">
        <v>85</v>
      </c>
      <c r="I1124" s="396" t="s">
        <v>648</v>
      </c>
      <c r="J1124" s="397" t="str">
        <f>IF(ISBLANK(INDEX('Policy Characteristics'!D:D,MATCH($C1124,'Policy Characteristics'!$C:$C,0))),"",INDEX('Policy Characteristics'!D:D,MATCH($C1124,'Policy Characteristics'!$C:$C,0)))</f>
        <v>R&amp;D Capital Cost Reductions</v>
      </c>
      <c r="K1124" s="394" t="str">
        <f>IF(ISBLANK(INDEX('Policy Characteristics'!E:E,MATCH($C1124,'Policy Characteristics'!$C:$C,0))),"",INDEX('Policy Characteristics'!E:E,MATCH($C1124,'Policy Characteristics'!$C:$C,0)))</f>
        <v>RnD building capital cost reduction</v>
      </c>
      <c r="L1124" s="398">
        <f>IF(ISBLANK(INDEX('Policy Characteristics'!F:F,MATCH($C1124,'Policy Characteristics'!$C:$C,0))),"",INDEX('Policy Characteristics'!F:F,MATCH($C1124,'Policy Characteristics'!$C:$C,0)))</f>
        <v>0</v>
      </c>
      <c r="M1124" s="398">
        <f>IF(ISBLANK(INDEX('Policy Characteristics'!G:G,MATCH($C1124,'Policy Characteristics'!$C:$C,0))),"",INDEX('Policy Characteristics'!G:G,MATCH($C1124,'Policy Characteristics'!$C:$C,0)))</f>
        <v>0.4</v>
      </c>
      <c r="N1124" s="398">
        <f>IF(ISBLANK(INDEX('Policy Characteristics'!H:H,MATCH($C1124,'Policy Characteristics'!$C:$C,0))),"",INDEX('Policy Characteristics'!H:H,MATCH($C1124,'Policy Characteristics'!$C:$C,0)))</f>
        <v>0.01</v>
      </c>
      <c r="O1124" s="394" t="str">
        <f>IF(ISBLANK(INDEX('Policy Characteristics'!I:I,MATCH($C1124,'Policy Characteristics'!$C:$C,0))),"",INDEX('Policy Characteristics'!I:I,MATCH($C1124,'Policy Characteristics'!$C:$C,0)))</f>
        <v>% reduction in cost</v>
      </c>
      <c r="P1124" s="394" t="str">
        <f>IF(ISBLANK(INDEX('Policy Characteristics'!J:J,MATCH($C1124,'Policy Characteristics'!$C:$C,0))),"",INDEX('Policy Characteristics'!J:J,MATCH($C1124,'Policy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4" s="394" t="str">
        <f>IF(ISBLANK(INDEX('Policy Characteristics'!K:K,MATCH($C1124,'Policy Characteristics'!$C:$C,0))),"",INDEX('Policy Characteristics'!K:K,MATCH($C1124,'Policy Characteristics'!$C:$C,0)))</f>
        <v>architectural-design.html#rnd</v>
      </c>
      <c r="R1124" s="394" t="str">
        <f>IF(ISBLANK(INDEX('Policy Characteristics'!L:L,MATCH($C1124,'Policy Characteristics'!$C:$C,0))),"",INDEX('Policy Characteristics'!L:L,MATCH($C1124,'Policy Characteristics'!$C:$C,0)))</f>
        <v>research-and-development.html</v>
      </c>
    </row>
    <row r="1125" customHeight="1" spans="1:18">
      <c r="A1125" s="394" t="str">
        <f>IF(ISBLANK(INDEX('Policy Characteristics'!A:A,MATCH($C1125,'Policy Characteristics'!$C:$C,0))),"",INDEX('Policy Characteristics'!A:A,MATCH($C1125,'Policy Characteristics'!$C:$C,0)))</f>
        <v>Research and Development</v>
      </c>
      <c r="B1125" s="395" t="str">
        <f>IF(ISBLANK(INDEX('Policy Characteristics'!B:B,MATCH($C1125,'Policy Characteristics'!$C:$C,0))),"",INDEX('Policy Characteristics'!B:B,MATCH($C1125,'Policy Characteristics'!$C:$C,0)))</f>
        <v>Capital Cost Reduction</v>
      </c>
      <c r="C1125" s="394" t="str">
        <f t="shared" ref="C1125:C1129" si="57">C$1124</f>
        <v>RnD Building Capital Cost Perc Reduction</v>
      </c>
      <c r="D1125" s="399" t="s">
        <v>687</v>
      </c>
      <c r="E1125" s="399"/>
      <c r="F1125" s="399" t="s">
        <v>870</v>
      </c>
      <c r="G1125" s="399"/>
      <c r="H1125" s="377">
        <v>86</v>
      </c>
      <c r="I1125" s="396" t="s">
        <v>648</v>
      </c>
      <c r="J1125" s="397" t="str">
        <f>IF(ISBLANK(INDEX('Policy Characteristics'!D:D,MATCH($C1125,'Policy Characteristics'!$C:$C,0))),"",INDEX('Policy Characteristics'!D:D,MATCH($C1125,'Policy Characteristics'!$C:$C,0)))</f>
        <v>R&amp;D Capital Cost Reductions</v>
      </c>
      <c r="K1125" s="394" t="str">
        <f>IF(ISBLANK(INDEX('Policy Characteristics'!E:E,MATCH($C1125,'Policy Characteristics'!$C:$C,0))),"",INDEX('Policy Characteristics'!E:E,MATCH($C1125,'Policy Characteristics'!$C:$C,0)))</f>
        <v>RnD building capital cost reduction</v>
      </c>
      <c r="L1125" s="398">
        <f>IF(ISBLANK(INDEX('Policy Characteristics'!F:F,MATCH($C1125,'Policy Characteristics'!$C:$C,0))),"",INDEX('Policy Characteristics'!F:F,MATCH($C1125,'Policy Characteristics'!$C:$C,0)))</f>
        <v>0</v>
      </c>
      <c r="M1125" s="398">
        <f>IF(ISBLANK(INDEX('Policy Characteristics'!G:G,MATCH($C1125,'Policy Characteristics'!$C:$C,0))),"",INDEX('Policy Characteristics'!G:G,MATCH($C1125,'Policy Characteristics'!$C:$C,0)))</f>
        <v>0.4</v>
      </c>
      <c r="N1125" s="398">
        <f>IF(ISBLANK(INDEX('Policy Characteristics'!H:H,MATCH($C1125,'Policy Characteristics'!$C:$C,0))),"",INDEX('Policy Characteristics'!H:H,MATCH($C1125,'Policy Characteristics'!$C:$C,0)))</f>
        <v>0.01</v>
      </c>
      <c r="O1125" s="394" t="str">
        <f>IF(ISBLANK(INDEX('Policy Characteristics'!I:I,MATCH($C1125,'Policy Characteristics'!$C:$C,0))),"",INDEX('Policy Characteristics'!I:I,MATCH($C1125,'Policy Characteristics'!$C:$C,0)))</f>
        <v>% reduction in cost</v>
      </c>
      <c r="P1125" s="394" t="str">
        <f>IF(ISBLANK(INDEX('Policy Characteristics'!J:J,MATCH($C1125,'Policy Characteristics'!$C:$C,0))),"",INDEX('Policy Characteristics'!J:J,MATCH($C1125,'Policy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5" s="394" t="str">
        <f>IF(ISBLANK(INDEX('Policy Characteristics'!K:K,MATCH($C1125,'Policy Characteristics'!$C:$C,0))),"",INDEX('Policy Characteristics'!K:K,MATCH($C1125,'Policy Characteristics'!$C:$C,0)))</f>
        <v>architectural-design.html#rnd</v>
      </c>
      <c r="R1125" s="394" t="str">
        <f>IF(ISBLANK(INDEX('Policy Characteristics'!L:L,MATCH($C1125,'Policy Characteristics'!$C:$C,0))),"",INDEX('Policy Characteristics'!L:L,MATCH($C1125,'Policy Characteristics'!$C:$C,0)))</f>
        <v>research-and-development.html</v>
      </c>
    </row>
    <row r="1126" customHeight="1" spans="1:18">
      <c r="A1126" s="394" t="str">
        <f>IF(ISBLANK(INDEX('Policy Characteristics'!A:A,MATCH($C1126,'Policy Characteristics'!$C:$C,0))),"",INDEX('Policy Characteristics'!A:A,MATCH($C1126,'Policy Characteristics'!$C:$C,0)))</f>
        <v>Research and Development</v>
      </c>
      <c r="B1126" s="395" t="str">
        <f>IF(ISBLANK(INDEX('Policy Characteristics'!B:B,MATCH($C1126,'Policy Characteristics'!$C:$C,0))),"",INDEX('Policy Characteristics'!B:B,MATCH($C1126,'Policy Characteristics'!$C:$C,0)))</f>
        <v>Capital Cost Reduction</v>
      </c>
      <c r="C1126" s="394" t="str">
        <f t="shared" si="57"/>
        <v>RnD Building Capital Cost Perc Reduction</v>
      </c>
      <c r="D1126" s="399" t="s">
        <v>699</v>
      </c>
      <c r="E1126" s="399"/>
      <c r="F1126" s="399" t="s">
        <v>871</v>
      </c>
      <c r="G1126" s="399"/>
      <c r="H1126" s="377">
        <v>87</v>
      </c>
      <c r="I1126" s="396" t="s">
        <v>648</v>
      </c>
      <c r="J1126" s="397" t="str">
        <f>IF(ISBLANK(INDEX('Policy Characteristics'!D:D,MATCH($C1126,'Policy Characteristics'!$C:$C,0))),"",INDEX('Policy Characteristics'!D:D,MATCH($C1126,'Policy Characteristics'!$C:$C,0)))</f>
        <v>R&amp;D Capital Cost Reductions</v>
      </c>
      <c r="K1126" s="394" t="str">
        <f>IF(ISBLANK(INDEX('Policy Characteristics'!E:E,MATCH($C1126,'Policy Characteristics'!$C:$C,0))),"",INDEX('Policy Characteristics'!E:E,MATCH($C1126,'Policy Characteristics'!$C:$C,0)))</f>
        <v>RnD building capital cost reduction</v>
      </c>
      <c r="L1126" s="398">
        <f>IF(ISBLANK(INDEX('Policy Characteristics'!F:F,MATCH($C1126,'Policy Characteristics'!$C:$C,0))),"",INDEX('Policy Characteristics'!F:F,MATCH($C1126,'Policy Characteristics'!$C:$C,0)))</f>
        <v>0</v>
      </c>
      <c r="M1126" s="398">
        <f>IF(ISBLANK(INDEX('Policy Characteristics'!G:G,MATCH($C1126,'Policy Characteristics'!$C:$C,0))),"",INDEX('Policy Characteristics'!G:G,MATCH($C1126,'Policy Characteristics'!$C:$C,0)))</f>
        <v>0.4</v>
      </c>
      <c r="N1126" s="398">
        <f>IF(ISBLANK(INDEX('Policy Characteristics'!H:H,MATCH($C1126,'Policy Characteristics'!$C:$C,0))),"",INDEX('Policy Characteristics'!H:H,MATCH($C1126,'Policy Characteristics'!$C:$C,0)))</f>
        <v>0.01</v>
      </c>
      <c r="O1126" s="394" t="str">
        <f>IF(ISBLANK(INDEX('Policy Characteristics'!I:I,MATCH($C1126,'Policy Characteristics'!$C:$C,0))),"",INDEX('Policy Characteristics'!I:I,MATCH($C1126,'Policy Characteristics'!$C:$C,0)))</f>
        <v>% reduction in cost</v>
      </c>
      <c r="P1126" s="394" t="str">
        <f>IF(ISBLANK(INDEX('Policy Characteristics'!J:J,MATCH($C1126,'Policy Characteristics'!$C:$C,0))),"",INDEX('Policy Characteristics'!J:J,MATCH($C1126,'Policy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6" s="394" t="str">
        <f>IF(ISBLANK(INDEX('Policy Characteristics'!K:K,MATCH($C1126,'Policy Characteristics'!$C:$C,0))),"",INDEX('Policy Characteristics'!K:K,MATCH($C1126,'Policy Characteristics'!$C:$C,0)))</f>
        <v>architectural-design.html#rnd</v>
      </c>
      <c r="R1126" s="394" t="str">
        <f>IF(ISBLANK(INDEX('Policy Characteristics'!L:L,MATCH($C1126,'Policy Characteristics'!$C:$C,0))),"",INDEX('Policy Characteristics'!L:L,MATCH($C1126,'Policy Characteristics'!$C:$C,0)))</f>
        <v>research-and-development.html</v>
      </c>
    </row>
    <row r="1127" customHeight="1" spans="1:18">
      <c r="A1127" s="394" t="str">
        <f>IF(ISBLANK(INDEX('Policy Characteristics'!A:A,MATCH($C1127,'Policy Characteristics'!$C:$C,0))),"",INDEX('Policy Characteristics'!A:A,MATCH($C1127,'Policy Characteristics'!$C:$C,0)))</f>
        <v>Research and Development</v>
      </c>
      <c r="B1127" s="395" t="str">
        <f>IF(ISBLANK(INDEX('Policy Characteristics'!B:B,MATCH($C1127,'Policy Characteristics'!$C:$C,0))),"",INDEX('Policy Characteristics'!B:B,MATCH($C1127,'Policy Characteristics'!$C:$C,0)))</f>
        <v>Capital Cost Reduction</v>
      </c>
      <c r="C1127" s="394" t="str">
        <f t="shared" si="57"/>
        <v>RnD Building Capital Cost Perc Reduction</v>
      </c>
      <c r="D1127" s="399" t="s">
        <v>689</v>
      </c>
      <c r="E1127" s="399"/>
      <c r="F1127" s="399" t="s">
        <v>872</v>
      </c>
      <c r="G1127" s="399"/>
      <c r="H1127" s="377">
        <v>88</v>
      </c>
      <c r="I1127" s="396" t="s">
        <v>648</v>
      </c>
      <c r="J1127" s="397" t="str">
        <f>IF(ISBLANK(INDEX('Policy Characteristics'!D:D,MATCH($C1127,'Policy Characteristics'!$C:$C,0))),"",INDEX('Policy Characteristics'!D:D,MATCH($C1127,'Policy Characteristics'!$C:$C,0)))</f>
        <v>R&amp;D Capital Cost Reductions</v>
      </c>
      <c r="K1127" s="394" t="str">
        <f>IF(ISBLANK(INDEX('Policy Characteristics'!E:E,MATCH($C1127,'Policy Characteristics'!$C:$C,0))),"",INDEX('Policy Characteristics'!E:E,MATCH($C1127,'Policy Characteristics'!$C:$C,0)))</f>
        <v>RnD building capital cost reduction</v>
      </c>
      <c r="L1127" s="398">
        <f>IF(ISBLANK(INDEX('Policy Characteristics'!F:F,MATCH($C1127,'Policy Characteristics'!$C:$C,0))),"",INDEX('Policy Characteristics'!F:F,MATCH($C1127,'Policy Characteristics'!$C:$C,0)))</f>
        <v>0</v>
      </c>
      <c r="M1127" s="398">
        <f>IF(ISBLANK(INDEX('Policy Characteristics'!G:G,MATCH($C1127,'Policy Characteristics'!$C:$C,0))),"",INDEX('Policy Characteristics'!G:G,MATCH($C1127,'Policy Characteristics'!$C:$C,0)))</f>
        <v>0.4</v>
      </c>
      <c r="N1127" s="398">
        <f>IF(ISBLANK(INDEX('Policy Characteristics'!H:H,MATCH($C1127,'Policy Characteristics'!$C:$C,0))),"",INDEX('Policy Characteristics'!H:H,MATCH($C1127,'Policy Characteristics'!$C:$C,0)))</f>
        <v>0.01</v>
      </c>
      <c r="O1127" s="394" t="str">
        <f>IF(ISBLANK(INDEX('Policy Characteristics'!I:I,MATCH($C1127,'Policy Characteristics'!$C:$C,0))),"",INDEX('Policy Characteristics'!I:I,MATCH($C1127,'Policy Characteristics'!$C:$C,0)))</f>
        <v>% reduction in cost</v>
      </c>
      <c r="P1127" s="394" t="str">
        <f>IF(ISBLANK(INDEX('Policy Characteristics'!J:J,MATCH($C1127,'Policy Characteristics'!$C:$C,0))),"",INDEX('Policy Characteristics'!J:J,MATCH($C1127,'Policy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7" s="394" t="str">
        <f>IF(ISBLANK(INDEX('Policy Characteristics'!K:K,MATCH($C1127,'Policy Characteristics'!$C:$C,0))),"",INDEX('Policy Characteristics'!K:K,MATCH($C1127,'Policy Characteristics'!$C:$C,0)))</f>
        <v>architectural-design.html#rnd</v>
      </c>
      <c r="R1127" s="394" t="str">
        <f>IF(ISBLANK(INDEX('Policy Characteristics'!L:L,MATCH($C1127,'Policy Characteristics'!$C:$C,0))),"",INDEX('Policy Characteristics'!L:L,MATCH($C1127,'Policy Characteristics'!$C:$C,0)))</f>
        <v>research-and-development.html</v>
      </c>
    </row>
    <row r="1128" customHeight="1" spans="1:18">
      <c r="A1128" s="394" t="str">
        <f>IF(ISBLANK(INDEX('Policy Characteristics'!A:A,MATCH($C1128,'Policy Characteristics'!$C:$C,0))),"",INDEX('Policy Characteristics'!A:A,MATCH($C1128,'Policy Characteristics'!$C:$C,0)))</f>
        <v>Research and Development</v>
      </c>
      <c r="B1128" s="395" t="str">
        <f>IF(ISBLANK(INDEX('Policy Characteristics'!B:B,MATCH($C1128,'Policy Characteristics'!$C:$C,0))),"",INDEX('Policy Characteristics'!B:B,MATCH($C1128,'Policy Characteristics'!$C:$C,0)))</f>
        <v>Capital Cost Reduction</v>
      </c>
      <c r="C1128" s="394" t="str">
        <f t="shared" si="57"/>
        <v>RnD Building Capital Cost Perc Reduction</v>
      </c>
      <c r="D1128" s="399" t="s">
        <v>691</v>
      </c>
      <c r="E1128" s="399"/>
      <c r="F1128" s="399" t="s">
        <v>873</v>
      </c>
      <c r="G1128" s="399"/>
      <c r="H1128" s="377">
        <v>89</v>
      </c>
      <c r="I1128" s="396" t="s">
        <v>648</v>
      </c>
      <c r="J1128" s="397" t="str">
        <f>IF(ISBLANK(INDEX('Policy Characteristics'!D:D,MATCH($C1128,'Policy Characteristics'!$C:$C,0))),"",INDEX('Policy Characteristics'!D:D,MATCH($C1128,'Policy Characteristics'!$C:$C,0)))</f>
        <v>R&amp;D Capital Cost Reductions</v>
      </c>
      <c r="K1128" s="394" t="str">
        <f>IF(ISBLANK(INDEX('Policy Characteristics'!E:E,MATCH($C1128,'Policy Characteristics'!$C:$C,0))),"",INDEX('Policy Characteristics'!E:E,MATCH($C1128,'Policy Characteristics'!$C:$C,0)))</f>
        <v>RnD building capital cost reduction</v>
      </c>
      <c r="L1128" s="398">
        <f>IF(ISBLANK(INDEX('Policy Characteristics'!F:F,MATCH($C1128,'Policy Characteristics'!$C:$C,0))),"",INDEX('Policy Characteristics'!F:F,MATCH($C1128,'Policy Characteristics'!$C:$C,0)))</f>
        <v>0</v>
      </c>
      <c r="M1128" s="398">
        <f>IF(ISBLANK(INDEX('Policy Characteristics'!G:G,MATCH($C1128,'Policy Characteristics'!$C:$C,0))),"",INDEX('Policy Characteristics'!G:G,MATCH($C1128,'Policy Characteristics'!$C:$C,0)))</f>
        <v>0.4</v>
      </c>
      <c r="N1128" s="398">
        <f>IF(ISBLANK(INDEX('Policy Characteristics'!H:H,MATCH($C1128,'Policy Characteristics'!$C:$C,0))),"",INDEX('Policy Characteristics'!H:H,MATCH($C1128,'Policy Characteristics'!$C:$C,0)))</f>
        <v>0.01</v>
      </c>
      <c r="O1128" s="394" t="str">
        <f>IF(ISBLANK(INDEX('Policy Characteristics'!I:I,MATCH($C1128,'Policy Characteristics'!$C:$C,0))),"",INDEX('Policy Characteristics'!I:I,MATCH($C1128,'Policy Characteristics'!$C:$C,0)))</f>
        <v>% reduction in cost</v>
      </c>
      <c r="P1128" s="394" t="str">
        <f>IF(ISBLANK(INDEX('Policy Characteristics'!J:J,MATCH($C1128,'Policy Characteristics'!$C:$C,0))),"",INDEX('Policy Characteristics'!J:J,MATCH($C1128,'Policy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8" s="394" t="str">
        <f>IF(ISBLANK(INDEX('Policy Characteristics'!K:K,MATCH($C1128,'Policy Characteristics'!$C:$C,0))),"",INDEX('Policy Characteristics'!K:K,MATCH($C1128,'Policy Characteristics'!$C:$C,0)))</f>
        <v>architectural-design.html#rnd</v>
      </c>
      <c r="R1128" s="394" t="str">
        <f>IF(ISBLANK(INDEX('Policy Characteristics'!L:L,MATCH($C1128,'Policy Characteristics'!$C:$C,0))),"",INDEX('Policy Characteristics'!L:L,MATCH($C1128,'Policy Characteristics'!$C:$C,0)))</f>
        <v>research-and-development.html</v>
      </c>
    </row>
    <row r="1129" customHeight="1" spans="1:18">
      <c r="A1129" s="394" t="str">
        <f>IF(ISBLANK(INDEX('Policy Characteristics'!A:A,MATCH($C1129,'Policy Characteristics'!$C:$C,0))),"",INDEX('Policy Characteristics'!A:A,MATCH($C1129,'Policy Characteristics'!$C:$C,0)))</f>
        <v>Research and Development</v>
      </c>
      <c r="B1129" s="395" t="str">
        <f>IF(ISBLANK(INDEX('Policy Characteristics'!B:B,MATCH($C1129,'Policy Characteristics'!$C:$C,0))),"",INDEX('Policy Characteristics'!B:B,MATCH($C1129,'Policy Characteristics'!$C:$C,0)))</f>
        <v>Capital Cost Reduction</v>
      </c>
      <c r="C1129" s="394" t="str">
        <f t="shared" si="57"/>
        <v>RnD Building Capital Cost Perc Reduction</v>
      </c>
      <c r="D1129" s="399" t="s">
        <v>693</v>
      </c>
      <c r="E1129" s="399"/>
      <c r="F1129" s="399" t="s">
        <v>874</v>
      </c>
      <c r="G1129" s="399"/>
      <c r="H1129" s="377">
        <v>90</v>
      </c>
      <c r="I1129" s="396" t="s">
        <v>648</v>
      </c>
      <c r="J1129" s="397" t="str">
        <f>IF(ISBLANK(INDEX('Policy Characteristics'!D:D,MATCH($C1129,'Policy Characteristics'!$C:$C,0))),"",INDEX('Policy Characteristics'!D:D,MATCH($C1129,'Policy Characteristics'!$C:$C,0)))</f>
        <v>R&amp;D Capital Cost Reductions</v>
      </c>
      <c r="K1129" s="394" t="str">
        <f>IF(ISBLANK(INDEX('Policy Characteristics'!E:E,MATCH($C1129,'Policy Characteristics'!$C:$C,0))),"",INDEX('Policy Characteristics'!E:E,MATCH($C1129,'Policy Characteristics'!$C:$C,0)))</f>
        <v>RnD building capital cost reduction</v>
      </c>
      <c r="L1129" s="398">
        <f>IF(ISBLANK(INDEX('Policy Characteristics'!F:F,MATCH($C1129,'Policy Characteristics'!$C:$C,0))),"",INDEX('Policy Characteristics'!F:F,MATCH($C1129,'Policy Characteristics'!$C:$C,0)))</f>
        <v>0</v>
      </c>
      <c r="M1129" s="398">
        <f>IF(ISBLANK(INDEX('Policy Characteristics'!G:G,MATCH($C1129,'Policy Characteristics'!$C:$C,0))),"",INDEX('Policy Characteristics'!G:G,MATCH($C1129,'Policy Characteristics'!$C:$C,0)))</f>
        <v>0.4</v>
      </c>
      <c r="N1129" s="398">
        <f>IF(ISBLANK(INDEX('Policy Characteristics'!H:H,MATCH($C1129,'Policy Characteristics'!$C:$C,0))),"",INDEX('Policy Characteristics'!H:H,MATCH($C1129,'Policy Characteristics'!$C:$C,0)))</f>
        <v>0.01</v>
      </c>
      <c r="O1129" s="394" t="str">
        <f>IF(ISBLANK(INDEX('Policy Characteristics'!I:I,MATCH($C1129,'Policy Characteristics'!$C:$C,0))),"",INDEX('Policy Characteristics'!I:I,MATCH($C1129,'Policy Characteristics'!$C:$C,0)))</f>
        <v>% reduction in cost</v>
      </c>
      <c r="P1129" s="394" t="str">
        <f>IF(ISBLANK(INDEX('Policy Characteristics'!J:J,MATCH($C1129,'Policy Characteristics'!$C:$C,0))),"",INDEX('Policy Characteristics'!J:J,MATCH($C1129,'Policy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9" s="394" t="str">
        <f>IF(ISBLANK(INDEX('Policy Characteristics'!K:K,MATCH($C1129,'Policy Characteristics'!$C:$C,0))),"",INDEX('Policy Characteristics'!K:K,MATCH($C1129,'Policy Characteristics'!$C:$C,0)))</f>
        <v>architectural-design.html#rnd</v>
      </c>
      <c r="R1129" s="394" t="str">
        <f>IF(ISBLANK(INDEX('Policy Characteristics'!L:L,MATCH($C1129,'Policy Characteristics'!$C:$C,0))),"",INDEX('Policy Characteristics'!L:L,MATCH($C1129,'Policy Characteristics'!$C:$C,0)))</f>
        <v>research-and-development.html</v>
      </c>
    </row>
    <row r="1130" customHeight="1" spans="1:18">
      <c r="A1130" s="394" t="str">
        <f>IF(ISBLANK(INDEX('Policy Characteristics'!A:A,MATCH($C1130,'Policy Characteristics'!$C:$C,0))),"",INDEX('Policy Characteristics'!A:A,MATCH($C1130,'Policy Characteristics'!$C:$C,0)))</f>
        <v>Research and Development</v>
      </c>
      <c r="B1130" s="395" t="str">
        <f>IF(ISBLANK(INDEX('Policy Characteristics'!B:B,MATCH($C1130,'Policy Characteristics'!$C:$C,0))),"",INDEX('Policy Characteristics'!B:B,MATCH($C1130,'Policy Characteristics'!$C:$C,0)))</f>
        <v>Capital Cost Reduction</v>
      </c>
      <c r="C1130" t="s">
        <v>572</v>
      </c>
      <c r="D1130" s="399"/>
      <c r="E1130" s="399"/>
      <c r="F1130" s="399" t="s">
        <v>211</v>
      </c>
      <c r="G1130" s="399"/>
      <c r="H1130" s="377">
        <v>91</v>
      </c>
      <c r="I1130" s="396" t="s">
        <v>648</v>
      </c>
      <c r="J1130" s="397" t="str">
        <f>IF(ISBLANK(INDEX('Policy Characteristics'!D:D,MATCH($C1130,'Policy Characteristics'!$C:$C,0))),"",INDEX('Policy Characteristics'!D:D,MATCH($C1130,'Policy Characteristics'!$C:$C,0)))</f>
        <v>R&amp;D Capital Cost Reductions</v>
      </c>
      <c r="K1130" s="394" t="str">
        <f>IF(ISBLANK(INDEX('Policy Characteristics'!E:E,MATCH($C1130,'Policy Characteristics'!$C:$C,0))),"",INDEX('Policy Characteristics'!E:E,MATCH($C1130,'Policy Characteristics'!$C:$C,0)))</f>
        <v>RnD CCS capital cost reduction</v>
      </c>
      <c r="L1130" s="398">
        <f>IF(ISBLANK(INDEX('Policy Characteristics'!F:F,MATCH($C1130,'Policy Characteristics'!$C:$C,0))),"",INDEX('Policy Characteristics'!F:F,MATCH($C1130,'Policy Characteristics'!$C:$C,0)))</f>
        <v>0</v>
      </c>
      <c r="M1130" s="398">
        <f>IF(ISBLANK(INDEX('Policy Characteristics'!G:G,MATCH($C1130,'Policy Characteristics'!$C:$C,0))),"",INDEX('Policy Characteristics'!G:G,MATCH($C1130,'Policy Characteristics'!$C:$C,0)))</f>
        <v>0.4</v>
      </c>
      <c r="N1130" s="398">
        <f>IF(ISBLANK(INDEX('Policy Characteristics'!H:H,MATCH($C1130,'Policy Characteristics'!$C:$C,0))),"",INDEX('Policy Characteristics'!H:H,MATCH($C1130,'Policy Characteristics'!$C:$C,0)))</f>
        <v>0.01</v>
      </c>
      <c r="O1130" s="394" t="str">
        <f>IF(ISBLANK(INDEX('Policy Characteristics'!I:I,MATCH($C1130,'Policy Characteristics'!$C:$C,0))),"",INDEX('Policy Characteristics'!I:I,MATCH($C1130,'Policy Characteristics'!$C:$C,0)))</f>
        <v>% reduction in cost</v>
      </c>
      <c r="P1130" s="394" t="str">
        <f>IF(ISBLANK(INDEX('Policy Characteristics'!J:J,MATCH($C1130,'Policy Characteristics'!$C:$C,0))),"",INDEX('Policy Characteristics'!J:J,MATCH($C1130,'Policy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0" s="394" t="str">
        <f>IF(ISBLANK(INDEX('Policy Characteristics'!K:K,MATCH($C1130,'Policy Characteristics'!$C:$C,0))),"",INDEX('Policy Characteristics'!K:K,MATCH($C1130,'Policy Characteristics'!$C:$C,0)))</f>
        <v>architectural-design.html#rnd</v>
      </c>
      <c r="R1130" s="394" t="str">
        <f>IF(ISBLANK(INDEX('Policy Characteristics'!L:L,MATCH($C1130,'Policy Characteristics'!$C:$C,0))),"",INDEX('Policy Characteristics'!L:L,MATCH($C1130,'Policy Characteristics'!$C:$C,0)))</f>
        <v>research-and-development.html</v>
      </c>
    </row>
    <row r="1131" customHeight="1" spans="1:18">
      <c r="A1131" s="394" t="str">
        <f>IF(ISBLANK(INDEX('Policy Characteristics'!A:A,MATCH($C1131,'Policy Characteristics'!$C:$C,0))),"",INDEX('Policy Characteristics'!A:A,MATCH($C1131,'Policy Characteristics'!$C:$C,0)))</f>
        <v>Research and Development</v>
      </c>
      <c r="B1131" s="395" t="str">
        <f>IF(ISBLANK(INDEX('Policy Characteristics'!B:B,MATCH($C1131,'Policy Characteristics'!$C:$C,0))),"",INDEX('Policy Characteristics'!B:B,MATCH($C1131,'Policy Characteristics'!$C:$C,0)))</f>
        <v>Capital Cost Reduction</v>
      </c>
      <c r="C1131" t="s">
        <v>574</v>
      </c>
      <c r="D1131" s="399" t="s">
        <v>701</v>
      </c>
      <c r="E1131" s="399"/>
      <c r="F1131" s="399" t="s">
        <v>875</v>
      </c>
      <c r="G1131" s="399"/>
      <c r="H1131" s="377">
        <v>92</v>
      </c>
      <c r="I1131" s="396" t="s">
        <v>648</v>
      </c>
      <c r="J1131" s="397" t="str">
        <f>IF(ISBLANK(INDEX('Policy Characteristics'!D:D,MATCH($C1131,'Policy Characteristics'!$C:$C,0))),"",INDEX('Policy Characteristics'!D:D,MATCH($C1131,'Policy Characteristics'!$C:$C,0)))</f>
        <v>R&amp;D Capital Cost Reductions</v>
      </c>
      <c r="K1131" s="394" t="str">
        <f>IF(ISBLANK(INDEX('Policy Characteristics'!E:E,MATCH($C1131,'Policy Characteristics'!$C:$C,0))),"",INDEX('Policy Characteristics'!E:E,MATCH($C1131,'Policy Characteristics'!$C:$C,0)))</f>
        <v>RnD electricity capital cost reduction</v>
      </c>
      <c r="L1131" s="398">
        <f>IF(ISBLANK(INDEX('Policy Characteristics'!F:F,MATCH($C1131,'Policy Characteristics'!$C:$C,0))),"",INDEX('Policy Characteristics'!F:F,MATCH($C1131,'Policy Characteristics'!$C:$C,0)))</f>
        <v>0</v>
      </c>
      <c r="M1131" s="398">
        <f>IF(ISBLANK(INDEX('Policy Characteristics'!G:G,MATCH($C1131,'Policy Characteristics'!$C:$C,0))),"",INDEX('Policy Characteristics'!G:G,MATCH($C1131,'Policy Characteristics'!$C:$C,0)))</f>
        <v>0.4</v>
      </c>
      <c r="N1131" s="398">
        <f>IF(ISBLANK(INDEX('Policy Characteristics'!H:H,MATCH($C1131,'Policy Characteristics'!$C:$C,0))),"",INDEX('Policy Characteristics'!H:H,MATCH($C1131,'Policy Characteristics'!$C:$C,0)))</f>
        <v>0.01</v>
      </c>
      <c r="O1131" s="394" t="str">
        <f>IF(ISBLANK(INDEX('Policy Characteristics'!I:I,MATCH($C1131,'Policy Characteristics'!$C:$C,0))),"",INDEX('Policy Characteristics'!I:I,MATCH($C1131,'Policy Characteristics'!$C:$C,0)))</f>
        <v>% reduction in cost</v>
      </c>
      <c r="P1131" s="394" t="str">
        <f>IF(ISBLANK(INDEX('Policy Characteristics'!J:J,MATCH($C1131,'Policy Characteristics'!$C:$C,0))),"",INDEX('Policy Characteristics'!J:J,MATCH($C1131,'Policy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1" s="394" t="str">
        <f>IF(ISBLANK(INDEX('Policy Characteristics'!K:K,MATCH($C1131,'Policy Characteristics'!$C:$C,0))),"",INDEX('Policy Characteristics'!K:K,MATCH($C1131,'Policy Characteristics'!$C:$C,0)))</f>
        <v>architectural-design.html#rnd</v>
      </c>
      <c r="R1131" s="394" t="str">
        <f>IF(ISBLANK(INDEX('Policy Characteristics'!L:L,MATCH($C1131,'Policy Characteristics'!$C:$C,0))),"",INDEX('Policy Characteristics'!L:L,MATCH($C1131,'Policy Characteristics'!$C:$C,0)))</f>
        <v>research-and-development.html</v>
      </c>
    </row>
    <row r="1132" customHeight="1" spans="1:18">
      <c r="A1132" s="394" t="str">
        <f>IF(ISBLANK(INDEX('Policy Characteristics'!A:A,MATCH($C1132,'Policy Characteristics'!$C:$C,0))),"",INDEX('Policy Characteristics'!A:A,MATCH($C1132,'Policy Characteristics'!$C:$C,0)))</f>
        <v>Research and Development</v>
      </c>
      <c r="B1132" s="395" t="str">
        <f>IF(ISBLANK(INDEX('Policy Characteristics'!B:B,MATCH($C1132,'Policy Characteristics'!$C:$C,0))),"",INDEX('Policy Characteristics'!B:B,MATCH($C1132,'Policy Characteristics'!$C:$C,0)))</f>
        <v>Capital Cost Reduction</v>
      </c>
      <c r="C1132" s="394" t="str">
        <f t="shared" ref="C1132:C1139" si="58">C$1131</f>
        <v>RnD Electricity Capital Cost Perc Reduction</v>
      </c>
      <c r="D1132" s="399" t="s">
        <v>703</v>
      </c>
      <c r="E1132" s="401"/>
      <c r="F1132" s="399" t="s">
        <v>876</v>
      </c>
      <c r="G1132" s="399"/>
      <c r="H1132" s="377">
        <v>93</v>
      </c>
      <c r="I1132" s="396" t="s">
        <v>648</v>
      </c>
      <c r="J1132" s="397" t="str">
        <f>IF(ISBLANK(INDEX('Policy Characteristics'!D:D,MATCH($C1132,'Policy Characteristics'!$C:$C,0))),"",INDEX('Policy Characteristics'!D:D,MATCH($C1132,'Policy Characteristics'!$C:$C,0)))</f>
        <v>R&amp;D Capital Cost Reductions</v>
      </c>
      <c r="K1132" s="394" t="str">
        <f>IF(ISBLANK(INDEX('Policy Characteristics'!E:E,MATCH($C1132,'Policy Characteristics'!$C:$C,0))),"",INDEX('Policy Characteristics'!E:E,MATCH($C1132,'Policy Characteristics'!$C:$C,0)))</f>
        <v>RnD electricity capital cost reduction</v>
      </c>
      <c r="L1132" s="398">
        <f>IF(ISBLANK(INDEX('Policy Characteristics'!F:F,MATCH($C1132,'Policy Characteristics'!$C:$C,0))),"",INDEX('Policy Characteristics'!F:F,MATCH($C1132,'Policy Characteristics'!$C:$C,0)))</f>
        <v>0</v>
      </c>
      <c r="M1132" s="398">
        <f>IF(ISBLANK(INDEX('Policy Characteristics'!G:G,MATCH($C1132,'Policy Characteristics'!$C:$C,0))),"",INDEX('Policy Characteristics'!G:G,MATCH($C1132,'Policy Characteristics'!$C:$C,0)))</f>
        <v>0.4</v>
      </c>
      <c r="N1132" s="398">
        <f>IF(ISBLANK(INDEX('Policy Characteristics'!H:H,MATCH($C1132,'Policy Characteristics'!$C:$C,0))),"",INDEX('Policy Characteristics'!H:H,MATCH($C1132,'Policy Characteristics'!$C:$C,0)))</f>
        <v>0.01</v>
      </c>
      <c r="O1132" s="394" t="str">
        <f>IF(ISBLANK(INDEX('Policy Characteristics'!I:I,MATCH($C1132,'Policy Characteristics'!$C:$C,0))),"",INDEX('Policy Characteristics'!I:I,MATCH($C1132,'Policy Characteristics'!$C:$C,0)))</f>
        <v>% reduction in cost</v>
      </c>
      <c r="P1132" s="394" t="str">
        <f>IF(ISBLANK(INDEX('Policy Characteristics'!J:J,MATCH($C1132,'Policy Characteristics'!$C:$C,0))),"",INDEX('Policy Characteristics'!J:J,MATCH($C1132,'Policy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2" s="394" t="str">
        <f>IF(ISBLANK(INDEX('Policy Characteristics'!K:K,MATCH($C1132,'Policy Characteristics'!$C:$C,0))),"",INDEX('Policy Characteristics'!K:K,MATCH($C1132,'Policy Characteristics'!$C:$C,0)))</f>
        <v>architectural-design.html#rnd</v>
      </c>
      <c r="R1132" s="394" t="str">
        <f>IF(ISBLANK(INDEX('Policy Characteristics'!L:L,MATCH($C1132,'Policy Characteristics'!$C:$C,0))),"",INDEX('Policy Characteristics'!L:L,MATCH($C1132,'Policy Characteristics'!$C:$C,0)))</f>
        <v>research-and-development.html</v>
      </c>
    </row>
    <row r="1133" customHeight="1" spans="1:18">
      <c r="A1133" s="394" t="str">
        <f>IF(ISBLANK(INDEX('Policy Characteristics'!A:A,MATCH($C1133,'Policy Characteristics'!$C:$C,0))),"",INDEX('Policy Characteristics'!A:A,MATCH($C1133,'Policy Characteristics'!$C:$C,0)))</f>
        <v>Research and Development</v>
      </c>
      <c r="B1133" s="395" t="str">
        <f>IF(ISBLANK(INDEX('Policy Characteristics'!B:B,MATCH($C1133,'Policy Characteristics'!$C:$C,0))),"",INDEX('Policy Characteristics'!B:B,MATCH($C1133,'Policy Characteristics'!$C:$C,0)))</f>
        <v>Capital Cost Reduction</v>
      </c>
      <c r="C1133" s="394" t="str">
        <f t="shared" si="58"/>
        <v>RnD Electricity Capital Cost Perc Reduction</v>
      </c>
      <c r="D1133" s="399" t="s">
        <v>705</v>
      </c>
      <c r="E1133" s="401"/>
      <c r="F1133" s="399" t="s">
        <v>877</v>
      </c>
      <c r="G1133" s="399"/>
      <c r="H1133" s="377">
        <v>94</v>
      </c>
      <c r="I1133" s="396" t="s">
        <v>648</v>
      </c>
      <c r="J1133" s="397" t="str">
        <f>IF(ISBLANK(INDEX('Policy Characteristics'!D:D,MATCH($C1133,'Policy Characteristics'!$C:$C,0))),"",INDEX('Policy Characteristics'!D:D,MATCH($C1133,'Policy Characteristics'!$C:$C,0)))</f>
        <v>R&amp;D Capital Cost Reductions</v>
      </c>
      <c r="K1133" s="394" t="str">
        <f>IF(ISBLANK(INDEX('Policy Characteristics'!E:E,MATCH($C1133,'Policy Characteristics'!$C:$C,0))),"",INDEX('Policy Characteristics'!E:E,MATCH($C1133,'Policy Characteristics'!$C:$C,0)))</f>
        <v>RnD electricity capital cost reduction</v>
      </c>
      <c r="L1133" s="398">
        <f>IF(ISBLANK(INDEX('Policy Characteristics'!F:F,MATCH($C1133,'Policy Characteristics'!$C:$C,0))),"",INDEX('Policy Characteristics'!F:F,MATCH($C1133,'Policy Characteristics'!$C:$C,0)))</f>
        <v>0</v>
      </c>
      <c r="M1133" s="398">
        <f>IF(ISBLANK(INDEX('Policy Characteristics'!G:G,MATCH($C1133,'Policy Characteristics'!$C:$C,0))),"",INDEX('Policy Characteristics'!G:G,MATCH($C1133,'Policy Characteristics'!$C:$C,0)))</f>
        <v>0.4</v>
      </c>
      <c r="N1133" s="398">
        <f>IF(ISBLANK(INDEX('Policy Characteristics'!H:H,MATCH($C1133,'Policy Characteristics'!$C:$C,0))),"",INDEX('Policy Characteristics'!H:H,MATCH($C1133,'Policy Characteristics'!$C:$C,0)))</f>
        <v>0.01</v>
      </c>
      <c r="O1133" s="394" t="str">
        <f>IF(ISBLANK(INDEX('Policy Characteristics'!I:I,MATCH($C1133,'Policy Characteristics'!$C:$C,0))),"",INDEX('Policy Characteristics'!I:I,MATCH($C1133,'Policy Characteristics'!$C:$C,0)))</f>
        <v>% reduction in cost</v>
      </c>
      <c r="P1133" s="394" t="str">
        <f>IF(ISBLANK(INDEX('Policy Characteristics'!J:J,MATCH($C1133,'Policy Characteristics'!$C:$C,0))),"",INDEX('Policy Characteristics'!J:J,MATCH($C1133,'Policy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3" s="394" t="str">
        <f>IF(ISBLANK(INDEX('Policy Characteristics'!K:K,MATCH($C1133,'Policy Characteristics'!$C:$C,0))),"",INDEX('Policy Characteristics'!K:K,MATCH($C1133,'Policy Characteristics'!$C:$C,0)))</f>
        <v>architectural-design.html#rnd</v>
      </c>
      <c r="R1133" s="394" t="str">
        <f>IF(ISBLANK(INDEX('Policy Characteristics'!L:L,MATCH($C1133,'Policy Characteristics'!$C:$C,0))),"",INDEX('Policy Characteristics'!L:L,MATCH($C1133,'Policy Characteristics'!$C:$C,0)))</f>
        <v>research-and-development.html</v>
      </c>
    </row>
    <row r="1134" customHeight="1" spans="1:18">
      <c r="A1134" s="394" t="str">
        <f>IF(ISBLANK(INDEX('Policy Characteristics'!A:A,MATCH($C1134,'Policy Characteristics'!$C:$C,0))),"",INDEX('Policy Characteristics'!A:A,MATCH($C1134,'Policy Characteristics'!$C:$C,0)))</f>
        <v>Research and Development</v>
      </c>
      <c r="B1134" s="395" t="str">
        <f>IF(ISBLANK(INDEX('Policy Characteristics'!B:B,MATCH($C1134,'Policy Characteristics'!$C:$C,0))),"",INDEX('Policy Characteristics'!B:B,MATCH($C1134,'Policy Characteristics'!$C:$C,0)))</f>
        <v>Capital Cost Reduction</v>
      </c>
      <c r="C1134" s="394" t="str">
        <f t="shared" si="58"/>
        <v>RnD Electricity Capital Cost Perc Reduction</v>
      </c>
      <c r="D1134" s="399" t="s">
        <v>707</v>
      </c>
      <c r="E1134" s="401"/>
      <c r="F1134" s="399" t="s">
        <v>878</v>
      </c>
      <c r="G1134" s="399"/>
      <c r="H1134" s="377">
        <v>95</v>
      </c>
      <c r="I1134" s="396" t="s">
        <v>648</v>
      </c>
      <c r="J1134" s="397" t="str">
        <f>IF(ISBLANK(INDEX('Policy Characteristics'!D:D,MATCH($C1134,'Policy Characteristics'!$C:$C,0))),"",INDEX('Policy Characteristics'!D:D,MATCH($C1134,'Policy Characteristics'!$C:$C,0)))</f>
        <v>R&amp;D Capital Cost Reductions</v>
      </c>
      <c r="K1134" s="394" t="str">
        <f>IF(ISBLANK(INDEX('Policy Characteristics'!E:E,MATCH($C1134,'Policy Characteristics'!$C:$C,0))),"",INDEX('Policy Characteristics'!E:E,MATCH($C1134,'Policy Characteristics'!$C:$C,0)))</f>
        <v>RnD electricity capital cost reduction</v>
      </c>
      <c r="L1134" s="398">
        <f>IF(ISBLANK(INDEX('Policy Characteristics'!F:F,MATCH($C1134,'Policy Characteristics'!$C:$C,0))),"",INDEX('Policy Characteristics'!F:F,MATCH($C1134,'Policy Characteristics'!$C:$C,0)))</f>
        <v>0</v>
      </c>
      <c r="M1134" s="398">
        <f>IF(ISBLANK(INDEX('Policy Characteristics'!G:G,MATCH($C1134,'Policy Characteristics'!$C:$C,0))),"",INDEX('Policy Characteristics'!G:G,MATCH($C1134,'Policy Characteristics'!$C:$C,0)))</f>
        <v>0.4</v>
      </c>
      <c r="N1134" s="398">
        <f>IF(ISBLANK(INDEX('Policy Characteristics'!H:H,MATCH($C1134,'Policy Characteristics'!$C:$C,0))),"",INDEX('Policy Characteristics'!H:H,MATCH($C1134,'Policy Characteristics'!$C:$C,0)))</f>
        <v>0.01</v>
      </c>
      <c r="O1134" s="394" t="str">
        <f>IF(ISBLANK(INDEX('Policy Characteristics'!I:I,MATCH($C1134,'Policy Characteristics'!$C:$C,0))),"",INDEX('Policy Characteristics'!I:I,MATCH($C1134,'Policy Characteristics'!$C:$C,0)))</f>
        <v>% reduction in cost</v>
      </c>
      <c r="P1134" s="394" t="str">
        <f>IF(ISBLANK(INDEX('Policy Characteristics'!J:J,MATCH($C1134,'Policy Characteristics'!$C:$C,0))),"",INDEX('Policy Characteristics'!J:J,MATCH($C1134,'Policy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4" s="394" t="str">
        <f>IF(ISBLANK(INDEX('Policy Characteristics'!K:K,MATCH($C1134,'Policy Characteristics'!$C:$C,0))),"",INDEX('Policy Characteristics'!K:K,MATCH($C1134,'Policy Characteristics'!$C:$C,0)))</f>
        <v>architectural-design.html#rnd</v>
      </c>
      <c r="R1134" s="394" t="str">
        <f>IF(ISBLANK(INDEX('Policy Characteristics'!L:L,MATCH($C1134,'Policy Characteristics'!$C:$C,0))),"",INDEX('Policy Characteristics'!L:L,MATCH($C1134,'Policy Characteristics'!$C:$C,0)))</f>
        <v>research-and-development.html</v>
      </c>
    </row>
    <row r="1135" customHeight="1" spans="1:18">
      <c r="A1135" s="394" t="str">
        <f>IF(ISBLANK(INDEX('Policy Characteristics'!A:A,MATCH($C1135,'Policy Characteristics'!$C:$C,0))),"",INDEX('Policy Characteristics'!A:A,MATCH($C1135,'Policy Characteristics'!$C:$C,0)))</f>
        <v>Research and Development</v>
      </c>
      <c r="B1135" s="395" t="str">
        <f>IF(ISBLANK(INDEX('Policy Characteristics'!B:B,MATCH($C1135,'Policy Characteristics'!$C:$C,0))),"",INDEX('Policy Characteristics'!B:B,MATCH($C1135,'Policy Characteristics'!$C:$C,0)))</f>
        <v>Capital Cost Reduction</v>
      </c>
      <c r="C1135" s="394" t="str">
        <f t="shared" si="58"/>
        <v>RnD Electricity Capital Cost Perc Reduction</v>
      </c>
      <c r="D1135" s="399" t="s">
        <v>709</v>
      </c>
      <c r="E1135" s="401"/>
      <c r="F1135" s="399" t="s">
        <v>879</v>
      </c>
      <c r="G1135" s="399"/>
      <c r="H1135" s="377">
        <v>96</v>
      </c>
      <c r="I1135" s="396" t="s">
        <v>648</v>
      </c>
      <c r="J1135" s="397" t="str">
        <f>IF(ISBLANK(INDEX('Policy Characteristics'!D:D,MATCH($C1135,'Policy Characteristics'!$C:$C,0))),"",INDEX('Policy Characteristics'!D:D,MATCH($C1135,'Policy Characteristics'!$C:$C,0)))</f>
        <v>R&amp;D Capital Cost Reductions</v>
      </c>
      <c r="K1135" s="394" t="str">
        <f>IF(ISBLANK(INDEX('Policy Characteristics'!E:E,MATCH($C1135,'Policy Characteristics'!$C:$C,0))),"",INDEX('Policy Characteristics'!E:E,MATCH($C1135,'Policy Characteristics'!$C:$C,0)))</f>
        <v>RnD electricity capital cost reduction</v>
      </c>
      <c r="L1135" s="398">
        <f>IF(ISBLANK(INDEX('Policy Characteristics'!F:F,MATCH($C1135,'Policy Characteristics'!$C:$C,0))),"",INDEX('Policy Characteristics'!F:F,MATCH($C1135,'Policy Characteristics'!$C:$C,0)))</f>
        <v>0</v>
      </c>
      <c r="M1135" s="398">
        <f>IF(ISBLANK(INDEX('Policy Characteristics'!G:G,MATCH($C1135,'Policy Characteristics'!$C:$C,0))),"",INDEX('Policy Characteristics'!G:G,MATCH($C1135,'Policy Characteristics'!$C:$C,0)))</f>
        <v>0.4</v>
      </c>
      <c r="N1135" s="398">
        <f>IF(ISBLANK(INDEX('Policy Characteristics'!H:H,MATCH($C1135,'Policy Characteristics'!$C:$C,0))),"",INDEX('Policy Characteristics'!H:H,MATCH($C1135,'Policy Characteristics'!$C:$C,0)))</f>
        <v>0.01</v>
      </c>
      <c r="O1135" s="394" t="str">
        <f>IF(ISBLANK(INDEX('Policy Characteristics'!I:I,MATCH($C1135,'Policy Characteristics'!$C:$C,0))),"",INDEX('Policy Characteristics'!I:I,MATCH($C1135,'Policy Characteristics'!$C:$C,0)))</f>
        <v>% reduction in cost</v>
      </c>
      <c r="P1135" s="394" t="str">
        <f>IF(ISBLANK(INDEX('Policy Characteristics'!J:J,MATCH($C1135,'Policy Characteristics'!$C:$C,0))),"",INDEX('Policy Characteristics'!J:J,MATCH($C1135,'Policy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5" s="394" t="str">
        <f>IF(ISBLANK(INDEX('Policy Characteristics'!K:K,MATCH($C1135,'Policy Characteristics'!$C:$C,0))),"",INDEX('Policy Characteristics'!K:K,MATCH($C1135,'Policy Characteristics'!$C:$C,0)))</f>
        <v>architectural-design.html#rnd</v>
      </c>
      <c r="R1135" s="394" t="str">
        <f>IF(ISBLANK(INDEX('Policy Characteristics'!L:L,MATCH($C1135,'Policy Characteristics'!$C:$C,0))),"",INDEX('Policy Characteristics'!L:L,MATCH($C1135,'Policy Characteristics'!$C:$C,0)))</f>
        <v>research-and-development.html</v>
      </c>
    </row>
    <row r="1136" customHeight="1" spans="1:18">
      <c r="A1136" s="394" t="str">
        <f>IF(ISBLANK(INDEX('Policy Characteristics'!A:A,MATCH($C1136,'Policy Characteristics'!$C:$C,0))),"",INDEX('Policy Characteristics'!A:A,MATCH($C1136,'Policy Characteristics'!$C:$C,0)))</f>
        <v>Research and Development</v>
      </c>
      <c r="B1136" s="395" t="str">
        <f>IF(ISBLANK(INDEX('Policy Characteristics'!B:B,MATCH($C1136,'Policy Characteristics'!$C:$C,0))),"",INDEX('Policy Characteristics'!B:B,MATCH($C1136,'Policy Characteristics'!$C:$C,0)))</f>
        <v>Capital Cost Reduction</v>
      </c>
      <c r="C1136" s="394" t="str">
        <f t="shared" si="58"/>
        <v>RnD Electricity Capital Cost Perc Reduction</v>
      </c>
      <c r="D1136" s="399" t="s">
        <v>711</v>
      </c>
      <c r="E1136" s="401"/>
      <c r="F1136" s="399" t="s">
        <v>880</v>
      </c>
      <c r="G1136" s="399"/>
      <c r="H1136" s="377">
        <v>97</v>
      </c>
      <c r="I1136" s="396" t="s">
        <v>648</v>
      </c>
      <c r="J1136" s="397" t="str">
        <f>IF(ISBLANK(INDEX('Policy Characteristics'!D:D,MATCH($C1136,'Policy Characteristics'!$C:$C,0))),"",INDEX('Policy Characteristics'!D:D,MATCH($C1136,'Policy Characteristics'!$C:$C,0)))</f>
        <v>R&amp;D Capital Cost Reductions</v>
      </c>
      <c r="K1136" s="394" t="str">
        <f>IF(ISBLANK(INDEX('Policy Characteristics'!E:E,MATCH($C1136,'Policy Characteristics'!$C:$C,0))),"",INDEX('Policy Characteristics'!E:E,MATCH($C1136,'Policy Characteristics'!$C:$C,0)))</f>
        <v>RnD electricity capital cost reduction</v>
      </c>
      <c r="L1136" s="398">
        <f>IF(ISBLANK(INDEX('Policy Characteristics'!F:F,MATCH($C1136,'Policy Characteristics'!$C:$C,0))),"",INDEX('Policy Characteristics'!F:F,MATCH($C1136,'Policy Characteristics'!$C:$C,0)))</f>
        <v>0</v>
      </c>
      <c r="M1136" s="398">
        <f>IF(ISBLANK(INDEX('Policy Characteristics'!G:G,MATCH($C1136,'Policy Characteristics'!$C:$C,0))),"",INDEX('Policy Characteristics'!G:G,MATCH($C1136,'Policy Characteristics'!$C:$C,0)))</f>
        <v>0.4</v>
      </c>
      <c r="N1136" s="398">
        <f>IF(ISBLANK(INDEX('Policy Characteristics'!H:H,MATCH($C1136,'Policy Characteristics'!$C:$C,0))),"",INDEX('Policy Characteristics'!H:H,MATCH($C1136,'Policy Characteristics'!$C:$C,0)))</f>
        <v>0.01</v>
      </c>
      <c r="O1136" s="394" t="str">
        <f>IF(ISBLANK(INDEX('Policy Characteristics'!I:I,MATCH($C1136,'Policy Characteristics'!$C:$C,0))),"",INDEX('Policy Characteristics'!I:I,MATCH($C1136,'Policy Characteristics'!$C:$C,0)))</f>
        <v>% reduction in cost</v>
      </c>
      <c r="P1136" s="394" t="str">
        <f>IF(ISBLANK(INDEX('Policy Characteristics'!J:J,MATCH($C1136,'Policy Characteristics'!$C:$C,0))),"",INDEX('Policy Characteristics'!J:J,MATCH($C1136,'Policy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6" s="394" t="str">
        <f>IF(ISBLANK(INDEX('Policy Characteristics'!K:K,MATCH($C1136,'Policy Characteristics'!$C:$C,0))),"",INDEX('Policy Characteristics'!K:K,MATCH($C1136,'Policy Characteristics'!$C:$C,0)))</f>
        <v>architectural-design.html#rnd</v>
      </c>
      <c r="R1136" s="394" t="str">
        <f>IF(ISBLANK(INDEX('Policy Characteristics'!L:L,MATCH($C1136,'Policy Characteristics'!$C:$C,0))),"",INDEX('Policy Characteristics'!L:L,MATCH($C1136,'Policy Characteristics'!$C:$C,0)))</f>
        <v>research-and-development.html</v>
      </c>
    </row>
    <row r="1137" customHeight="1" spans="1:18">
      <c r="A1137" s="394" t="str">
        <f>IF(ISBLANK(INDEX('Policy Characteristics'!A:A,MATCH($C1137,'Policy Characteristics'!$C:$C,0))),"",INDEX('Policy Characteristics'!A:A,MATCH($C1137,'Policy Characteristics'!$C:$C,0)))</f>
        <v>Research and Development</v>
      </c>
      <c r="B1137" s="395" t="str">
        <f>IF(ISBLANK(INDEX('Policy Characteristics'!B:B,MATCH($C1137,'Policy Characteristics'!$C:$C,0))),"",INDEX('Policy Characteristics'!B:B,MATCH($C1137,'Policy Characteristics'!$C:$C,0)))</f>
        <v>Capital Cost Reduction</v>
      </c>
      <c r="C1137" s="394" t="str">
        <f t="shared" si="58"/>
        <v>RnD Electricity Capital Cost Perc Reduction</v>
      </c>
      <c r="D1137" s="399" t="s">
        <v>713</v>
      </c>
      <c r="E1137" s="401"/>
      <c r="F1137" s="399" t="s">
        <v>881</v>
      </c>
      <c r="G1137" s="399"/>
      <c r="H1137" s="377">
        <v>98</v>
      </c>
      <c r="I1137" s="396" t="s">
        <v>648</v>
      </c>
      <c r="J1137" s="397" t="str">
        <f>IF(ISBLANK(INDEX('Policy Characteristics'!D:D,MATCH($C1137,'Policy Characteristics'!$C:$C,0))),"",INDEX('Policy Characteristics'!D:D,MATCH($C1137,'Policy Characteristics'!$C:$C,0)))</f>
        <v>R&amp;D Capital Cost Reductions</v>
      </c>
      <c r="K1137" s="394" t="str">
        <f>IF(ISBLANK(INDEX('Policy Characteristics'!E:E,MATCH($C1137,'Policy Characteristics'!$C:$C,0))),"",INDEX('Policy Characteristics'!E:E,MATCH($C1137,'Policy Characteristics'!$C:$C,0)))</f>
        <v>RnD electricity capital cost reduction</v>
      </c>
      <c r="L1137" s="398">
        <f>IF(ISBLANK(INDEX('Policy Characteristics'!F:F,MATCH($C1137,'Policy Characteristics'!$C:$C,0))),"",INDEX('Policy Characteristics'!F:F,MATCH($C1137,'Policy Characteristics'!$C:$C,0)))</f>
        <v>0</v>
      </c>
      <c r="M1137" s="398">
        <f>IF(ISBLANK(INDEX('Policy Characteristics'!G:G,MATCH($C1137,'Policy Characteristics'!$C:$C,0))),"",INDEX('Policy Characteristics'!G:G,MATCH($C1137,'Policy Characteristics'!$C:$C,0)))</f>
        <v>0.4</v>
      </c>
      <c r="N1137" s="398">
        <f>IF(ISBLANK(INDEX('Policy Characteristics'!H:H,MATCH($C1137,'Policy Characteristics'!$C:$C,0))),"",INDEX('Policy Characteristics'!H:H,MATCH($C1137,'Policy Characteristics'!$C:$C,0)))</f>
        <v>0.01</v>
      </c>
      <c r="O1137" s="394" t="str">
        <f>IF(ISBLANK(INDEX('Policy Characteristics'!I:I,MATCH($C1137,'Policy Characteristics'!$C:$C,0))),"",INDEX('Policy Characteristics'!I:I,MATCH($C1137,'Policy Characteristics'!$C:$C,0)))</f>
        <v>% reduction in cost</v>
      </c>
      <c r="P1137" s="394" t="str">
        <f>IF(ISBLANK(INDEX('Policy Characteristics'!J:J,MATCH($C1137,'Policy Characteristics'!$C:$C,0))),"",INDEX('Policy Characteristics'!J:J,MATCH($C1137,'Policy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7" s="394" t="str">
        <f>IF(ISBLANK(INDEX('Policy Characteristics'!K:K,MATCH($C1137,'Policy Characteristics'!$C:$C,0))),"",INDEX('Policy Characteristics'!K:K,MATCH($C1137,'Policy Characteristics'!$C:$C,0)))</f>
        <v>architectural-design.html#rnd</v>
      </c>
      <c r="R1137" s="394" t="str">
        <f>IF(ISBLANK(INDEX('Policy Characteristics'!L:L,MATCH($C1137,'Policy Characteristics'!$C:$C,0))),"",INDEX('Policy Characteristics'!L:L,MATCH($C1137,'Policy Characteristics'!$C:$C,0)))</f>
        <v>research-and-development.html</v>
      </c>
    </row>
    <row r="1138" customHeight="1" spans="1:18">
      <c r="A1138" s="394" t="str">
        <f>IF(ISBLANK(INDEX('Policy Characteristics'!A:A,MATCH($C1138,'Policy Characteristics'!$C:$C,0))),"",INDEX('Policy Characteristics'!A:A,MATCH($C1138,'Policy Characteristics'!$C:$C,0)))</f>
        <v>Research and Development</v>
      </c>
      <c r="B1138" s="395" t="str">
        <f>IF(ISBLANK(INDEX('Policy Characteristics'!B:B,MATCH($C1138,'Policy Characteristics'!$C:$C,0))),"",INDEX('Policy Characteristics'!B:B,MATCH($C1138,'Policy Characteristics'!$C:$C,0)))</f>
        <v>Capital Cost Reduction</v>
      </c>
      <c r="C1138" s="394" t="str">
        <f t="shared" si="58"/>
        <v>RnD Electricity Capital Cost Perc Reduction</v>
      </c>
      <c r="D1138" s="399" t="s">
        <v>715</v>
      </c>
      <c r="E1138" s="401"/>
      <c r="F1138" s="399" t="s">
        <v>882</v>
      </c>
      <c r="G1138" s="399"/>
      <c r="H1138" s="377">
        <v>99</v>
      </c>
      <c r="I1138" s="396" t="s">
        <v>648</v>
      </c>
      <c r="J1138" s="397" t="str">
        <f>IF(ISBLANK(INDEX('Policy Characteristics'!D:D,MATCH($C1138,'Policy Characteristics'!$C:$C,0))),"",INDEX('Policy Characteristics'!D:D,MATCH($C1138,'Policy Characteristics'!$C:$C,0)))</f>
        <v>R&amp;D Capital Cost Reductions</v>
      </c>
      <c r="K1138" s="394" t="str">
        <f>IF(ISBLANK(INDEX('Policy Characteristics'!E:E,MATCH($C1138,'Policy Characteristics'!$C:$C,0))),"",INDEX('Policy Characteristics'!E:E,MATCH($C1138,'Policy Characteristics'!$C:$C,0)))</f>
        <v>RnD electricity capital cost reduction</v>
      </c>
      <c r="L1138" s="398">
        <f>IF(ISBLANK(INDEX('Policy Characteristics'!F:F,MATCH($C1138,'Policy Characteristics'!$C:$C,0))),"",INDEX('Policy Characteristics'!F:F,MATCH($C1138,'Policy Characteristics'!$C:$C,0)))</f>
        <v>0</v>
      </c>
      <c r="M1138" s="398">
        <f>IF(ISBLANK(INDEX('Policy Characteristics'!G:G,MATCH($C1138,'Policy Characteristics'!$C:$C,0))),"",INDEX('Policy Characteristics'!G:G,MATCH($C1138,'Policy Characteristics'!$C:$C,0)))</f>
        <v>0.4</v>
      </c>
      <c r="N1138" s="398">
        <f>IF(ISBLANK(INDEX('Policy Characteristics'!H:H,MATCH($C1138,'Policy Characteristics'!$C:$C,0))),"",INDEX('Policy Characteristics'!H:H,MATCH($C1138,'Policy Characteristics'!$C:$C,0)))</f>
        <v>0.01</v>
      </c>
      <c r="O1138" s="394" t="str">
        <f>IF(ISBLANK(INDEX('Policy Characteristics'!I:I,MATCH($C1138,'Policy Characteristics'!$C:$C,0))),"",INDEX('Policy Characteristics'!I:I,MATCH($C1138,'Policy Characteristics'!$C:$C,0)))</f>
        <v>% reduction in cost</v>
      </c>
      <c r="P1138" s="394" t="str">
        <f>IF(ISBLANK(INDEX('Policy Characteristics'!J:J,MATCH($C1138,'Policy Characteristics'!$C:$C,0))),"",INDEX('Policy Characteristics'!J:J,MATCH($C1138,'Policy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8" s="394" t="str">
        <f>IF(ISBLANK(INDEX('Policy Characteristics'!K:K,MATCH($C1138,'Policy Characteristics'!$C:$C,0))),"",INDEX('Policy Characteristics'!K:K,MATCH($C1138,'Policy Characteristics'!$C:$C,0)))</f>
        <v>architectural-design.html#rnd</v>
      </c>
      <c r="R1138" s="394" t="str">
        <f>IF(ISBLANK(INDEX('Policy Characteristics'!L:L,MATCH($C1138,'Policy Characteristics'!$C:$C,0))),"",INDEX('Policy Characteristics'!L:L,MATCH($C1138,'Policy Characteristics'!$C:$C,0)))</f>
        <v>research-and-development.html</v>
      </c>
    </row>
    <row r="1139" customHeight="1" spans="1:18">
      <c r="A1139" s="394" t="str">
        <f>IF(ISBLANK(INDEX('Policy Characteristics'!A:A,MATCH($C1139,'Policy Characteristics'!$C:$C,0))),"",INDEX('Policy Characteristics'!A:A,MATCH($C1139,'Policy Characteristics'!$C:$C,0)))</f>
        <v>Research and Development</v>
      </c>
      <c r="B1139" s="395" t="str">
        <f>IF(ISBLANK(INDEX('Policy Characteristics'!B:B,MATCH($C1139,'Policy Characteristics'!$C:$C,0))),"",INDEX('Policy Characteristics'!B:B,MATCH($C1139,'Policy Characteristics'!$C:$C,0)))</f>
        <v>Capital Cost Reduction</v>
      </c>
      <c r="C1139" s="394" t="str">
        <f t="shared" si="58"/>
        <v>RnD Electricity Capital Cost Perc Reduction</v>
      </c>
      <c r="D1139" s="399" t="s">
        <v>721</v>
      </c>
      <c r="E1139" s="401"/>
      <c r="F1139" s="399" t="s">
        <v>883</v>
      </c>
      <c r="G1139" s="399"/>
      <c r="H1139" s="377">
        <v>192</v>
      </c>
      <c r="I1139" s="396" t="s">
        <v>648</v>
      </c>
      <c r="J1139" s="397" t="str">
        <f>IF(ISBLANK(INDEX('Policy Characteristics'!D:D,MATCH($C1139,'Policy Characteristics'!$C:$C,0))),"",INDEX('Policy Characteristics'!D:D,MATCH($C1139,'Policy Characteristics'!$C:$C,0)))</f>
        <v>R&amp;D Capital Cost Reductions</v>
      </c>
      <c r="K1139" s="394" t="str">
        <f>IF(ISBLANK(INDEX('Policy Characteristics'!E:E,MATCH($C1139,'Policy Characteristics'!$C:$C,0))),"",INDEX('Policy Characteristics'!E:E,MATCH($C1139,'Policy Characteristics'!$C:$C,0)))</f>
        <v>RnD electricity capital cost reduction</v>
      </c>
      <c r="L1139" s="398">
        <f>IF(ISBLANK(INDEX('Policy Characteristics'!F:F,MATCH($C1139,'Policy Characteristics'!$C:$C,0))),"",INDEX('Policy Characteristics'!F:F,MATCH($C1139,'Policy Characteristics'!$C:$C,0)))</f>
        <v>0</v>
      </c>
      <c r="M1139" s="398">
        <f>IF(ISBLANK(INDEX('Policy Characteristics'!G:G,MATCH($C1139,'Policy Characteristics'!$C:$C,0))),"",INDEX('Policy Characteristics'!G:G,MATCH($C1139,'Policy Characteristics'!$C:$C,0)))</f>
        <v>0.4</v>
      </c>
      <c r="N1139" s="398">
        <f>IF(ISBLANK(INDEX('Policy Characteristics'!H:H,MATCH($C1139,'Policy Characteristics'!$C:$C,0))),"",INDEX('Policy Characteristics'!H:H,MATCH($C1139,'Policy Characteristics'!$C:$C,0)))</f>
        <v>0.01</v>
      </c>
      <c r="O1139" s="394" t="str">
        <f>IF(ISBLANK(INDEX('Policy Characteristics'!I:I,MATCH($C1139,'Policy Characteristics'!$C:$C,0))),"",INDEX('Policy Characteristics'!I:I,MATCH($C1139,'Policy Characteristics'!$C:$C,0)))</f>
        <v>% reduction in cost</v>
      </c>
      <c r="P1139" s="394" t="str">
        <f>IF(ISBLANK(INDEX('Policy Characteristics'!J:J,MATCH($C1139,'Policy Characteristics'!$C:$C,0))),"",INDEX('Policy Characteristics'!J:J,MATCH($C1139,'Policy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9" s="394" t="str">
        <f>IF(ISBLANK(INDEX('Policy Characteristics'!K:K,MATCH($C1139,'Policy Characteristics'!$C:$C,0))),"",INDEX('Policy Characteristics'!K:K,MATCH($C1139,'Policy Characteristics'!$C:$C,0)))</f>
        <v>architectural-design.html#rnd</v>
      </c>
      <c r="R1139" s="394" t="str">
        <f>IF(ISBLANK(INDEX('Policy Characteristics'!L:L,MATCH($C1139,'Policy Characteristics'!$C:$C,0))),"",INDEX('Policy Characteristics'!L:L,MATCH($C1139,'Policy Characteristics'!$C:$C,0)))</f>
        <v>research-and-development.html</v>
      </c>
    </row>
    <row r="1140" customHeight="1" spans="1:18">
      <c r="A1140" s="394" t="str">
        <f>IF(ISBLANK(INDEX('Policy Characteristics'!A:A,MATCH($C1140,'Policy Characteristics'!$C:$C,0))),"",INDEX('Policy Characteristics'!A:A,MATCH($C1140,'Policy Characteristics'!$C:$C,0)))</f>
        <v>Research and Development</v>
      </c>
      <c r="B1140" s="395" t="str">
        <f>IF(ISBLANK(INDEX('Policy Characteristics'!B:B,MATCH($C1140,'Policy Characteristics'!$C:$C,0))),"",INDEX('Policy Characteristics'!B:B,MATCH($C1140,'Policy Characteristics'!$C:$C,0)))</f>
        <v>Capital Cost Reduction</v>
      </c>
      <c r="C1140" s="394" t="str">
        <f t="shared" ref="C1140:C1141" si="59">C$1131</f>
        <v>RnD Electricity Capital Cost Perc Reduction</v>
      </c>
      <c r="D1140" s="399" t="s">
        <v>723</v>
      </c>
      <c r="E1140" s="401"/>
      <c r="F1140" s="400" t="s">
        <v>884</v>
      </c>
      <c r="G1140" s="399"/>
      <c r="H1140" s="377">
        <v>180</v>
      </c>
      <c r="I1140" s="396" t="s">
        <v>648</v>
      </c>
      <c r="J1140" s="397" t="str">
        <f>IF(ISBLANK(INDEX('Policy Characteristics'!D:D,MATCH($C1140,'Policy Characteristics'!$C:$C,0))),"",INDEX('Policy Characteristics'!D:D,MATCH($C1140,'Policy Characteristics'!$C:$C,0)))</f>
        <v>R&amp;D Capital Cost Reductions</v>
      </c>
      <c r="K1140" s="394" t="str">
        <f>IF(ISBLANK(INDEX('Policy Characteristics'!E:E,MATCH($C1140,'Policy Characteristics'!$C:$C,0))),"",INDEX('Policy Characteristics'!E:E,MATCH($C1140,'Policy Characteristics'!$C:$C,0)))</f>
        <v>RnD electricity capital cost reduction</v>
      </c>
      <c r="L1140" s="398">
        <f>IF(ISBLANK(INDEX('Policy Characteristics'!F:F,MATCH($C1140,'Policy Characteristics'!$C:$C,0))),"",INDEX('Policy Characteristics'!F:F,MATCH($C1140,'Policy Characteristics'!$C:$C,0)))</f>
        <v>0</v>
      </c>
      <c r="M1140" s="398">
        <f>IF(ISBLANK(INDEX('Policy Characteristics'!G:G,MATCH($C1140,'Policy Characteristics'!$C:$C,0))),"",INDEX('Policy Characteristics'!G:G,MATCH($C1140,'Policy Characteristics'!$C:$C,0)))</f>
        <v>0.4</v>
      </c>
      <c r="N1140" s="398">
        <f>IF(ISBLANK(INDEX('Policy Characteristics'!H:H,MATCH($C1140,'Policy Characteristics'!$C:$C,0))),"",INDEX('Policy Characteristics'!H:H,MATCH($C1140,'Policy Characteristics'!$C:$C,0)))</f>
        <v>0.01</v>
      </c>
      <c r="O1140" s="394" t="str">
        <f>IF(ISBLANK(INDEX('Policy Characteristics'!I:I,MATCH($C1140,'Policy Characteristics'!$C:$C,0))),"",INDEX('Policy Characteristics'!I:I,MATCH($C1140,'Policy Characteristics'!$C:$C,0)))</f>
        <v>% reduction in cost</v>
      </c>
      <c r="P1140" s="394" t="str">
        <f>IF(ISBLANK(INDEX('Policy Characteristics'!J:J,MATCH($C1140,'Policy Characteristics'!$C:$C,0))),"",INDEX('Policy Characteristics'!J:J,MATCH($C1140,'Policy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0" s="394" t="str">
        <f>IF(ISBLANK(INDEX('Policy Characteristics'!K:K,MATCH($C1140,'Policy Characteristics'!$C:$C,0))),"",INDEX('Policy Characteristics'!K:K,MATCH($C1140,'Policy Characteristics'!$C:$C,0)))</f>
        <v>architectural-design.html#rnd</v>
      </c>
      <c r="R1140" s="394" t="str">
        <f>IF(ISBLANK(INDEX('Policy Characteristics'!L:L,MATCH($C1140,'Policy Characteristics'!$C:$C,0))),"",INDEX('Policy Characteristics'!L:L,MATCH($C1140,'Policy Characteristics'!$C:$C,0)))</f>
        <v>research-and-development.html</v>
      </c>
    </row>
    <row r="1141" customHeight="1" spans="1:18">
      <c r="A1141" s="394" t="str">
        <f>IF(ISBLANK(INDEX('Policy Characteristics'!A:A,MATCH($C1141,'Policy Characteristics'!$C:$C,0))),"",INDEX('Policy Characteristics'!A:A,MATCH($C1141,'Policy Characteristics'!$C:$C,0)))</f>
        <v>Research and Development</v>
      </c>
      <c r="B1141" s="395" t="str">
        <f>IF(ISBLANK(INDEX('Policy Characteristics'!B:B,MATCH($C1141,'Policy Characteristics'!$C:$C,0))),"",INDEX('Policy Characteristics'!B:B,MATCH($C1141,'Policy Characteristics'!$C:$C,0)))</f>
        <v>Capital Cost Reduction</v>
      </c>
      <c r="C1141" s="394" t="str">
        <f t="shared" si="59"/>
        <v>RnD Electricity Capital Cost Perc Reduction</v>
      </c>
      <c r="D1141" s="399" t="s">
        <v>725</v>
      </c>
      <c r="E1141" s="401"/>
      <c r="F1141" s="399" t="s">
        <v>885</v>
      </c>
      <c r="G1141" s="399"/>
      <c r="H1141" s="377">
        <v>183</v>
      </c>
      <c r="I1141" s="396" t="s">
        <v>648</v>
      </c>
      <c r="J1141" s="397" t="str">
        <f>IF(ISBLANK(INDEX('Policy Characteristics'!D:D,MATCH($C1141,'Policy Characteristics'!$C:$C,0))),"",INDEX('Policy Characteristics'!D:D,MATCH($C1141,'Policy Characteristics'!$C:$C,0)))</f>
        <v>R&amp;D Capital Cost Reductions</v>
      </c>
      <c r="K1141" s="394" t="str">
        <f>IF(ISBLANK(INDEX('Policy Characteristics'!E:E,MATCH($C1141,'Policy Characteristics'!$C:$C,0))),"",INDEX('Policy Characteristics'!E:E,MATCH($C1141,'Policy Characteristics'!$C:$C,0)))</f>
        <v>RnD electricity capital cost reduction</v>
      </c>
      <c r="L1141" s="398">
        <f>IF(ISBLANK(INDEX('Policy Characteristics'!F:F,MATCH($C1141,'Policy Characteristics'!$C:$C,0))),"",INDEX('Policy Characteristics'!F:F,MATCH($C1141,'Policy Characteristics'!$C:$C,0)))</f>
        <v>0</v>
      </c>
      <c r="M1141" s="398">
        <f>IF(ISBLANK(INDEX('Policy Characteristics'!G:G,MATCH($C1141,'Policy Characteristics'!$C:$C,0))),"",INDEX('Policy Characteristics'!G:G,MATCH($C1141,'Policy Characteristics'!$C:$C,0)))</f>
        <v>0.4</v>
      </c>
      <c r="N1141" s="398">
        <f>IF(ISBLANK(INDEX('Policy Characteristics'!H:H,MATCH($C1141,'Policy Characteristics'!$C:$C,0))),"",INDEX('Policy Characteristics'!H:H,MATCH($C1141,'Policy Characteristics'!$C:$C,0)))</f>
        <v>0.01</v>
      </c>
      <c r="O1141" s="394" t="str">
        <f>IF(ISBLANK(INDEX('Policy Characteristics'!I:I,MATCH($C1141,'Policy Characteristics'!$C:$C,0))),"",INDEX('Policy Characteristics'!I:I,MATCH($C1141,'Policy Characteristics'!$C:$C,0)))</f>
        <v>% reduction in cost</v>
      </c>
      <c r="P1141" s="394" t="str">
        <f>IF(ISBLANK(INDEX('Policy Characteristics'!J:J,MATCH($C1141,'Policy Characteristics'!$C:$C,0))),"",INDEX('Policy Characteristics'!J:J,MATCH($C1141,'Policy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1" s="394" t="str">
        <f>IF(ISBLANK(INDEX('Policy Characteristics'!K:K,MATCH($C1141,'Policy Characteristics'!$C:$C,0))),"",INDEX('Policy Characteristics'!K:K,MATCH($C1141,'Policy Characteristics'!$C:$C,0)))</f>
        <v>architectural-design.html#rnd</v>
      </c>
      <c r="R1141" s="394" t="str">
        <f>IF(ISBLANK(INDEX('Policy Characteristics'!L:L,MATCH($C1141,'Policy Characteristics'!$C:$C,0))),"",INDEX('Policy Characteristics'!L:L,MATCH($C1141,'Policy Characteristics'!$C:$C,0)))</f>
        <v>research-and-development.html</v>
      </c>
    </row>
    <row r="1142" customHeight="1" spans="1:18">
      <c r="A1142" s="394" t="str">
        <f>IF(ISBLANK(INDEX('Policy Characteristics'!A:A,MATCH($C1142,'Policy Characteristics'!$C:$C,0))),"",INDEX('Policy Characteristics'!A:A,MATCH($C1142,'Policy Characteristics'!$C:$C,0)))</f>
        <v>Research and Development</v>
      </c>
      <c r="B1142" s="395" t="str">
        <f>IF(ISBLANK(INDEX('Policy Characteristics'!B:B,MATCH($C1142,'Policy Characteristics'!$C:$C,0))),"",INDEX('Policy Characteristics'!B:B,MATCH($C1142,'Policy Characteristics'!$C:$C,0)))</f>
        <v>Capital Cost Reduction</v>
      </c>
      <c r="C1142" t="s">
        <v>576</v>
      </c>
      <c r="D1142" t="s">
        <v>738</v>
      </c>
      <c r="E1142" s="399"/>
      <c r="F1142" s="399" t="s">
        <v>886</v>
      </c>
      <c r="G1142" s="399"/>
      <c r="H1142" s="377">
        <v>1462</v>
      </c>
      <c r="I1142" s="396" t="s">
        <v>648</v>
      </c>
      <c r="J1142" s="397" t="str">
        <f>IF(ISBLANK(INDEX('Policy Characteristics'!D:D,MATCH($C1142,'Policy Characteristics'!$C:$C,0))),"",INDEX('Policy Characteristics'!D:D,MATCH($C1142,'Policy Characteristics'!$C:$C,0)))</f>
        <v>R&amp;D Capital Cost Reductions</v>
      </c>
      <c r="K1142" s="394" t="str">
        <f>IF(ISBLANK(INDEX('Policy Characteristics'!E:E,MATCH($C1142,'Policy Characteristics'!$C:$C,0))),"",INDEX('Policy Characteristics'!E:E,MATCH($C1142,'Policy Characteristics'!$C:$C,0)))</f>
        <v>RnD industry capital cost reduction</v>
      </c>
      <c r="L1142" s="398">
        <f>IF(ISBLANK(INDEX('Policy Characteristics'!F:F,MATCH($C1142,'Policy Characteristics'!$C:$C,0))),"",INDEX('Policy Characteristics'!F:F,MATCH($C1142,'Policy Characteristics'!$C:$C,0)))</f>
        <v>0</v>
      </c>
      <c r="M1142" s="398">
        <f>IF(ISBLANK(INDEX('Policy Characteristics'!G:G,MATCH($C1142,'Policy Characteristics'!$C:$C,0))),"",INDEX('Policy Characteristics'!G:G,MATCH($C1142,'Policy Characteristics'!$C:$C,0)))</f>
        <v>0.4</v>
      </c>
      <c r="N1142" s="398">
        <f>IF(ISBLANK(INDEX('Policy Characteristics'!H:H,MATCH($C1142,'Policy Characteristics'!$C:$C,0))),"",INDEX('Policy Characteristics'!H:H,MATCH($C1142,'Policy Characteristics'!$C:$C,0)))</f>
        <v>0.01</v>
      </c>
      <c r="O1142" s="394" t="str">
        <f>IF(ISBLANK(INDEX('Policy Characteristics'!I:I,MATCH($C1142,'Policy Characteristics'!$C:$C,0))),"",INDEX('Policy Characteristics'!I:I,MATCH($C1142,'Policy Characteristics'!$C:$C,0)))</f>
        <v>% reduction in cost</v>
      </c>
      <c r="P1142" s="394" t="str">
        <f>IF(ISBLANK(INDEX('Policy Characteristics'!J:J,MATCH($C1142,'Policy Characteristics'!$C:$C,0))),"",INDEX('Policy Characteristics'!J:J,MATCH($C1142,'Policy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2" s="394" t="str">
        <f>IF(ISBLANK(INDEX('Policy Characteristics'!K:K,MATCH($C1142,'Policy Characteristics'!$C:$C,0))),"",INDEX('Policy Characteristics'!K:K,MATCH($C1142,'Policy Characteristics'!$C:$C,0)))</f>
        <v>architectural-design.html#rnd</v>
      </c>
      <c r="R1142" s="394" t="str">
        <f>IF(ISBLANK(INDEX('Policy Characteristics'!L:L,MATCH($C1142,'Policy Characteristics'!$C:$C,0))),"",INDEX('Policy Characteristics'!L:L,MATCH($C1142,'Policy Characteristics'!$C:$C,0)))</f>
        <v>research-and-development.html</v>
      </c>
    </row>
    <row r="1143" customHeight="1" spans="1:18">
      <c r="A1143" s="394" t="str">
        <f>IF(ISBLANK(INDEX('Policy Characteristics'!A:A,MATCH($C1143,'Policy Characteristics'!$C:$C,0))),"",INDEX('Policy Characteristics'!A:A,MATCH($C1143,'Policy Characteristics'!$C:$C,0)))</f>
        <v>Research and Development</v>
      </c>
      <c r="B1143" s="395" t="str">
        <f>IF(ISBLANK(INDEX('Policy Characteristics'!B:B,MATCH($C1143,'Policy Characteristics'!$C:$C,0))),"",INDEX('Policy Characteristics'!B:B,MATCH($C1143,'Policy Characteristics'!$C:$C,0)))</f>
        <v>Capital Cost Reduction</v>
      </c>
      <c r="C1143" s="394" t="str">
        <f t="shared" ref="C1143:C1166" si="60">C$1142</f>
        <v>RnD Industry Capital Cost Perc Reduction</v>
      </c>
      <c r="D1143" t="s">
        <v>740</v>
      </c>
      <c r="E1143" s="399"/>
      <c r="F1143" s="399" t="s">
        <v>887</v>
      </c>
      <c r="G1143" s="399"/>
      <c r="H1143" s="377">
        <v>1463</v>
      </c>
      <c r="I1143" s="396" t="s">
        <v>648</v>
      </c>
      <c r="J1143" s="397" t="str">
        <f>IF(ISBLANK(INDEX('Policy Characteristics'!D:D,MATCH($C1143,'Policy Characteristics'!$C:$C,0))),"",INDEX('Policy Characteristics'!D:D,MATCH($C1143,'Policy Characteristics'!$C:$C,0)))</f>
        <v>R&amp;D Capital Cost Reductions</v>
      </c>
      <c r="K1143" s="394" t="str">
        <f>IF(ISBLANK(INDEX('Policy Characteristics'!E:E,MATCH($C1143,'Policy Characteristics'!$C:$C,0))),"",INDEX('Policy Characteristics'!E:E,MATCH($C1143,'Policy Characteristics'!$C:$C,0)))</f>
        <v>RnD industry capital cost reduction</v>
      </c>
      <c r="L1143" s="398">
        <f>IF(ISBLANK(INDEX('Policy Characteristics'!F:F,MATCH($C1143,'Policy Characteristics'!$C:$C,0))),"",INDEX('Policy Characteristics'!F:F,MATCH($C1143,'Policy Characteristics'!$C:$C,0)))</f>
        <v>0</v>
      </c>
      <c r="M1143" s="398">
        <f>IF(ISBLANK(INDEX('Policy Characteristics'!G:G,MATCH($C1143,'Policy Characteristics'!$C:$C,0))),"",INDEX('Policy Characteristics'!G:G,MATCH($C1143,'Policy Characteristics'!$C:$C,0)))</f>
        <v>0.4</v>
      </c>
      <c r="N1143" s="398">
        <f>IF(ISBLANK(INDEX('Policy Characteristics'!H:H,MATCH($C1143,'Policy Characteristics'!$C:$C,0))),"",INDEX('Policy Characteristics'!H:H,MATCH($C1143,'Policy Characteristics'!$C:$C,0)))</f>
        <v>0.01</v>
      </c>
      <c r="O1143" s="394" t="str">
        <f>IF(ISBLANK(INDEX('Policy Characteristics'!I:I,MATCH($C1143,'Policy Characteristics'!$C:$C,0))),"",INDEX('Policy Characteristics'!I:I,MATCH($C1143,'Policy Characteristics'!$C:$C,0)))</f>
        <v>% reduction in cost</v>
      </c>
      <c r="P1143" s="394" t="str">
        <f>IF(ISBLANK(INDEX('Policy Characteristics'!J:J,MATCH($C1143,'Policy Characteristics'!$C:$C,0))),"",INDEX('Policy Characteristics'!J:J,MATCH($C1143,'Policy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3" s="394" t="str">
        <f>IF(ISBLANK(INDEX('Policy Characteristics'!K:K,MATCH($C1143,'Policy Characteristics'!$C:$C,0))),"",INDEX('Policy Characteristics'!K:K,MATCH($C1143,'Policy Characteristics'!$C:$C,0)))</f>
        <v>architectural-design.html#rnd</v>
      </c>
      <c r="R1143" s="394" t="str">
        <f>IF(ISBLANK(INDEX('Policy Characteristics'!L:L,MATCH($C1143,'Policy Characteristics'!$C:$C,0))),"",INDEX('Policy Characteristics'!L:L,MATCH($C1143,'Policy Characteristics'!$C:$C,0)))</f>
        <v>research-and-development.html</v>
      </c>
    </row>
    <row r="1144" customHeight="1" spans="1:18">
      <c r="A1144" s="394" t="str">
        <f>IF(ISBLANK(INDEX('Policy Characteristics'!A:A,MATCH($C1144,'Policy Characteristics'!$C:$C,0))),"",INDEX('Policy Characteristics'!A:A,MATCH($C1144,'Policy Characteristics'!$C:$C,0)))</f>
        <v>Research and Development</v>
      </c>
      <c r="B1144" s="395" t="str">
        <f>IF(ISBLANK(INDEX('Policy Characteristics'!B:B,MATCH($C1144,'Policy Characteristics'!$C:$C,0))),"",INDEX('Policy Characteristics'!B:B,MATCH($C1144,'Policy Characteristics'!$C:$C,0)))</f>
        <v>Capital Cost Reduction</v>
      </c>
      <c r="C1144" s="394" t="str">
        <f t="shared" si="60"/>
        <v>RnD Industry Capital Cost Perc Reduction</v>
      </c>
      <c r="D1144" t="s">
        <v>742</v>
      </c>
      <c r="E1144" s="399"/>
      <c r="F1144" s="399" t="s">
        <v>888</v>
      </c>
      <c r="G1144" s="399"/>
      <c r="H1144" s="377">
        <v>1464</v>
      </c>
      <c r="I1144" s="396" t="s">
        <v>648</v>
      </c>
      <c r="J1144" s="397" t="str">
        <f>IF(ISBLANK(INDEX('Policy Characteristics'!D:D,MATCH($C1144,'Policy Characteristics'!$C:$C,0))),"",INDEX('Policy Characteristics'!D:D,MATCH($C1144,'Policy Characteristics'!$C:$C,0)))</f>
        <v>R&amp;D Capital Cost Reductions</v>
      </c>
      <c r="K1144" s="394" t="str">
        <f>IF(ISBLANK(INDEX('Policy Characteristics'!E:E,MATCH($C1144,'Policy Characteristics'!$C:$C,0))),"",INDEX('Policy Characteristics'!E:E,MATCH($C1144,'Policy Characteristics'!$C:$C,0)))</f>
        <v>RnD industry capital cost reduction</v>
      </c>
      <c r="L1144" s="398">
        <f>IF(ISBLANK(INDEX('Policy Characteristics'!F:F,MATCH($C1144,'Policy Characteristics'!$C:$C,0))),"",INDEX('Policy Characteristics'!F:F,MATCH($C1144,'Policy Characteristics'!$C:$C,0)))</f>
        <v>0</v>
      </c>
      <c r="M1144" s="398">
        <f>IF(ISBLANK(INDEX('Policy Characteristics'!G:G,MATCH($C1144,'Policy Characteristics'!$C:$C,0))),"",INDEX('Policy Characteristics'!G:G,MATCH($C1144,'Policy Characteristics'!$C:$C,0)))</f>
        <v>0.4</v>
      </c>
      <c r="N1144" s="398">
        <f>IF(ISBLANK(INDEX('Policy Characteristics'!H:H,MATCH($C1144,'Policy Characteristics'!$C:$C,0))),"",INDEX('Policy Characteristics'!H:H,MATCH($C1144,'Policy Characteristics'!$C:$C,0)))</f>
        <v>0.01</v>
      </c>
      <c r="O1144" s="394" t="str">
        <f>IF(ISBLANK(INDEX('Policy Characteristics'!I:I,MATCH($C1144,'Policy Characteristics'!$C:$C,0))),"",INDEX('Policy Characteristics'!I:I,MATCH($C1144,'Policy Characteristics'!$C:$C,0)))</f>
        <v>% reduction in cost</v>
      </c>
      <c r="P1144" s="394" t="str">
        <f>IF(ISBLANK(INDEX('Policy Characteristics'!J:J,MATCH($C1144,'Policy Characteristics'!$C:$C,0))),"",INDEX('Policy Characteristics'!J:J,MATCH($C1144,'Policy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4" s="394" t="str">
        <f>IF(ISBLANK(INDEX('Policy Characteristics'!K:K,MATCH($C1144,'Policy Characteristics'!$C:$C,0))),"",INDEX('Policy Characteristics'!K:K,MATCH($C1144,'Policy Characteristics'!$C:$C,0)))</f>
        <v>architectural-design.html#rnd</v>
      </c>
      <c r="R1144" s="394" t="str">
        <f>IF(ISBLANK(INDEX('Policy Characteristics'!L:L,MATCH($C1144,'Policy Characteristics'!$C:$C,0))),"",INDEX('Policy Characteristics'!L:L,MATCH($C1144,'Policy Characteristics'!$C:$C,0)))</f>
        <v>research-and-development.html</v>
      </c>
    </row>
    <row r="1145" customHeight="1" spans="1:18">
      <c r="A1145" s="394" t="str">
        <f>IF(ISBLANK(INDEX('Policy Characteristics'!A:A,MATCH($C1145,'Policy Characteristics'!$C:$C,0))),"",INDEX('Policy Characteristics'!A:A,MATCH($C1145,'Policy Characteristics'!$C:$C,0)))</f>
        <v>Research and Development</v>
      </c>
      <c r="B1145" s="395" t="str">
        <f>IF(ISBLANK(INDEX('Policy Characteristics'!B:B,MATCH($C1145,'Policy Characteristics'!$C:$C,0))),"",INDEX('Policy Characteristics'!B:B,MATCH($C1145,'Policy Characteristics'!$C:$C,0)))</f>
        <v>Capital Cost Reduction</v>
      </c>
      <c r="C1145" s="394" t="str">
        <f t="shared" si="60"/>
        <v>RnD Industry Capital Cost Perc Reduction</v>
      </c>
      <c r="D1145" t="s">
        <v>744</v>
      </c>
      <c r="E1145" s="399"/>
      <c r="F1145" s="399" t="s">
        <v>889</v>
      </c>
      <c r="G1145" s="399"/>
      <c r="H1145" s="377">
        <v>1465</v>
      </c>
      <c r="I1145" s="396" t="s">
        <v>648</v>
      </c>
      <c r="J1145" s="397" t="str">
        <f>IF(ISBLANK(INDEX('Policy Characteristics'!D:D,MATCH($C1145,'Policy Characteristics'!$C:$C,0))),"",INDEX('Policy Characteristics'!D:D,MATCH($C1145,'Policy Characteristics'!$C:$C,0)))</f>
        <v>R&amp;D Capital Cost Reductions</v>
      </c>
      <c r="K1145" s="394" t="str">
        <f>IF(ISBLANK(INDEX('Policy Characteristics'!E:E,MATCH($C1145,'Policy Characteristics'!$C:$C,0))),"",INDEX('Policy Characteristics'!E:E,MATCH($C1145,'Policy Characteristics'!$C:$C,0)))</f>
        <v>RnD industry capital cost reduction</v>
      </c>
      <c r="L1145" s="398">
        <f>IF(ISBLANK(INDEX('Policy Characteristics'!F:F,MATCH($C1145,'Policy Characteristics'!$C:$C,0))),"",INDEX('Policy Characteristics'!F:F,MATCH($C1145,'Policy Characteristics'!$C:$C,0)))</f>
        <v>0</v>
      </c>
      <c r="M1145" s="398">
        <f>IF(ISBLANK(INDEX('Policy Characteristics'!G:G,MATCH($C1145,'Policy Characteristics'!$C:$C,0))),"",INDEX('Policy Characteristics'!G:G,MATCH($C1145,'Policy Characteristics'!$C:$C,0)))</f>
        <v>0.4</v>
      </c>
      <c r="N1145" s="398">
        <f>IF(ISBLANK(INDEX('Policy Characteristics'!H:H,MATCH($C1145,'Policy Characteristics'!$C:$C,0))),"",INDEX('Policy Characteristics'!H:H,MATCH($C1145,'Policy Characteristics'!$C:$C,0)))</f>
        <v>0.01</v>
      </c>
      <c r="O1145" s="394" t="str">
        <f>IF(ISBLANK(INDEX('Policy Characteristics'!I:I,MATCH($C1145,'Policy Characteristics'!$C:$C,0))),"",INDEX('Policy Characteristics'!I:I,MATCH($C1145,'Policy Characteristics'!$C:$C,0)))</f>
        <v>% reduction in cost</v>
      </c>
      <c r="P1145" s="394" t="str">
        <f>IF(ISBLANK(INDEX('Policy Characteristics'!J:J,MATCH($C1145,'Policy Characteristics'!$C:$C,0))),"",INDEX('Policy Characteristics'!J:J,MATCH($C1145,'Policy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5" s="394" t="str">
        <f>IF(ISBLANK(INDEX('Policy Characteristics'!K:K,MATCH($C1145,'Policy Characteristics'!$C:$C,0))),"",INDEX('Policy Characteristics'!K:K,MATCH($C1145,'Policy Characteristics'!$C:$C,0)))</f>
        <v>architectural-design.html#rnd</v>
      </c>
      <c r="R1145" s="394" t="str">
        <f>IF(ISBLANK(INDEX('Policy Characteristics'!L:L,MATCH($C1145,'Policy Characteristics'!$C:$C,0))),"",INDEX('Policy Characteristics'!L:L,MATCH($C1145,'Policy Characteristics'!$C:$C,0)))</f>
        <v>research-and-development.html</v>
      </c>
    </row>
    <row r="1146" customHeight="1" spans="1:18">
      <c r="A1146" s="394" t="str">
        <f>IF(ISBLANK(INDEX('Policy Characteristics'!A:A,MATCH($C1146,'Policy Characteristics'!$C:$C,0))),"",INDEX('Policy Characteristics'!A:A,MATCH($C1146,'Policy Characteristics'!$C:$C,0)))</f>
        <v>Research and Development</v>
      </c>
      <c r="B1146" s="395" t="str">
        <f>IF(ISBLANK(INDEX('Policy Characteristics'!B:B,MATCH($C1146,'Policy Characteristics'!$C:$C,0))),"",INDEX('Policy Characteristics'!B:B,MATCH($C1146,'Policy Characteristics'!$C:$C,0)))</f>
        <v>Capital Cost Reduction</v>
      </c>
      <c r="C1146" s="394" t="str">
        <f t="shared" si="60"/>
        <v>RnD Industry Capital Cost Perc Reduction</v>
      </c>
      <c r="D1146" t="s">
        <v>746</v>
      </c>
      <c r="E1146" s="399"/>
      <c r="F1146" s="399" t="s">
        <v>890</v>
      </c>
      <c r="G1146" s="399"/>
      <c r="H1146" s="377">
        <v>1466</v>
      </c>
      <c r="I1146" s="396" t="s">
        <v>648</v>
      </c>
      <c r="J1146" s="397" t="str">
        <f>IF(ISBLANK(INDEX('Policy Characteristics'!D:D,MATCH($C1146,'Policy Characteristics'!$C:$C,0))),"",INDEX('Policy Characteristics'!D:D,MATCH($C1146,'Policy Characteristics'!$C:$C,0)))</f>
        <v>R&amp;D Capital Cost Reductions</v>
      </c>
      <c r="K1146" s="394" t="str">
        <f>IF(ISBLANK(INDEX('Policy Characteristics'!E:E,MATCH($C1146,'Policy Characteristics'!$C:$C,0))),"",INDEX('Policy Characteristics'!E:E,MATCH($C1146,'Policy Characteristics'!$C:$C,0)))</f>
        <v>RnD industry capital cost reduction</v>
      </c>
      <c r="L1146" s="398">
        <f>IF(ISBLANK(INDEX('Policy Characteristics'!F:F,MATCH($C1146,'Policy Characteristics'!$C:$C,0))),"",INDEX('Policy Characteristics'!F:F,MATCH($C1146,'Policy Characteristics'!$C:$C,0)))</f>
        <v>0</v>
      </c>
      <c r="M1146" s="398">
        <f>IF(ISBLANK(INDEX('Policy Characteristics'!G:G,MATCH($C1146,'Policy Characteristics'!$C:$C,0))),"",INDEX('Policy Characteristics'!G:G,MATCH($C1146,'Policy Characteristics'!$C:$C,0)))</f>
        <v>0.4</v>
      </c>
      <c r="N1146" s="398">
        <f>IF(ISBLANK(INDEX('Policy Characteristics'!H:H,MATCH($C1146,'Policy Characteristics'!$C:$C,0))),"",INDEX('Policy Characteristics'!H:H,MATCH($C1146,'Policy Characteristics'!$C:$C,0)))</f>
        <v>0.01</v>
      </c>
      <c r="O1146" s="394" t="str">
        <f>IF(ISBLANK(INDEX('Policy Characteristics'!I:I,MATCH($C1146,'Policy Characteristics'!$C:$C,0))),"",INDEX('Policy Characteristics'!I:I,MATCH($C1146,'Policy Characteristics'!$C:$C,0)))</f>
        <v>% reduction in cost</v>
      </c>
      <c r="P1146" s="394" t="str">
        <f>IF(ISBLANK(INDEX('Policy Characteristics'!J:J,MATCH($C1146,'Policy Characteristics'!$C:$C,0))),"",INDEX('Policy Characteristics'!J:J,MATCH($C1146,'Policy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6" s="394" t="str">
        <f>IF(ISBLANK(INDEX('Policy Characteristics'!K:K,MATCH($C1146,'Policy Characteristics'!$C:$C,0))),"",INDEX('Policy Characteristics'!K:K,MATCH($C1146,'Policy Characteristics'!$C:$C,0)))</f>
        <v>architectural-design.html#rnd</v>
      </c>
      <c r="R1146" s="394" t="str">
        <f>IF(ISBLANK(INDEX('Policy Characteristics'!L:L,MATCH($C1146,'Policy Characteristics'!$C:$C,0))),"",INDEX('Policy Characteristics'!L:L,MATCH($C1146,'Policy Characteristics'!$C:$C,0)))</f>
        <v>research-and-development.html</v>
      </c>
    </row>
    <row r="1147" customHeight="1" spans="1:18">
      <c r="A1147" s="394" t="str">
        <f>IF(ISBLANK(INDEX('Policy Characteristics'!A:A,MATCH($C1147,'Policy Characteristics'!$C:$C,0))),"",INDEX('Policy Characteristics'!A:A,MATCH($C1147,'Policy Characteristics'!$C:$C,0)))</f>
        <v>Research and Development</v>
      </c>
      <c r="B1147" s="395" t="str">
        <f>IF(ISBLANK(INDEX('Policy Characteristics'!B:B,MATCH($C1147,'Policy Characteristics'!$C:$C,0))),"",INDEX('Policy Characteristics'!B:B,MATCH($C1147,'Policy Characteristics'!$C:$C,0)))</f>
        <v>Capital Cost Reduction</v>
      </c>
      <c r="C1147" s="394" t="str">
        <f t="shared" si="60"/>
        <v>RnD Industry Capital Cost Perc Reduction</v>
      </c>
      <c r="D1147" t="s">
        <v>748</v>
      </c>
      <c r="E1147" s="399"/>
      <c r="F1147" s="399" t="s">
        <v>891</v>
      </c>
      <c r="G1147" s="399"/>
      <c r="H1147" s="377">
        <v>1467</v>
      </c>
      <c r="I1147" s="396" t="s">
        <v>648</v>
      </c>
      <c r="J1147" s="397" t="str">
        <f>IF(ISBLANK(INDEX('Policy Characteristics'!D:D,MATCH($C1147,'Policy Characteristics'!$C:$C,0))),"",INDEX('Policy Characteristics'!D:D,MATCH($C1147,'Policy Characteristics'!$C:$C,0)))</f>
        <v>R&amp;D Capital Cost Reductions</v>
      </c>
      <c r="K1147" s="394" t="str">
        <f>IF(ISBLANK(INDEX('Policy Characteristics'!E:E,MATCH($C1147,'Policy Characteristics'!$C:$C,0))),"",INDEX('Policy Characteristics'!E:E,MATCH($C1147,'Policy Characteristics'!$C:$C,0)))</f>
        <v>RnD industry capital cost reduction</v>
      </c>
      <c r="L1147" s="398">
        <f>IF(ISBLANK(INDEX('Policy Characteristics'!F:F,MATCH($C1147,'Policy Characteristics'!$C:$C,0))),"",INDEX('Policy Characteristics'!F:F,MATCH($C1147,'Policy Characteristics'!$C:$C,0)))</f>
        <v>0</v>
      </c>
      <c r="M1147" s="398">
        <f>IF(ISBLANK(INDEX('Policy Characteristics'!G:G,MATCH($C1147,'Policy Characteristics'!$C:$C,0))),"",INDEX('Policy Characteristics'!G:G,MATCH($C1147,'Policy Characteristics'!$C:$C,0)))</f>
        <v>0.4</v>
      </c>
      <c r="N1147" s="398">
        <f>IF(ISBLANK(INDEX('Policy Characteristics'!H:H,MATCH($C1147,'Policy Characteristics'!$C:$C,0))),"",INDEX('Policy Characteristics'!H:H,MATCH($C1147,'Policy Characteristics'!$C:$C,0)))</f>
        <v>0.01</v>
      </c>
      <c r="O1147" s="394" t="str">
        <f>IF(ISBLANK(INDEX('Policy Characteristics'!I:I,MATCH($C1147,'Policy Characteristics'!$C:$C,0))),"",INDEX('Policy Characteristics'!I:I,MATCH($C1147,'Policy Characteristics'!$C:$C,0)))</f>
        <v>% reduction in cost</v>
      </c>
      <c r="P1147" s="394" t="str">
        <f>IF(ISBLANK(INDEX('Policy Characteristics'!J:J,MATCH($C1147,'Policy Characteristics'!$C:$C,0))),"",INDEX('Policy Characteristics'!J:J,MATCH($C1147,'Policy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7" s="394" t="str">
        <f>IF(ISBLANK(INDEX('Policy Characteristics'!K:K,MATCH($C1147,'Policy Characteristics'!$C:$C,0))),"",INDEX('Policy Characteristics'!K:K,MATCH($C1147,'Policy Characteristics'!$C:$C,0)))</f>
        <v>architectural-design.html#rnd</v>
      </c>
      <c r="R1147" s="394" t="str">
        <f>IF(ISBLANK(INDEX('Policy Characteristics'!L:L,MATCH($C1147,'Policy Characteristics'!$C:$C,0))),"",INDEX('Policy Characteristics'!L:L,MATCH($C1147,'Policy Characteristics'!$C:$C,0)))</f>
        <v>research-and-development.html</v>
      </c>
    </row>
    <row r="1148" customHeight="1" spans="1:18">
      <c r="A1148" s="394" t="str">
        <f>IF(ISBLANK(INDEX('Policy Characteristics'!A:A,MATCH($C1148,'Policy Characteristics'!$C:$C,0))),"",INDEX('Policy Characteristics'!A:A,MATCH($C1148,'Policy Characteristics'!$C:$C,0)))</f>
        <v>Research and Development</v>
      </c>
      <c r="B1148" s="395" t="str">
        <f>IF(ISBLANK(INDEX('Policy Characteristics'!B:B,MATCH($C1148,'Policy Characteristics'!$C:$C,0))),"",INDEX('Policy Characteristics'!B:B,MATCH($C1148,'Policy Characteristics'!$C:$C,0)))</f>
        <v>Capital Cost Reduction</v>
      </c>
      <c r="C1148" s="394" t="str">
        <f t="shared" si="60"/>
        <v>RnD Industry Capital Cost Perc Reduction</v>
      </c>
      <c r="D1148" t="s">
        <v>750</v>
      </c>
      <c r="E1148" s="399"/>
      <c r="F1148" s="400" t="s">
        <v>892</v>
      </c>
      <c r="G1148" s="399"/>
      <c r="H1148" s="377">
        <v>1468</v>
      </c>
      <c r="I1148" s="396" t="s">
        <v>648</v>
      </c>
      <c r="J1148" s="397" t="str">
        <f>IF(ISBLANK(INDEX('Policy Characteristics'!D:D,MATCH($C1148,'Policy Characteristics'!$C:$C,0))),"",INDEX('Policy Characteristics'!D:D,MATCH($C1148,'Policy Characteristics'!$C:$C,0)))</f>
        <v>R&amp;D Capital Cost Reductions</v>
      </c>
      <c r="K1148" s="394" t="str">
        <f>IF(ISBLANK(INDEX('Policy Characteristics'!E:E,MATCH($C1148,'Policy Characteristics'!$C:$C,0))),"",INDEX('Policy Characteristics'!E:E,MATCH($C1148,'Policy Characteristics'!$C:$C,0)))</f>
        <v>RnD industry capital cost reduction</v>
      </c>
      <c r="L1148" s="398">
        <f>IF(ISBLANK(INDEX('Policy Characteristics'!F:F,MATCH($C1148,'Policy Characteristics'!$C:$C,0))),"",INDEX('Policy Characteristics'!F:F,MATCH($C1148,'Policy Characteristics'!$C:$C,0)))</f>
        <v>0</v>
      </c>
      <c r="M1148" s="398">
        <f>IF(ISBLANK(INDEX('Policy Characteristics'!G:G,MATCH($C1148,'Policy Characteristics'!$C:$C,0))),"",INDEX('Policy Characteristics'!G:G,MATCH($C1148,'Policy Characteristics'!$C:$C,0)))</f>
        <v>0.4</v>
      </c>
      <c r="N1148" s="398">
        <f>IF(ISBLANK(INDEX('Policy Characteristics'!H:H,MATCH($C1148,'Policy Characteristics'!$C:$C,0))),"",INDEX('Policy Characteristics'!H:H,MATCH($C1148,'Policy Characteristics'!$C:$C,0)))</f>
        <v>0.01</v>
      </c>
      <c r="O1148" s="394" t="str">
        <f>IF(ISBLANK(INDEX('Policy Characteristics'!I:I,MATCH($C1148,'Policy Characteristics'!$C:$C,0))),"",INDEX('Policy Characteristics'!I:I,MATCH($C1148,'Policy Characteristics'!$C:$C,0)))</f>
        <v>% reduction in cost</v>
      </c>
      <c r="P1148" s="394" t="str">
        <f>IF(ISBLANK(INDEX('Policy Characteristics'!J:J,MATCH($C1148,'Policy Characteristics'!$C:$C,0))),"",INDEX('Policy Characteristics'!J:J,MATCH($C1148,'Policy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8" s="394" t="str">
        <f>IF(ISBLANK(INDEX('Policy Characteristics'!K:K,MATCH($C1148,'Policy Characteristics'!$C:$C,0))),"",INDEX('Policy Characteristics'!K:K,MATCH($C1148,'Policy Characteristics'!$C:$C,0)))</f>
        <v>architectural-design.html#rnd</v>
      </c>
      <c r="R1148" s="394" t="str">
        <f>IF(ISBLANK(INDEX('Policy Characteristics'!L:L,MATCH($C1148,'Policy Characteristics'!$C:$C,0))),"",INDEX('Policy Characteristics'!L:L,MATCH($C1148,'Policy Characteristics'!$C:$C,0)))</f>
        <v>research-and-development.html</v>
      </c>
    </row>
    <row r="1149" customHeight="1" spans="1:18">
      <c r="A1149" s="394" t="str">
        <f>IF(ISBLANK(INDEX('Policy Characteristics'!A:A,MATCH($C1149,'Policy Characteristics'!$C:$C,0))),"",INDEX('Policy Characteristics'!A:A,MATCH($C1149,'Policy Characteristics'!$C:$C,0)))</f>
        <v>Research and Development</v>
      </c>
      <c r="B1149" s="395" t="str">
        <f>IF(ISBLANK(INDEX('Policy Characteristics'!B:B,MATCH($C1149,'Policy Characteristics'!$C:$C,0))),"",INDEX('Policy Characteristics'!B:B,MATCH($C1149,'Policy Characteristics'!$C:$C,0)))</f>
        <v>Capital Cost Reduction</v>
      </c>
      <c r="C1149" s="394" t="str">
        <f t="shared" si="60"/>
        <v>RnD Industry Capital Cost Perc Reduction</v>
      </c>
      <c r="D1149" t="s">
        <v>752</v>
      </c>
      <c r="E1149" s="399"/>
      <c r="F1149" s="399" t="s">
        <v>893</v>
      </c>
      <c r="G1149" s="399"/>
      <c r="H1149" s="377">
        <v>1469</v>
      </c>
      <c r="I1149" s="396" t="s">
        <v>648</v>
      </c>
      <c r="J1149" s="397" t="str">
        <f>IF(ISBLANK(INDEX('Policy Characteristics'!D:D,MATCH($C1149,'Policy Characteristics'!$C:$C,0))),"",INDEX('Policy Characteristics'!D:D,MATCH($C1149,'Policy Characteristics'!$C:$C,0)))</f>
        <v>R&amp;D Capital Cost Reductions</v>
      </c>
      <c r="K1149" s="394" t="str">
        <f>IF(ISBLANK(INDEX('Policy Characteristics'!E:E,MATCH($C1149,'Policy Characteristics'!$C:$C,0))),"",INDEX('Policy Characteristics'!E:E,MATCH($C1149,'Policy Characteristics'!$C:$C,0)))</f>
        <v>RnD industry capital cost reduction</v>
      </c>
      <c r="L1149" s="398">
        <f>IF(ISBLANK(INDEX('Policy Characteristics'!F:F,MATCH($C1149,'Policy Characteristics'!$C:$C,0))),"",INDEX('Policy Characteristics'!F:F,MATCH($C1149,'Policy Characteristics'!$C:$C,0)))</f>
        <v>0</v>
      </c>
      <c r="M1149" s="398">
        <f>IF(ISBLANK(INDEX('Policy Characteristics'!G:G,MATCH($C1149,'Policy Characteristics'!$C:$C,0))),"",INDEX('Policy Characteristics'!G:G,MATCH($C1149,'Policy Characteristics'!$C:$C,0)))</f>
        <v>0.4</v>
      </c>
      <c r="N1149" s="398">
        <f>IF(ISBLANK(INDEX('Policy Characteristics'!H:H,MATCH($C1149,'Policy Characteristics'!$C:$C,0))),"",INDEX('Policy Characteristics'!H:H,MATCH($C1149,'Policy Characteristics'!$C:$C,0)))</f>
        <v>0.01</v>
      </c>
      <c r="O1149" s="394" t="str">
        <f>IF(ISBLANK(INDEX('Policy Characteristics'!I:I,MATCH($C1149,'Policy Characteristics'!$C:$C,0))),"",INDEX('Policy Characteristics'!I:I,MATCH($C1149,'Policy Characteristics'!$C:$C,0)))</f>
        <v>% reduction in cost</v>
      </c>
      <c r="P1149" s="394" t="str">
        <f>IF(ISBLANK(INDEX('Policy Characteristics'!J:J,MATCH($C1149,'Policy Characteristics'!$C:$C,0))),"",INDEX('Policy Characteristics'!J:J,MATCH($C1149,'Policy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9" s="394" t="str">
        <f>IF(ISBLANK(INDEX('Policy Characteristics'!K:K,MATCH($C1149,'Policy Characteristics'!$C:$C,0))),"",INDEX('Policy Characteristics'!K:K,MATCH($C1149,'Policy Characteristics'!$C:$C,0)))</f>
        <v>architectural-design.html#rnd</v>
      </c>
      <c r="R1149" s="394" t="str">
        <f>IF(ISBLANK(INDEX('Policy Characteristics'!L:L,MATCH($C1149,'Policy Characteristics'!$C:$C,0))),"",INDEX('Policy Characteristics'!L:L,MATCH($C1149,'Policy Characteristics'!$C:$C,0)))</f>
        <v>research-and-development.html</v>
      </c>
    </row>
    <row r="1150" customHeight="1" spans="1:18">
      <c r="A1150" s="394" t="str">
        <f>IF(ISBLANK(INDEX('Policy Characteristics'!A:A,MATCH($C1150,'Policy Characteristics'!$C:$C,0))),"",INDEX('Policy Characteristics'!A:A,MATCH($C1150,'Policy Characteristics'!$C:$C,0)))</f>
        <v>Research and Development</v>
      </c>
      <c r="B1150" s="395" t="str">
        <f>IF(ISBLANK(INDEX('Policy Characteristics'!B:B,MATCH($C1150,'Policy Characteristics'!$C:$C,0))),"",INDEX('Policy Characteristics'!B:B,MATCH($C1150,'Policy Characteristics'!$C:$C,0)))</f>
        <v>Capital Cost Reduction</v>
      </c>
      <c r="C1150" s="394" t="str">
        <f t="shared" si="60"/>
        <v>RnD Industry Capital Cost Perc Reduction</v>
      </c>
      <c r="D1150" t="s">
        <v>754</v>
      </c>
      <c r="E1150" s="399"/>
      <c r="F1150" s="399" t="s">
        <v>894</v>
      </c>
      <c r="G1150" s="399"/>
      <c r="H1150" s="377">
        <v>1470</v>
      </c>
      <c r="I1150" s="396" t="s">
        <v>648</v>
      </c>
      <c r="J1150" s="397" t="str">
        <f>IF(ISBLANK(INDEX('Policy Characteristics'!D:D,MATCH($C1150,'Policy Characteristics'!$C:$C,0))),"",INDEX('Policy Characteristics'!D:D,MATCH($C1150,'Policy Characteristics'!$C:$C,0)))</f>
        <v>R&amp;D Capital Cost Reductions</v>
      </c>
      <c r="K1150" s="394" t="str">
        <f>IF(ISBLANK(INDEX('Policy Characteristics'!E:E,MATCH($C1150,'Policy Characteristics'!$C:$C,0))),"",INDEX('Policy Characteristics'!E:E,MATCH($C1150,'Policy Characteristics'!$C:$C,0)))</f>
        <v>RnD industry capital cost reduction</v>
      </c>
      <c r="L1150" s="398">
        <f>IF(ISBLANK(INDEX('Policy Characteristics'!F:F,MATCH($C1150,'Policy Characteristics'!$C:$C,0))),"",INDEX('Policy Characteristics'!F:F,MATCH($C1150,'Policy Characteristics'!$C:$C,0)))</f>
        <v>0</v>
      </c>
      <c r="M1150" s="398">
        <f>IF(ISBLANK(INDEX('Policy Characteristics'!G:G,MATCH($C1150,'Policy Characteristics'!$C:$C,0))),"",INDEX('Policy Characteristics'!G:G,MATCH($C1150,'Policy Characteristics'!$C:$C,0)))</f>
        <v>0.4</v>
      </c>
      <c r="N1150" s="398">
        <f>IF(ISBLANK(INDEX('Policy Characteristics'!H:H,MATCH($C1150,'Policy Characteristics'!$C:$C,0))),"",INDEX('Policy Characteristics'!H:H,MATCH($C1150,'Policy Characteristics'!$C:$C,0)))</f>
        <v>0.01</v>
      </c>
      <c r="O1150" s="394" t="str">
        <f>IF(ISBLANK(INDEX('Policy Characteristics'!I:I,MATCH($C1150,'Policy Characteristics'!$C:$C,0))),"",INDEX('Policy Characteristics'!I:I,MATCH($C1150,'Policy Characteristics'!$C:$C,0)))</f>
        <v>% reduction in cost</v>
      </c>
      <c r="P1150" s="394" t="str">
        <f>IF(ISBLANK(INDEX('Policy Characteristics'!J:J,MATCH($C1150,'Policy Characteristics'!$C:$C,0))),"",INDEX('Policy Characteristics'!J:J,MATCH($C1150,'Policy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0" s="394" t="str">
        <f>IF(ISBLANK(INDEX('Policy Characteristics'!K:K,MATCH($C1150,'Policy Characteristics'!$C:$C,0))),"",INDEX('Policy Characteristics'!K:K,MATCH($C1150,'Policy Characteristics'!$C:$C,0)))</f>
        <v>architectural-design.html#rnd</v>
      </c>
      <c r="R1150" s="394" t="str">
        <f>IF(ISBLANK(INDEX('Policy Characteristics'!L:L,MATCH($C1150,'Policy Characteristics'!$C:$C,0))),"",INDEX('Policy Characteristics'!L:L,MATCH($C1150,'Policy Characteristics'!$C:$C,0)))</f>
        <v>research-and-development.html</v>
      </c>
    </row>
    <row r="1151" customHeight="1" spans="1:18">
      <c r="A1151" s="394" t="str">
        <f>IF(ISBLANK(INDEX('Policy Characteristics'!A:A,MATCH($C1151,'Policy Characteristics'!$C:$C,0))),"",INDEX('Policy Characteristics'!A:A,MATCH($C1151,'Policy Characteristics'!$C:$C,0)))</f>
        <v>Research and Development</v>
      </c>
      <c r="B1151" s="395" t="str">
        <f>IF(ISBLANK(INDEX('Policy Characteristics'!B:B,MATCH($C1151,'Policy Characteristics'!$C:$C,0))),"",INDEX('Policy Characteristics'!B:B,MATCH($C1151,'Policy Characteristics'!$C:$C,0)))</f>
        <v>Capital Cost Reduction</v>
      </c>
      <c r="C1151" s="394" t="str">
        <f t="shared" si="60"/>
        <v>RnD Industry Capital Cost Perc Reduction</v>
      </c>
      <c r="D1151" t="s">
        <v>756</v>
      </c>
      <c r="E1151" s="399"/>
      <c r="F1151" s="399" t="s">
        <v>895</v>
      </c>
      <c r="G1151" s="399"/>
      <c r="H1151" s="377">
        <v>1471</v>
      </c>
      <c r="I1151" s="396" t="s">
        <v>648</v>
      </c>
      <c r="J1151" s="397" t="str">
        <f>IF(ISBLANK(INDEX('Policy Characteristics'!D:D,MATCH($C1151,'Policy Characteristics'!$C:$C,0))),"",INDEX('Policy Characteristics'!D:D,MATCH($C1151,'Policy Characteristics'!$C:$C,0)))</f>
        <v>R&amp;D Capital Cost Reductions</v>
      </c>
      <c r="K1151" s="394" t="str">
        <f>IF(ISBLANK(INDEX('Policy Characteristics'!E:E,MATCH($C1151,'Policy Characteristics'!$C:$C,0))),"",INDEX('Policy Characteristics'!E:E,MATCH($C1151,'Policy Characteristics'!$C:$C,0)))</f>
        <v>RnD industry capital cost reduction</v>
      </c>
      <c r="L1151" s="398">
        <f>IF(ISBLANK(INDEX('Policy Characteristics'!F:F,MATCH($C1151,'Policy Characteristics'!$C:$C,0))),"",INDEX('Policy Characteristics'!F:F,MATCH($C1151,'Policy Characteristics'!$C:$C,0)))</f>
        <v>0</v>
      </c>
      <c r="M1151" s="398">
        <f>IF(ISBLANK(INDEX('Policy Characteristics'!G:G,MATCH($C1151,'Policy Characteristics'!$C:$C,0))),"",INDEX('Policy Characteristics'!G:G,MATCH($C1151,'Policy Characteristics'!$C:$C,0)))</f>
        <v>0.4</v>
      </c>
      <c r="N1151" s="398">
        <f>IF(ISBLANK(INDEX('Policy Characteristics'!H:H,MATCH($C1151,'Policy Characteristics'!$C:$C,0))),"",INDEX('Policy Characteristics'!H:H,MATCH($C1151,'Policy Characteristics'!$C:$C,0)))</f>
        <v>0.01</v>
      </c>
      <c r="O1151" s="394" t="str">
        <f>IF(ISBLANK(INDEX('Policy Characteristics'!I:I,MATCH($C1151,'Policy Characteristics'!$C:$C,0))),"",INDEX('Policy Characteristics'!I:I,MATCH($C1151,'Policy Characteristics'!$C:$C,0)))</f>
        <v>% reduction in cost</v>
      </c>
      <c r="P1151" s="394" t="str">
        <f>IF(ISBLANK(INDEX('Policy Characteristics'!J:J,MATCH($C1151,'Policy Characteristics'!$C:$C,0))),"",INDEX('Policy Characteristics'!J:J,MATCH($C1151,'Policy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1" s="394" t="str">
        <f>IF(ISBLANK(INDEX('Policy Characteristics'!K:K,MATCH($C1151,'Policy Characteristics'!$C:$C,0))),"",INDEX('Policy Characteristics'!K:K,MATCH($C1151,'Policy Characteristics'!$C:$C,0)))</f>
        <v>architectural-design.html#rnd</v>
      </c>
      <c r="R1151" s="394" t="str">
        <f>IF(ISBLANK(INDEX('Policy Characteristics'!L:L,MATCH($C1151,'Policy Characteristics'!$C:$C,0))),"",INDEX('Policy Characteristics'!L:L,MATCH($C1151,'Policy Characteristics'!$C:$C,0)))</f>
        <v>research-and-development.html</v>
      </c>
    </row>
    <row r="1152" customHeight="1" spans="1:18">
      <c r="A1152" s="394" t="str">
        <f>IF(ISBLANK(INDEX('Policy Characteristics'!A:A,MATCH($C1152,'Policy Characteristics'!$C:$C,0))),"",INDEX('Policy Characteristics'!A:A,MATCH($C1152,'Policy Characteristics'!$C:$C,0)))</f>
        <v>Research and Development</v>
      </c>
      <c r="B1152" s="395" t="str">
        <f>IF(ISBLANK(INDEX('Policy Characteristics'!B:B,MATCH($C1152,'Policy Characteristics'!$C:$C,0))),"",INDEX('Policy Characteristics'!B:B,MATCH($C1152,'Policy Characteristics'!$C:$C,0)))</f>
        <v>Capital Cost Reduction</v>
      </c>
      <c r="C1152" s="394" t="str">
        <f t="shared" si="60"/>
        <v>RnD Industry Capital Cost Perc Reduction</v>
      </c>
      <c r="D1152" t="s">
        <v>758</v>
      </c>
      <c r="E1152" s="399"/>
      <c r="F1152" s="399" t="s">
        <v>896</v>
      </c>
      <c r="G1152" s="399"/>
      <c r="H1152" s="377">
        <v>1472</v>
      </c>
      <c r="I1152" s="396" t="s">
        <v>648</v>
      </c>
      <c r="J1152" s="397" t="str">
        <f>IF(ISBLANK(INDEX('Policy Characteristics'!D:D,MATCH($C1152,'Policy Characteristics'!$C:$C,0))),"",INDEX('Policy Characteristics'!D:D,MATCH($C1152,'Policy Characteristics'!$C:$C,0)))</f>
        <v>R&amp;D Capital Cost Reductions</v>
      </c>
      <c r="K1152" s="394" t="str">
        <f>IF(ISBLANK(INDEX('Policy Characteristics'!E:E,MATCH($C1152,'Policy Characteristics'!$C:$C,0))),"",INDEX('Policy Characteristics'!E:E,MATCH($C1152,'Policy Characteristics'!$C:$C,0)))</f>
        <v>RnD industry capital cost reduction</v>
      </c>
      <c r="L1152" s="398">
        <f>IF(ISBLANK(INDEX('Policy Characteristics'!F:F,MATCH($C1152,'Policy Characteristics'!$C:$C,0))),"",INDEX('Policy Characteristics'!F:F,MATCH($C1152,'Policy Characteristics'!$C:$C,0)))</f>
        <v>0</v>
      </c>
      <c r="M1152" s="398">
        <f>IF(ISBLANK(INDEX('Policy Characteristics'!G:G,MATCH($C1152,'Policy Characteristics'!$C:$C,0))),"",INDEX('Policy Characteristics'!G:G,MATCH($C1152,'Policy Characteristics'!$C:$C,0)))</f>
        <v>0.4</v>
      </c>
      <c r="N1152" s="398">
        <f>IF(ISBLANK(INDEX('Policy Characteristics'!H:H,MATCH($C1152,'Policy Characteristics'!$C:$C,0))),"",INDEX('Policy Characteristics'!H:H,MATCH($C1152,'Policy Characteristics'!$C:$C,0)))</f>
        <v>0.01</v>
      </c>
      <c r="O1152" s="394" t="str">
        <f>IF(ISBLANK(INDEX('Policy Characteristics'!I:I,MATCH($C1152,'Policy Characteristics'!$C:$C,0))),"",INDEX('Policy Characteristics'!I:I,MATCH($C1152,'Policy Characteristics'!$C:$C,0)))</f>
        <v>% reduction in cost</v>
      </c>
      <c r="P1152" s="394" t="str">
        <f>IF(ISBLANK(INDEX('Policy Characteristics'!J:J,MATCH($C1152,'Policy Characteristics'!$C:$C,0))),"",INDEX('Policy Characteristics'!J:J,MATCH($C1152,'Policy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2" s="394" t="str">
        <f>IF(ISBLANK(INDEX('Policy Characteristics'!K:K,MATCH($C1152,'Policy Characteristics'!$C:$C,0))),"",INDEX('Policy Characteristics'!K:K,MATCH($C1152,'Policy Characteristics'!$C:$C,0)))</f>
        <v>architectural-design.html#rnd</v>
      </c>
      <c r="R1152" s="394" t="str">
        <f>IF(ISBLANK(INDEX('Policy Characteristics'!L:L,MATCH($C1152,'Policy Characteristics'!$C:$C,0))),"",INDEX('Policy Characteristics'!L:L,MATCH($C1152,'Policy Characteristics'!$C:$C,0)))</f>
        <v>research-and-development.html</v>
      </c>
    </row>
    <row r="1153" customHeight="1" spans="1:18">
      <c r="A1153" s="394" t="str">
        <f>IF(ISBLANK(INDEX('Policy Characteristics'!A:A,MATCH($C1153,'Policy Characteristics'!$C:$C,0))),"",INDEX('Policy Characteristics'!A:A,MATCH($C1153,'Policy Characteristics'!$C:$C,0)))</f>
        <v>Research and Development</v>
      </c>
      <c r="B1153" s="395" t="str">
        <f>IF(ISBLANK(INDEX('Policy Characteristics'!B:B,MATCH($C1153,'Policy Characteristics'!$C:$C,0))),"",INDEX('Policy Characteristics'!B:B,MATCH($C1153,'Policy Characteristics'!$C:$C,0)))</f>
        <v>Capital Cost Reduction</v>
      </c>
      <c r="C1153" s="394" t="str">
        <f t="shared" si="60"/>
        <v>RnD Industry Capital Cost Perc Reduction</v>
      </c>
      <c r="D1153" t="s">
        <v>760</v>
      </c>
      <c r="E1153" s="399"/>
      <c r="F1153" s="399" t="s">
        <v>897</v>
      </c>
      <c r="G1153" s="399"/>
      <c r="H1153" s="377">
        <v>1473</v>
      </c>
      <c r="I1153" s="396" t="s">
        <v>648</v>
      </c>
      <c r="J1153" s="397" t="str">
        <f>IF(ISBLANK(INDEX('Policy Characteristics'!D:D,MATCH($C1153,'Policy Characteristics'!$C:$C,0))),"",INDEX('Policy Characteristics'!D:D,MATCH($C1153,'Policy Characteristics'!$C:$C,0)))</f>
        <v>R&amp;D Capital Cost Reductions</v>
      </c>
      <c r="K1153" s="394" t="str">
        <f>IF(ISBLANK(INDEX('Policy Characteristics'!E:E,MATCH($C1153,'Policy Characteristics'!$C:$C,0))),"",INDEX('Policy Characteristics'!E:E,MATCH($C1153,'Policy Characteristics'!$C:$C,0)))</f>
        <v>RnD industry capital cost reduction</v>
      </c>
      <c r="L1153" s="398">
        <f>IF(ISBLANK(INDEX('Policy Characteristics'!F:F,MATCH($C1153,'Policy Characteristics'!$C:$C,0))),"",INDEX('Policy Characteristics'!F:F,MATCH($C1153,'Policy Characteristics'!$C:$C,0)))</f>
        <v>0</v>
      </c>
      <c r="M1153" s="398">
        <f>IF(ISBLANK(INDEX('Policy Characteristics'!G:G,MATCH($C1153,'Policy Characteristics'!$C:$C,0))),"",INDEX('Policy Characteristics'!G:G,MATCH($C1153,'Policy Characteristics'!$C:$C,0)))</f>
        <v>0.4</v>
      </c>
      <c r="N1153" s="398">
        <f>IF(ISBLANK(INDEX('Policy Characteristics'!H:H,MATCH($C1153,'Policy Characteristics'!$C:$C,0))),"",INDEX('Policy Characteristics'!H:H,MATCH($C1153,'Policy Characteristics'!$C:$C,0)))</f>
        <v>0.01</v>
      </c>
      <c r="O1153" s="394" t="str">
        <f>IF(ISBLANK(INDEX('Policy Characteristics'!I:I,MATCH($C1153,'Policy Characteristics'!$C:$C,0))),"",INDEX('Policy Characteristics'!I:I,MATCH($C1153,'Policy Characteristics'!$C:$C,0)))</f>
        <v>% reduction in cost</v>
      </c>
      <c r="P1153" s="394" t="str">
        <f>IF(ISBLANK(INDEX('Policy Characteristics'!J:J,MATCH($C1153,'Policy Characteristics'!$C:$C,0))),"",INDEX('Policy Characteristics'!J:J,MATCH($C1153,'Policy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3" s="394" t="str">
        <f>IF(ISBLANK(INDEX('Policy Characteristics'!K:K,MATCH($C1153,'Policy Characteristics'!$C:$C,0))),"",INDEX('Policy Characteristics'!K:K,MATCH($C1153,'Policy Characteristics'!$C:$C,0)))</f>
        <v>architectural-design.html#rnd</v>
      </c>
      <c r="R1153" s="394" t="str">
        <f>IF(ISBLANK(INDEX('Policy Characteristics'!L:L,MATCH($C1153,'Policy Characteristics'!$C:$C,0))),"",INDEX('Policy Characteristics'!L:L,MATCH($C1153,'Policy Characteristics'!$C:$C,0)))</f>
        <v>research-and-development.html</v>
      </c>
    </row>
    <row r="1154" customHeight="1" spans="1:18">
      <c r="A1154" s="394" t="str">
        <f>IF(ISBLANK(INDEX('Policy Characteristics'!A:A,MATCH($C1154,'Policy Characteristics'!$C:$C,0))),"",INDEX('Policy Characteristics'!A:A,MATCH($C1154,'Policy Characteristics'!$C:$C,0)))</f>
        <v>Research and Development</v>
      </c>
      <c r="B1154" s="395" t="str">
        <f>IF(ISBLANK(INDEX('Policy Characteristics'!B:B,MATCH($C1154,'Policy Characteristics'!$C:$C,0))),"",INDEX('Policy Characteristics'!B:B,MATCH($C1154,'Policy Characteristics'!$C:$C,0)))</f>
        <v>Capital Cost Reduction</v>
      </c>
      <c r="C1154" s="394" t="str">
        <f t="shared" si="60"/>
        <v>RnD Industry Capital Cost Perc Reduction</v>
      </c>
      <c r="D1154" t="s">
        <v>762</v>
      </c>
      <c r="E1154" s="399"/>
      <c r="F1154" s="400" t="s">
        <v>898</v>
      </c>
      <c r="G1154" s="399"/>
      <c r="H1154" s="377">
        <v>1474</v>
      </c>
      <c r="I1154" s="396" t="s">
        <v>648</v>
      </c>
      <c r="J1154" s="397" t="str">
        <f>IF(ISBLANK(INDEX('Policy Characteristics'!D:D,MATCH($C1154,'Policy Characteristics'!$C:$C,0))),"",INDEX('Policy Characteristics'!D:D,MATCH($C1154,'Policy Characteristics'!$C:$C,0)))</f>
        <v>R&amp;D Capital Cost Reductions</v>
      </c>
      <c r="K1154" s="394" t="str">
        <f>IF(ISBLANK(INDEX('Policy Characteristics'!E:E,MATCH($C1154,'Policy Characteristics'!$C:$C,0))),"",INDEX('Policy Characteristics'!E:E,MATCH($C1154,'Policy Characteristics'!$C:$C,0)))</f>
        <v>RnD industry capital cost reduction</v>
      </c>
      <c r="L1154" s="398">
        <f>IF(ISBLANK(INDEX('Policy Characteristics'!F:F,MATCH($C1154,'Policy Characteristics'!$C:$C,0))),"",INDEX('Policy Characteristics'!F:F,MATCH($C1154,'Policy Characteristics'!$C:$C,0)))</f>
        <v>0</v>
      </c>
      <c r="M1154" s="398">
        <f>IF(ISBLANK(INDEX('Policy Characteristics'!G:G,MATCH($C1154,'Policy Characteristics'!$C:$C,0))),"",INDEX('Policy Characteristics'!G:G,MATCH($C1154,'Policy Characteristics'!$C:$C,0)))</f>
        <v>0.4</v>
      </c>
      <c r="N1154" s="398">
        <f>IF(ISBLANK(INDEX('Policy Characteristics'!H:H,MATCH($C1154,'Policy Characteristics'!$C:$C,0))),"",INDEX('Policy Characteristics'!H:H,MATCH($C1154,'Policy Characteristics'!$C:$C,0)))</f>
        <v>0.01</v>
      </c>
      <c r="O1154" s="394" t="str">
        <f>IF(ISBLANK(INDEX('Policy Characteristics'!I:I,MATCH($C1154,'Policy Characteristics'!$C:$C,0))),"",INDEX('Policy Characteristics'!I:I,MATCH($C1154,'Policy Characteristics'!$C:$C,0)))</f>
        <v>% reduction in cost</v>
      </c>
      <c r="P1154" s="394" t="str">
        <f>IF(ISBLANK(INDEX('Policy Characteristics'!J:J,MATCH($C1154,'Policy Characteristics'!$C:$C,0))),"",INDEX('Policy Characteristics'!J:J,MATCH($C1154,'Policy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4" s="394" t="str">
        <f>IF(ISBLANK(INDEX('Policy Characteristics'!K:K,MATCH($C1154,'Policy Characteristics'!$C:$C,0))),"",INDEX('Policy Characteristics'!K:K,MATCH($C1154,'Policy Characteristics'!$C:$C,0)))</f>
        <v>architectural-design.html#rnd</v>
      </c>
      <c r="R1154" s="394" t="str">
        <f>IF(ISBLANK(INDEX('Policy Characteristics'!L:L,MATCH($C1154,'Policy Characteristics'!$C:$C,0))),"",INDEX('Policy Characteristics'!L:L,MATCH($C1154,'Policy Characteristics'!$C:$C,0)))</f>
        <v>research-and-development.html</v>
      </c>
    </row>
    <row r="1155" customHeight="1" spans="1:18">
      <c r="A1155" s="394" t="str">
        <f>IF(ISBLANK(INDEX('Policy Characteristics'!A:A,MATCH($C1155,'Policy Characteristics'!$C:$C,0))),"",INDEX('Policy Characteristics'!A:A,MATCH($C1155,'Policy Characteristics'!$C:$C,0)))</f>
        <v>Research and Development</v>
      </c>
      <c r="B1155" s="395" t="str">
        <f>IF(ISBLANK(INDEX('Policy Characteristics'!B:B,MATCH($C1155,'Policy Characteristics'!$C:$C,0))),"",INDEX('Policy Characteristics'!B:B,MATCH($C1155,'Policy Characteristics'!$C:$C,0)))</f>
        <v>Capital Cost Reduction</v>
      </c>
      <c r="C1155" s="394" t="str">
        <f t="shared" si="60"/>
        <v>RnD Industry Capital Cost Perc Reduction</v>
      </c>
      <c r="D1155" t="s">
        <v>764</v>
      </c>
      <c r="E1155" s="399"/>
      <c r="F1155" s="400" t="s">
        <v>899</v>
      </c>
      <c r="G1155" s="399"/>
      <c r="H1155" s="377">
        <v>1475</v>
      </c>
      <c r="I1155" s="396" t="s">
        <v>648</v>
      </c>
      <c r="J1155" s="397" t="str">
        <f>IF(ISBLANK(INDEX('Policy Characteristics'!D:D,MATCH($C1155,'Policy Characteristics'!$C:$C,0))),"",INDEX('Policy Characteristics'!D:D,MATCH($C1155,'Policy Characteristics'!$C:$C,0)))</f>
        <v>R&amp;D Capital Cost Reductions</v>
      </c>
      <c r="K1155" s="394" t="str">
        <f>IF(ISBLANK(INDEX('Policy Characteristics'!E:E,MATCH($C1155,'Policy Characteristics'!$C:$C,0))),"",INDEX('Policy Characteristics'!E:E,MATCH($C1155,'Policy Characteristics'!$C:$C,0)))</f>
        <v>RnD industry capital cost reduction</v>
      </c>
      <c r="L1155" s="398">
        <f>IF(ISBLANK(INDEX('Policy Characteristics'!F:F,MATCH($C1155,'Policy Characteristics'!$C:$C,0))),"",INDEX('Policy Characteristics'!F:F,MATCH($C1155,'Policy Characteristics'!$C:$C,0)))</f>
        <v>0</v>
      </c>
      <c r="M1155" s="398">
        <f>IF(ISBLANK(INDEX('Policy Characteristics'!G:G,MATCH($C1155,'Policy Characteristics'!$C:$C,0))),"",INDEX('Policy Characteristics'!G:G,MATCH($C1155,'Policy Characteristics'!$C:$C,0)))</f>
        <v>0.4</v>
      </c>
      <c r="N1155" s="398">
        <f>IF(ISBLANK(INDEX('Policy Characteristics'!H:H,MATCH($C1155,'Policy Characteristics'!$C:$C,0))),"",INDEX('Policy Characteristics'!H:H,MATCH($C1155,'Policy Characteristics'!$C:$C,0)))</f>
        <v>0.01</v>
      </c>
      <c r="O1155" s="394" t="str">
        <f>IF(ISBLANK(INDEX('Policy Characteristics'!I:I,MATCH($C1155,'Policy Characteristics'!$C:$C,0))),"",INDEX('Policy Characteristics'!I:I,MATCH($C1155,'Policy Characteristics'!$C:$C,0)))</f>
        <v>% reduction in cost</v>
      </c>
      <c r="P1155" s="394" t="str">
        <f>IF(ISBLANK(INDEX('Policy Characteristics'!J:J,MATCH($C1155,'Policy Characteristics'!$C:$C,0))),"",INDEX('Policy Characteristics'!J:J,MATCH($C1155,'Policy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5" s="394" t="str">
        <f>IF(ISBLANK(INDEX('Policy Characteristics'!K:K,MATCH($C1155,'Policy Characteristics'!$C:$C,0))),"",INDEX('Policy Characteristics'!K:K,MATCH($C1155,'Policy Characteristics'!$C:$C,0)))</f>
        <v>architectural-design.html#rnd</v>
      </c>
      <c r="R1155" s="394" t="str">
        <f>IF(ISBLANK(INDEX('Policy Characteristics'!L:L,MATCH($C1155,'Policy Characteristics'!$C:$C,0))),"",INDEX('Policy Characteristics'!L:L,MATCH($C1155,'Policy Characteristics'!$C:$C,0)))</f>
        <v>research-and-development.html</v>
      </c>
    </row>
    <row r="1156" customHeight="1" spans="1:18">
      <c r="A1156" s="394" t="str">
        <f>IF(ISBLANK(INDEX('Policy Characteristics'!A:A,MATCH($C1156,'Policy Characteristics'!$C:$C,0))),"",INDEX('Policy Characteristics'!A:A,MATCH($C1156,'Policy Characteristics'!$C:$C,0)))</f>
        <v>Research and Development</v>
      </c>
      <c r="B1156" s="395" t="str">
        <f>IF(ISBLANK(INDEX('Policy Characteristics'!B:B,MATCH($C1156,'Policy Characteristics'!$C:$C,0))),"",INDEX('Policy Characteristics'!B:B,MATCH($C1156,'Policy Characteristics'!$C:$C,0)))</f>
        <v>Capital Cost Reduction</v>
      </c>
      <c r="C1156" s="394" t="str">
        <f t="shared" si="60"/>
        <v>RnD Industry Capital Cost Perc Reduction</v>
      </c>
      <c r="D1156" t="s">
        <v>766</v>
      </c>
      <c r="E1156" s="399"/>
      <c r="F1156" s="399" t="s">
        <v>900</v>
      </c>
      <c r="G1156" s="399"/>
      <c r="H1156" s="377">
        <v>1476</v>
      </c>
      <c r="I1156" s="396" t="s">
        <v>648</v>
      </c>
      <c r="J1156" s="397" t="str">
        <f>IF(ISBLANK(INDEX('Policy Characteristics'!D:D,MATCH($C1156,'Policy Characteristics'!$C:$C,0))),"",INDEX('Policy Characteristics'!D:D,MATCH($C1156,'Policy Characteristics'!$C:$C,0)))</f>
        <v>R&amp;D Capital Cost Reductions</v>
      </c>
      <c r="K1156" s="394" t="str">
        <f>IF(ISBLANK(INDEX('Policy Characteristics'!E:E,MATCH($C1156,'Policy Characteristics'!$C:$C,0))),"",INDEX('Policy Characteristics'!E:E,MATCH($C1156,'Policy Characteristics'!$C:$C,0)))</f>
        <v>RnD industry capital cost reduction</v>
      </c>
      <c r="L1156" s="398">
        <f>IF(ISBLANK(INDEX('Policy Characteristics'!F:F,MATCH($C1156,'Policy Characteristics'!$C:$C,0))),"",INDEX('Policy Characteristics'!F:F,MATCH($C1156,'Policy Characteristics'!$C:$C,0)))</f>
        <v>0</v>
      </c>
      <c r="M1156" s="398">
        <f>IF(ISBLANK(INDEX('Policy Characteristics'!G:G,MATCH($C1156,'Policy Characteristics'!$C:$C,0))),"",INDEX('Policy Characteristics'!G:G,MATCH($C1156,'Policy Characteristics'!$C:$C,0)))</f>
        <v>0.4</v>
      </c>
      <c r="N1156" s="398">
        <f>IF(ISBLANK(INDEX('Policy Characteristics'!H:H,MATCH($C1156,'Policy Characteristics'!$C:$C,0))),"",INDEX('Policy Characteristics'!H:H,MATCH($C1156,'Policy Characteristics'!$C:$C,0)))</f>
        <v>0.01</v>
      </c>
      <c r="O1156" s="394" t="str">
        <f>IF(ISBLANK(INDEX('Policy Characteristics'!I:I,MATCH($C1156,'Policy Characteristics'!$C:$C,0))),"",INDEX('Policy Characteristics'!I:I,MATCH($C1156,'Policy Characteristics'!$C:$C,0)))</f>
        <v>% reduction in cost</v>
      </c>
      <c r="P1156" s="394" t="str">
        <f>IF(ISBLANK(INDEX('Policy Characteristics'!J:J,MATCH($C1156,'Policy Characteristics'!$C:$C,0))),"",INDEX('Policy Characteristics'!J:J,MATCH($C1156,'Policy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6" s="394" t="str">
        <f>IF(ISBLANK(INDEX('Policy Characteristics'!K:K,MATCH($C1156,'Policy Characteristics'!$C:$C,0))),"",INDEX('Policy Characteristics'!K:K,MATCH($C1156,'Policy Characteristics'!$C:$C,0)))</f>
        <v>architectural-design.html#rnd</v>
      </c>
      <c r="R1156" s="394" t="str">
        <f>IF(ISBLANK(INDEX('Policy Characteristics'!L:L,MATCH($C1156,'Policy Characteristics'!$C:$C,0))),"",INDEX('Policy Characteristics'!L:L,MATCH($C1156,'Policy Characteristics'!$C:$C,0)))</f>
        <v>research-and-development.html</v>
      </c>
    </row>
    <row r="1157" customHeight="1" spans="1:18">
      <c r="A1157" s="394" t="str">
        <f>IF(ISBLANK(INDEX('Policy Characteristics'!A:A,MATCH($C1157,'Policy Characteristics'!$C:$C,0))),"",INDEX('Policy Characteristics'!A:A,MATCH($C1157,'Policy Characteristics'!$C:$C,0)))</f>
        <v>Research and Development</v>
      </c>
      <c r="B1157" s="395" t="str">
        <f>IF(ISBLANK(INDEX('Policy Characteristics'!B:B,MATCH($C1157,'Policy Characteristics'!$C:$C,0))),"",INDEX('Policy Characteristics'!B:B,MATCH($C1157,'Policy Characteristics'!$C:$C,0)))</f>
        <v>Capital Cost Reduction</v>
      </c>
      <c r="C1157" s="394" t="str">
        <f t="shared" si="60"/>
        <v>RnD Industry Capital Cost Perc Reduction</v>
      </c>
      <c r="D1157" t="s">
        <v>768</v>
      </c>
      <c r="E1157" s="399"/>
      <c r="F1157" s="399" t="s">
        <v>901</v>
      </c>
      <c r="G1157" s="399"/>
      <c r="H1157" s="377">
        <v>1477</v>
      </c>
      <c r="I1157" s="396" t="s">
        <v>648</v>
      </c>
      <c r="J1157" s="397" t="str">
        <f>IF(ISBLANK(INDEX('Policy Characteristics'!D:D,MATCH($C1157,'Policy Characteristics'!$C:$C,0))),"",INDEX('Policy Characteristics'!D:D,MATCH($C1157,'Policy Characteristics'!$C:$C,0)))</f>
        <v>R&amp;D Capital Cost Reductions</v>
      </c>
      <c r="K1157" s="394" t="str">
        <f>IF(ISBLANK(INDEX('Policy Characteristics'!E:E,MATCH($C1157,'Policy Characteristics'!$C:$C,0))),"",INDEX('Policy Characteristics'!E:E,MATCH($C1157,'Policy Characteristics'!$C:$C,0)))</f>
        <v>RnD industry capital cost reduction</v>
      </c>
      <c r="L1157" s="398">
        <f>IF(ISBLANK(INDEX('Policy Characteristics'!F:F,MATCH($C1157,'Policy Characteristics'!$C:$C,0))),"",INDEX('Policy Characteristics'!F:F,MATCH($C1157,'Policy Characteristics'!$C:$C,0)))</f>
        <v>0</v>
      </c>
      <c r="M1157" s="398">
        <f>IF(ISBLANK(INDEX('Policy Characteristics'!G:G,MATCH($C1157,'Policy Characteristics'!$C:$C,0))),"",INDEX('Policy Characteristics'!G:G,MATCH($C1157,'Policy Characteristics'!$C:$C,0)))</f>
        <v>0.4</v>
      </c>
      <c r="N1157" s="398">
        <f>IF(ISBLANK(INDEX('Policy Characteristics'!H:H,MATCH($C1157,'Policy Characteristics'!$C:$C,0))),"",INDEX('Policy Characteristics'!H:H,MATCH($C1157,'Policy Characteristics'!$C:$C,0)))</f>
        <v>0.01</v>
      </c>
      <c r="O1157" s="394" t="str">
        <f>IF(ISBLANK(INDEX('Policy Characteristics'!I:I,MATCH($C1157,'Policy Characteristics'!$C:$C,0))),"",INDEX('Policy Characteristics'!I:I,MATCH($C1157,'Policy Characteristics'!$C:$C,0)))</f>
        <v>% reduction in cost</v>
      </c>
      <c r="P1157" s="394" t="str">
        <f>IF(ISBLANK(INDEX('Policy Characteristics'!J:J,MATCH($C1157,'Policy Characteristics'!$C:$C,0))),"",INDEX('Policy Characteristics'!J:J,MATCH($C1157,'Policy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7" s="394" t="str">
        <f>IF(ISBLANK(INDEX('Policy Characteristics'!K:K,MATCH($C1157,'Policy Characteristics'!$C:$C,0))),"",INDEX('Policy Characteristics'!K:K,MATCH($C1157,'Policy Characteristics'!$C:$C,0)))</f>
        <v>architectural-design.html#rnd</v>
      </c>
      <c r="R1157" s="394" t="str">
        <f>IF(ISBLANK(INDEX('Policy Characteristics'!L:L,MATCH($C1157,'Policy Characteristics'!$C:$C,0))),"",INDEX('Policy Characteristics'!L:L,MATCH($C1157,'Policy Characteristics'!$C:$C,0)))</f>
        <v>research-and-development.html</v>
      </c>
    </row>
    <row r="1158" customHeight="1" spans="1:18">
      <c r="A1158" s="394" t="str">
        <f>IF(ISBLANK(INDEX('Policy Characteristics'!A:A,MATCH($C1158,'Policy Characteristics'!$C:$C,0))),"",INDEX('Policy Characteristics'!A:A,MATCH($C1158,'Policy Characteristics'!$C:$C,0)))</f>
        <v>Research and Development</v>
      </c>
      <c r="B1158" s="395" t="str">
        <f>IF(ISBLANK(INDEX('Policy Characteristics'!B:B,MATCH($C1158,'Policy Characteristics'!$C:$C,0))),"",INDEX('Policy Characteristics'!B:B,MATCH($C1158,'Policy Characteristics'!$C:$C,0)))</f>
        <v>Capital Cost Reduction</v>
      </c>
      <c r="C1158" s="394" t="str">
        <f t="shared" si="60"/>
        <v>RnD Industry Capital Cost Perc Reduction</v>
      </c>
      <c r="D1158" t="s">
        <v>770</v>
      </c>
      <c r="E1158" s="399"/>
      <c r="F1158" s="399" t="s">
        <v>902</v>
      </c>
      <c r="G1158" s="399"/>
      <c r="H1158" s="377">
        <v>1478</v>
      </c>
      <c r="I1158" s="396" t="s">
        <v>648</v>
      </c>
      <c r="J1158" s="397" t="str">
        <f>IF(ISBLANK(INDEX('Policy Characteristics'!D:D,MATCH($C1158,'Policy Characteristics'!$C:$C,0))),"",INDEX('Policy Characteristics'!D:D,MATCH($C1158,'Policy Characteristics'!$C:$C,0)))</f>
        <v>R&amp;D Capital Cost Reductions</v>
      </c>
      <c r="K1158" s="394" t="str">
        <f>IF(ISBLANK(INDEX('Policy Characteristics'!E:E,MATCH($C1158,'Policy Characteristics'!$C:$C,0))),"",INDEX('Policy Characteristics'!E:E,MATCH($C1158,'Policy Characteristics'!$C:$C,0)))</f>
        <v>RnD industry capital cost reduction</v>
      </c>
      <c r="L1158" s="398">
        <f>IF(ISBLANK(INDEX('Policy Characteristics'!F:F,MATCH($C1158,'Policy Characteristics'!$C:$C,0))),"",INDEX('Policy Characteristics'!F:F,MATCH($C1158,'Policy Characteristics'!$C:$C,0)))</f>
        <v>0</v>
      </c>
      <c r="M1158" s="398">
        <f>IF(ISBLANK(INDEX('Policy Characteristics'!G:G,MATCH($C1158,'Policy Characteristics'!$C:$C,0))),"",INDEX('Policy Characteristics'!G:G,MATCH($C1158,'Policy Characteristics'!$C:$C,0)))</f>
        <v>0.4</v>
      </c>
      <c r="N1158" s="398">
        <f>IF(ISBLANK(INDEX('Policy Characteristics'!H:H,MATCH($C1158,'Policy Characteristics'!$C:$C,0))),"",INDEX('Policy Characteristics'!H:H,MATCH($C1158,'Policy Characteristics'!$C:$C,0)))</f>
        <v>0.01</v>
      </c>
      <c r="O1158" s="394" t="str">
        <f>IF(ISBLANK(INDEX('Policy Characteristics'!I:I,MATCH($C1158,'Policy Characteristics'!$C:$C,0))),"",INDEX('Policy Characteristics'!I:I,MATCH($C1158,'Policy Characteristics'!$C:$C,0)))</f>
        <v>% reduction in cost</v>
      </c>
      <c r="P1158" s="394" t="str">
        <f>IF(ISBLANK(INDEX('Policy Characteristics'!J:J,MATCH($C1158,'Policy Characteristics'!$C:$C,0))),"",INDEX('Policy Characteristics'!J:J,MATCH($C1158,'Policy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8" s="394" t="str">
        <f>IF(ISBLANK(INDEX('Policy Characteristics'!K:K,MATCH($C1158,'Policy Characteristics'!$C:$C,0))),"",INDEX('Policy Characteristics'!K:K,MATCH($C1158,'Policy Characteristics'!$C:$C,0)))</f>
        <v>architectural-design.html#rnd</v>
      </c>
      <c r="R1158" s="394" t="str">
        <f>IF(ISBLANK(INDEX('Policy Characteristics'!L:L,MATCH($C1158,'Policy Characteristics'!$C:$C,0))),"",INDEX('Policy Characteristics'!L:L,MATCH($C1158,'Policy Characteristics'!$C:$C,0)))</f>
        <v>research-and-development.html</v>
      </c>
    </row>
    <row r="1159" customHeight="1" spans="1:18">
      <c r="A1159" s="394" t="str">
        <f>IF(ISBLANK(INDEX('Policy Characteristics'!A:A,MATCH($C1159,'Policy Characteristics'!$C:$C,0))),"",INDEX('Policy Characteristics'!A:A,MATCH($C1159,'Policy Characteristics'!$C:$C,0)))</f>
        <v>Research and Development</v>
      </c>
      <c r="B1159" s="395" t="str">
        <f>IF(ISBLANK(INDEX('Policy Characteristics'!B:B,MATCH($C1159,'Policy Characteristics'!$C:$C,0))),"",INDEX('Policy Characteristics'!B:B,MATCH($C1159,'Policy Characteristics'!$C:$C,0)))</f>
        <v>Capital Cost Reduction</v>
      </c>
      <c r="C1159" s="394" t="str">
        <f t="shared" si="60"/>
        <v>RnD Industry Capital Cost Perc Reduction</v>
      </c>
      <c r="D1159" t="s">
        <v>772</v>
      </c>
      <c r="E1159" s="399"/>
      <c r="F1159" s="399" t="s">
        <v>903</v>
      </c>
      <c r="G1159" s="399"/>
      <c r="H1159" s="377">
        <v>1479</v>
      </c>
      <c r="I1159" s="396" t="s">
        <v>648</v>
      </c>
      <c r="J1159" s="397" t="str">
        <f>IF(ISBLANK(INDEX('Policy Characteristics'!D:D,MATCH($C1159,'Policy Characteristics'!$C:$C,0))),"",INDEX('Policy Characteristics'!D:D,MATCH($C1159,'Policy Characteristics'!$C:$C,0)))</f>
        <v>R&amp;D Capital Cost Reductions</v>
      </c>
      <c r="K1159" s="394" t="str">
        <f>IF(ISBLANK(INDEX('Policy Characteristics'!E:E,MATCH($C1159,'Policy Characteristics'!$C:$C,0))),"",INDEX('Policy Characteristics'!E:E,MATCH($C1159,'Policy Characteristics'!$C:$C,0)))</f>
        <v>RnD industry capital cost reduction</v>
      </c>
      <c r="L1159" s="398">
        <f>IF(ISBLANK(INDEX('Policy Characteristics'!F:F,MATCH($C1159,'Policy Characteristics'!$C:$C,0))),"",INDEX('Policy Characteristics'!F:F,MATCH($C1159,'Policy Characteristics'!$C:$C,0)))</f>
        <v>0</v>
      </c>
      <c r="M1159" s="398">
        <f>IF(ISBLANK(INDEX('Policy Characteristics'!G:G,MATCH($C1159,'Policy Characteristics'!$C:$C,0))),"",INDEX('Policy Characteristics'!G:G,MATCH($C1159,'Policy Characteristics'!$C:$C,0)))</f>
        <v>0.4</v>
      </c>
      <c r="N1159" s="398">
        <f>IF(ISBLANK(INDEX('Policy Characteristics'!H:H,MATCH($C1159,'Policy Characteristics'!$C:$C,0))),"",INDEX('Policy Characteristics'!H:H,MATCH($C1159,'Policy Characteristics'!$C:$C,0)))</f>
        <v>0.01</v>
      </c>
      <c r="O1159" s="394" t="str">
        <f>IF(ISBLANK(INDEX('Policy Characteristics'!I:I,MATCH($C1159,'Policy Characteristics'!$C:$C,0))),"",INDEX('Policy Characteristics'!I:I,MATCH($C1159,'Policy Characteristics'!$C:$C,0)))</f>
        <v>% reduction in cost</v>
      </c>
      <c r="P1159" s="394" t="str">
        <f>IF(ISBLANK(INDEX('Policy Characteristics'!J:J,MATCH($C1159,'Policy Characteristics'!$C:$C,0))),"",INDEX('Policy Characteristics'!J:J,MATCH($C1159,'Policy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9" s="394" t="str">
        <f>IF(ISBLANK(INDEX('Policy Characteristics'!K:K,MATCH($C1159,'Policy Characteristics'!$C:$C,0))),"",INDEX('Policy Characteristics'!K:K,MATCH($C1159,'Policy Characteristics'!$C:$C,0)))</f>
        <v>architectural-design.html#rnd</v>
      </c>
      <c r="R1159" s="394" t="str">
        <f>IF(ISBLANK(INDEX('Policy Characteristics'!L:L,MATCH($C1159,'Policy Characteristics'!$C:$C,0))),"",INDEX('Policy Characteristics'!L:L,MATCH($C1159,'Policy Characteristics'!$C:$C,0)))</f>
        <v>research-and-development.html</v>
      </c>
    </row>
    <row r="1160" customHeight="1" spans="1:18">
      <c r="A1160" s="394" t="str">
        <f>IF(ISBLANK(INDEX('Policy Characteristics'!A:A,MATCH($C1160,'Policy Characteristics'!$C:$C,0))),"",INDEX('Policy Characteristics'!A:A,MATCH($C1160,'Policy Characteristics'!$C:$C,0)))</f>
        <v>Research and Development</v>
      </c>
      <c r="B1160" s="395" t="str">
        <f>IF(ISBLANK(INDEX('Policy Characteristics'!B:B,MATCH($C1160,'Policy Characteristics'!$C:$C,0))),"",INDEX('Policy Characteristics'!B:B,MATCH($C1160,'Policy Characteristics'!$C:$C,0)))</f>
        <v>Capital Cost Reduction</v>
      </c>
      <c r="C1160" s="394" t="str">
        <f t="shared" si="60"/>
        <v>RnD Industry Capital Cost Perc Reduction</v>
      </c>
      <c r="D1160" t="s">
        <v>774</v>
      </c>
      <c r="E1160" s="399"/>
      <c r="F1160" s="399" t="s">
        <v>904</v>
      </c>
      <c r="G1160" s="399"/>
      <c r="H1160" s="377">
        <v>1480</v>
      </c>
      <c r="I1160" s="396" t="s">
        <v>648</v>
      </c>
      <c r="J1160" s="397" t="str">
        <f>IF(ISBLANK(INDEX('Policy Characteristics'!D:D,MATCH($C1160,'Policy Characteristics'!$C:$C,0))),"",INDEX('Policy Characteristics'!D:D,MATCH($C1160,'Policy Characteristics'!$C:$C,0)))</f>
        <v>R&amp;D Capital Cost Reductions</v>
      </c>
      <c r="K1160" s="394" t="str">
        <f>IF(ISBLANK(INDEX('Policy Characteristics'!E:E,MATCH($C1160,'Policy Characteristics'!$C:$C,0))),"",INDEX('Policy Characteristics'!E:E,MATCH($C1160,'Policy Characteristics'!$C:$C,0)))</f>
        <v>RnD industry capital cost reduction</v>
      </c>
      <c r="L1160" s="398">
        <f>IF(ISBLANK(INDEX('Policy Characteristics'!F:F,MATCH($C1160,'Policy Characteristics'!$C:$C,0))),"",INDEX('Policy Characteristics'!F:F,MATCH($C1160,'Policy Characteristics'!$C:$C,0)))</f>
        <v>0</v>
      </c>
      <c r="M1160" s="398">
        <f>IF(ISBLANK(INDEX('Policy Characteristics'!G:G,MATCH($C1160,'Policy Characteristics'!$C:$C,0))),"",INDEX('Policy Characteristics'!G:G,MATCH($C1160,'Policy Characteristics'!$C:$C,0)))</f>
        <v>0.4</v>
      </c>
      <c r="N1160" s="398">
        <f>IF(ISBLANK(INDEX('Policy Characteristics'!H:H,MATCH($C1160,'Policy Characteristics'!$C:$C,0))),"",INDEX('Policy Characteristics'!H:H,MATCH($C1160,'Policy Characteristics'!$C:$C,0)))</f>
        <v>0.01</v>
      </c>
      <c r="O1160" s="394" t="str">
        <f>IF(ISBLANK(INDEX('Policy Characteristics'!I:I,MATCH($C1160,'Policy Characteristics'!$C:$C,0))),"",INDEX('Policy Characteristics'!I:I,MATCH($C1160,'Policy Characteristics'!$C:$C,0)))</f>
        <v>% reduction in cost</v>
      </c>
      <c r="P1160" s="394" t="str">
        <f>IF(ISBLANK(INDEX('Policy Characteristics'!J:J,MATCH($C1160,'Policy Characteristics'!$C:$C,0))),"",INDEX('Policy Characteristics'!J:J,MATCH($C1160,'Policy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0" s="394" t="str">
        <f>IF(ISBLANK(INDEX('Policy Characteristics'!K:K,MATCH($C1160,'Policy Characteristics'!$C:$C,0))),"",INDEX('Policy Characteristics'!K:K,MATCH($C1160,'Policy Characteristics'!$C:$C,0)))</f>
        <v>architectural-design.html#rnd</v>
      </c>
      <c r="R1160" s="394" t="str">
        <f>IF(ISBLANK(INDEX('Policy Characteristics'!L:L,MATCH($C1160,'Policy Characteristics'!$C:$C,0))),"",INDEX('Policy Characteristics'!L:L,MATCH($C1160,'Policy Characteristics'!$C:$C,0)))</f>
        <v>research-and-development.html</v>
      </c>
    </row>
    <row r="1161" customHeight="1" spans="1:18">
      <c r="A1161" s="394" t="str">
        <f>IF(ISBLANK(INDEX('Policy Characteristics'!A:A,MATCH($C1161,'Policy Characteristics'!$C:$C,0))),"",INDEX('Policy Characteristics'!A:A,MATCH($C1161,'Policy Characteristics'!$C:$C,0)))</f>
        <v>Research and Development</v>
      </c>
      <c r="B1161" s="395" t="str">
        <f>IF(ISBLANK(INDEX('Policy Characteristics'!B:B,MATCH($C1161,'Policy Characteristics'!$C:$C,0))),"",INDEX('Policy Characteristics'!B:B,MATCH($C1161,'Policy Characteristics'!$C:$C,0)))</f>
        <v>Capital Cost Reduction</v>
      </c>
      <c r="C1161" s="394" t="str">
        <f t="shared" si="60"/>
        <v>RnD Industry Capital Cost Perc Reduction</v>
      </c>
      <c r="D1161" t="s">
        <v>776</v>
      </c>
      <c r="E1161" s="399"/>
      <c r="F1161" s="399" t="s">
        <v>905</v>
      </c>
      <c r="G1161" s="399"/>
      <c r="H1161" s="377">
        <v>1481</v>
      </c>
      <c r="I1161" s="396" t="s">
        <v>648</v>
      </c>
      <c r="J1161" s="397" t="str">
        <f>IF(ISBLANK(INDEX('Policy Characteristics'!D:D,MATCH($C1161,'Policy Characteristics'!$C:$C,0))),"",INDEX('Policy Characteristics'!D:D,MATCH($C1161,'Policy Characteristics'!$C:$C,0)))</f>
        <v>R&amp;D Capital Cost Reductions</v>
      </c>
      <c r="K1161" s="394" t="str">
        <f>IF(ISBLANK(INDEX('Policy Characteristics'!E:E,MATCH($C1161,'Policy Characteristics'!$C:$C,0))),"",INDEX('Policy Characteristics'!E:E,MATCH($C1161,'Policy Characteristics'!$C:$C,0)))</f>
        <v>RnD industry capital cost reduction</v>
      </c>
      <c r="L1161" s="398">
        <f>IF(ISBLANK(INDEX('Policy Characteristics'!F:F,MATCH($C1161,'Policy Characteristics'!$C:$C,0))),"",INDEX('Policy Characteristics'!F:F,MATCH($C1161,'Policy Characteristics'!$C:$C,0)))</f>
        <v>0</v>
      </c>
      <c r="M1161" s="398">
        <f>IF(ISBLANK(INDEX('Policy Characteristics'!G:G,MATCH($C1161,'Policy Characteristics'!$C:$C,0))),"",INDEX('Policy Characteristics'!G:G,MATCH($C1161,'Policy Characteristics'!$C:$C,0)))</f>
        <v>0.4</v>
      </c>
      <c r="N1161" s="398">
        <f>IF(ISBLANK(INDEX('Policy Characteristics'!H:H,MATCH($C1161,'Policy Characteristics'!$C:$C,0))),"",INDEX('Policy Characteristics'!H:H,MATCH($C1161,'Policy Characteristics'!$C:$C,0)))</f>
        <v>0.01</v>
      </c>
      <c r="O1161" s="394" t="str">
        <f>IF(ISBLANK(INDEX('Policy Characteristics'!I:I,MATCH($C1161,'Policy Characteristics'!$C:$C,0))),"",INDEX('Policy Characteristics'!I:I,MATCH($C1161,'Policy Characteristics'!$C:$C,0)))</f>
        <v>% reduction in cost</v>
      </c>
      <c r="P1161" s="394" t="str">
        <f>IF(ISBLANK(INDEX('Policy Characteristics'!J:J,MATCH($C1161,'Policy Characteristics'!$C:$C,0))),"",INDEX('Policy Characteristics'!J:J,MATCH($C1161,'Policy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1" s="394" t="str">
        <f>IF(ISBLANK(INDEX('Policy Characteristics'!K:K,MATCH($C1161,'Policy Characteristics'!$C:$C,0))),"",INDEX('Policy Characteristics'!K:K,MATCH($C1161,'Policy Characteristics'!$C:$C,0)))</f>
        <v>architectural-design.html#rnd</v>
      </c>
      <c r="R1161" s="394" t="str">
        <f>IF(ISBLANK(INDEX('Policy Characteristics'!L:L,MATCH($C1161,'Policy Characteristics'!$C:$C,0))),"",INDEX('Policy Characteristics'!L:L,MATCH($C1161,'Policy Characteristics'!$C:$C,0)))</f>
        <v>research-and-development.html</v>
      </c>
    </row>
    <row r="1162" customHeight="1" spans="1:18">
      <c r="A1162" s="394" t="str">
        <f>IF(ISBLANK(INDEX('Policy Characteristics'!A:A,MATCH($C1162,'Policy Characteristics'!$C:$C,0))),"",INDEX('Policy Characteristics'!A:A,MATCH($C1162,'Policy Characteristics'!$C:$C,0)))</f>
        <v>Research and Development</v>
      </c>
      <c r="B1162" s="395" t="str">
        <f>IF(ISBLANK(INDEX('Policy Characteristics'!B:B,MATCH($C1162,'Policy Characteristics'!$C:$C,0))),"",INDEX('Policy Characteristics'!B:B,MATCH($C1162,'Policy Characteristics'!$C:$C,0)))</f>
        <v>Capital Cost Reduction</v>
      </c>
      <c r="C1162" s="394" t="str">
        <f t="shared" si="60"/>
        <v>RnD Industry Capital Cost Perc Reduction</v>
      </c>
      <c r="D1162" t="s">
        <v>778</v>
      </c>
      <c r="E1162" s="399"/>
      <c r="F1162" s="399" t="s">
        <v>906</v>
      </c>
      <c r="G1162" s="399"/>
      <c r="H1162" s="377">
        <v>1482</v>
      </c>
      <c r="I1162" s="396" t="s">
        <v>648</v>
      </c>
      <c r="J1162" s="397" t="str">
        <f>IF(ISBLANK(INDEX('Policy Characteristics'!D:D,MATCH($C1162,'Policy Characteristics'!$C:$C,0))),"",INDEX('Policy Characteristics'!D:D,MATCH($C1162,'Policy Characteristics'!$C:$C,0)))</f>
        <v>R&amp;D Capital Cost Reductions</v>
      </c>
      <c r="K1162" s="394" t="str">
        <f>IF(ISBLANK(INDEX('Policy Characteristics'!E:E,MATCH($C1162,'Policy Characteristics'!$C:$C,0))),"",INDEX('Policy Characteristics'!E:E,MATCH($C1162,'Policy Characteristics'!$C:$C,0)))</f>
        <v>RnD industry capital cost reduction</v>
      </c>
      <c r="L1162" s="398">
        <f>IF(ISBLANK(INDEX('Policy Characteristics'!F:F,MATCH($C1162,'Policy Characteristics'!$C:$C,0))),"",INDEX('Policy Characteristics'!F:F,MATCH($C1162,'Policy Characteristics'!$C:$C,0)))</f>
        <v>0</v>
      </c>
      <c r="M1162" s="398">
        <f>IF(ISBLANK(INDEX('Policy Characteristics'!G:G,MATCH($C1162,'Policy Characteristics'!$C:$C,0))),"",INDEX('Policy Characteristics'!G:G,MATCH($C1162,'Policy Characteristics'!$C:$C,0)))</f>
        <v>0.4</v>
      </c>
      <c r="N1162" s="398">
        <f>IF(ISBLANK(INDEX('Policy Characteristics'!H:H,MATCH($C1162,'Policy Characteristics'!$C:$C,0))),"",INDEX('Policy Characteristics'!H:H,MATCH($C1162,'Policy Characteristics'!$C:$C,0)))</f>
        <v>0.01</v>
      </c>
      <c r="O1162" s="394" t="str">
        <f>IF(ISBLANK(INDEX('Policy Characteristics'!I:I,MATCH($C1162,'Policy Characteristics'!$C:$C,0))),"",INDEX('Policy Characteristics'!I:I,MATCH($C1162,'Policy Characteristics'!$C:$C,0)))</f>
        <v>% reduction in cost</v>
      </c>
      <c r="P1162" s="394" t="str">
        <f>IF(ISBLANK(INDEX('Policy Characteristics'!J:J,MATCH($C1162,'Policy Characteristics'!$C:$C,0))),"",INDEX('Policy Characteristics'!J:J,MATCH($C1162,'Policy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2" s="394" t="str">
        <f>IF(ISBLANK(INDEX('Policy Characteristics'!K:K,MATCH($C1162,'Policy Characteristics'!$C:$C,0))),"",INDEX('Policy Characteristics'!K:K,MATCH($C1162,'Policy Characteristics'!$C:$C,0)))</f>
        <v>architectural-design.html#rnd</v>
      </c>
      <c r="R1162" s="394" t="str">
        <f>IF(ISBLANK(INDEX('Policy Characteristics'!L:L,MATCH($C1162,'Policy Characteristics'!$C:$C,0))),"",INDEX('Policy Characteristics'!L:L,MATCH($C1162,'Policy Characteristics'!$C:$C,0)))</f>
        <v>research-and-development.html</v>
      </c>
    </row>
    <row r="1163" customHeight="1" spans="1:18">
      <c r="A1163" s="394" t="str">
        <f>IF(ISBLANK(INDEX('Policy Characteristics'!A:A,MATCH($C1163,'Policy Characteristics'!$C:$C,0))),"",INDEX('Policy Characteristics'!A:A,MATCH($C1163,'Policy Characteristics'!$C:$C,0)))</f>
        <v>Research and Development</v>
      </c>
      <c r="B1163" s="395" t="str">
        <f>IF(ISBLANK(INDEX('Policy Characteristics'!B:B,MATCH($C1163,'Policy Characteristics'!$C:$C,0))),"",INDEX('Policy Characteristics'!B:B,MATCH($C1163,'Policy Characteristics'!$C:$C,0)))</f>
        <v>Capital Cost Reduction</v>
      </c>
      <c r="C1163" s="394" t="str">
        <f t="shared" si="60"/>
        <v>RnD Industry Capital Cost Perc Reduction</v>
      </c>
      <c r="D1163" t="s">
        <v>780</v>
      </c>
      <c r="E1163" s="399"/>
      <c r="F1163" s="399" t="s">
        <v>907</v>
      </c>
      <c r="G1163" s="399"/>
      <c r="H1163" s="377">
        <v>1483</v>
      </c>
      <c r="I1163" s="396" t="s">
        <v>648</v>
      </c>
      <c r="J1163" s="397" t="str">
        <f>IF(ISBLANK(INDEX('Policy Characteristics'!D:D,MATCH($C1163,'Policy Characteristics'!$C:$C,0))),"",INDEX('Policy Characteristics'!D:D,MATCH($C1163,'Policy Characteristics'!$C:$C,0)))</f>
        <v>R&amp;D Capital Cost Reductions</v>
      </c>
      <c r="K1163" s="394" t="str">
        <f>IF(ISBLANK(INDEX('Policy Characteristics'!E:E,MATCH($C1163,'Policy Characteristics'!$C:$C,0))),"",INDEX('Policy Characteristics'!E:E,MATCH($C1163,'Policy Characteristics'!$C:$C,0)))</f>
        <v>RnD industry capital cost reduction</v>
      </c>
      <c r="L1163" s="398">
        <f>IF(ISBLANK(INDEX('Policy Characteristics'!F:F,MATCH($C1163,'Policy Characteristics'!$C:$C,0))),"",INDEX('Policy Characteristics'!F:F,MATCH($C1163,'Policy Characteristics'!$C:$C,0)))</f>
        <v>0</v>
      </c>
      <c r="M1163" s="398">
        <f>IF(ISBLANK(INDEX('Policy Characteristics'!G:G,MATCH($C1163,'Policy Characteristics'!$C:$C,0))),"",INDEX('Policy Characteristics'!G:G,MATCH($C1163,'Policy Characteristics'!$C:$C,0)))</f>
        <v>0.4</v>
      </c>
      <c r="N1163" s="398">
        <f>IF(ISBLANK(INDEX('Policy Characteristics'!H:H,MATCH($C1163,'Policy Characteristics'!$C:$C,0))),"",INDEX('Policy Characteristics'!H:H,MATCH($C1163,'Policy Characteristics'!$C:$C,0)))</f>
        <v>0.01</v>
      </c>
      <c r="O1163" s="394" t="str">
        <f>IF(ISBLANK(INDEX('Policy Characteristics'!I:I,MATCH($C1163,'Policy Characteristics'!$C:$C,0))),"",INDEX('Policy Characteristics'!I:I,MATCH($C1163,'Policy Characteristics'!$C:$C,0)))</f>
        <v>% reduction in cost</v>
      </c>
      <c r="P1163" s="394" t="str">
        <f>IF(ISBLANK(INDEX('Policy Characteristics'!J:J,MATCH($C1163,'Policy Characteristics'!$C:$C,0))),"",INDEX('Policy Characteristics'!J:J,MATCH($C1163,'Policy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3" s="394" t="str">
        <f>IF(ISBLANK(INDEX('Policy Characteristics'!K:K,MATCH($C1163,'Policy Characteristics'!$C:$C,0))),"",INDEX('Policy Characteristics'!K:K,MATCH($C1163,'Policy Characteristics'!$C:$C,0)))</f>
        <v>architectural-design.html#rnd</v>
      </c>
      <c r="R1163" s="394" t="str">
        <f>IF(ISBLANK(INDEX('Policy Characteristics'!L:L,MATCH($C1163,'Policy Characteristics'!$C:$C,0))),"",INDEX('Policy Characteristics'!L:L,MATCH($C1163,'Policy Characteristics'!$C:$C,0)))</f>
        <v>research-and-development.html</v>
      </c>
    </row>
    <row r="1164" customHeight="1" spans="1:18">
      <c r="A1164" s="394" t="str">
        <f>IF(ISBLANK(INDEX('Policy Characteristics'!A:A,MATCH($C1164,'Policy Characteristics'!$C:$C,0))),"",INDEX('Policy Characteristics'!A:A,MATCH($C1164,'Policy Characteristics'!$C:$C,0)))</f>
        <v>Research and Development</v>
      </c>
      <c r="B1164" s="395" t="str">
        <f>IF(ISBLANK(INDEX('Policy Characteristics'!B:B,MATCH($C1164,'Policy Characteristics'!$C:$C,0))),"",INDEX('Policy Characteristics'!B:B,MATCH($C1164,'Policy Characteristics'!$C:$C,0)))</f>
        <v>Capital Cost Reduction</v>
      </c>
      <c r="C1164" s="394" t="str">
        <f t="shared" si="60"/>
        <v>RnD Industry Capital Cost Perc Reduction</v>
      </c>
      <c r="D1164" t="s">
        <v>782</v>
      </c>
      <c r="E1164" s="399"/>
      <c r="F1164" s="400" t="s">
        <v>908</v>
      </c>
      <c r="G1164" s="399"/>
      <c r="H1164" s="377">
        <v>1484</v>
      </c>
      <c r="I1164" s="396" t="s">
        <v>648</v>
      </c>
      <c r="J1164" s="397" t="str">
        <f>IF(ISBLANK(INDEX('Policy Characteristics'!D:D,MATCH($C1164,'Policy Characteristics'!$C:$C,0))),"",INDEX('Policy Characteristics'!D:D,MATCH($C1164,'Policy Characteristics'!$C:$C,0)))</f>
        <v>R&amp;D Capital Cost Reductions</v>
      </c>
      <c r="K1164" s="394" t="str">
        <f>IF(ISBLANK(INDEX('Policy Characteristics'!E:E,MATCH($C1164,'Policy Characteristics'!$C:$C,0))),"",INDEX('Policy Characteristics'!E:E,MATCH($C1164,'Policy Characteristics'!$C:$C,0)))</f>
        <v>RnD industry capital cost reduction</v>
      </c>
      <c r="L1164" s="398">
        <f>IF(ISBLANK(INDEX('Policy Characteristics'!F:F,MATCH($C1164,'Policy Characteristics'!$C:$C,0))),"",INDEX('Policy Characteristics'!F:F,MATCH($C1164,'Policy Characteristics'!$C:$C,0)))</f>
        <v>0</v>
      </c>
      <c r="M1164" s="398">
        <f>IF(ISBLANK(INDEX('Policy Characteristics'!G:G,MATCH($C1164,'Policy Characteristics'!$C:$C,0))),"",INDEX('Policy Characteristics'!G:G,MATCH($C1164,'Policy Characteristics'!$C:$C,0)))</f>
        <v>0.4</v>
      </c>
      <c r="N1164" s="398">
        <f>IF(ISBLANK(INDEX('Policy Characteristics'!H:H,MATCH($C1164,'Policy Characteristics'!$C:$C,0))),"",INDEX('Policy Characteristics'!H:H,MATCH($C1164,'Policy Characteristics'!$C:$C,0)))</f>
        <v>0.01</v>
      </c>
      <c r="O1164" s="394" t="str">
        <f>IF(ISBLANK(INDEX('Policy Characteristics'!I:I,MATCH($C1164,'Policy Characteristics'!$C:$C,0))),"",INDEX('Policy Characteristics'!I:I,MATCH($C1164,'Policy Characteristics'!$C:$C,0)))</f>
        <v>% reduction in cost</v>
      </c>
      <c r="P1164" s="394" t="str">
        <f>IF(ISBLANK(INDEX('Policy Characteristics'!J:J,MATCH($C1164,'Policy Characteristics'!$C:$C,0))),"",INDEX('Policy Characteristics'!J:J,MATCH($C1164,'Policy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4" s="394" t="str">
        <f>IF(ISBLANK(INDEX('Policy Characteristics'!K:K,MATCH($C1164,'Policy Characteristics'!$C:$C,0))),"",INDEX('Policy Characteristics'!K:K,MATCH($C1164,'Policy Characteristics'!$C:$C,0)))</f>
        <v>architectural-design.html#rnd</v>
      </c>
      <c r="R1164" s="394" t="str">
        <f>IF(ISBLANK(INDEX('Policy Characteristics'!L:L,MATCH($C1164,'Policy Characteristics'!$C:$C,0))),"",INDEX('Policy Characteristics'!L:L,MATCH($C1164,'Policy Characteristics'!$C:$C,0)))</f>
        <v>research-and-development.html</v>
      </c>
    </row>
    <row r="1165" customHeight="1" spans="1:18">
      <c r="A1165" s="394" t="str">
        <f>IF(ISBLANK(INDEX('Policy Characteristics'!A:A,MATCH($C1165,'Policy Characteristics'!$C:$C,0))),"",INDEX('Policy Characteristics'!A:A,MATCH($C1165,'Policy Characteristics'!$C:$C,0)))</f>
        <v>Research and Development</v>
      </c>
      <c r="B1165" s="395" t="str">
        <f>IF(ISBLANK(INDEX('Policy Characteristics'!B:B,MATCH($C1165,'Policy Characteristics'!$C:$C,0))),"",INDEX('Policy Characteristics'!B:B,MATCH($C1165,'Policy Characteristics'!$C:$C,0)))</f>
        <v>Capital Cost Reduction</v>
      </c>
      <c r="C1165" s="394" t="str">
        <f t="shared" si="60"/>
        <v>RnD Industry Capital Cost Perc Reduction</v>
      </c>
      <c r="D1165" t="s">
        <v>784</v>
      </c>
      <c r="E1165" s="399"/>
      <c r="F1165" s="399" t="s">
        <v>909</v>
      </c>
      <c r="G1165" s="399"/>
      <c r="H1165" s="377">
        <v>1485</v>
      </c>
      <c r="I1165" s="396" t="s">
        <v>648</v>
      </c>
      <c r="J1165" s="397" t="str">
        <f>IF(ISBLANK(INDEX('Policy Characteristics'!D:D,MATCH($C1165,'Policy Characteristics'!$C:$C,0))),"",INDEX('Policy Characteristics'!D:D,MATCH($C1165,'Policy Characteristics'!$C:$C,0)))</f>
        <v>R&amp;D Capital Cost Reductions</v>
      </c>
      <c r="K1165" s="394" t="str">
        <f>IF(ISBLANK(INDEX('Policy Characteristics'!E:E,MATCH($C1165,'Policy Characteristics'!$C:$C,0))),"",INDEX('Policy Characteristics'!E:E,MATCH($C1165,'Policy Characteristics'!$C:$C,0)))</f>
        <v>RnD industry capital cost reduction</v>
      </c>
      <c r="L1165" s="398">
        <f>IF(ISBLANK(INDEX('Policy Characteristics'!F:F,MATCH($C1165,'Policy Characteristics'!$C:$C,0))),"",INDEX('Policy Characteristics'!F:F,MATCH($C1165,'Policy Characteristics'!$C:$C,0)))</f>
        <v>0</v>
      </c>
      <c r="M1165" s="398">
        <f>IF(ISBLANK(INDEX('Policy Characteristics'!G:G,MATCH($C1165,'Policy Characteristics'!$C:$C,0))),"",INDEX('Policy Characteristics'!G:G,MATCH($C1165,'Policy Characteristics'!$C:$C,0)))</f>
        <v>0.4</v>
      </c>
      <c r="N1165" s="398">
        <f>IF(ISBLANK(INDEX('Policy Characteristics'!H:H,MATCH($C1165,'Policy Characteristics'!$C:$C,0))),"",INDEX('Policy Characteristics'!H:H,MATCH($C1165,'Policy Characteristics'!$C:$C,0)))</f>
        <v>0.01</v>
      </c>
      <c r="O1165" s="394" t="str">
        <f>IF(ISBLANK(INDEX('Policy Characteristics'!I:I,MATCH($C1165,'Policy Characteristics'!$C:$C,0))),"",INDEX('Policy Characteristics'!I:I,MATCH($C1165,'Policy Characteristics'!$C:$C,0)))</f>
        <v>% reduction in cost</v>
      </c>
      <c r="P1165" s="394" t="str">
        <f>IF(ISBLANK(INDEX('Policy Characteristics'!J:J,MATCH($C1165,'Policy Characteristics'!$C:$C,0))),"",INDEX('Policy Characteristics'!J:J,MATCH($C1165,'Policy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5" s="394" t="str">
        <f>IF(ISBLANK(INDEX('Policy Characteristics'!K:K,MATCH($C1165,'Policy Characteristics'!$C:$C,0))),"",INDEX('Policy Characteristics'!K:K,MATCH($C1165,'Policy Characteristics'!$C:$C,0)))</f>
        <v>architectural-design.html#rnd</v>
      </c>
      <c r="R1165" s="394" t="str">
        <f>IF(ISBLANK(INDEX('Policy Characteristics'!L:L,MATCH($C1165,'Policy Characteristics'!$C:$C,0))),"",INDEX('Policy Characteristics'!L:L,MATCH($C1165,'Policy Characteristics'!$C:$C,0)))</f>
        <v>research-and-development.html</v>
      </c>
    </row>
    <row r="1166" customHeight="1" spans="1:18">
      <c r="A1166" s="394" t="str">
        <f>IF(ISBLANK(INDEX('Policy Characteristics'!A:A,MATCH($C1166,'Policy Characteristics'!$C:$C,0))),"",INDEX('Policy Characteristics'!A:A,MATCH($C1166,'Policy Characteristics'!$C:$C,0)))</f>
        <v>Research and Development</v>
      </c>
      <c r="B1166" s="395" t="str">
        <f>IF(ISBLANK(INDEX('Policy Characteristics'!B:B,MATCH($C1166,'Policy Characteristics'!$C:$C,0))),"",INDEX('Policy Characteristics'!B:B,MATCH($C1166,'Policy Characteristics'!$C:$C,0)))</f>
        <v>Capital Cost Reduction</v>
      </c>
      <c r="C1166" s="394" t="str">
        <f t="shared" si="60"/>
        <v>RnD Industry Capital Cost Perc Reduction</v>
      </c>
      <c r="D1166" t="s">
        <v>786</v>
      </c>
      <c r="E1166" s="399"/>
      <c r="F1166" s="399" t="s">
        <v>910</v>
      </c>
      <c r="G1166" s="399"/>
      <c r="H1166" s="377">
        <v>1486</v>
      </c>
      <c r="I1166" s="396" t="s">
        <v>648</v>
      </c>
      <c r="J1166" s="397" t="str">
        <f>IF(ISBLANK(INDEX('Policy Characteristics'!D:D,MATCH($C1166,'Policy Characteristics'!$C:$C,0))),"",INDEX('Policy Characteristics'!D:D,MATCH($C1166,'Policy Characteristics'!$C:$C,0)))</f>
        <v>R&amp;D Capital Cost Reductions</v>
      </c>
      <c r="K1166" s="394" t="str">
        <f>IF(ISBLANK(INDEX('Policy Characteristics'!E:E,MATCH($C1166,'Policy Characteristics'!$C:$C,0))),"",INDEX('Policy Characteristics'!E:E,MATCH($C1166,'Policy Characteristics'!$C:$C,0)))</f>
        <v>RnD industry capital cost reduction</v>
      </c>
      <c r="L1166" s="398">
        <f>IF(ISBLANK(INDEX('Policy Characteristics'!F:F,MATCH($C1166,'Policy Characteristics'!$C:$C,0))),"",INDEX('Policy Characteristics'!F:F,MATCH($C1166,'Policy Characteristics'!$C:$C,0)))</f>
        <v>0</v>
      </c>
      <c r="M1166" s="398">
        <f>IF(ISBLANK(INDEX('Policy Characteristics'!G:G,MATCH($C1166,'Policy Characteristics'!$C:$C,0))),"",INDEX('Policy Characteristics'!G:G,MATCH($C1166,'Policy Characteristics'!$C:$C,0)))</f>
        <v>0.4</v>
      </c>
      <c r="N1166" s="398">
        <f>IF(ISBLANK(INDEX('Policy Characteristics'!H:H,MATCH($C1166,'Policy Characteristics'!$C:$C,0))),"",INDEX('Policy Characteristics'!H:H,MATCH($C1166,'Policy Characteristics'!$C:$C,0)))</f>
        <v>0.01</v>
      </c>
      <c r="O1166" s="394" t="str">
        <f>IF(ISBLANK(INDEX('Policy Characteristics'!I:I,MATCH($C1166,'Policy Characteristics'!$C:$C,0))),"",INDEX('Policy Characteristics'!I:I,MATCH($C1166,'Policy Characteristics'!$C:$C,0)))</f>
        <v>% reduction in cost</v>
      </c>
      <c r="P1166" s="394" t="str">
        <f>IF(ISBLANK(INDEX('Policy Characteristics'!J:J,MATCH($C1166,'Policy Characteristics'!$C:$C,0))),"",INDEX('Policy Characteristics'!J:J,MATCH($C1166,'Policy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6" s="394" t="str">
        <f>IF(ISBLANK(INDEX('Policy Characteristics'!K:K,MATCH($C1166,'Policy Characteristics'!$C:$C,0))),"",INDEX('Policy Characteristics'!K:K,MATCH($C1166,'Policy Characteristics'!$C:$C,0)))</f>
        <v>architectural-design.html#rnd</v>
      </c>
      <c r="R1166" s="394" t="str">
        <f>IF(ISBLANK(INDEX('Policy Characteristics'!L:L,MATCH($C1166,'Policy Characteristics'!$C:$C,0))),"",INDEX('Policy Characteristics'!L:L,MATCH($C1166,'Policy Characteristics'!$C:$C,0)))</f>
        <v>research-and-development.html</v>
      </c>
    </row>
    <row r="1167" customHeight="1" spans="1:18">
      <c r="A1167" s="394" t="str">
        <f>IF(ISBLANK(INDEX('Policy Characteristics'!A:A,MATCH($C1167,'Policy Characteristics'!$C:$C,0))),"",INDEX('Policy Characteristics'!A:A,MATCH($C1167,'Policy Characteristics'!$C:$C,0)))</f>
        <v>Research and Development</v>
      </c>
      <c r="B1167" s="395" t="str">
        <f>IF(ISBLANK(INDEX('Policy Characteristics'!B:B,MATCH($C1167,'Policy Characteristics'!$C:$C,0))),"",INDEX('Policy Characteristics'!B:B,MATCH($C1167,'Policy Characteristics'!$C:$C,0)))</f>
        <v>Capital Cost Reduction</v>
      </c>
      <c r="C1167" t="s">
        <v>578</v>
      </c>
      <c r="D1167" s="399" t="s">
        <v>911</v>
      </c>
      <c r="E1167" s="399"/>
      <c r="F1167" s="399" t="s">
        <v>912</v>
      </c>
      <c r="G1167" s="399"/>
      <c r="H1167" s="377">
        <v>108</v>
      </c>
      <c r="I1167" s="396" t="s">
        <v>648</v>
      </c>
      <c r="J1167" s="397" t="str">
        <f>IF(ISBLANK(INDEX('Policy Characteristics'!D:D,MATCH($C1167,'Policy Characteristics'!$C:$C,0))),"",INDEX('Policy Characteristics'!D:D,MATCH($C1167,'Policy Characteristics'!$C:$C,0)))</f>
        <v>R&amp;D Capital Cost Reductions</v>
      </c>
      <c r="K1167" s="394" t="str">
        <f>IF(ISBLANK(INDEX('Policy Characteristics'!E:E,MATCH($C1167,'Policy Characteristics'!$C:$C,0))),"",INDEX('Policy Characteristics'!E:E,MATCH($C1167,'Policy Characteristics'!$C:$C,0)))</f>
        <v>RnD transportation capital cost reduction</v>
      </c>
      <c r="L1167" s="398">
        <f>IF(ISBLANK(INDEX('Policy Characteristics'!F:F,MATCH($C1167,'Policy Characteristics'!$C:$C,0))),"",INDEX('Policy Characteristics'!F:F,MATCH($C1167,'Policy Characteristics'!$C:$C,0)))</f>
        <v>0</v>
      </c>
      <c r="M1167" s="398">
        <f>IF(ISBLANK(INDEX('Policy Characteristics'!G:G,MATCH($C1167,'Policy Characteristics'!$C:$C,0))),"",INDEX('Policy Characteristics'!G:G,MATCH($C1167,'Policy Characteristics'!$C:$C,0)))</f>
        <v>0.4</v>
      </c>
      <c r="N1167" s="398">
        <f>IF(ISBLANK(INDEX('Policy Characteristics'!H:H,MATCH($C1167,'Policy Characteristics'!$C:$C,0))),"",INDEX('Policy Characteristics'!H:H,MATCH($C1167,'Policy Characteristics'!$C:$C,0)))</f>
        <v>0.01</v>
      </c>
      <c r="O1167" s="394" t="str">
        <f>IF(ISBLANK(INDEX('Policy Characteristics'!I:I,MATCH($C1167,'Policy Characteristics'!$C:$C,0))),"",INDEX('Policy Characteristics'!I:I,MATCH($C1167,'Policy Characteristics'!$C:$C,0)))</f>
        <v>% reduction in cost</v>
      </c>
      <c r="P1167" s="394" t="str">
        <f>IF(ISBLANK(INDEX('Policy Characteristics'!J:J,MATCH($C1167,'Policy Characteristics'!$C:$C,0))),"",INDEX('Policy Characteristics'!J:J,MATCH($C1167,'Policy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7" s="394" t="str">
        <f>IF(ISBLANK(INDEX('Policy Characteristics'!K:K,MATCH($C1167,'Policy Characteristics'!$C:$C,0))),"",INDEX('Policy Characteristics'!K:K,MATCH($C1167,'Policy Characteristics'!$C:$C,0)))</f>
        <v>architectural-design.html#rnd</v>
      </c>
      <c r="R1167" s="394" t="str">
        <f>IF(ISBLANK(INDEX('Policy Characteristics'!L:L,MATCH($C1167,'Policy Characteristics'!$C:$C,0))),"",INDEX('Policy Characteristics'!L:L,MATCH($C1167,'Policy Characteristics'!$C:$C,0)))</f>
        <v>research-and-development.html</v>
      </c>
    </row>
    <row r="1168" customHeight="1" spans="1:18">
      <c r="A1168" s="394" t="str">
        <f>IF(ISBLANK(INDEX('Policy Characteristics'!A:A,MATCH($C1168,'Policy Characteristics'!$C:$C,0))),"",INDEX('Policy Characteristics'!A:A,MATCH($C1168,'Policy Characteristics'!$C:$C,0)))</f>
        <v>Research and Development</v>
      </c>
      <c r="B1168" s="395" t="str">
        <f>IF(ISBLANK(INDEX('Policy Characteristics'!B:B,MATCH($C1168,'Policy Characteristics'!$C:$C,0))),"",INDEX('Policy Characteristics'!B:B,MATCH($C1168,'Policy Characteristics'!$C:$C,0)))</f>
        <v>Capital Cost Reduction</v>
      </c>
      <c r="C1168" s="394" t="str">
        <f t="shared" ref="C1168:C1173" si="61">C$1167</f>
        <v>RnD Transportation Capital Cost Perc Reduction</v>
      </c>
      <c r="D1168" s="399" t="s">
        <v>913</v>
      </c>
      <c r="E1168" s="399"/>
      <c r="F1168" s="399" t="s">
        <v>914</v>
      </c>
      <c r="G1168" s="399"/>
      <c r="H1168" s="377">
        <v>109</v>
      </c>
      <c r="I1168" s="396" t="s">
        <v>648</v>
      </c>
      <c r="J1168" s="397" t="str">
        <f>IF(ISBLANK(INDEX('Policy Characteristics'!D:D,MATCH($C1168,'Policy Characteristics'!$C:$C,0))),"",INDEX('Policy Characteristics'!D:D,MATCH($C1168,'Policy Characteristics'!$C:$C,0)))</f>
        <v>R&amp;D Capital Cost Reductions</v>
      </c>
      <c r="K1168" s="394" t="str">
        <f>IF(ISBLANK(INDEX('Policy Characteristics'!E:E,MATCH($C1168,'Policy Characteristics'!$C:$C,0))),"",INDEX('Policy Characteristics'!E:E,MATCH($C1168,'Policy Characteristics'!$C:$C,0)))</f>
        <v>RnD transportation capital cost reduction</v>
      </c>
      <c r="L1168" s="398">
        <f>IF(ISBLANK(INDEX('Policy Characteristics'!F:F,MATCH($C1168,'Policy Characteristics'!$C:$C,0))),"",INDEX('Policy Characteristics'!F:F,MATCH($C1168,'Policy Characteristics'!$C:$C,0)))</f>
        <v>0</v>
      </c>
      <c r="M1168" s="398">
        <f>IF(ISBLANK(INDEX('Policy Characteristics'!G:G,MATCH($C1168,'Policy Characteristics'!$C:$C,0))),"",INDEX('Policy Characteristics'!G:G,MATCH($C1168,'Policy Characteristics'!$C:$C,0)))</f>
        <v>0.4</v>
      </c>
      <c r="N1168" s="398">
        <f>IF(ISBLANK(INDEX('Policy Characteristics'!H:H,MATCH($C1168,'Policy Characteristics'!$C:$C,0))),"",INDEX('Policy Characteristics'!H:H,MATCH($C1168,'Policy Characteristics'!$C:$C,0)))</f>
        <v>0.01</v>
      </c>
      <c r="O1168" s="394" t="str">
        <f>IF(ISBLANK(INDEX('Policy Characteristics'!I:I,MATCH($C1168,'Policy Characteristics'!$C:$C,0))),"",INDEX('Policy Characteristics'!I:I,MATCH($C1168,'Policy Characteristics'!$C:$C,0)))</f>
        <v>% reduction in cost</v>
      </c>
      <c r="P1168" s="394" t="str">
        <f>IF(ISBLANK(INDEX('Policy Characteristics'!J:J,MATCH($C1168,'Policy Characteristics'!$C:$C,0))),"",INDEX('Policy Characteristics'!J:J,MATCH($C1168,'Policy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8" s="394" t="str">
        <f>IF(ISBLANK(INDEX('Policy Characteristics'!K:K,MATCH($C1168,'Policy Characteristics'!$C:$C,0))),"",INDEX('Policy Characteristics'!K:K,MATCH($C1168,'Policy Characteristics'!$C:$C,0)))</f>
        <v>architectural-design.html#rnd</v>
      </c>
      <c r="R1168" s="394" t="str">
        <f>IF(ISBLANK(INDEX('Policy Characteristics'!L:L,MATCH($C1168,'Policy Characteristics'!$C:$C,0))),"",INDEX('Policy Characteristics'!L:L,MATCH($C1168,'Policy Characteristics'!$C:$C,0)))</f>
        <v>research-and-development.html</v>
      </c>
    </row>
    <row r="1169" customHeight="1" spans="1:18">
      <c r="A1169" s="394" t="str">
        <f>IF(ISBLANK(INDEX('Policy Characteristics'!A:A,MATCH($C1169,'Policy Characteristics'!$C:$C,0))),"",INDEX('Policy Characteristics'!A:A,MATCH($C1169,'Policy Characteristics'!$C:$C,0)))</f>
        <v>Research and Development</v>
      </c>
      <c r="B1169" s="395" t="str">
        <f>IF(ISBLANK(INDEX('Policy Characteristics'!B:B,MATCH($C1169,'Policy Characteristics'!$C:$C,0))),"",INDEX('Policy Characteristics'!B:B,MATCH($C1169,'Policy Characteristics'!$C:$C,0)))</f>
        <v>Capital Cost Reduction</v>
      </c>
      <c r="C1169" s="394" t="str">
        <f t="shared" si="61"/>
        <v>RnD Transportation Capital Cost Perc Reduction</v>
      </c>
      <c r="D1169" s="399" t="s">
        <v>915</v>
      </c>
      <c r="E1169" s="399"/>
      <c r="F1169" s="399" t="s">
        <v>916</v>
      </c>
      <c r="G1169" s="399"/>
      <c r="H1169" s="377">
        <v>110</v>
      </c>
      <c r="I1169" s="396" t="s">
        <v>648</v>
      </c>
      <c r="J1169" s="397" t="str">
        <f>IF(ISBLANK(INDEX('Policy Characteristics'!D:D,MATCH($C1169,'Policy Characteristics'!$C:$C,0))),"",INDEX('Policy Characteristics'!D:D,MATCH($C1169,'Policy Characteristics'!$C:$C,0)))</f>
        <v>R&amp;D Capital Cost Reductions</v>
      </c>
      <c r="K1169" s="394" t="str">
        <f>IF(ISBLANK(INDEX('Policy Characteristics'!E:E,MATCH($C1169,'Policy Characteristics'!$C:$C,0))),"",INDEX('Policy Characteristics'!E:E,MATCH($C1169,'Policy Characteristics'!$C:$C,0)))</f>
        <v>RnD transportation capital cost reduction</v>
      </c>
      <c r="L1169" s="398">
        <f>IF(ISBLANK(INDEX('Policy Characteristics'!F:F,MATCH($C1169,'Policy Characteristics'!$C:$C,0))),"",INDEX('Policy Characteristics'!F:F,MATCH($C1169,'Policy Characteristics'!$C:$C,0)))</f>
        <v>0</v>
      </c>
      <c r="M1169" s="398">
        <f>IF(ISBLANK(INDEX('Policy Characteristics'!G:G,MATCH($C1169,'Policy Characteristics'!$C:$C,0))),"",INDEX('Policy Characteristics'!G:G,MATCH($C1169,'Policy Characteristics'!$C:$C,0)))</f>
        <v>0.4</v>
      </c>
      <c r="N1169" s="398">
        <f>IF(ISBLANK(INDEX('Policy Characteristics'!H:H,MATCH($C1169,'Policy Characteristics'!$C:$C,0))),"",INDEX('Policy Characteristics'!H:H,MATCH($C1169,'Policy Characteristics'!$C:$C,0)))</f>
        <v>0.01</v>
      </c>
      <c r="O1169" s="394" t="str">
        <f>IF(ISBLANK(INDEX('Policy Characteristics'!I:I,MATCH($C1169,'Policy Characteristics'!$C:$C,0))),"",INDEX('Policy Characteristics'!I:I,MATCH($C1169,'Policy Characteristics'!$C:$C,0)))</f>
        <v>% reduction in cost</v>
      </c>
      <c r="P1169" s="394" t="str">
        <f>IF(ISBLANK(INDEX('Policy Characteristics'!J:J,MATCH($C1169,'Policy Characteristics'!$C:$C,0))),"",INDEX('Policy Characteristics'!J:J,MATCH($C1169,'Policy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9" s="394" t="str">
        <f>IF(ISBLANK(INDEX('Policy Characteristics'!K:K,MATCH($C1169,'Policy Characteristics'!$C:$C,0))),"",INDEX('Policy Characteristics'!K:K,MATCH($C1169,'Policy Characteristics'!$C:$C,0)))</f>
        <v>architectural-design.html#rnd</v>
      </c>
      <c r="R1169" s="394" t="str">
        <f>IF(ISBLANK(INDEX('Policy Characteristics'!L:L,MATCH($C1169,'Policy Characteristics'!$C:$C,0))),"",INDEX('Policy Characteristics'!L:L,MATCH($C1169,'Policy Characteristics'!$C:$C,0)))</f>
        <v>research-and-development.html</v>
      </c>
    </row>
    <row r="1170" customHeight="1" spans="1:18">
      <c r="A1170" s="394" t="str">
        <f>IF(ISBLANK(INDEX('Policy Characteristics'!A:A,MATCH($C1170,'Policy Characteristics'!$C:$C,0))),"",INDEX('Policy Characteristics'!A:A,MATCH($C1170,'Policy Characteristics'!$C:$C,0)))</f>
        <v>Research and Development</v>
      </c>
      <c r="B1170" s="395" t="str">
        <f>IF(ISBLANK(INDEX('Policy Characteristics'!B:B,MATCH($C1170,'Policy Characteristics'!$C:$C,0))),"",INDEX('Policy Characteristics'!B:B,MATCH($C1170,'Policy Characteristics'!$C:$C,0)))</f>
        <v>Capital Cost Reduction</v>
      </c>
      <c r="C1170" s="394" t="str">
        <f t="shared" si="61"/>
        <v>RnD Transportation Capital Cost Perc Reduction</v>
      </c>
      <c r="D1170" s="399" t="s">
        <v>917</v>
      </c>
      <c r="E1170" s="399"/>
      <c r="F1170" s="399" t="s">
        <v>918</v>
      </c>
      <c r="G1170" s="399"/>
      <c r="H1170" s="377">
        <v>111</v>
      </c>
      <c r="I1170" s="396" t="s">
        <v>648</v>
      </c>
      <c r="J1170" s="397" t="str">
        <f>IF(ISBLANK(INDEX('Policy Characteristics'!D:D,MATCH($C1170,'Policy Characteristics'!$C:$C,0))),"",INDEX('Policy Characteristics'!D:D,MATCH($C1170,'Policy Characteristics'!$C:$C,0)))</f>
        <v>R&amp;D Capital Cost Reductions</v>
      </c>
      <c r="K1170" s="394" t="str">
        <f>IF(ISBLANK(INDEX('Policy Characteristics'!E:E,MATCH($C1170,'Policy Characteristics'!$C:$C,0))),"",INDEX('Policy Characteristics'!E:E,MATCH($C1170,'Policy Characteristics'!$C:$C,0)))</f>
        <v>RnD transportation capital cost reduction</v>
      </c>
      <c r="L1170" s="398">
        <f>IF(ISBLANK(INDEX('Policy Characteristics'!F:F,MATCH($C1170,'Policy Characteristics'!$C:$C,0))),"",INDEX('Policy Characteristics'!F:F,MATCH($C1170,'Policy Characteristics'!$C:$C,0)))</f>
        <v>0</v>
      </c>
      <c r="M1170" s="398">
        <f>IF(ISBLANK(INDEX('Policy Characteristics'!G:G,MATCH($C1170,'Policy Characteristics'!$C:$C,0))),"",INDEX('Policy Characteristics'!G:G,MATCH($C1170,'Policy Characteristics'!$C:$C,0)))</f>
        <v>0.4</v>
      </c>
      <c r="N1170" s="398">
        <f>IF(ISBLANK(INDEX('Policy Characteristics'!H:H,MATCH($C1170,'Policy Characteristics'!$C:$C,0))),"",INDEX('Policy Characteristics'!H:H,MATCH($C1170,'Policy Characteristics'!$C:$C,0)))</f>
        <v>0.01</v>
      </c>
      <c r="O1170" s="394" t="str">
        <f>IF(ISBLANK(INDEX('Policy Characteristics'!I:I,MATCH($C1170,'Policy Characteristics'!$C:$C,0))),"",INDEX('Policy Characteristics'!I:I,MATCH($C1170,'Policy Characteristics'!$C:$C,0)))</f>
        <v>% reduction in cost</v>
      </c>
      <c r="P1170" s="394" t="str">
        <f>IF(ISBLANK(INDEX('Policy Characteristics'!J:J,MATCH($C1170,'Policy Characteristics'!$C:$C,0))),"",INDEX('Policy Characteristics'!J:J,MATCH($C1170,'Policy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0" s="394" t="str">
        <f>IF(ISBLANK(INDEX('Policy Characteristics'!K:K,MATCH($C1170,'Policy Characteristics'!$C:$C,0))),"",INDEX('Policy Characteristics'!K:K,MATCH($C1170,'Policy Characteristics'!$C:$C,0)))</f>
        <v>architectural-design.html#rnd</v>
      </c>
      <c r="R1170" s="394" t="str">
        <f>IF(ISBLANK(INDEX('Policy Characteristics'!L:L,MATCH($C1170,'Policy Characteristics'!$C:$C,0))),"",INDEX('Policy Characteristics'!L:L,MATCH($C1170,'Policy Characteristics'!$C:$C,0)))</f>
        <v>research-and-development.html</v>
      </c>
    </row>
    <row r="1171" customHeight="1" spans="1:18">
      <c r="A1171" s="394" t="str">
        <f>IF(ISBLANK(INDEX('Policy Characteristics'!A:A,MATCH($C1171,'Policy Characteristics'!$C:$C,0))),"",INDEX('Policy Characteristics'!A:A,MATCH($C1171,'Policy Characteristics'!$C:$C,0)))</f>
        <v>Research and Development</v>
      </c>
      <c r="B1171" s="395" t="str">
        <f>IF(ISBLANK(INDEX('Policy Characteristics'!B:B,MATCH($C1171,'Policy Characteristics'!$C:$C,0))),"",INDEX('Policy Characteristics'!B:B,MATCH($C1171,'Policy Characteristics'!$C:$C,0)))</f>
        <v>Capital Cost Reduction</v>
      </c>
      <c r="C1171" s="394" t="str">
        <f t="shared" si="61"/>
        <v>RnD Transportation Capital Cost Perc Reduction</v>
      </c>
      <c r="D1171" s="399" t="s">
        <v>919</v>
      </c>
      <c r="E1171" s="399"/>
      <c r="F1171" s="399" t="s">
        <v>920</v>
      </c>
      <c r="G1171" s="399"/>
      <c r="H1171" s="377">
        <v>112</v>
      </c>
      <c r="I1171" s="396" t="s">
        <v>648</v>
      </c>
      <c r="J1171" s="397" t="str">
        <f>IF(ISBLANK(INDEX('Policy Characteristics'!D:D,MATCH($C1171,'Policy Characteristics'!$C:$C,0))),"",INDEX('Policy Characteristics'!D:D,MATCH($C1171,'Policy Characteristics'!$C:$C,0)))</f>
        <v>R&amp;D Capital Cost Reductions</v>
      </c>
      <c r="K1171" s="394" t="str">
        <f>IF(ISBLANK(INDEX('Policy Characteristics'!E:E,MATCH($C1171,'Policy Characteristics'!$C:$C,0))),"",INDEX('Policy Characteristics'!E:E,MATCH($C1171,'Policy Characteristics'!$C:$C,0)))</f>
        <v>RnD transportation capital cost reduction</v>
      </c>
      <c r="L1171" s="398">
        <f>IF(ISBLANK(INDEX('Policy Characteristics'!F:F,MATCH($C1171,'Policy Characteristics'!$C:$C,0))),"",INDEX('Policy Characteristics'!F:F,MATCH($C1171,'Policy Characteristics'!$C:$C,0)))</f>
        <v>0</v>
      </c>
      <c r="M1171" s="398">
        <f>IF(ISBLANK(INDEX('Policy Characteristics'!G:G,MATCH($C1171,'Policy Characteristics'!$C:$C,0))),"",INDEX('Policy Characteristics'!G:G,MATCH($C1171,'Policy Characteristics'!$C:$C,0)))</f>
        <v>0.4</v>
      </c>
      <c r="N1171" s="398">
        <f>IF(ISBLANK(INDEX('Policy Characteristics'!H:H,MATCH($C1171,'Policy Characteristics'!$C:$C,0))),"",INDEX('Policy Characteristics'!H:H,MATCH($C1171,'Policy Characteristics'!$C:$C,0)))</f>
        <v>0.01</v>
      </c>
      <c r="O1171" s="394" t="str">
        <f>IF(ISBLANK(INDEX('Policy Characteristics'!I:I,MATCH($C1171,'Policy Characteristics'!$C:$C,0))),"",INDEX('Policy Characteristics'!I:I,MATCH($C1171,'Policy Characteristics'!$C:$C,0)))</f>
        <v>% reduction in cost</v>
      </c>
      <c r="P1171" s="394" t="str">
        <f>IF(ISBLANK(INDEX('Policy Characteristics'!J:J,MATCH($C1171,'Policy Characteristics'!$C:$C,0))),"",INDEX('Policy Characteristics'!J:J,MATCH($C1171,'Policy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1" s="394" t="str">
        <f>IF(ISBLANK(INDEX('Policy Characteristics'!K:K,MATCH($C1171,'Policy Characteristics'!$C:$C,0))),"",INDEX('Policy Characteristics'!K:K,MATCH($C1171,'Policy Characteristics'!$C:$C,0)))</f>
        <v>architectural-design.html#rnd</v>
      </c>
      <c r="R1171" s="394" t="str">
        <f>IF(ISBLANK(INDEX('Policy Characteristics'!L:L,MATCH($C1171,'Policy Characteristics'!$C:$C,0))),"",INDEX('Policy Characteristics'!L:L,MATCH($C1171,'Policy Characteristics'!$C:$C,0)))</f>
        <v>research-and-development.html</v>
      </c>
    </row>
    <row r="1172" customHeight="1" spans="1:18">
      <c r="A1172" s="394" t="str">
        <f>IF(ISBLANK(INDEX('Policy Characteristics'!A:A,MATCH($C1172,'Policy Characteristics'!$C:$C,0))),"",INDEX('Policy Characteristics'!A:A,MATCH($C1172,'Policy Characteristics'!$C:$C,0)))</f>
        <v>Research and Development</v>
      </c>
      <c r="B1172" s="395" t="str">
        <f>IF(ISBLANK(INDEX('Policy Characteristics'!B:B,MATCH($C1172,'Policy Characteristics'!$C:$C,0))),"",INDEX('Policy Characteristics'!B:B,MATCH($C1172,'Policy Characteristics'!$C:$C,0)))</f>
        <v>Capital Cost Reduction</v>
      </c>
      <c r="C1172" s="394" t="str">
        <f t="shared" si="61"/>
        <v>RnD Transportation Capital Cost Perc Reduction</v>
      </c>
      <c r="D1172" s="399" t="s">
        <v>921</v>
      </c>
      <c r="E1172" s="399"/>
      <c r="F1172" s="399" t="s">
        <v>922</v>
      </c>
      <c r="G1172" s="399"/>
      <c r="H1172" s="377">
        <v>113</v>
      </c>
      <c r="I1172" s="396" t="s">
        <v>648</v>
      </c>
      <c r="J1172" s="397" t="str">
        <f>IF(ISBLANK(INDEX('Policy Characteristics'!D:D,MATCH($C1172,'Policy Characteristics'!$C:$C,0))),"",INDEX('Policy Characteristics'!D:D,MATCH($C1172,'Policy Characteristics'!$C:$C,0)))</f>
        <v>R&amp;D Capital Cost Reductions</v>
      </c>
      <c r="K1172" s="394" t="str">
        <f>IF(ISBLANK(INDEX('Policy Characteristics'!E:E,MATCH($C1172,'Policy Characteristics'!$C:$C,0))),"",INDEX('Policy Characteristics'!E:E,MATCH($C1172,'Policy Characteristics'!$C:$C,0)))</f>
        <v>RnD transportation capital cost reduction</v>
      </c>
      <c r="L1172" s="398">
        <f>IF(ISBLANK(INDEX('Policy Characteristics'!F:F,MATCH($C1172,'Policy Characteristics'!$C:$C,0))),"",INDEX('Policy Characteristics'!F:F,MATCH($C1172,'Policy Characteristics'!$C:$C,0)))</f>
        <v>0</v>
      </c>
      <c r="M1172" s="398">
        <f>IF(ISBLANK(INDEX('Policy Characteristics'!G:G,MATCH($C1172,'Policy Characteristics'!$C:$C,0))),"",INDEX('Policy Characteristics'!G:G,MATCH($C1172,'Policy Characteristics'!$C:$C,0)))</f>
        <v>0.4</v>
      </c>
      <c r="N1172" s="398">
        <f>IF(ISBLANK(INDEX('Policy Characteristics'!H:H,MATCH($C1172,'Policy Characteristics'!$C:$C,0))),"",INDEX('Policy Characteristics'!H:H,MATCH($C1172,'Policy Characteristics'!$C:$C,0)))</f>
        <v>0.01</v>
      </c>
      <c r="O1172" s="394" t="str">
        <f>IF(ISBLANK(INDEX('Policy Characteristics'!I:I,MATCH($C1172,'Policy Characteristics'!$C:$C,0))),"",INDEX('Policy Characteristics'!I:I,MATCH($C1172,'Policy Characteristics'!$C:$C,0)))</f>
        <v>% reduction in cost</v>
      </c>
      <c r="P1172" s="394" t="str">
        <f>IF(ISBLANK(INDEX('Policy Characteristics'!J:J,MATCH($C1172,'Policy Characteristics'!$C:$C,0))),"",INDEX('Policy Characteristics'!J:J,MATCH($C1172,'Policy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2" s="394" t="str">
        <f>IF(ISBLANK(INDEX('Policy Characteristics'!K:K,MATCH($C1172,'Policy Characteristics'!$C:$C,0))),"",INDEX('Policy Characteristics'!K:K,MATCH($C1172,'Policy Characteristics'!$C:$C,0)))</f>
        <v>architectural-design.html#rnd</v>
      </c>
      <c r="R1172" s="394" t="str">
        <f>IF(ISBLANK(INDEX('Policy Characteristics'!L:L,MATCH($C1172,'Policy Characteristics'!$C:$C,0))),"",INDEX('Policy Characteristics'!L:L,MATCH($C1172,'Policy Characteristics'!$C:$C,0)))</f>
        <v>research-and-development.html</v>
      </c>
    </row>
    <row r="1173" customHeight="1" spans="1:18">
      <c r="A1173" s="394" t="str">
        <f>IF(ISBLANK(INDEX('Policy Characteristics'!A:A,MATCH($C1173,'Policy Characteristics'!$C:$C,0))),"",INDEX('Policy Characteristics'!A:A,MATCH($C1173,'Policy Characteristics'!$C:$C,0)))</f>
        <v>Research and Development</v>
      </c>
      <c r="B1173" s="395" t="str">
        <f>IF(ISBLANK(INDEX('Policy Characteristics'!B:B,MATCH($C1173,'Policy Characteristics'!$C:$C,0))),"",INDEX('Policy Characteristics'!B:B,MATCH($C1173,'Policy Characteristics'!$C:$C,0)))</f>
        <v>Capital Cost Reduction</v>
      </c>
      <c r="C1173" s="394" t="str">
        <f t="shared" si="61"/>
        <v>RnD Transportation Capital Cost Perc Reduction</v>
      </c>
      <c r="D1173" s="399" t="s">
        <v>923</v>
      </c>
      <c r="E1173" s="399"/>
      <c r="F1173" s="399" t="s">
        <v>924</v>
      </c>
      <c r="G1173" s="399"/>
      <c r="H1173" s="377">
        <v>523</v>
      </c>
      <c r="I1173" s="396" t="s">
        <v>648</v>
      </c>
      <c r="J1173" s="397" t="str">
        <f>IF(ISBLANK(INDEX('Policy Characteristics'!D:D,MATCH($C1173,'Policy Characteristics'!$C:$C,0))),"",INDEX('Policy Characteristics'!D:D,MATCH($C1173,'Policy Characteristics'!$C:$C,0)))</f>
        <v>R&amp;D Capital Cost Reductions</v>
      </c>
      <c r="K1173" s="394" t="str">
        <f>IF(ISBLANK(INDEX('Policy Characteristics'!E:E,MATCH($C1173,'Policy Characteristics'!$C:$C,0))),"",INDEX('Policy Characteristics'!E:E,MATCH($C1173,'Policy Characteristics'!$C:$C,0)))</f>
        <v>RnD transportation capital cost reduction</v>
      </c>
      <c r="L1173" s="398">
        <f>IF(ISBLANK(INDEX('Policy Characteristics'!F:F,MATCH($C1173,'Policy Characteristics'!$C:$C,0))),"",INDEX('Policy Characteristics'!F:F,MATCH($C1173,'Policy Characteristics'!$C:$C,0)))</f>
        <v>0</v>
      </c>
      <c r="M1173" s="398">
        <f>IF(ISBLANK(INDEX('Policy Characteristics'!G:G,MATCH($C1173,'Policy Characteristics'!$C:$C,0))),"",INDEX('Policy Characteristics'!G:G,MATCH($C1173,'Policy Characteristics'!$C:$C,0)))</f>
        <v>0.4</v>
      </c>
      <c r="N1173" s="398">
        <f>IF(ISBLANK(INDEX('Policy Characteristics'!H:H,MATCH($C1173,'Policy Characteristics'!$C:$C,0))),"",INDEX('Policy Characteristics'!H:H,MATCH($C1173,'Policy Characteristics'!$C:$C,0)))</f>
        <v>0.01</v>
      </c>
      <c r="O1173" s="394" t="str">
        <f>IF(ISBLANK(INDEX('Policy Characteristics'!I:I,MATCH($C1173,'Policy Characteristics'!$C:$C,0))),"",INDEX('Policy Characteristics'!I:I,MATCH($C1173,'Policy Characteristics'!$C:$C,0)))</f>
        <v>% reduction in cost</v>
      </c>
      <c r="P1173" s="394" t="str">
        <f>IF(ISBLANK(INDEX('Policy Characteristics'!J:J,MATCH($C1173,'Policy Characteristics'!$C:$C,0))),"",INDEX('Policy Characteristics'!J:J,MATCH($C1173,'Policy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3" s="394" t="str">
        <f>IF(ISBLANK(INDEX('Policy Characteristics'!K:K,MATCH($C1173,'Policy Characteristics'!$C:$C,0))),"",INDEX('Policy Characteristics'!K:K,MATCH($C1173,'Policy Characteristics'!$C:$C,0)))</f>
        <v>architectural-design.html#rnd</v>
      </c>
      <c r="R1173" s="394" t="str">
        <f>IF(ISBLANK(INDEX('Policy Characteristics'!L:L,MATCH($C1173,'Policy Characteristics'!$C:$C,0))),"",INDEX('Policy Characteristics'!L:L,MATCH($C1173,'Policy Characteristics'!$C:$C,0)))</f>
        <v>research-and-development.html</v>
      </c>
    </row>
    <row r="1174" customHeight="1" spans="1:18">
      <c r="A1174" s="394" t="str">
        <f>IF(ISBLANK(INDEX('Policy Characteristics'!A:A,MATCH($C1174,'Policy Characteristics'!$C:$C,0))),"",INDEX('Policy Characteristics'!A:A,MATCH($C1174,'Policy Characteristics'!$C:$C,0)))</f>
        <v>Research and Development</v>
      </c>
      <c r="B1174" s="395" t="str">
        <f>IF(ISBLANK(INDEX('Policy Characteristics'!B:B,MATCH($C1174,'Policy Characteristics'!$C:$C,0))),"",INDEX('Policy Characteristics'!B:B,MATCH($C1174,'Policy Characteristics'!$C:$C,0)))</f>
        <v>Direct Air Capture</v>
      </c>
      <c r="C1174" t="s">
        <v>581</v>
      </c>
      <c r="D1174" s="399"/>
      <c r="E1174" s="399"/>
      <c r="F1174" s="399"/>
      <c r="G1174" s="399"/>
      <c r="H1174" s="377">
        <v>525</v>
      </c>
      <c r="I1174" s="396" t="s">
        <v>648</v>
      </c>
      <c r="J1174" s="397" t="str">
        <f>IF(ISBLANK(INDEX('Policy Characteristics'!D:D,MATCH($C1174,'Policy Characteristics'!$C:$C,0))),"",INDEX('Policy Characteristics'!D:D,MATCH($C1174,'Policy Characteristics'!$C:$C,0)))</f>
        <v>Direct Air Capture</v>
      </c>
      <c r="K1174" s="394" t="str">
        <f>IF(ISBLANK(INDEX('Policy Characteristics'!E:E,MATCH($C1174,'Policy Characteristics'!$C:$C,0))),"",INDEX('Policy Characteristics'!E:E,MATCH($C1174,'Policy Characteristics'!$C:$C,0)))</f>
        <v>geoeng direct air capture</v>
      </c>
      <c r="L1174" s="398">
        <f>IF(ISBLANK(INDEX('Policy Characteristics'!F:F,MATCH($C1174,'Policy Characteristics'!$C:$C,0))),"",INDEX('Policy Characteristics'!F:F,MATCH($C1174,'Policy Characteristics'!$C:$C,0)))</f>
        <v>0</v>
      </c>
      <c r="M1174" s="398">
        <f>IF(ISBLANK(INDEX('Policy Characteristics'!G:G,MATCH($C1174,'Policy Characteristics'!$C:$C,0))),"",INDEX('Policy Characteristics'!G:G,MATCH($C1174,'Policy Characteristics'!$C:$C,0)))</f>
        <v>1</v>
      </c>
      <c r="N1174" s="398">
        <f>IF(ISBLANK(INDEX('Policy Characteristics'!H:H,MATCH($C1174,'Policy Characteristics'!$C:$C,0))),"",INDEX('Policy Characteristics'!H:H,MATCH($C1174,'Policy Characteristics'!$C:$C,0)))</f>
        <v>0.01</v>
      </c>
      <c r="O1174" s="394" t="str">
        <f>IF(ISBLANK(INDEX('Policy Characteristics'!I:I,MATCH($C1174,'Policy Characteristics'!$C:$C,0))),"",INDEX('Policy Characteristics'!I:I,MATCH($C1174,'Policy Characteristics'!$C:$C,0)))</f>
        <v>% of potential achieved</v>
      </c>
      <c r="P1174" s="394" t="str">
        <f>IF(ISBLANK(INDEX('Policy Characteristics'!J:J,MATCH($C1174,'Policy Characteristics'!$C:$C,0))),"",INDEX('Policy Characteristics'!J:J,MATCH($C1174,'Policy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aggressive deployment in line with a global 1.5-degree-compatible trajectory from a 2019 Nature paper from Realmonte et al.  That paper's global deployment rate has been scaled for the U.S. by the U.S.'s share of world GDP in 2017 (about 24%).</v>
      </c>
      <c r="Q1174" s="394" t="str">
        <f>IF(ISBLANK(INDEX('Policy Characteristics'!K:K,MATCH($C1174,'Policy Characteristics'!$C:$C,0))),"",INDEX('Policy Characteristics'!K:K,MATCH($C1174,'Policy Characteristics'!$C:$C,0)))</f>
        <v>direct-air-capture.html#dac</v>
      </c>
      <c r="R1174" s="394" t="str">
        <f>IF(ISBLANK(INDEX('Policy Characteristics'!L:L,MATCH($C1174,'Policy Characteristics'!$C:$C,0))),"",INDEX('Policy Characteristics'!L:L,MATCH($C1174,'Policy Characteristics'!$C:$C,0)))</f>
        <v>direct-air-capture.html</v>
      </c>
    </row>
    <row r="1175" customHeight="1" spans="1:18">
      <c r="A1175" s="394" t="str">
        <f>IF(ISBLANK(INDEX('Policy Characteristics'!A:A,MATCH($C1175,'Policy Characteristics'!$C:$C,0))),"",INDEX('Policy Characteristics'!A:A,MATCH($C1175,'Policy Characteristics'!$C:$C,0)))</f>
        <v>Research and Development</v>
      </c>
      <c r="B1175" s="395" t="str">
        <f>IF(ISBLANK(INDEX('Policy Characteristics'!B:B,MATCH($C1175,'Policy Characteristics'!$C:$C,0))),"",INDEX('Policy Characteristics'!B:B,MATCH($C1175,'Policy Characteristics'!$C:$C,0)))</f>
        <v>Fuel Use Reduction</v>
      </c>
      <c r="C1175" t="s">
        <v>588</v>
      </c>
      <c r="D1175" s="399" t="s">
        <v>683</v>
      </c>
      <c r="E1175" s="399"/>
      <c r="F1175" s="399" t="s">
        <v>869</v>
      </c>
      <c r="G1175" s="399"/>
      <c r="H1175" s="377">
        <v>114</v>
      </c>
      <c r="I1175" s="396" t="s">
        <v>648</v>
      </c>
      <c r="J1175" s="397" t="str">
        <f>IF(ISBLANK(INDEX('Policy Characteristics'!D:D,MATCH($C1175,'Policy Characteristics'!$C:$C,0))),"",INDEX('Policy Characteristics'!D:D,MATCH($C1175,'Policy Characteristics'!$C:$C,0)))</f>
        <v>R&amp;D Fuel Use Reductions</v>
      </c>
      <c r="K1175" s="394" t="str">
        <f>IF(ISBLANK(INDEX('Policy Characteristics'!E:E,MATCH($C1175,'Policy Characteristics'!$C:$C,0))),"",INDEX('Policy Characteristics'!E:E,MATCH($C1175,'Policy Characteristics'!$C:$C,0)))</f>
        <v>RnD building fuel use reduction</v>
      </c>
      <c r="L1175" s="398">
        <f>IF(ISBLANK(INDEX('Policy Characteristics'!F:F,MATCH($C1175,'Policy Characteristics'!$C:$C,0))),"",INDEX('Policy Characteristics'!F:F,MATCH($C1175,'Policy Characteristics'!$C:$C,0)))</f>
        <v>0</v>
      </c>
      <c r="M1175" s="398">
        <f>IF(ISBLANK(INDEX('Policy Characteristics'!G:G,MATCH($C1175,'Policy Characteristics'!$C:$C,0))),"",INDEX('Policy Characteristics'!G:G,MATCH($C1175,'Policy Characteristics'!$C:$C,0)))</f>
        <v>0.4</v>
      </c>
      <c r="N1175" s="398">
        <f>IF(ISBLANK(INDEX('Policy Characteristics'!H:H,MATCH($C1175,'Policy Characteristics'!$C:$C,0))),"",INDEX('Policy Characteristics'!H:H,MATCH($C1175,'Policy Characteristics'!$C:$C,0)))</f>
        <v>0.01</v>
      </c>
      <c r="O1175" s="394" t="str">
        <f>IF(ISBLANK(INDEX('Policy Characteristics'!I:I,MATCH($C1175,'Policy Characteristics'!$C:$C,0))),"",INDEX('Policy Characteristics'!I:I,MATCH($C1175,'Policy Characteristics'!$C:$C,0)))</f>
        <v>% reduction in fuel use</v>
      </c>
      <c r="P1175" s="394" t="str">
        <f>IF(ISBLANK(INDEX('Policy Characteristics'!J:J,MATCH($C1175,'Policy Characteristics'!$C:$C,0))),"",INDEX('Policy Characteristics'!J:J,MATCH($C1175,'Policy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5" s="394" t="str">
        <f>IF(ISBLANK(INDEX('Policy Characteristics'!K:K,MATCH($C1175,'Policy Characteristics'!$C:$C,0))),"",INDEX('Policy Characteristics'!K:K,MATCH($C1175,'Policy Characteristics'!$C:$C,0)))</f>
        <v>architectural-design.html#rnd</v>
      </c>
      <c r="R1175" s="394" t="str">
        <f>IF(ISBLANK(INDEX('Policy Characteristics'!L:L,MATCH($C1175,'Policy Characteristics'!$C:$C,0))),"",INDEX('Policy Characteristics'!L:L,MATCH($C1175,'Policy Characteristics'!$C:$C,0)))</f>
        <v>research-and-development.html</v>
      </c>
    </row>
    <row r="1176" customHeight="1" spans="1:18">
      <c r="A1176" s="394" t="str">
        <f>IF(ISBLANK(INDEX('Policy Characteristics'!A:A,MATCH($C1176,'Policy Characteristics'!$C:$C,0))),"",INDEX('Policy Characteristics'!A:A,MATCH($C1176,'Policy Characteristics'!$C:$C,0)))</f>
        <v>Research and Development</v>
      </c>
      <c r="B1176" s="395" t="str">
        <f>IF(ISBLANK(INDEX('Policy Characteristics'!B:B,MATCH($C1176,'Policy Characteristics'!$C:$C,0))),"",INDEX('Policy Characteristics'!B:B,MATCH($C1176,'Policy Characteristics'!$C:$C,0)))</f>
        <v>Fuel Use Reduction</v>
      </c>
      <c r="C1176" s="394" t="str">
        <f t="shared" ref="C1176:C1180" si="62">C$1175</f>
        <v>RnD Building Fuel Use Perc Reduction</v>
      </c>
      <c r="D1176" s="399" t="s">
        <v>687</v>
      </c>
      <c r="E1176" s="399"/>
      <c r="F1176" s="399" t="s">
        <v>870</v>
      </c>
      <c r="G1176" s="399"/>
      <c r="H1176" s="377">
        <v>115</v>
      </c>
      <c r="I1176" s="396" t="s">
        <v>648</v>
      </c>
      <c r="J1176" s="397" t="str">
        <f>IF(ISBLANK(INDEX('Policy Characteristics'!D:D,MATCH($C1176,'Policy Characteristics'!$C:$C,0))),"",INDEX('Policy Characteristics'!D:D,MATCH($C1176,'Policy Characteristics'!$C:$C,0)))</f>
        <v>R&amp;D Fuel Use Reductions</v>
      </c>
      <c r="K1176" s="394" t="str">
        <f>IF(ISBLANK(INDEX('Policy Characteristics'!E:E,MATCH($C1176,'Policy Characteristics'!$C:$C,0))),"",INDEX('Policy Characteristics'!E:E,MATCH($C1176,'Policy Characteristics'!$C:$C,0)))</f>
        <v>RnD building fuel use reduction</v>
      </c>
      <c r="L1176" s="398">
        <f>IF(ISBLANK(INDEX('Policy Characteristics'!F:F,MATCH($C1176,'Policy Characteristics'!$C:$C,0))),"",INDEX('Policy Characteristics'!F:F,MATCH($C1176,'Policy Characteristics'!$C:$C,0)))</f>
        <v>0</v>
      </c>
      <c r="M1176" s="398">
        <f>IF(ISBLANK(INDEX('Policy Characteristics'!G:G,MATCH($C1176,'Policy Characteristics'!$C:$C,0))),"",INDEX('Policy Characteristics'!G:G,MATCH($C1176,'Policy Characteristics'!$C:$C,0)))</f>
        <v>0.4</v>
      </c>
      <c r="N1176" s="398">
        <f>IF(ISBLANK(INDEX('Policy Characteristics'!H:H,MATCH($C1176,'Policy Characteristics'!$C:$C,0))),"",INDEX('Policy Characteristics'!H:H,MATCH($C1176,'Policy Characteristics'!$C:$C,0)))</f>
        <v>0.01</v>
      </c>
      <c r="O1176" s="394" t="str">
        <f>IF(ISBLANK(INDEX('Policy Characteristics'!I:I,MATCH($C1176,'Policy Characteristics'!$C:$C,0))),"",INDEX('Policy Characteristics'!I:I,MATCH($C1176,'Policy Characteristics'!$C:$C,0)))</f>
        <v>% reduction in fuel use</v>
      </c>
      <c r="P1176" s="394" t="str">
        <f>IF(ISBLANK(INDEX('Policy Characteristics'!J:J,MATCH($C1176,'Policy Characteristics'!$C:$C,0))),"",INDEX('Policy Characteristics'!J:J,MATCH($C1176,'Policy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6" s="394" t="str">
        <f>IF(ISBLANK(INDEX('Policy Characteristics'!K:K,MATCH($C1176,'Policy Characteristics'!$C:$C,0))),"",INDEX('Policy Characteristics'!K:K,MATCH($C1176,'Policy Characteristics'!$C:$C,0)))</f>
        <v>architectural-design.html#rnd</v>
      </c>
      <c r="R1176" s="394" t="str">
        <f>IF(ISBLANK(INDEX('Policy Characteristics'!L:L,MATCH($C1176,'Policy Characteristics'!$C:$C,0))),"",INDEX('Policy Characteristics'!L:L,MATCH($C1176,'Policy Characteristics'!$C:$C,0)))</f>
        <v>research-and-development.html</v>
      </c>
    </row>
    <row r="1177" customHeight="1" spans="1:18">
      <c r="A1177" s="394" t="str">
        <f>IF(ISBLANK(INDEX('Policy Characteristics'!A:A,MATCH($C1177,'Policy Characteristics'!$C:$C,0))),"",INDEX('Policy Characteristics'!A:A,MATCH($C1177,'Policy Characteristics'!$C:$C,0)))</f>
        <v>Research and Development</v>
      </c>
      <c r="B1177" s="395" t="str">
        <f>IF(ISBLANK(INDEX('Policy Characteristics'!B:B,MATCH($C1177,'Policy Characteristics'!$C:$C,0))),"",INDEX('Policy Characteristics'!B:B,MATCH($C1177,'Policy Characteristics'!$C:$C,0)))</f>
        <v>Fuel Use Reduction</v>
      </c>
      <c r="C1177" s="394" t="str">
        <f t="shared" si="62"/>
        <v>RnD Building Fuel Use Perc Reduction</v>
      </c>
      <c r="D1177" s="399" t="s">
        <v>699</v>
      </c>
      <c r="E1177" s="399"/>
      <c r="F1177" s="399" t="s">
        <v>871</v>
      </c>
      <c r="G1177" s="399"/>
      <c r="H1177" s="377">
        <v>750</v>
      </c>
      <c r="I1177" s="396" t="s">
        <v>658</v>
      </c>
      <c r="J1177" s="397" t="str">
        <f>IF(ISBLANK(INDEX('Policy Characteristics'!D:D,MATCH($C1177,'Policy Characteristics'!$C:$C,0))),"",INDEX('Policy Characteristics'!D:D,MATCH($C1177,'Policy Characteristics'!$C:$C,0)))</f>
        <v>R&amp;D Fuel Use Reductions</v>
      </c>
      <c r="K1177" s="394" t="str">
        <f>IF(ISBLANK(INDEX('Policy Characteristics'!E:E,MATCH($C1177,'Policy Characteristics'!$C:$C,0))),"",INDEX('Policy Characteristics'!E:E,MATCH($C1177,'Policy Characteristics'!$C:$C,0)))</f>
        <v>RnD building fuel use reduction</v>
      </c>
      <c r="L1177" s="398">
        <f>IF(ISBLANK(INDEX('Policy Characteristics'!F:F,MATCH($C1177,'Policy Characteristics'!$C:$C,0))),"",INDEX('Policy Characteristics'!F:F,MATCH($C1177,'Policy Characteristics'!$C:$C,0)))</f>
        <v>0</v>
      </c>
      <c r="M1177" s="398">
        <f>IF(ISBLANK(INDEX('Policy Characteristics'!G:G,MATCH($C1177,'Policy Characteristics'!$C:$C,0))),"",INDEX('Policy Characteristics'!G:G,MATCH($C1177,'Policy Characteristics'!$C:$C,0)))</f>
        <v>0.4</v>
      </c>
      <c r="N1177" s="398">
        <f>IF(ISBLANK(INDEX('Policy Characteristics'!H:H,MATCH($C1177,'Policy Characteristics'!$C:$C,0))),"",INDEX('Policy Characteristics'!H:H,MATCH($C1177,'Policy Characteristics'!$C:$C,0)))</f>
        <v>0.01</v>
      </c>
      <c r="O1177" s="394" t="str">
        <f>IF(ISBLANK(INDEX('Policy Characteristics'!I:I,MATCH($C1177,'Policy Characteristics'!$C:$C,0))),"",INDEX('Policy Characteristics'!I:I,MATCH($C1177,'Policy Characteristics'!$C:$C,0)))</f>
        <v>% reduction in fuel use</v>
      </c>
      <c r="P1177" s="394" t="str">
        <f>IF(ISBLANK(INDEX('Policy Characteristics'!J:J,MATCH($C1177,'Policy Characteristics'!$C:$C,0))),"",INDEX('Policy Characteristics'!J:J,MATCH($C1177,'Policy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7" s="394" t="str">
        <f>IF(ISBLANK(INDEX('Policy Characteristics'!K:K,MATCH($C1177,'Policy Characteristics'!$C:$C,0))),"",INDEX('Policy Characteristics'!K:K,MATCH($C1177,'Policy Characteristics'!$C:$C,0)))</f>
        <v>architectural-design.html#rnd</v>
      </c>
      <c r="R1177" s="394" t="str">
        <f>IF(ISBLANK(INDEX('Policy Characteristics'!L:L,MATCH($C1177,'Policy Characteristics'!$C:$C,0))),"",INDEX('Policy Characteristics'!L:L,MATCH($C1177,'Policy Characteristics'!$C:$C,0)))</f>
        <v>research-and-development.html</v>
      </c>
    </row>
    <row r="1178" customHeight="1" spans="1:18">
      <c r="A1178" s="394" t="str">
        <f>IF(ISBLANK(INDEX('Policy Characteristics'!A:A,MATCH($C1178,'Policy Characteristics'!$C:$C,0))),"",INDEX('Policy Characteristics'!A:A,MATCH($C1178,'Policy Characteristics'!$C:$C,0)))</f>
        <v>Research and Development</v>
      </c>
      <c r="B1178" s="395" t="str">
        <f>IF(ISBLANK(INDEX('Policy Characteristics'!B:B,MATCH($C1178,'Policy Characteristics'!$C:$C,0))),"",INDEX('Policy Characteristics'!B:B,MATCH($C1178,'Policy Characteristics'!$C:$C,0)))</f>
        <v>Fuel Use Reduction</v>
      </c>
      <c r="C1178" s="394" t="str">
        <f t="shared" si="62"/>
        <v>RnD Building Fuel Use Perc Reduction</v>
      </c>
      <c r="D1178" s="399" t="s">
        <v>689</v>
      </c>
      <c r="E1178" s="399"/>
      <c r="F1178" s="399" t="s">
        <v>872</v>
      </c>
      <c r="G1178" s="399"/>
      <c r="H1178" s="377">
        <v>117</v>
      </c>
      <c r="I1178" s="396" t="s">
        <v>648</v>
      </c>
      <c r="J1178" s="397" t="str">
        <f>IF(ISBLANK(INDEX('Policy Characteristics'!D:D,MATCH($C1178,'Policy Characteristics'!$C:$C,0))),"",INDEX('Policy Characteristics'!D:D,MATCH($C1178,'Policy Characteristics'!$C:$C,0)))</f>
        <v>R&amp;D Fuel Use Reductions</v>
      </c>
      <c r="K1178" s="394" t="str">
        <f>IF(ISBLANK(INDEX('Policy Characteristics'!E:E,MATCH($C1178,'Policy Characteristics'!$C:$C,0))),"",INDEX('Policy Characteristics'!E:E,MATCH($C1178,'Policy Characteristics'!$C:$C,0)))</f>
        <v>RnD building fuel use reduction</v>
      </c>
      <c r="L1178" s="398">
        <f>IF(ISBLANK(INDEX('Policy Characteristics'!F:F,MATCH($C1178,'Policy Characteristics'!$C:$C,0))),"",INDEX('Policy Characteristics'!F:F,MATCH($C1178,'Policy Characteristics'!$C:$C,0)))</f>
        <v>0</v>
      </c>
      <c r="M1178" s="398">
        <f>IF(ISBLANK(INDEX('Policy Characteristics'!G:G,MATCH($C1178,'Policy Characteristics'!$C:$C,0))),"",INDEX('Policy Characteristics'!G:G,MATCH($C1178,'Policy Characteristics'!$C:$C,0)))</f>
        <v>0.4</v>
      </c>
      <c r="N1178" s="398">
        <f>IF(ISBLANK(INDEX('Policy Characteristics'!H:H,MATCH($C1178,'Policy Characteristics'!$C:$C,0))),"",INDEX('Policy Characteristics'!H:H,MATCH($C1178,'Policy Characteristics'!$C:$C,0)))</f>
        <v>0.01</v>
      </c>
      <c r="O1178" s="394" t="str">
        <f>IF(ISBLANK(INDEX('Policy Characteristics'!I:I,MATCH($C1178,'Policy Characteristics'!$C:$C,0))),"",INDEX('Policy Characteristics'!I:I,MATCH($C1178,'Policy Characteristics'!$C:$C,0)))</f>
        <v>% reduction in fuel use</v>
      </c>
      <c r="P1178" s="394" t="str">
        <f>IF(ISBLANK(INDEX('Policy Characteristics'!J:J,MATCH($C1178,'Policy Characteristics'!$C:$C,0))),"",INDEX('Policy Characteristics'!J:J,MATCH($C1178,'Policy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8" s="394" t="str">
        <f>IF(ISBLANK(INDEX('Policy Characteristics'!K:K,MATCH($C1178,'Policy Characteristics'!$C:$C,0))),"",INDEX('Policy Characteristics'!K:K,MATCH($C1178,'Policy Characteristics'!$C:$C,0)))</f>
        <v>architectural-design.html#rnd</v>
      </c>
      <c r="R1178" s="394" t="str">
        <f>IF(ISBLANK(INDEX('Policy Characteristics'!L:L,MATCH($C1178,'Policy Characteristics'!$C:$C,0))),"",INDEX('Policy Characteristics'!L:L,MATCH($C1178,'Policy Characteristics'!$C:$C,0)))</f>
        <v>research-and-development.html</v>
      </c>
    </row>
    <row r="1179" customHeight="1" spans="1:18">
      <c r="A1179" s="394" t="str">
        <f>IF(ISBLANK(INDEX('Policy Characteristics'!A:A,MATCH($C1179,'Policy Characteristics'!$C:$C,0))),"",INDEX('Policy Characteristics'!A:A,MATCH($C1179,'Policy Characteristics'!$C:$C,0)))</f>
        <v>Research and Development</v>
      </c>
      <c r="B1179" s="395" t="str">
        <f>IF(ISBLANK(INDEX('Policy Characteristics'!B:B,MATCH($C1179,'Policy Characteristics'!$C:$C,0))),"",INDEX('Policy Characteristics'!B:B,MATCH($C1179,'Policy Characteristics'!$C:$C,0)))</f>
        <v>Fuel Use Reduction</v>
      </c>
      <c r="C1179" s="394" t="str">
        <f t="shared" si="62"/>
        <v>RnD Building Fuel Use Perc Reduction</v>
      </c>
      <c r="D1179" s="399" t="s">
        <v>691</v>
      </c>
      <c r="E1179" s="399"/>
      <c r="F1179" s="399" t="s">
        <v>873</v>
      </c>
      <c r="G1179" s="399"/>
      <c r="H1179" s="377">
        <v>118</v>
      </c>
      <c r="I1179" s="396" t="s">
        <v>648</v>
      </c>
      <c r="J1179" s="397" t="str">
        <f>IF(ISBLANK(INDEX('Policy Characteristics'!D:D,MATCH($C1179,'Policy Characteristics'!$C:$C,0))),"",INDEX('Policy Characteristics'!D:D,MATCH($C1179,'Policy Characteristics'!$C:$C,0)))</f>
        <v>R&amp;D Fuel Use Reductions</v>
      </c>
      <c r="K1179" s="394" t="str">
        <f>IF(ISBLANK(INDEX('Policy Characteristics'!E:E,MATCH($C1179,'Policy Characteristics'!$C:$C,0))),"",INDEX('Policy Characteristics'!E:E,MATCH($C1179,'Policy Characteristics'!$C:$C,0)))</f>
        <v>RnD building fuel use reduction</v>
      </c>
      <c r="L1179" s="398">
        <f>IF(ISBLANK(INDEX('Policy Characteristics'!F:F,MATCH($C1179,'Policy Characteristics'!$C:$C,0))),"",INDEX('Policy Characteristics'!F:F,MATCH($C1179,'Policy Characteristics'!$C:$C,0)))</f>
        <v>0</v>
      </c>
      <c r="M1179" s="398">
        <f>IF(ISBLANK(INDEX('Policy Characteristics'!G:G,MATCH($C1179,'Policy Characteristics'!$C:$C,0))),"",INDEX('Policy Characteristics'!G:G,MATCH($C1179,'Policy Characteristics'!$C:$C,0)))</f>
        <v>0.4</v>
      </c>
      <c r="N1179" s="398">
        <f>IF(ISBLANK(INDEX('Policy Characteristics'!H:H,MATCH($C1179,'Policy Characteristics'!$C:$C,0))),"",INDEX('Policy Characteristics'!H:H,MATCH($C1179,'Policy Characteristics'!$C:$C,0)))</f>
        <v>0.01</v>
      </c>
      <c r="O1179" s="394" t="str">
        <f>IF(ISBLANK(INDEX('Policy Characteristics'!I:I,MATCH($C1179,'Policy Characteristics'!$C:$C,0))),"",INDEX('Policy Characteristics'!I:I,MATCH($C1179,'Policy Characteristics'!$C:$C,0)))</f>
        <v>% reduction in fuel use</v>
      </c>
      <c r="P1179" s="394" t="str">
        <f>IF(ISBLANK(INDEX('Policy Characteristics'!J:J,MATCH($C1179,'Policy Characteristics'!$C:$C,0))),"",INDEX('Policy Characteristics'!J:J,MATCH($C1179,'Policy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9" s="394" t="str">
        <f>IF(ISBLANK(INDEX('Policy Characteristics'!K:K,MATCH($C1179,'Policy Characteristics'!$C:$C,0))),"",INDEX('Policy Characteristics'!K:K,MATCH($C1179,'Policy Characteristics'!$C:$C,0)))</f>
        <v>architectural-design.html#rnd</v>
      </c>
      <c r="R1179" s="394" t="str">
        <f>IF(ISBLANK(INDEX('Policy Characteristics'!L:L,MATCH($C1179,'Policy Characteristics'!$C:$C,0))),"",INDEX('Policy Characteristics'!L:L,MATCH($C1179,'Policy Characteristics'!$C:$C,0)))</f>
        <v>research-and-development.html</v>
      </c>
    </row>
    <row r="1180" customHeight="1" spans="1:18">
      <c r="A1180" s="394" t="str">
        <f>IF(ISBLANK(INDEX('Policy Characteristics'!A:A,MATCH($C1180,'Policy Characteristics'!$C:$C,0))),"",INDEX('Policy Characteristics'!A:A,MATCH($C1180,'Policy Characteristics'!$C:$C,0)))</f>
        <v>Research and Development</v>
      </c>
      <c r="B1180" s="395" t="str">
        <f>IF(ISBLANK(INDEX('Policy Characteristics'!B:B,MATCH($C1180,'Policy Characteristics'!$C:$C,0))),"",INDEX('Policy Characteristics'!B:B,MATCH($C1180,'Policy Characteristics'!$C:$C,0)))</f>
        <v>Fuel Use Reduction</v>
      </c>
      <c r="C1180" s="394" t="str">
        <f t="shared" si="62"/>
        <v>RnD Building Fuel Use Perc Reduction</v>
      </c>
      <c r="D1180" s="399" t="s">
        <v>693</v>
      </c>
      <c r="E1180" s="399"/>
      <c r="F1180" s="399" t="s">
        <v>874</v>
      </c>
      <c r="G1180" s="399"/>
      <c r="H1180" s="377">
        <v>119</v>
      </c>
      <c r="I1180" s="396" t="s">
        <v>648</v>
      </c>
      <c r="J1180" s="397" t="str">
        <f>IF(ISBLANK(INDEX('Policy Characteristics'!D:D,MATCH($C1180,'Policy Characteristics'!$C:$C,0))),"",INDEX('Policy Characteristics'!D:D,MATCH($C1180,'Policy Characteristics'!$C:$C,0)))</f>
        <v>R&amp;D Fuel Use Reductions</v>
      </c>
      <c r="K1180" s="394" t="str">
        <f>IF(ISBLANK(INDEX('Policy Characteristics'!E:E,MATCH($C1180,'Policy Characteristics'!$C:$C,0))),"",INDEX('Policy Characteristics'!E:E,MATCH($C1180,'Policy Characteristics'!$C:$C,0)))</f>
        <v>RnD building fuel use reduction</v>
      </c>
      <c r="L1180" s="398">
        <f>IF(ISBLANK(INDEX('Policy Characteristics'!F:F,MATCH($C1180,'Policy Characteristics'!$C:$C,0))),"",INDEX('Policy Characteristics'!F:F,MATCH($C1180,'Policy Characteristics'!$C:$C,0)))</f>
        <v>0</v>
      </c>
      <c r="M1180" s="398">
        <f>IF(ISBLANK(INDEX('Policy Characteristics'!G:G,MATCH($C1180,'Policy Characteristics'!$C:$C,0))),"",INDEX('Policy Characteristics'!G:G,MATCH($C1180,'Policy Characteristics'!$C:$C,0)))</f>
        <v>0.4</v>
      </c>
      <c r="N1180" s="398">
        <f>IF(ISBLANK(INDEX('Policy Characteristics'!H:H,MATCH($C1180,'Policy Characteristics'!$C:$C,0))),"",INDEX('Policy Characteristics'!H:H,MATCH($C1180,'Policy Characteristics'!$C:$C,0)))</f>
        <v>0.01</v>
      </c>
      <c r="O1180" s="394" t="str">
        <f>IF(ISBLANK(INDEX('Policy Characteristics'!I:I,MATCH($C1180,'Policy Characteristics'!$C:$C,0))),"",INDEX('Policy Characteristics'!I:I,MATCH($C1180,'Policy Characteristics'!$C:$C,0)))</f>
        <v>% reduction in fuel use</v>
      </c>
      <c r="P1180" s="394" t="str">
        <f>IF(ISBLANK(INDEX('Policy Characteristics'!J:J,MATCH($C1180,'Policy Characteristics'!$C:$C,0))),"",INDEX('Policy Characteristics'!J:J,MATCH($C1180,'Policy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0" s="394" t="str">
        <f>IF(ISBLANK(INDEX('Policy Characteristics'!K:K,MATCH($C1180,'Policy Characteristics'!$C:$C,0))),"",INDEX('Policy Characteristics'!K:K,MATCH($C1180,'Policy Characteristics'!$C:$C,0)))</f>
        <v>architectural-design.html#rnd</v>
      </c>
      <c r="R1180" s="394" t="str">
        <f>IF(ISBLANK(INDEX('Policy Characteristics'!L:L,MATCH($C1180,'Policy Characteristics'!$C:$C,0))),"",INDEX('Policy Characteristics'!L:L,MATCH($C1180,'Policy Characteristics'!$C:$C,0)))</f>
        <v>research-and-development.html</v>
      </c>
    </row>
    <row r="1181" customHeight="1" spans="1:18">
      <c r="A1181" s="394" t="str">
        <f>IF(ISBLANK(INDEX('Policy Characteristics'!A:A,MATCH($C1181,'Policy Characteristics'!$C:$C,0))),"",INDEX('Policy Characteristics'!A:A,MATCH($C1181,'Policy Characteristics'!$C:$C,0)))</f>
        <v>Research and Development</v>
      </c>
      <c r="B1181" s="395" t="str">
        <f>IF(ISBLANK(INDEX('Policy Characteristics'!B:B,MATCH($C1181,'Policy Characteristics'!$C:$C,0))),"",INDEX('Policy Characteristics'!B:B,MATCH($C1181,'Policy Characteristics'!$C:$C,0)))</f>
        <v>Fuel Use Reduction</v>
      </c>
      <c r="C1181" t="s">
        <v>593</v>
      </c>
      <c r="D1181" s="399"/>
      <c r="E1181" s="399"/>
      <c r="F1181" s="399" t="s">
        <v>211</v>
      </c>
      <c r="G1181" s="399"/>
      <c r="H1181" s="377">
        <v>120</v>
      </c>
      <c r="I1181" s="396" t="s">
        <v>648</v>
      </c>
      <c r="J1181" s="397" t="str">
        <f>IF(ISBLANK(INDEX('Policy Characteristics'!D:D,MATCH($C1181,'Policy Characteristics'!$C:$C,0))),"",INDEX('Policy Characteristics'!D:D,MATCH($C1181,'Policy Characteristics'!$C:$C,0)))</f>
        <v>R&amp;D Fuel Use Reductions</v>
      </c>
      <c r="K1181" s="394" t="str">
        <f>IF(ISBLANK(INDEX('Policy Characteristics'!E:E,MATCH($C1181,'Policy Characteristics'!$C:$C,0))),"",INDEX('Policy Characteristics'!E:E,MATCH($C1181,'Policy Characteristics'!$C:$C,0)))</f>
        <v>RnD CCS fuel use reduction</v>
      </c>
      <c r="L1181" s="398">
        <f>IF(ISBLANK(INDEX('Policy Characteristics'!F:F,MATCH($C1181,'Policy Characteristics'!$C:$C,0))),"",INDEX('Policy Characteristics'!F:F,MATCH($C1181,'Policy Characteristics'!$C:$C,0)))</f>
        <v>0</v>
      </c>
      <c r="M1181" s="398">
        <f>IF(ISBLANK(INDEX('Policy Characteristics'!G:G,MATCH($C1181,'Policy Characteristics'!$C:$C,0))),"",INDEX('Policy Characteristics'!G:G,MATCH($C1181,'Policy Characteristics'!$C:$C,0)))</f>
        <v>0.4</v>
      </c>
      <c r="N1181" s="398">
        <f>IF(ISBLANK(INDEX('Policy Characteristics'!H:H,MATCH($C1181,'Policy Characteristics'!$C:$C,0))),"",INDEX('Policy Characteristics'!H:H,MATCH($C1181,'Policy Characteristics'!$C:$C,0)))</f>
        <v>0.01</v>
      </c>
      <c r="O1181" s="394" t="str">
        <f>IF(ISBLANK(INDEX('Policy Characteristics'!I:I,MATCH($C1181,'Policy Characteristics'!$C:$C,0))),"",INDEX('Policy Characteristics'!I:I,MATCH($C1181,'Policy Characteristics'!$C:$C,0)))</f>
        <v>% reduction in fuel use</v>
      </c>
      <c r="P1181" s="394" t="str">
        <f>IF(ISBLANK(INDEX('Policy Characteristics'!J:J,MATCH($C1181,'Policy Characteristics'!$C:$C,0))),"",INDEX('Policy Characteristics'!J:J,MATCH($C1181,'Policy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1" s="394" t="str">
        <f>IF(ISBLANK(INDEX('Policy Characteristics'!K:K,MATCH($C1181,'Policy Characteristics'!$C:$C,0))),"",INDEX('Policy Characteristics'!K:K,MATCH($C1181,'Policy Characteristics'!$C:$C,0)))</f>
        <v>architectural-design.html#rnd</v>
      </c>
      <c r="R1181" s="394" t="str">
        <f>IF(ISBLANK(INDEX('Policy Characteristics'!L:L,MATCH($C1181,'Policy Characteristics'!$C:$C,0))),"",INDEX('Policy Characteristics'!L:L,MATCH($C1181,'Policy Characteristics'!$C:$C,0)))</f>
        <v>research-and-development.html</v>
      </c>
    </row>
    <row r="1182" customHeight="1" spans="1:18">
      <c r="A1182" s="394" t="str">
        <f>IF(ISBLANK(INDEX('Policy Characteristics'!A:A,MATCH($C1182,'Policy Characteristics'!$C:$C,0))),"",INDEX('Policy Characteristics'!A:A,MATCH($C1182,'Policy Characteristics'!$C:$C,0)))</f>
        <v>Research and Development</v>
      </c>
      <c r="B1182" s="395" t="str">
        <f>IF(ISBLANK(INDEX('Policy Characteristics'!B:B,MATCH($C1182,'Policy Characteristics'!$C:$C,0))),"",INDEX('Policy Characteristics'!B:B,MATCH($C1182,'Policy Characteristics'!$C:$C,0)))</f>
        <v>Fuel Use Reduction</v>
      </c>
      <c r="C1182" t="s">
        <v>595</v>
      </c>
      <c r="D1182" s="399" t="s">
        <v>701</v>
      </c>
      <c r="E1182" s="399"/>
      <c r="F1182" s="399" t="s">
        <v>875</v>
      </c>
      <c r="G1182" s="399"/>
      <c r="H1182" s="377">
        <v>121</v>
      </c>
      <c r="I1182" s="396" t="s">
        <v>648</v>
      </c>
      <c r="J1182" s="397" t="str">
        <f>IF(ISBLANK(INDEX('Policy Characteristics'!D:D,MATCH($C1182,'Policy Characteristics'!$C:$C,0))),"",INDEX('Policy Characteristics'!D:D,MATCH($C1182,'Policy Characteristics'!$C:$C,0)))</f>
        <v>R&amp;D Fuel Use Reductions</v>
      </c>
      <c r="K1182" s="394" t="str">
        <f>IF(ISBLANK(INDEX('Policy Characteristics'!E:E,MATCH($C1182,'Policy Characteristics'!$C:$C,0))),"",INDEX('Policy Characteristics'!E:E,MATCH($C1182,'Policy Characteristics'!$C:$C,0)))</f>
        <v>RnD electricity fuel use reduction</v>
      </c>
      <c r="L1182" s="398">
        <f>IF(ISBLANK(INDEX('Policy Characteristics'!F:F,MATCH($C1182,'Policy Characteristics'!$C:$C,0))),"",INDEX('Policy Characteristics'!F:F,MATCH($C1182,'Policy Characteristics'!$C:$C,0)))</f>
        <v>0</v>
      </c>
      <c r="M1182" s="398">
        <f>IF(ISBLANK(INDEX('Policy Characteristics'!G:G,MATCH($C1182,'Policy Characteristics'!$C:$C,0))),"",INDEX('Policy Characteristics'!G:G,MATCH($C1182,'Policy Characteristics'!$C:$C,0)))</f>
        <v>0.4</v>
      </c>
      <c r="N1182" s="398">
        <f>IF(ISBLANK(INDEX('Policy Characteristics'!H:H,MATCH($C1182,'Policy Characteristics'!$C:$C,0))),"",INDEX('Policy Characteristics'!H:H,MATCH($C1182,'Policy Characteristics'!$C:$C,0)))</f>
        <v>0.01</v>
      </c>
      <c r="O1182" s="394" t="str">
        <f>IF(ISBLANK(INDEX('Policy Characteristics'!I:I,MATCH($C1182,'Policy Characteristics'!$C:$C,0))),"",INDEX('Policy Characteristics'!I:I,MATCH($C1182,'Policy Characteristics'!$C:$C,0)))</f>
        <v>% reduction in fuel use</v>
      </c>
      <c r="P1182" s="394" t="str">
        <f>IF(ISBLANK(INDEX('Policy Characteristics'!J:J,MATCH($C1182,'Policy Characteristics'!$C:$C,0))),"",INDEX('Policy Characteristics'!J:J,MATCH($C1182,'Policy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2" s="394" t="str">
        <f>IF(ISBLANK(INDEX('Policy Characteristics'!K:K,MATCH($C1182,'Policy Characteristics'!$C:$C,0))),"",INDEX('Policy Characteristics'!K:K,MATCH($C1182,'Policy Characteristics'!$C:$C,0)))</f>
        <v>architectural-design.html#rnd</v>
      </c>
      <c r="R1182" s="394" t="str">
        <f>IF(ISBLANK(INDEX('Policy Characteristics'!L:L,MATCH($C1182,'Policy Characteristics'!$C:$C,0))),"",INDEX('Policy Characteristics'!L:L,MATCH($C1182,'Policy Characteristics'!$C:$C,0)))</f>
        <v>research-and-development.html</v>
      </c>
    </row>
    <row r="1183" customHeight="1" spans="1:18">
      <c r="A1183" s="394" t="str">
        <f>IF(ISBLANK(INDEX('Policy Characteristics'!A:A,MATCH($C1183,'Policy Characteristics'!$C:$C,0))),"",INDEX('Policy Characteristics'!A:A,MATCH($C1183,'Policy Characteristics'!$C:$C,0)))</f>
        <v>Research and Development</v>
      </c>
      <c r="B1183" s="395" t="str">
        <f>IF(ISBLANK(INDEX('Policy Characteristics'!B:B,MATCH($C1183,'Policy Characteristics'!$C:$C,0))),"",INDEX('Policy Characteristics'!B:B,MATCH($C1183,'Policy Characteristics'!$C:$C,0)))</f>
        <v>Fuel Use Reduction</v>
      </c>
      <c r="C1183" s="394" t="str">
        <f t="shared" ref="C1183:C1190" si="63">C$1182</f>
        <v>RnD Electricity Fuel Use Perc Reduction</v>
      </c>
      <c r="D1183" s="399" t="s">
        <v>703</v>
      </c>
      <c r="E1183" s="401"/>
      <c r="F1183" s="399" t="s">
        <v>876</v>
      </c>
      <c r="G1183" s="399"/>
      <c r="H1183" s="377">
        <v>122</v>
      </c>
      <c r="I1183" s="396" t="s">
        <v>648</v>
      </c>
      <c r="J1183" s="397" t="str">
        <f>IF(ISBLANK(INDEX('Policy Characteristics'!D:D,MATCH($C1183,'Policy Characteristics'!$C:$C,0))),"",INDEX('Policy Characteristics'!D:D,MATCH($C1183,'Policy Characteristics'!$C:$C,0)))</f>
        <v>R&amp;D Fuel Use Reductions</v>
      </c>
      <c r="K1183" s="394" t="str">
        <f>IF(ISBLANK(INDEX('Policy Characteristics'!E:E,MATCH($C1183,'Policy Characteristics'!$C:$C,0))),"",INDEX('Policy Characteristics'!E:E,MATCH($C1183,'Policy Characteristics'!$C:$C,0)))</f>
        <v>RnD electricity fuel use reduction</v>
      </c>
      <c r="L1183" s="398">
        <f>IF(ISBLANK(INDEX('Policy Characteristics'!F:F,MATCH($C1183,'Policy Characteristics'!$C:$C,0))),"",INDEX('Policy Characteristics'!F:F,MATCH($C1183,'Policy Characteristics'!$C:$C,0)))</f>
        <v>0</v>
      </c>
      <c r="M1183" s="398">
        <f>IF(ISBLANK(INDEX('Policy Characteristics'!G:G,MATCH($C1183,'Policy Characteristics'!$C:$C,0))),"",INDEX('Policy Characteristics'!G:G,MATCH($C1183,'Policy Characteristics'!$C:$C,0)))</f>
        <v>0.4</v>
      </c>
      <c r="N1183" s="398">
        <f>IF(ISBLANK(INDEX('Policy Characteristics'!H:H,MATCH($C1183,'Policy Characteristics'!$C:$C,0))),"",INDEX('Policy Characteristics'!H:H,MATCH($C1183,'Policy Characteristics'!$C:$C,0)))</f>
        <v>0.01</v>
      </c>
      <c r="O1183" s="394" t="str">
        <f>IF(ISBLANK(INDEX('Policy Characteristics'!I:I,MATCH($C1183,'Policy Characteristics'!$C:$C,0))),"",INDEX('Policy Characteristics'!I:I,MATCH($C1183,'Policy Characteristics'!$C:$C,0)))</f>
        <v>% reduction in fuel use</v>
      </c>
      <c r="P1183" s="394" t="str">
        <f>IF(ISBLANK(INDEX('Policy Characteristics'!J:J,MATCH($C1183,'Policy Characteristics'!$C:$C,0))),"",INDEX('Policy Characteristics'!J:J,MATCH($C1183,'Policy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3" s="394" t="str">
        <f>IF(ISBLANK(INDEX('Policy Characteristics'!K:K,MATCH($C1183,'Policy Characteristics'!$C:$C,0))),"",INDEX('Policy Characteristics'!K:K,MATCH($C1183,'Policy Characteristics'!$C:$C,0)))</f>
        <v>architectural-design.html#rnd</v>
      </c>
      <c r="R1183" s="394" t="str">
        <f>IF(ISBLANK(INDEX('Policy Characteristics'!L:L,MATCH($C1183,'Policy Characteristics'!$C:$C,0))),"",INDEX('Policy Characteristics'!L:L,MATCH($C1183,'Policy Characteristics'!$C:$C,0)))</f>
        <v>research-and-development.html</v>
      </c>
    </row>
    <row r="1184" customHeight="1" spans="1:18">
      <c r="A1184" s="394" t="str">
        <f>IF(ISBLANK(INDEX('Policy Characteristics'!A:A,MATCH($C1184,'Policy Characteristics'!$C:$C,0))),"",INDEX('Policy Characteristics'!A:A,MATCH($C1184,'Policy Characteristics'!$C:$C,0)))</f>
        <v>Research and Development</v>
      </c>
      <c r="B1184" s="395" t="str">
        <f>IF(ISBLANK(INDEX('Policy Characteristics'!B:B,MATCH($C1184,'Policy Characteristics'!$C:$C,0))),"",INDEX('Policy Characteristics'!B:B,MATCH($C1184,'Policy Characteristics'!$C:$C,0)))</f>
        <v>Fuel Use Reduction</v>
      </c>
      <c r="C1184" s="394" t="str">
        <f t="shared" si="63"/>
        <v>RnD Electricity Fuel Use Perc Reduction</v>
      </c>
      <c r="D1184" s="399" t="s">
        <v>705</v>
      </c>
      <c r="E1184" s="401"/>
      <c r="F1184" s="399" t="s">
        <v>877</v>
      </c>
      <c r="G1184" s="399"/>
      <c r="H1184" s="377">
        <v>123</v>
      </c>
      <c r="I1184" s="396" t="s">
        <v>648</v>
      </c>
      <c r="J1184" s="397" t="str">
        <f>IF(ISBLANK(INDEX('Policy Characteristics'!D:D,MATCH($C1184,'Policy Characteristics'!$C:$C,0))),"",INDEX('Policy Characteristics'!D:D,MATCH($C1184,'Policy Characteristics'!$C:$C,0)))</f>
        <v>R&amp;D Fuel Use Reductions</v>
      </c>
      <c r="K1184" s="394" t="str">
        <f>IF(ISBLANK(INDEX('Policy Characteristics'!E:E,MATCH($C1184,'Policy Characteristics'!$C:$C,0))),"",INDEX('Policy Characteristics'!E:E,MATCH($C1184,'Policy Characteristics'!$C:$C,0)))</f>
        <v>RnD electricity fuel use reduction</v>
      </c>
      <c r="L1184" s="398">
        <f>IF(ISBLANK(INDEX('Policy Characteristics'!F:F,MATCH($C1184,'Policy Characteristics'!$C:$C,0))),"",INDEX('Policy Characteristics'!F:F,MATCH($C1184,'Policy Characteristics'!$C:$C,0)))</f>
        <v>0</v>
      </c>
      <c r="M1184" s="398">
        <f>IF(ISBLANK(INDEX('Policy Characteristics'!G:G,MATCH($C1184,'Policy Characteristics'!$C:$C,0))),"",INDEX('Policy Characteristics'!G:G,MATCH($C1184,'Policy Characteristics'!$C:$C,0)))</f>
        <v>0.4</v>
      </c>
      <c r="N1184" s="398">
        <f>IF(ISBLANK(INDEX('Policy Characteristics'!H:H,MATCH($C1184,'Policy Characteristics'!$C:$C,0))),"",INDEX('Policy Characteristics'!H:H,MATCH($C1184,'Policy Characteristics'!$C:$C,0)))</f>
        <v>0.01</v>
      </c>
      <c r="O1184" s="394" t="str">
        <f>IF(ISBLANK(INDEX('Policy Characteristics'!I:I,MATCH($C1184,'Policy Characteristics'!$C:$C,0))),"",INDEX('Policy Characteristics'!I:I,MATCH($C1184,'Policy Characteristics'!$C:$C,0)))</f>
        <v>% reduction in fuel use</v>
      </c>
      <c r="P1184" s="394" t="str">
        <f>IF(ISBLANK(INDEX('Policy Characteristics'!J:J,MATCH($C1184,'Policy Characteristics'!$C:$C,0))),"",INDEX('Policy Characteristics'!J:J,MATCH($C1184,'Policy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4" s="394" t="str">
        <f>IF(ISBLANK(INDEX('Policy Characteristics'!K:K,MATCH($C1184,'Policy Characteristics'!$C:$C,0))),"",INDEX('Policy Characteristics'!K:K,MATCH($C1184,'Policy Characteristics'!$C:$C,0)))</f>
        <v>architectural-design.html#rnd</v>
      </c>
      <c r="R1184" s="394" t="str">
        <f>IF(ISBLANK(INDEX('Policy Characteristics'!L:L,MATCH($C1184,'Policy Characteristics'!$C:$C,0))),"",INDEX('Policy Characteristics'!L:L,MATCH($C1184,'Policy Characteristics'!$C:$C,0)))</f>
        <v>research-and-development.html</v>
      </c>
    </row>
    <row r="1185" customHeight="1" spans="1:18">
      <c r="A1185" s="394" t="str">
        <f>IF(ISBLANK(INDEX('Policy Characteristics'!A:A,MATCH($C1185,'Policy Characteristics'!$C:$C,0))),"",INDEX('Policy Characteristics'!A:A,MATCH($C1185,'Policy Characteristics'!$C:$C,0)))</f>
        <v>Research and Development</v>
      </c>
      <c r="B1185" s="395" t="str">
        <f>IF(ISBLANK(INDEX('Policy Characteristics'!B:B,MATCH($C1185,'Policy Characteristics'!$C:$C,0))),"",INDEX('Policy Characteristics'!B:B,MATCH($C1185,'Policy Characteristics'!$C:$C,0)))</f>
        <v>Fuel Use Reduction</v>
      </c>
      <c r="C1185" s="394" t="str">
        <f t="shared" si="63"/>
        <v>RnD Electricity Fuel Use Perc Reduction</v>
      </c>
      <c r="D1185" s="399" t="s">
        <v>707</v>
      </c>
      <c r="E1185" s="401"/>
      <c r="F1185" s="399" t="s">
        <v>878</v>
      </c>
      <c r="G1185" s="399"/>
      <c r="H1185" s="377">
        <v>751</v>
      </c>
      <c r="I1185" s="396" t="s">
        <v>658</v>
      </c>
      <c r="J1185" s="397" t="str">
        <f>IF(ISBLANK(INDEX('Policy Characteristics'!D:D,MATCH($C1185,'Policy Characteristics'!$C:$C,0))),"",INDEX('Policy Characteristics'!D:D,MATCH($C1185,'Policy Characteristics'!$C:$C,0)))</f>
        <v>R&amp;D Fuel Use Reductions</v>
      </c>
      <c r="K1185" s="394" t="str">
        <f>IF(ISBLANK(INDEX('Policy Characteristics'!E:E,MATCH($C1185,'Policy Characteristics'!$C:$C,0))),"",INDEX('Policy Characteristics'!E:E,MATCH($C1185,'Policy Characteristics'!$C:$C,0)))</f>
        <v>RnD electricity fuel use reduction</v>
      </c>
      <c r="L1185" s="398">
        <f>IF(ISBLANK(INDEX('Policy Characteristics'!F:F,MATCH($C1185,'Policy Characteristics'!$C:$C,0))),"",INDEX('Policy Characteristics'!F:F,MATCH($C1185,'Policy Characteristics'!$C:$C,0)))</f>
        <v>0</v>
      </c>
      <c r="M1185" s="398">
        <f>IF(ISBLANK(INDEX('Policy Characteristics'!G:G,MATCH($C1185,'Policy Characteristics'!$C:$C,0))),"",INDEX('Policy Characteristics'!G:G,MATCH($C1185,'Policy Characteristics'!$C:$C,0)))</f>
        <v>0.4</v>
      </c>
      <c r="N1185" s="398">
        <f>IF(ISBLANK(INDEX('Policy Characteristics'!H:H,MATCH($C1185,'Policy Characteristics'!$C:$C,0))),"",INDEX('Policy Characteristics'!H:H,MATCH($C1185,'Policy Characteristics'!$C:$C,0)))</f>
        <v>0.01</v>
      </c>
      <c r="O1185" s="394" t="str">
        <f>IF(ISBLANK(INDEX('Policy Characteristics'!I:I,MATCH($C1185,'Policy Characteristics'!$C:$C,0))),"",INDEX('Policy Characteristics'!I:I,MATCH($C1185,'Policy Characteristics'!$C:$C,0)))</f>
        <v>% reduction in fuel use</v>
      </c>
      <c r="P1185" s="394" t="str">
        <f>IF(ISBLANK(INDEX('Policy Characteristics'!J:J,MATCH($C1185,'Policy Characteristics'!$C:$C,0))),"",INDEX('Policy Characteristics'!J:J,MATCH($C1185,'Policy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5" s="394" t="str">
        <f>IF(ISBLANK(INDEX('Policy Characteristics'!K:K,MATCH($C1185,'Policy Characteristics'!$C:$C,0))),"",INDEX('Policy Characteristics'!K:K,MATCH($C1185,'Policy Characteristics'!$C:$C,0)))</f>
        <v>architectural-design.html#rnd</v>
      </c>
      <c r="R1185" s="394" t="str">
        <f>IF(ISBLANK(INDEX('Policy Characteristics'!L:L,MATCH($C1185,'Policy Characteristics'!$C:$C,0))),"",INDEX('Policy Characteristics'!L:L,MATCH($C1185,'Policy Characteristics'!$C:$C,0)))</f>
        <v>research-and-development.html</v>
      </c>
    </row>
    <row r="1186" customHeight="1" spans="1:18">
      <c r="A1186" s="394" t="str">
        <f>IF(ISBLANK(INDEX('Policy Characteristics'!A:A,MATCH($C1186,'Policy Characteristics'!$C:$C,0))),"",INDEX('Policy Characteristics'!A:A,MATCH($C1186,'Policy Characteristics'!$C:$C,0)))</f>
        <v>Research and Development</v>
      </c>
      <c r="B1186" s="395" t="str">
        <f>IF(ISBLANK(INDEX('Policy Characteristics'!B:B,MATCH($C1186,'Policy Characteristics'!$C:$C,0))),"",INDEX('Policy Characteristics'!B:B,MATCH($C1186,'Policy Characteristics'!$C:$C,0)))</f>
        <v>Fuel Use Reduction</v>
      </c>
      <c r="C1186" s="394" t="str">
        <f t="shared" si="63"/>
        <v>RnD Electricity Fuel Use Perc Reduction</v>
      </c>
      <c r="D1186" s="399" t="s">
        <v>709</v>
      </c>
      <c r="E1186" s="401"/>
      <c r="F1186" s="399" t="s">
        <v>879</v>
      </c>
      <c r="G1186" s="399"/>
      <c r="H1186" s="377">
        <v>752</v>
      </c>
      <c r="I1186" s="396" t="s">
        <v>658</v>
      </c>
      <c r="J1186" s="397" t="str">
        <f>IF(ISBLANK(INDEX('Policy Characteristics'!D:D,MATCH($C1186,'Policy Characteristics'!$C:$C,0))),"",INDEX('Policy Characteristics'!D:D,MATCH($C1186,'Policy Characteristics'!$C:$C,0)))</f>
        <v>R&amp;D Fuel Use Reductions</v>
      </c>
      <c r="K1186" s="394" t="str">
        <f>IF(ISBLANK(INDEX('Policy Characteristics'!E:E,MATCH($C1186,'Policy Characteristics'!$C:$C,0))),"",INDEX('Policy Characteristics'!E:E,MATCH($C1186,'Policy Characteristics'!$C:$C,0)))</f>
        <v>RnD electricity fuel use reduction</v>
      </c>
      <c r="L1186" s="398">
        <f>IF(ISBLANK(INDEX('Policy Characteristics'!F:F,MATCH($C1186,'Policy Characteristics'!$C:$C,0))),"",INDEX('Policy Characteristics'!F:F,MATCH($C1186,'Policy Characteristics'!$C:$C,0)))</f>
        <v>0</v>
      </c>
      <c r="M1186" s="398">
        <f>IF(ISBLANK(INDEX('Policy Characteristics'!G:G,MATCH($C1186,'Policy Characteristics'!$C:$C,0))),"",INDEX('Policy Characteristics'!G:G,MATCH($C1186,'Policy Characteristics'!$C:$C,0)))</f>
        <v>0.4</v>
      </c>
      <c r="N1186" s="398">
        <f>IF(ISBLANK(INDEX('Policy Characteristics'!H:H,MATCH($C1186,'Policy Characteristics'!$C:$C,0))),"",INDEX('Policy Characteristics'!H:H,MATCH($C1186,'Policy Characteristics'!$C:$C,0)))</f>
        <v>0.01</v>
      </c>
      <c r="O1186" s="394" t="str">
        <f>IF(ISBLANK(INDEX('Policy Characteristics'!I:I,MATCH($C1186,'Policy Characteristics'!$C:$C,0))),"",INDEX('Policy Characteristics'!I:I,MATCH($C1186,'Policy Characteristics'!$C:$C,0)))</f>
        <v>% reduction in fuel use</v>
      </c>
      <c r="P1186" s="394" t="str">
        <f>IF(ISBLANK(INDEX('Policy Characteristics'!J:J,MATCH($C1186,'Policy Characteristics'!$C:$C,0))),"",INDEX('Policy Characteristics'!J:J,MATCH($C1186,'Policy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6" s="394" t="str">
        <f>IF(ISBLANK(INDEX('Policy Characteristics'!K:K,MATCH($C1186,'Policy Characteristics'!$C:$C,0))),"",INDEX('Policy Characteristics'!K:K,MATCH($C1186,'Policy Characteristics'!$C:$C,0)))</f>
        <v>architectural-design.html#rnd</v>
      </c>
      <c r="R1186" s="394" t="str">
        <f>IF(ISBLANK(INDEX('Policy Characteristics'!L:L,MATCH($C1186,'Policy Characteristics'!$C:$C,0))),"",INDEX('Policy Characteristics'!L:L,MATCH($C1186,'Policy Characteristics'!$C:$C,0)))</f>
        <v>research-and-development.html</v>
      </c>
    </row>
    <row r="1187" customHeight="1" spans="1:18">
      <c r="A1187" s="394" t="str">
        <f>IF(ISBLANK(INDEX('Policy Characteristics'!A:A,MATCH($C1187,'Policy Characteristics'!$C:$C,0))),"",INDEX('Policy Characteristics'!A:A,MATCH($C1187,'Policy Characteristics'!$C:$C,0)))</f>
        <v>Research and Development</v>
      </c>
      <c r="B1187" s="395" t="str">
        <f>IF(ISBLANK(INDEX('Policy Characteristics'!B:B,MATCH($C1187,'Policy Characteristics'!$C:$C,0))),"",INDEX('Policy Characteristics'!B:B,MATCH($C1187,'Policy Characteristics'!$C:$C,0)))</f>
        <v>Fuel Use Reduction</v>
      </c>
      <c r="C1187" s="394" t="str">
        <f t="shared" si="63"/>
        <v>RnD Electricity Fuel Use Perc Reduction</v>
      </c>
      <c r="D1187" s="399" t="s">
        <v>711</v>
      </c>
      <c r="E1187" s="401"/>
      <c r="F1187" s="399" t="s">
        <v>880</v>
      </c>
      <c r="G1187" s="399"/>
      <c r="H1187" s="377">
        <v>753</v>
      </c>
      <c r="I1187" s="396" t="s">
        <v>658</v>
      </c>
      <c r="J1187" s="397" t="str">
        <f>IF(ISBLANK(INDEX('Policy Characteristics'!D:D,MATCH($C1187,'Policy Characteristics'!$C:$C,0))),"",INDEX('Policy Characteristics'!D:D,MATCH($C1187,'Policy Characteristics'!$C:$C,0)))</f>
        <v>R&amp;D Fuel Use Reductions</v>
      </c>
      <c r="K1187" s="394" t="str">
        <f>IF(ISBLANK(INDEX('Policy Characteristics'!E:E,MATCH($C1187,'Policy Characteristics'!$C:$C,0))),"",INDEX('Policy Characteristics'!E:E,MATCH($C1187,'Policy Characteristics'!$C:$C,0)))</f>
        <v>RnD electricity fuel use reduction</v>
      </c>
      <c r="L1187" s="398">
        <f>IF(ISBLANK(INDEX('Policy Characteristics'!F:F,MATCH($C1187,'Policy Characteristics'!$C:$C,0))),"",INDEX('Policy Characteristics'!F:F,MATCH($C1187,'Policy Characteristics'!$C:$C,0)))</f>
        <v>0</v>
      </c>
      <c r="M1187" s="398">
        <f>IF(ISBLANK(INDEX('Policy Characteristics'!G:G,MATCH($C1187,'Policy Characteristics'!$C:$C,0))),"",INDEX('Policy Characteristics'!G:G,MATCH($C1187,'Policy Characteristics'!$C:$C,0)))</f>
        <v>0.4</v>
      </c>
      <c r="N1187" s="398">
        <f>IF(ISBLANK(INDEX('Policy Characteristics'!H:H,MATCH($C1187,'Policy Characteristics'!$C:$C,0))),"",INDEX('Policy Characteristics'!H:H,MATCH($C1187,'Policy Characteristics'!$C:$C,0)))</f>
        <v>0.01</v>
      </c>
      <c r="O1187" s="394" t="str">
        <f>IF(ISBLANK(INDEX('Policy Characteristics'!I:I,MATCH($C1187,'Policy Characteristics'!$C:$C,0))),"",INDEX('Policy Characteristics'!I:I,MATCH($C1187,'Policy Characteristics'!$C:$C,0)))</f>
        <v>% reduction in fuel use</v>
      </c>
      <c r="P1187" s="394" t="str">
        <f>IF(ISBLANK(INDEX('Policy Characteristics'!J:J,MATCH($C1187,'Policy Characteristics'!$C:$C,0))),"",INDEX('Policy Characteristics'!J:J,MATCH($C1187,'Policy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7" s="394" t="str">
        <f>IF(ISBLANK(INDEX('Policy Characteristics'!K:K,MATCH($C1187,'Policy Characteristics'!$C:$C,0))),"",INDEX('Policy Characteristics'!K:K,MATCH($C1187,'Policy Characteristics'!$C:$C,0)))</f>
        <v>architectural-design.html#rnd</v>
      </c>
      <c r="R1187" s="394" t="str">
        <f>IF(ISBLANK(INDEX('Policy Characteristics'!L:L,MATCH($C1187,'Policy Characteristics'!$C:$C,0))),"",INDEX('Policy Characteristics'!L:L,MATCH($C1187,'Policy Characteristics'!$C:$C,0)))</f>
        <v>research-and-development.html</v>
      </c>
    </row>
    <row r="1188" customHeight="1" spans="1:18">
      <c r="A1188" s="394" t="str">
        <f>IF(ISBLANK(INDEX('Policy Characteristics'!A:A,MATCH($C1188,'Policy Characteristics'!$C:$C,0))),"",INDEX('Policy Characteristics'!A:A,MATCH($C1188,'Policy Characteristics'!$C:$C,0)))</f>
        <v>Research and Development</v>
      </c>
      <c r="B1188" s="395" t="str">
        <f>IF(ISBLANK(INDEX('Policy Characteristics'!B:B,MATCH($C1188,'Policy Characteristics'!$C:$C,0))),"",INDEX('Policy Characteristics'!B:B,MATCH($C1188,'Policy Characteristics'!$C:$C,0)))</f>
        <v>Fuel Use Reduction</v>
      </c>
      <c r="C1188" s="394" t="str">
        <f t="shared" si="63"/>
        <v>RnD Electricity Fuel Use Perc Reduction</v>
      </c>
      <c r="D1188" s="399" t="s">
        <v>713</v>
      </c>
      <c r="E1188" s="401"/>
      <c r="F1188" s="399" t="s">
        <v>881</v>
      </c>
      <c r="G1188" s="399"/>
      <c r="H1188" s="377">
        <v>754</v>
      </c>
      <c r="I1188" s="396" t="s">
        <v>658</v>
      </c>
      <c r="J1188" s="397" t="str">
        <f>IF(ISBLANK(INDEX('Policy Characteristics'!D:D,MATCH($C1188,'Policy Characteristics'!$C:$C,0))),"",INDEX('Policy Characteristics'!D:D,MATCH($C1188,'Policy Characteristics'!$C:$C,0)))</f>
        <v>R&amp;D Fuel Use Reductions</v>
      </c>
      <c r="K1188" s="394" t="str">
        <f>IF(ISBLANK(INDEX('Policy Characteristics'!E:E,MATCH($C1188,'Policy Characteristics'!$C:$C,0))),"",INDEX('Policy Characteristics'!E:E,MATCH($C1188,'Policy Characteristics'!$C:$C,0)))</f>
        <v>RnD electricity fuel use reduction</v>
      </c>
      <c r="L1188" s="398">
        <f>IF(ISBLANK(INDEX('Policy Characteristics'!F:F,MATCH($C1188,'Policy Characteristics'!$C:$C,0))),"",INDEX('Policy Characteristics'!F:F,MATCH($C1188,'Policy Characteristics'!$C:$C,0)))</f>
        <v>0</v>
      </c>
      <c r="M1188" s="398">
        <f>IF(ISBLANK(INDEX('Policy Characteristics'!G:G,MATCH($C1188,'Policy Characteristics'!$C:$C,0))),"",INDEX('Policy Characteristics'!G:G,MATCH($C1188,'Policy Characteristics'!$C:$C,0)))</f>
        <v>0.4</v>
      </c>
      <c r="N1188" s="398">
        <f>IF(ISBLANK(INDEX('Policy Characteristics'!H:H,MATCH($C1188,'Policy Characteristics'!$C:$C,0))),"",INDEX('Policy Characteristics'!H:H,MATCH($C1188,'Policy Characteristics'!$C:$C,0)))</f>
        <v>0.01</v>
      </c>
      <c r="O1188" s="394" t="str">
        <f>IF(ISBLANK(INDEX('Policy Characteristics'!I:I,MATCH($C1188,'Policy Characteristics'!$C:$C,0))),"",INDEX('Policy Characteristics'!I:I,MATCH($C1188,'Policy Characteristics'!$C:$C,0)))</f>
        <v>% reduction in fuel use</v>
      </c>
      <c r="P1188" s="394" t="str">
        <f>IF(ISBLANK(INDEX('Policy Characteristics'!J:J,MATCH($C1188,'Policy Characteristics'!$C:$C,0))),"",INDEX('Policy Characteristics'!J:J,MATCH($C1188,'Policy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8" s="394" t="str">
        <f>IF(ISBLANK(INDEX('Policy Characteristics'!K:K,MATCH($C1188,'Policy Characteristics'!$C:$C,0))),"",INDEX('Policy Characteristics'!K:K,MATCH($C1188,'Policy Characteristics'!$C:$C,0)))</f>
        <v>architectural-design.html#rnd</v>
      </c>
      <c r="R1188" s="394" t="str">
        <f>IF(ISBLANK(INDEX('Policy Characteristics'!L:L,MATCH($C1188,'Policy Characteristics'!$C:$C,0))),"",INDEX('Policy Characteristics'!L:L,MATCH($C1188,'Policy Characteristics'!$C:$C,0)))</f>
        <v>research-and-development.html</v>
      </c>
    </row>
    <row r="1189" customHeight="1" spans="1:18">
      <c r="A1189" s="394" t="str">
        <f>IF(ISBLANK(INDEX('Policy Characteristics'!A:A,MATCH($C1189,'Policy Characteristics'!$C:$C,0))),"",INDEX('Policy Characteristics'!A:A,MATCH($C1189,'Policy Characteristics'!$C:$C,0)))</f>
        <v>Research and Development</v>
      </c>
      <c r="B1189" s="395" t="str">
        <f>IF(ISBLANK(INDEX('Policy Characteristics'!B:B,MATCH($C1189,'Policy Characteristics'!$C:$C,0))),"",INDEX('Policy Characteristics'!B:B,MATCH($C1189,'Policy Characteristics'!$C:$C,0)))</f>
        <v>Fuel Use Reduction</v>
      </c>
      <c r="C1189" s="394" t="str">
        <f t="shared" si="63"/>
        <v>RnD Electricity Fuel Use Perc Reduction</v>
      </c>
      <c r="D1189" s="399" t="s">
        <v>715</v>
      </c>
      <c r="E1189" s="401"/>
      <c r="F1189" s="399" t="s">
        <v>882</v>
      </c>
      <c r="G1189" s="399"/>
      <c r="H1189" s="377">
        <v>124</v>
      </c>
      <c r="I1189" s="396" t="s">
        <v>648</v>
      </c>
      <c r="J1189" s="397" t="str">
        <f>IF(ISBLANK(INDEX('Policy Characteristics'!D:D,MATCH($C1189,'Policy Characteristics'!$C:$C,0))),"",INDEX('Policy Characteristics'!D:D,MATCH($C1189,'Policy Characteristics'!$C:$C,0)))</f>
        <v>R&amp;D Fuel Use Reductions</v>
      </c>
      <c r="K1189" s="394" t="str">
        <f>IF(ISBLANK(INDEX('Policy Characteristics'!E:E,MATCH($C1189,'Policy Characteristics'!$C:$C,0))),"",INDEX('Policy Characteristics'!E:E,MATCH($C1189,'Policy Characteristics'!$C:$C,0)))</f>
        <v>RnD electricity fuel use reduction</v>
      </c>
      <c r="L1189" s="398">
        <f>IF(ISBLANK(INDEX('Policy Characteristics'!F:F,MATCH($C1189,'Policy Characteristics'!$C:$C,0))),"",INDEX('Policy Characteristics'!F:F,MATCH($C1189,'Policy Characteristics'!$C:$C,0)))</f>
        <v>0</v>
      </c>
      <c r="M1189" s="398">
        <f>IF(ISBLANK(INDEX('Policy Characteristics'!G:G,MATCH($C1189,'Policy Characteristics'!$C:$C,0))),"",INDEX('Policy Characteristics'!G:G,MATCH($C1189,'Policy Characteristics'!$C:$C,0)))</f>
        <v>0.4</v>
      </c>
      <c r="N1189" s="398">
        <f>IF(ISBLANK(INDEX('Policy Characteristics'!H:H,MATCH($C1189,'Policy Characteristics'!$C:$C,0))),"",INDEX('Policy Characteristics'!H:H,MATCH($C1189,'Policy Characteristics'!$C:$C,0)))</f>
        <v>0.01</v>
      </c>
      <c r="O1189" s="394" t="str">
        <f>IF(ISBLANK(INDEX('Policy Characteristics'!I:I,MATCH($C1189,'Policy Characteristics'!$C:$C,0))),"",INDEX('Policy Characteristics'!I:I,MATCH($C1189,'Policy Characteristics'!$C:$C,0)))</f>
        <v>% reduction in fuel use</v>
      </c>
      <c r="P1189" s="394" t="str">
        <f>IF(ISBLANK(INDEX('Policy Characteristics'!J:J,MATCH($C1189,'Policy Characteristics'!$C:$C,0))),"",INDEX('Policy Characteristics'!J:J,MATCH($C1189,'Policy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9" s="394" t="str">
        <f>IF(ISBLANK(INDEX('Policy Characteristics'!K:K,MATCH($C1189,'Policy Characteristics'!$C:$C,0))),"",INDEX('Policy Characteristics'!K:K,MATCH($C1189,'Policy Characteristics'!$C:$C,0)))</f>
        <v>architectural-design.html#rnd</v>
      </c>
      <c r="R1189" s="394" t="str">
        <f>IF(ISBLANK(INDEX('Policy Characteristics'!L:L,MATCH($C1189,'Policy Characteristics'!$C:$C,0))),"",INDEX('Policy Characteristics'!L:L,MATCH($C1189,'Policy Characteristics'!$C:$C,0)))</f>
        <v>research-and-development.html</v>
      </c>
    </row>
    <row r="1190" customHeight="1" spans="1:18">
      <c r="A1190" s="394" t="str">
        <f>IF(ISBLANK(INDEX('Policy Characteristics'!A:A,MATCH($C1190,'Policy Characteristics'!$C:$C,0))),"",INDEX('Policy Characteristics'!A:A,MATCH($C1190,'Policy Characteristics'!$C:$C,0)))</f>
        <v>Research and Development</v>
      </c>
      <c r="B1190" s="395" t="str">
        <f>IF(ISBLANK(INDEX('Policy Characteristics'!B:B,MATCH($C1190,'Policy Characteristics'!$C:$C,0))),"",INDEX('Policy Characteristics'!B:B,MATCH($C1190,'Policy Characteristics'!$C:$C,0)))</f>
        <v>Fuel Use Reduction</v>
      </c>
      <c r="C1190" s="394" t="str">
        <f t="shared" si="63"/>
        <v>RnD Electricity Fuel Use Perc Reduction</v>
      </c>
      <c r="D1190" s="399" t="s">
        <v>721</v>
      </c>
      <c r="E1190" s="401"/>
      <c r="F1190" s="399" t="s">
        <v>883</v>
      </c>
      <c r="G1190" s="399"/>
      <c r="H1190" s="377">
        <v>193</v>
      </c>
      <c r="I1190" s="396" t="s">
        <v>648</v>
      </c>
      <c r="J1190" s="397" t="str">
        <f>IF(ISBLANK(INDEX('Policy Characteristics'!D:D,MATCH($C1190,'Policy Characteristics'!$C:$C,0))),"",INDEX('Policy Characteristics'!D:D,MATCH($C1190,'Policy Characteristics'!$C:$C,0)))</f>
        <v>R&amp;D Fuel Use Reductions</v>
      </c>
      <c r="K1190" s="394" t="str">
        <f>IF(ISBLANK(INDEX('Policy Characteristics'!E:E,MATCH($C1190,'Policy Characteristics'!$C:$C,0))),"",INDEX('Policy Characteristics'!E:E,MATCH($C1190,'Policy Characteristics'!$C:$C,0)))</f>
        <v>RnD electricity fuel use reduction</v>
      </c>
      <c r="L1190" s="398">
        <f>IF(ISBLANK(INDEX('Policy Characteristics'!F:F,MATCH($C1190,'Policy Characteristics'!$C:$C,0))),"",INDEX('Policy Characteristics'!F:F,MATCH($C1190,'Policy Characteristics'!$C:$C,0)))</f>
        <v>0</v>
      </c>
      <c r="M1190" s="398">
        <f>IF(ISBLANK(INDEX('Policy Characteristics'!G:G,MATCH($C1190,'Policy Characteristics'!$C:$C,0))),"",INDEX('Policy Characteristics'!G:G,MATCH($C1190,'Policy Characteristics'!$C:$C,0)))</f>
        <v>0.4</v>
      </c>
      <c r="N1190" s="398">
        <f>IF(ISBLANK(INDEX('Policy Characteristics'!H:H,MATCH($C1190,'Policy Characteristics'!$C:$C,0))),"",INDEX('Policy Characteristics'!H:H,MATCH($C1190,'Policy Characteristics'!$C:$C,0)))</f>
        <v>0.01</v>
      </c>
      <c r="O1190" s="394" t="str">
        <f>IF(ISBLANK(INDEX('Policy Characteristics'!I:I,MATCH($C1190,'Policy Characteristics'!$C:$C,0))),"",INDEX('Policy Characteristics'!I:I,MATCH($C1190,'Policy Characteristics'!$C:$C,0)))</f>
        <v>% reduction in fuel use</v>
      </c>
      <c r="P1190" s="394" t="str">
        <f>IF(ISBLANK(INDEX('Policy Characteristics'!J:J,MATCH($C1190,'Policy Characteristics'!$C:$C,0))),"",INDEX('Policy Characteristics'!J:J,MATCH($C1190,'Policy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0" s="394" t="str">
        <f>IF(ISBLANK(INDEX('Policy Characteristics'!K:K,MATCH($C1190,'Policy Characteristics'!$C:$C,0))),"",INDEX('Policy Characteristics'!K:K,MATCH($C1190,'Policy Characteristics'!$C:$C,0)))</f>
        <v>architectural-design.html#rnd</v>
      </c>
      <c r="R1190" s="394" t="str">
        <f>IF(ISBLANK(INDEX('Policy Characteristics'!L:L,MATCH($C1190,'Policy Characteristics'!$C:$C,0))),"",INDEX('Policy Characteristics'!L:L,MATCH($C1190,'Policy Characteristics'!$C:$C,0)))</f>
        <v>research-and-development.html</v>
      </c>
    </row>
    <row r="1191" customHeight="1" spans="1:18">
      <c r="A1191" s="394" t="str">
        <f>IF(ISBLANK(INDEX('Policy Characteristics'!A:A,MATCH($C1191,'Policy Characteristics'!$C:$C,0))),"",INDEX('Policy Characteristics'!A:A,MATCH($C1191,'Policy Characteristics'!$C:$C,0)))</f>
        <v>Research and Development</v>
      </c>
      <c r="B1191" s="395" t="str">
        <f>IF(ISBLANK(INDEX('Policy Characteristics'!B:B,MATCH($C1191,'Policy Characteristics'!$C:$C,0))),"",INDEX('Policy Characteristics'!B:B,MATCH($C1191,'Policy Characteristics'!$C:$C,0)))</f>
        <v>Fuel Use Reduction</v>
      </c>
      <c r="C1191" s="394" t="str">
        <f t="shared" ref="C1191:C1192" si="64">C$1182</f>
        <v>RnD Electricity Fuel Use Perc Reduction</v>
      </c>
      <c r="D1191" s="399" t="s">
        <v>723</v>
      </c>
      <c r="E1191" s="401"/>
      <c r="F1191" s="400" t="s">
        <v>884</v>
      </c>
      <c r="G1191" s="399"/>
      <c r="H1191" s="377">
        <v>181</v>
      </c>
      <c r="I1191" s="396" t="s">
        <v>648</v>
      </c>
      <c r="J1191" s="397" t="str">
        <f>IF(ISBLANK(INDEX('Policy Characteristics'!D:D,MATCH($C1191,'Policy Characteristics'!$C:$C,0))),"",INDEX('Policy Characteristics'!D:D,MATCH($C1191,'Policy Characteristics'!$C:$C,0)))</f>
        <v>R&amp;D Fuel Use Reductions</v>
      </c>
      <c r="K1191" s="394" t="str">
        <f>IF(ISBLANK(INDEX('Policy Characteristics'!E:E,MATCH($C1191,'Policy Characteristics'!$C:$C,0))),"",INDEX('Policy Characteristics'!E:E,MATCH($C1191,'Policy Characteristics'!$C:$C,0)))</f>
        <v>RnD electricity fuel use reduction</v>
      </c>
      <c r="L1191" s="398">
        <f>IF(ISBLANK(INDEX('Policy Characteristics'!F:F,MATCH($C1191,'Policy Characteristics'!$C:$C,0))),"",INDEX('Policy Characteristics'!F:F,MATCH($C1191,'Policy Characteristics'!$C:$C,0)))</f>
        <v>0</v>
      </c>
      <c r="M1191" s="398">
        <f>IF(ISBLANK(INDEX('Policy Characteristics'!G:G,MATCH($C1191,'Policy Characteristics'!$C:$C,0))),"",INDEX('Policy Characteristics'!G:G,MATCH($C1191,'Policy Characteristics'!$C:$C,0)))</f>
        <v>0.4</v>
      </c>
      <c r="N1191" s="398">
        <f>IF(ISBLANK(INDEX('Policy Characteristics'!H:H,MATCH($C1191,'Policy Characteristics'!$C:$C,0))),"",INDEX('Policy Characteristics'!H:H,MATCH($C1191,'Policy Characteristics'!$C:$C,0)))</f>
        <v>0.01</v>
      </c>
      <c r="O1191" s="394" t="str">
        <f>IF(ISBLANK(INDEX('Policy Characteristics'!I:I,MATCH($C1191,'Policy Characteristics'!$C:$C,0))),"",INDEX('Policy Characteristics'!I:I,MATCH($C1191,'Policy Characteristics'!$C:$C,0)))</f>
        <v>% reduction in fuel use</v>
      </c>
      <c r="P1191" s="394" t="str">
        <f>IF(ISBLANK(INDEX('Policy Characteristics'!J:J,MATCH($C1191,'Policy Characteristics'!$C:$C,0))),"",INDEX('Policy Characteristics'!J:J,MATCH($C1191,'Policy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1" s="394" t="str">
        <f>IF(ISBLANK(INDEX('Policy Characteristics'!K:K,MATCH($C1191,'Policy Characteristics'!$C:$C,0))),"",INDEX('Policy Characteristics'!K:K,MATCH($C1191,'Policy Characteristics'!$C:$C,0)))</f>
        <v>architectural-design.html#rnd</v>
      </c>
      <c r="R1191" s="394" t="str">
        <f>IF(ISBLANK(INDEX('Policy Characteristics'!L:L,MATCH($C1191,'Policy Characteristics'!$C:$C,0))),"",INDEX('Policy Characteristics'!L:L,MATCH($C1191,'Policy Characteristics'!$C:$C,0)))</f>
        <v>research-and-development.html</v>
      </c>
    </row>
    <row r="1192" customHeight="1" spans="1:18">
      <c r="A1192" s="394" t="str">
        <f>IF(ISBLANK(INDEX('Policy Characteristics'!A:A,MATCH($C1192,'Policy Characteristics'!$C:$C,0))),"",INDEX('Policy Characteristics'!A:A,MATCH($C1192,'Policy Characteristics'!$C:$C,0)))</f>
        <v>Research and Development</v>
      </c>
      <c r="B1192" s="395" t="str">
        <f>IF(ISBLANK(INDEX('Policy Characteristics'!B:B,MATCH($C1192,'Policy Characteristics'!$C:$C,0))),"",INDEX('Policy Characteristics'!B:B,MATCH($C1192,'Policy Characteristics'!$C:$C,0)))</f>
        <v>Fuel Use Reduction</v>
      </c>
      <c r="C1192" s="394" t="str">
        <f t="shared" si="64"/>
        <v>RnD Electricity Fuel Use Perc Reduction</v>
      </c>
      <c r="D1192" s="399" t="s">
        <v>725</v>
      </c>
      <c r="E1192" s="401"/>
      <c r="F1192" s="399" t="s">
        <v>885</v>
      </c>
      <c r="G1192" s="399"/>
      <c r="H1192" s="377">
        <v>755</v>
      </c>
      <c r="I1192" s="396" t="s">
        <v>658</v>
      </c>
      <c r="J1192" s="397" t="str">
        <f>IF(ISBLANK(INDEX('Policy Characteristics'!D:D,MATCH($C1192,'Policy Characteristics'!$C:$C,0))),"",INDEX('Policy Characteristics'!D:D,MATCH($C1192,'Policy Characteristics'!$C:$C,0)))</f>
        <v>R&amp;D Fuel Use Reductions</v>
      </c>
      <c r="K1192" s="394" t="str">
        <f>IF(ISBLANK(INDEX('Policy Characteristics'!E:E,MATCH($C1192,'Policy Characteristics'!$C:$C,0))),"",INDEX('Policy Characteristics'!E:E,MATCH($C1192,'Policy Characteristics'!$C:$C,0)))</f>
        <v>RnD electricity fuel use reduction</v>
      </c>
      <c r="L1192" s="398">
        <f>IF(ISBLANK(INDEX('Policy Characteristics'!F:F,MATCH($C1192,'Policy Characteristics'!$C:$C,0))),"",INDEX('Policy Characteristics'!F:F,MATCH($C1192,'Policy Characteristics'!$C:$C,0)))</f>
        <v>0</v>
      </c>
      <c r="M1192" s="398">
        <f>IF(ISBLANK(INDEX('Policy Characteristics'!G:G,MATCH($C1192,'Policy Characteristics'!$C:$C,0))),"",INDEX('Policy Characteristics'!G:G,MATCH($C1192,'Policy Characteristics'!$C:$C,0)))</f>
        <v>0.4</v>
      </c>
      <c r="N1192" s="398">
        <f>IF(ISBLANK(INDEX('Policy Characteristics'!H:H,MATCH($C1192,'Policy Characteristics'!$C:$C,0))),"",INDEX('Policy Characteristics'!H:H,MATCH($C1192,'Policy Characteristics'!$C:$C,0)))</f>
        <v>0.01</v>
      </c>
      <c r="O1192" s="394" t="str">
        <f>IF(ISBLANK(INDEX('Policy Characteristics'!I:I,MATCH($C1192,'Policy Characteristics'!$C:$C,0))),"",INDEX('Policy Characteristics'!I:I,MATCH($C1192,'Policy Characteristics'!$C:$C,0)))</f>
        <v>% reduction in fuel use</v>
      </c>
      <c r="P1192" s="394" t="str">
        <f>IF(ISBLANK(INDEX('Policy Characteristics'!J:J,MATCH($C1192,'Policy Characteristics'!$C:$C,0))),"",INDEX('Policy Characteristics'!J:J,MATCH($C1192,'Policy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2" s="394" t="str">
        <f>IF(ISBLANK(INDEX('Policy Characteristics'!K:K,MATCH($C1192,'Policy Characteristics'!$C:$C,0))),"",INDEX('Policy Characteristics'!K:K,MATCH($C1192,'Policy Characteristics'!$C:$C,0)))</f>
        <v>architectural-design.html#rnd</v>
      </c>
      <c r="R1192" s="394" t="str">
        <f>IF(ISBLANK(INDEX('Policy Characteristics'!L:L,MATCH($C1192,'Policy Characteristics'!$C:$C,0))),"",INDEX('Policy Characteristics'!L:L,MATCH($C1192,'Policy Characteristics'!$C:$C,0)))</f>
        <v>research-and-development.html</v>
      </c>
    </row>
    <row r="1193" customHeight="1" spans="1:18">
      <c r="A1193" s="394" t="str">
        <f>IF(ISBLANK(INDEX('Policy Characteristics'!A:A,MATCH($C1193,'Policy Characteristics'!$C:$C,0))),"",INDEX('Policy Characteristics'!A:A,MATCH($C1193,'Policy Characteristics'!$C:$C,0)))</f>
        <v>Research and Development</v>
      </c>
      <c r="B1193" s="395" t="str">
        <f>IF(ISBLANK(INDEX('Policy Characteristics'!B:B,MATCH($C1193,'Policy Characteristics'!$C:$C,0))),"",INDEX('Policy Characteristics'!B:B,MATCH($C1193,'Policy Characteristics'!$C:$C,0)))</f>
        <v>Fuel Use Reduction</v>
      </c>
      <c r="C1193" t="s">
        <v>597</v>
      </c>
      <c r="D1193" t="s">
        <v>738</v>
      </c>
      <c r="E1193" s="399"/>
      <c r="F1193" s="399" t="s">
        <v>886</v>
      </c>
      <c r="G1193" s="399"/>
      <c r="H1193" s="377">
        <v>1487</v>
      </c>
      <c r="I1193" s="396" t="s">
        <v>648</v>
      </c>
      <c r="J1193" s="397" t="str">
        <f>IF(ISBLANK(INDEX('Policy Characteristics'!D:D,MATCH($C1193,'Policy Characteristics'!$C:$C,0))),"",INDEX('Policy Characteristics'!D:D,MATCH($C1193,'Policy Characteristics'!$C:$C,0)))</f>
        <v>R&amp;D Fuel Use Reductions</v>
      </c>
      <c r="K1193" s="394" t="str">
        <f>IF(ISBLANK(INDEX('Policy Characteristics'!E:E,MATCH($C1193,'Policy Characteristics'!$C:$C,0))),"",INDEX('Policy Characteristics'!E:E,MATCH($C1193,'Policy Characteristics'!$C:$C,0)))</f>
        <v>RnD industry fuel use reduction</v>
      </c>
      <c r="L1193" s="398">
        <f>IF(ISBLANK(INDEX('Policy Characteristics'!F:F,MATCH($C1193,'Policy Characteristics'!$C:$C,0))),"",INDEX('Policy Characteristics'!F:F,MATCH($C1193,'Policy Characteristics'!$C:$C,0)))</f>
        <v>0</v>
      </c>
      <c r="M1193" s="398">
        <f>IF(ISBLANK(INDEX('Policy Characteristics'!G:G,MATCH($C1193,'Policy Characteristics'!$C:$C,0))),"",INDEX('Policy Characteristics'!G:G,MATCH($C1193,'Policy Characteristics'!$C:$C,0)))</f>
        <v>0.4</v>
      </c>
      <c r="N1193" s="398">
        <f>IF(ISBLANK(INDEX('Policy Characteristics'!H:H,MATCH($C1193,'Policy Characteristics'!$C:$C,0))),"",INDEX('Policy Characteristics'!H:H,MATCH($C1193,'Policy Characteristics'!$C:$C,0)))</f>
        <v>0.01</v>
      </c>
      <c r="O1193" s="394" t="str">
        <f>IF(ISBLANK(INDEX('Policy Characteristics'!I:I,MATCH($C1193,'Policy Characteristics'!$C:$C,0))),"",INDEX('Policy Characteristics'!I:I,MATCH($C1193,'Policy Characteristics'!$C:$C,0)))</f>
        <v>% reduction in fuel use</v>
      </c>
      <c r="P1193" s="394" t="str">
        <f>IF(ISBLANK(INDEX('Policy Characteristics'!J:J,MATCH($C1193,'Policy Characteristics'!$C:$C,0))),"",INDEX('Policy Characteristics'!J:J,MATCH($C1193,'Policy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3" s="394" t="str">
        <f>IF(ISBLANK(INDEX('Policy Characteristics'!K:K,MATCH($C1193,'Policy Characteristics'!$C:$C,0))),"",INDEX('Policy Characteristics'!K:K,MATCH($C1193,'Policy Characteristics'!$C:$C,0)))</f>
        <v>architectural-design.html#rnd</v>
      </c>
      <c r="R1193" s="394" t="str">
        <f>IF(ISBLANK(INDEX('Policy Characteristics'!L:L,MATCH($C1193,'Policy Characteristics'!$C:$C,0))),"",INDEX('Policy Characteristics'!L:L,MATCH($C1193,'Policy Characteristics'!$C:$C,0)))</f>
        <v>research-and-development.html</v>
      </c>
    </row>
    <row r="1194" customHeight="1" spans="1:18">
      <c r="A1194" s="394" t="str">
        <f>IF(ISBLANK(INDEX('Policy Characteristics'!A:A,MATCH($C1194,'Policy Characteristics'!$C:$C,0))),"",INDEX('Policy Characteristics'!A:A,MATCH($C1194,'Policy Characteristics'!$C:$C,0)))</f>
        <v>Research and Development</v>
      </c>
      <c r="B1194" s="395" t="str">
        <f>IF(ISBLANK(INDEX('Policy Characteristics'!B:B,MATCH($C1194,'Policy Characteristics'!$C:$C,0))),"",INDEX('Policy Characteristics'!B:B,MATCH($C1194,'Policy Characteristics'!$C:$C,0)))</f>
        <v>Fuel Use Reduction</v>
      </c>
      <c r="C1194" s="394" t="str">
        <f t="shared" ref="C1194:C1217" si="65">C$1193</f>
        <v>RnD Industry Fuel Use Perc Reduction</v>
      </c>
      <c r="D1194" t="s">
        <v>740</v>
      </c>
      <c r="E1194" s="399"/>
      <c r="F1194" s="399" t="s">
        <v>887</v>
      </c>
      <c r="G1194" s="399"/>
      <c r="H1194" s="377">
        <v>1488</v>
      </c>
      <c r="I1194" s="396" t="s">
        <v>648</v>
      </c>
      <c r="J1194" s="397" t="str">
        <f>IF(ISBLANK(INDEX('Policy Characteristics'!D:D,MATCH($C1194,'Policy Characteristics'!$C:$C,0))),"",INDEX('Policy Characteristics'!D:D,MATCH($C1194,'Policy Characteristics'!$C:$C,0)))</f>
        <v>R&amp;D Fuel Use Reductions</v>
      </c>
      <c r="K1194" s="394" t="str">
        <f>IF(ISBLANK(INDEX('Policy Characteristics'!E:E,MATCH($C1194,'Policy Characteristics'!$C:$C,0))),"",INDEX('Policy Characteristics'!E:E,MATCH($C1194,'Policy Characteristics'!$C:$C,0)))</f>
        <v>RnD industry fuel use reduction</v>
      </c>
      <c r="L1194" s="398">
        <f>IF(ISBLANK(INDEX('Policy Characteristics'!F:F,MATCH($C1194,'Policy Characteristics'!$C:$C,0))),"",INDEX('Policy Characteristics'!F:F,MATCH($C1194,'Policy Characteristics'!$C:$C,0)))</f>
        <v>0</v>
      </c>
      <c r="M1194" s="398">
        <f>IF(ISBLANK(INDEX('Policy Characteristics'!G:G,MATCH($C1194,'Policy Characteristics'!$C:$C,0))),"",INDEX('Policy Characteristics'!G:G,MATCH($C1194,'Policy Characteristics'!$C:$C,0)))</f>
        <v>0.4</v>
      </c>
      <c r="N1194" s="398">
        <f>IF(ISBLANK(INDEX('Policy Characteristics'!H:H,MATCH($C1194,'Policy Characteristics'!$C:$C,0))),"",INDEX('Policy Characteristics'!H:H,MATCH($C1194,'Policy Characteristics'!$C:$C,0)))</f>
        <v>0.01</v>
      </c>
      <c r="O1194" s="394" t="str">
        <f>IF(ISBLANK(INDEX('Policy Characteristics'!I:I,MATCH($C1194,'Policy Characteristics'!$C:$C,0))),"",INDEX('Policy Characteristics'!I:I,MATCH($C1194,'Policy Characteristics'!$C:$C,0)))</f>
        <v>% reduction in fuel use</v>
      </c>
      <c r="P1194" s="394" t="str">
        <f>IF(ISBLANK(INDEX('Policy Characteristics'!J:J,MATCH($C1194,'Policy Characteristics'!$C:$C,0))),"",INDEX('Policy Characteristics'!J:J,MATCH($C1194,'Policy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4" s="394" t="str">
        <f>IF(ISBLANK(INDEX('Policy Characteristics'!K:K,MATCH($C1194,'Policy Characteristics'!$C:$C,0))),"",INDEX('Policy Characteristics'!K:K,MATCH($C1194,'Policy Characteristics'!$C:$C,0)))</f>
        <v>architectural-design.html#rnd</v>
      </c>
      <c r="R1194" s="394" t="str">
        <f>IF(ISBLANK(INDEX('Policy Characteristics'!L:L,MATCH($C1194,'Policy Characteristics'!$C:$C,0))),"",INDEX('Policy Characteristics'!L:L,MATCH($C1194,'Policy Characteristics'!$C:$C,0)))</f>
        <v>research-and-development.html</v>
      </c>
    </row>
    <row r="1195" customHeight="1" spans="1:18">
      <c r="A1195" s="394" t="str">
        <f>IF(ISBLANK(INDEX('Policy Characteristics'!A:A,MATCH($C1195,'Policy Characteristics'!$C:$C,0))),"",INDEX('Policy Characteristics'!A:A,MATCH($C1195,'Policy Characteristics'!$C:$C,0)))</f>
        <v>Research and Development</v>
      </c>
      <c r="B1195" s="395" t="str">
        <f>IF(ISBLANK(INDEX('Policy Characteristics'!B:B,MATCH($C1195,'Policy Characteristics'!$C:$C,0))),"",INDEX('Policy Characteristics'!B:B,MATCH($C1195,'Policy Characteristics'!$C:$C,0)))</f>
        <v>Fuel Use Reduction</v>
      </c>
      <c r="C1195" s="394" t="str">
        <f t="shared" si="65"/>
        <v>RnD Industry Fuel Use Perc Reduction</v>
      </c>
      <c r="D1195" t="s">
        <v>742</v>
      </c>
      <c r="E1195" s="399"/>
      <c r="F1195" s="399" t="s">
        <v>888</v>
      </c>
      <c r="G1195" s="399"/>
      <c r="H1195" s="377">
        <v>1489</v>
      </c>
      <c r="I1195" s="396" t="s">
        <v>648</v>
      </c>
      <c r="J1195" s="397" t="str">
        <f>IF(ISBLANK(INDEX('Policy Characteristics'!D:D,MATCH($C1195,'Policy Characteristics'!$C:$C,0))),"",INDEX('Policy Characteristics'!D:D,MATCH($C1195,'Policy Characteristics'!$C:$C,0)))</f>
        <v>R&amp;D Fuel Use Reductions</v>
      </c>
      <c r="K1195" s="394" t="str">
        <f>IF(ISBLANK(INDEX('Policy Characteristics'!E:E,MATCH($C1195,'Policy Characteristics'!$C:$C,0))),"",INDEX('Policy Characteristics'!E:E,MATCH($C1195,'Policy Characteristics'!$C:$C,0)))</f>
        <v>RnD industry fuel use reduction</v>
      </c>
      <c r="L1195" s="398">
        <f>IF(ISBLANK(INDEX('Policy Characteristics'!F:F,MATCH($C1195,'Policy Characteristics'!$C:$C,0))),"",INDEX('Policy Characteristics'!F:F,MATCH($C1195,'Policy Characteristics'!$C:$C,0)))</f>
        <v>0</v>
      </c>
      <c r="M1195" s="398">
        <f>IF(ISBLANK(INDEX('Policy Characteristics'!G:G,MATCH($C1195,'Policy Characteristics'!$C:$C,0))),"",INDEX('Policy Characteristics'!G:G,MATCH($C1195,'Policy Characteristics'!$C:$C,0)))</f>
        <v>0.4</v>
      </c>
      <c r="N1195" s="398">
        <f>IF(ISBLANK(INDEX('Policy Characteristics'!H:H,MATCH($C1195,'Policy Characteristics'!$C:$C,0))),"",INDEX('Policy Characteristics'!H:H,MATCH($C1195,'Policy Characteristics'!$C:$C,0)))</f>
        <v>0.01</v>
      </c>
      <c r="O1195" s="394" t="str">
        <f>IF(ISBLANK(INDEX('Policy Characteristics'!I:I,MATCH($C1195,'Policy Characteristics'!$C:$C,0))),"",INDEX('Policy Characteristics'!I:I,MATCH($C1195,'Policy Characteristics'!$C:$C,0)))</f>
        <v>% reduction in fuel use</v>
      </c>
      <c r="P1195" s="394" t="str">
        <f>IF(ISBLANK(INDEX('Policy Characteristics'!J:J,MATCH($C1195,'Policy Characteristics'!$C:$C,0))),"",INDEX('Policy Characteristics'!J:J,MATCH($C1195,'Policy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5" s="394" t="str">
        <f>IF(ISBLANK(INDEX('Policy Characteristics'!K:K,MATCH($C1195,'Policy Characteristics'!$C:$C,0))),"",INDEX('Policy Characteristics'!K:K,MATCH($C1195,'Policy Characteristics'!$C:$C,0)))</f>
        <v>architectural-design.html#rnd</v>
      </c>
      <c r="R1195" s="394" t="str">
        <f>IF(ISBLANK(INDEX('Policy Characteristics'!L:L,MATCH($C1195,'Policy Characteristics'!$C:$C,0))),"",INDEX('Policy Characteristics'!L:L,MATCH($C1195,'Policy Characteristics'!$C:$C,0)))</f>
        <v>research-and-development.html</v>
      </c>
    </row>
    <row r="1196" customHeight="1" spans="1:18">
      <c r="A1196" s="394" t="str">
        <f>IF(ISBLANK(INDEX('Policy Characteristics'!A:A,MATCH($C1196,'Policy Characteristics'!$C:$C,0))),"",INDEX('Policy Characteristics'!A:A,MATCH($C1196,'Policy Characteristics'!$C:$C,0)))</f>
        <v>Research and Development</v>
      </c>
      <c r="B1196" s="395" t="str">
        <f>IF(ISBLANK(INDEX('Policy Characteristics'!B:B,MATCH($C1196,'Policy Characteristics'!$C:$C,0))),"",INDEX('Policy Characteristics'!B:B,MATCH($C1196,'Policy Characteristics'!$C:$C,0)))</f>
        <v>Fuel Use Reduction</v>
      </c>
      <c r="C1196" s="394" t="str">
        <f t="shared" si="65"/>
        <v>RnD Industry Fuel Use Perc Reduction</v>
      </c>
      <c r="D1196" t="s">
        <v>744</v>
      </c>
      <c r="E1196" s="399"/>
      <c r="F1196" s="399" t="s">
        <v>889</v>
      </c>
      <c r="G1196" s="399"/>
      <c r="H1196" s="377">
        <v>1490</v>
      </c>
      <c r="I1196" s="396" t="s">
        <v>648</v>
      </c>
      <c r="J1196" s="397" t="str">
        <f>IF(ISBLANK(INDEX('Policy Characteristics'!D:D,MATCH($C1196,'Policy Characteristics'!$C:$C,0))),"",INDEX('Policy Characteristics'!D:D,MATCH($C1196,'Policy Characteristics'!$C:$C,0)))</f>
        <v>R&amp;D Fuel Use Reductions</v>
      </c>
      <c r="K1196" s="394" t="str">
        <f>IF(ISBLANK(INDEX('Policy Characteristics'!E:E,MATCH($C1196,'Policy Characteristics'!$C:$C,0))),"",INDEX('Policy Characteristics'!E:E,MATCH($C1196,'Policy Characteristics'!$C:$C,0)))</f>
        <v>RnD industry fuel use reduction</v>
      </c>
      <c r="L1196" s="398">
        <f>IF(ISBLANK(INDEX('Policy Characteristics'!F:F,MATCH($C1196,'Policy Characteristics'!$C:$C,0))),"",INDEX('Policy Characteristics'!F:F,MATCH($C1196,'Policy Characteristics'!$C:$C,0)))</f>
        <v>0</v>
      </c>
      <c r="M1196" s="398">
        <f>IF(ISBLANK(INDEX('Policy Characteristics'!G:G,MATCH($C1196,'Policy Characteristics'!$C:$C,0))),"",INDEX('Policy Characteristics'!G:G,MATCH($C1196,'Policy Characteristics'!$C:$C,0)))</f>
        <v>0.4</v>
      </c>
      <c r="N1196" s="398">
        <f>IF(ISBLANK(INDEX('Policy Characteristics'!H:H,MATCH($C1196,'Policy Characteristics'!$C:$C,0))),"",INDEX('Policy Characteristics'!H:H,MATCH($C1196,'Policy Characteristics'!$C:$C,0)))</f>
        <v>0.01</v>
      </c>
      <c r="O1196" s="394" t="str">
        <f>IF(ISBLANK(INDEX('Policy Characteristics'!I:I,MATCH($C1196,'Policy Characteristics'!$C:$C,0))),"",INDEX('Policy Characteristics'!I:I,MATCH($C1196,'Policy Characteristics'!$C:$C,0)))</f>
        <v>% reduction in fuel use</v>
      </c>
      <c r="P1196" s="394" t="str">
        <f>IF(ISBLANK(INDEX('Policy Characteristics'!J:J,MATCH($C1196,'Policy Characteristics'!$C:$C,0))),"",INDEX('Policy Characteristics'!J:J,MATCH($C1196,'Policy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6" s="394" t="str">
        <f>IF(ISBLANK(INDEX('Policy Characteristics'!K:K,MATCH($C1196,'Policy Characteristics'!$C:$C,0))),"",INDEX('Policy Characteristics'!K:K,MATCH($C1196,'Policy Characteristics'!$C:$C,0)))</f>
        <v>architectural-design.html#rnd</v>
      </c>
      <c r="R1196" s="394" t="str">
        <f>IF(ISBLANK(INDEX('Policy Characteristics'!L:L,MATCH($C1196,'Policy Characteristics'!$C:$C,0))),"",INDEX('Policy Characteristics'!L:L,MATCH($C1196,'Policy Characteristics'!$C:$C,0)))</f>
        <v>research-and-development.html</v>
      </c>
    </row>
    <row r="1197" customHeight="1" spans="1:18">
      <c r="A1197" s="394" t="str">
        <f>IF(ISBLANK(INDEX('Policy Characteristics'!A:A,MATCH($C1197,'Policy Characteristics'!$C:$C,0))),"",INDEX('Policy Characteristics'!A:A,MATCH($C1197,'Policy Characteristics'!$C:$C,0)))</f>
        <v>Research and Development</v>
      </c>
      <c r="B1197" s="395" t="str">
        <f>IF(ISBLANK(INDEX('Policy Characteristics'!B:B,MATCH($C1197,'Policy Characteristics'!$C:$C,0))),"",INDEX('Policy Characteristics'!B:B,MATCH($C1197,'Policy Characteristics'!$C:$C,0)))</f>
        <v>Fuel Use Reduction</v>
      </c>
      <c r="C1197" s="394" t="str">
        <f t="shared" si="65"/>
        <v>RnD Industry Fuel Use Perc Reduction</v>
      </c>
      <c r="D1197" t="s">
        <v>746</v>
      </c>
      <c r="E1197" s="399"/>
      <c r="F1197" s="399" t="s">
        <v>890</v>
      </c>
      <c r="G1197" s="399"/>
      <c r="H1197" s="377">
        <v>1491</v>
      </c>
      <c r="I1197" s="396" t="s">
        <v>648</v>
      </c>
      <c r="J1197" s="397" t="str">
        <f>IF(ISBLANK(INDEX('Policy Characteristics'!D:D,MATCH($C1197,'Policy Characteristics'!$C:$C,0))),"",INDEX('Policy Characteristics'!D:D,MATCH($C1197,'Policy Characteristics'!$C:$C,0)))</f>
        <v>R&amp;D Fuel Use Reductions</v>
      </c>
      <c r="K1197" s="394" t="str">
        <f>IF(ISBLANK(INDEX('Policy Characteristics'!E:E,MATCH($C1197,'Policy Characteristics'!$C:$C,0))),"",INDEX('Policy Characteristics'!E:E,MATCH($C1197,'Policy Characteristics'!$C:$C,0)))</f>
        <v>RnD industry fuel use reduction</v>
      </c>
      <c r="L1197" s="398">
        <f>IF(ISBLANK(INDEX('Policy Characteristics'!F:F,MATCH($C1197,'Policy Characteristics'!$C:$C,0))),"",INDEX('Policy Characteristics'!F:F,MATCH($C1197,'Policy Characteristics'!$C:$C,0)))</f>
        <v>0</v>
      </c>
      <c r="M1197" s="398">
        <f>IF(ISBLANK(INDEX('Policy Characteristics'!G:G,MATCH($C1197,'Policy Characteristics'!$C:$C,0))),"",INDEX('Policy Characteristics'!G:G,MATCH($C1197,'Policy Characteristics'!$C:$C,0)))</f>
        <v>0.4</v>
      </c>
      <c r="N1197" s="398">
        <f>IF(ISBLANK(INDEX('Policy Characteristics'!H:H,MATCH($C1197,'Policy Characteristics'!$C:$C,0))),"",INDEX('Policy Characteristics'!H:H,MATCH($C1197,'Policy Characteristics'!$C:$C,0)))</f>
        <v>0.01</v>
      </c>
      <c r="O1197" s="394" t="str">
        <f>IF(ISBLANK(INDEX('Policy Characteristics'!I:I,MATCH($C1197,'Policy Characteristics'!$C:$C,0))),"",INDEX('Policy Characteristics'!I:I,MATCH($C1197,'Policy Characteristics'!$C:$C,0)))</f>
        <v>% reduction in fuel use</v>
      </c>
      <c r="P1197" s="394" t="str">
        <f>IF(ISBLANK(INDEX('Policy Characteristics'!J:J,MATCH($C1197,'Policy Characteristics'!$C:$C,0))),"",INDEX('Policy Characteristics'!J:J,MATCH($C1197,'Policy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7" s="394" t="str">
        <f>IF(ISBLANK(INDEX('Policy Characteristics'!K:K,MATCH($C1197,'Policy Characteristics'!$C:$C,0))),"",INDEX('Policy Characteristics'!K:K,MATCH($C1197,'Policy Characteristics'!$C:$C,0)))</f>
        <v>architectural-design.html#rnd</v>
      </c>
      <c r="R1197" s="394" t="str">
        <f>IF(ISBLANK(INDEX('Policy Characteristics'!L:L,MATCH($C1197,'Policy Characteristics'!$C:$C,0))),"",INDEX('Policy Characteristics'!L:L,MATCH($C1197,'Policy Characteristics'!$C:$C,0)))</f>
        <v>research-and-development.html</v>
      </c>
    </row>
    <row r="1198" customHeight="1" spans="1:18">
      <c r="A1198" s="394" t="str">
        <f>IF(ISBLANK(INDEX('Policy Characteristics'!A:A,MATCH($C1198,'Policy Characteristics'!$C:$C,0))),"",INDEX('Policy Characteristics'!A:A,MATCH($C1198,'Policy Characteristics'!$C:$C,0)))</f>
        <v>Research and Development</v>
      </c>
      <c r="B1198" s="395" t="str">
        <f>IF(ISBLANK(INDEX('Policy Characteristics'!B:B,MATCH($C1198,'Policy Characteristics'!$C:$C,0))),"",INDEX('Policy Characteristics'!B:B,MATCH($C1198,'Policy Characteristics'!$C:$C,0)))</f>
        <v>Fuel Use Reduction</v>
      </c>
      <c r="C1198" s="394" t="str">
        <f t="shared" si="65"/>
        <v>RnD Industry Fuel Use Perc Reduction</v>
      </c>
      <c r="D1198" t="s">
        <v>748</v>
      </c>
      <c r="E1198" s="399"/>
      <c r="F1198" s="399" t="s">
        <v>891</v>
      </c>
      <c r="G1198" s="399"/>
      <c r="H1198" s="377">
        <v>1492</v>
      </c>
      <c r="I1198" s="396" t="s">
        <v>648</v>
      </c>
      <c r="J1198" s="397" t="str">
        <f>IF(ISBLANK(INDEX('Policy Characteristics'!D:D,MATCH($C1198,'Policy Characteristics'!$C:$C,0))),"",INDEX('Policy Characteristics'!D:D,MATCH($C1198,'Policy Characteristics'!$C:$C,0)))</f>
        <v>R&amp;D Fuel Use Reductions</v>
      </c>
      <c r="K1198" s="394" t="str">
        <f>IF(ISBLANK(INDEX('Policy Characteristics'!E:E,MATCH($C1198,'Policy Characteristics'!$C:$C,0))),"",INDEX('Policy Characteristics'!E:E,MATCH($C1198,'Policy Characteristics'!$C:$C,0)))</f>
        <v>RnD industry fuel use reduction</v>
      </c>
      <c r="L1198" s="398">
        <f>IF(ISBLANK(INDEX('Policy Characteristics'!F:F,MATCH($C1198,'Policy Characteristics'!$C:$C,0))),"",INDEX('Policy Characteristics'!F:F,MATCH($C1198,'Policy Characteristics'!$C:$C,0)))</f>
        <v>0</v>
      </c>
      <c r="M1198" s="398">
        <f>IF(ISBLANK(INDEX('Policy Characteristics'!G:G,MATCH($C1198,'Policy Characteristics'!$C:$C,0))),"",INDEX('Policy Characteristics'!G:G,MATCH($C1198,'Policy Characteristics'!$C:$C,0)))</f>
        <v>0.4</v>
      </c>
      <c r="N1198" s="398">
        <f>IF(ISBLANK(INDEX('Policy Characteristics'!H:H,MATCH($C1198,'Policy Characteristics'!$C:$C,0))),"",INDEX('Policy Characteristics'!H:H,MATCH($C1198,'Policy Characteristics'!$C:$C,0)))</f>
        <v>0.01</v>
      </c>
      <c r="O1198" s="394" t="str">
        <f>IF(ISBLANK(INDEX('Policy Characteristics'!I:I,MATCH($C1198,'Policy Characteristics'!$C:$C,0))),"",INDEX('Policy Characteristics'!I:I,MATCH($C1198,'Policy Characteristics'!$C:$C,0)))</f>
        <v>% reduction in fuel use</v>
      </c>
      <c r="P1198" s="394" t="str">
        <f>IF(ISBLANK(INDEX('Policy Characteristics'!J:J,MATCH($C1198,'Policy Characteristics'!$C:$C,0))),"",INDEX('Policy Characteristics'!J:J,MATCH($C1198,'Policy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8" s="394" t="str">
        <f>IF(ISBLANK(INDEX('Policy Characteristics'!K:K,MATCH($C1198,'Policy Characteristics'!$C:$C,0))),"",INDEX('Policy Characteristics'!K:K,MATCH($C1198,'Policy Characteristics'!$C:$C,0)))</f>
        <v>architectural-design.html#rnd</v>
      </c>
      <c r="R1198" s="394" t="str">
        <f>IF(ISBLANK(INDEX('Policy Characteristics'!L:L,MATCH($C1198,'Policy Characteristics'!$C:$C,0))),"",INDEX('Policy Characteristics'!L:L,MATCH($C1198,'Policy Characteristics'!$C:$C,0)))</f>
        <v>research-and-development.html</v>
      </c>
    </row>
    <row r="1199" customHeight="1" spans="1:18">
      <c r="A1199" s="394" t="str">
        <f>IF(ISBLANK(INDEX('Policy Characteristics'!A:A,MATCH($C1199,'Policy Characteristics'!$C:$C,0))),"",INDEX('Policy Characteristics'!A:A,MATCH($C1199,'Policy Characteristics'!$C:$C,0)))</f>
        <v>Research and Development</v>
      </c>
      <c r="B1199" s="395" t="str">
        <f>IF(ISBLANK(INDEX('Policy Characteristics'!B:B,MATCH($C1199,'Policy Characteristics'!$C:$C,0))),"",INDEX('Policy Characteristics'!B:B,MATCH($C1199,'Policy Characteristics'!$C:$C,0)))</f>
        <v>Fuel Use Reduction</v>
      </c>
      <c r="C1199" s="394" t="str">
        <f t="shared" si="65"/>
        <v>RnD Industry Fuel Use Perc Reduction</v>
      </c>
      <c r="D1199" t="s">
        <v>750</v>
      </c>
      <c r="E1199" s="399"/>
      <c r="F1199" s="400" t="s">
        <v>892</v>
      </c>
      <c r="G1199" s="399"/>
      <c r="H1199" s="377">
        <v>1493</v>
      </c>
      <c r="I1199" s="396" t="s">
        <v>648</v>
      </c>
      <c r="J1199" s="397" t="str">
        <f>IF(ISBLANK(INDEX('Policy Characteristics'!D:D,MATCH($C1199,'Policy Characteristics'!$C:$C,0))),"",INDEX('Policy Characteristics'!D:D,MATCH($C1199,'Policy Characteristics'!$C:$C,0)))</f>
        <v>R&amp;D Fuel Use Reductions</v>
      </c>
      <c r="K1199" s="394" t="str">
        <f>IF(ISBLANK(INDEX('Policy Characteristics'!E:E,MATCH($C1199,'Policy Characteristics'!$C:$C,0))),"",INDEX('Policy Characteristics'!E:E,MATCH($C1199,'Policy Characteristics'!$C:$C,0)))</f>
        <v>RnD industry fuel use reduction</v>
      </c>
      <c r="L1199" s="398">
        <f>IF(ISBLANK(INDEX('Policy Characteristics'!F:F,MATCH($C1199,'Policy Characteristics'!$C:$C,0))),"",INDEX('Policy Characteristics'!F:F,MATCH($C1199,'Policy Characteristics'!$C:$C,0)))</f>
        <v>0</v>
      </c>
      <c r="M1199" s="398">
        <f>IF(ISBLANK(INDEX('Policy Characteristics'!G:G,MATCH($C1199,'Policy Characteristics'!$C:$C,0))),"",INDEX('Policy Characteristics'!G:G,MATCH($C1199,'Policy Characteristics'!$C:$C,0)))</f>
        <v>0.4</v>
      </c>
      <c r="N1199" s="398">
        <f>IF(ISBLANK(INDEX('Policy Characteristics'!H:H,MATCH($C1199,'Policy Characteristics'!$C:$C,0))),"",INDEX('Policy Characteristics'!H:H,MATCH($C1199,'Policy Characteristics'!$C:$C,0)))</f>
        <v>0.01</v>
      </c>
      <c r="O1199" s="394" t="str">
        <f>IF(ISBLANK(INDEX('Policy Characteristics'!I:I,MATCH($C1199,'Policy Characteristics'!$C:$C,0))),"",INDEX('Policy Characteristics'!I:I,MATCH($C1199,'Policy Characteristics'!$C:$C,0)))</f>
        <v>% reduction in fuel use</v>
      </c>
      <c r="P1199" s="394" t="str">
        <f>IF(ISBLANK(INDEX('Policy Characteristics'!J:J,MATCH($C1199,'Policy Characteristics'!$C:$C,0))),"",INDEX('Policy Characteristics'!J:J,MATCH($C1199,'Policy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9" s="394" t="str">
        <f>IF(ISBLANK(INDEX('Policy Characteristics'!K:K,MATCH($C1199,'Policy Characteristics'!$C:$C,0))),"",INDEX('Policy Characteristics'!K:K,MATCH($C1199,'Policy Characteristics'!$C:$C,0)))</f>
        <v>architectural-design.html#rnd</v>
      </c>
      <c r="R1199" s="394" t="str">
        <f>IF(ISBLANK(INDEX('Policy Characteristics'!L:L,MATCH($C1199,'Policy Characteristics'!$C:$C,0))),"",INDEX('Policy Characteristics'!L:L,MATCH($C1199,'Policy Characteristics'!$C:$C,0)))</f>
        <v>research-and-development.html</v>
      </c>
    </row>
    <row r="1200" customHeight="1" spans="1:18">
      <c r="A1200" s="394" t="str">
        <f>IF(ISBLANK(INDEX('Policy Characteristics'!A:A,MATCH($C1200,'Policy Characteristics'!$C:$C,0))),"",INDEX('Policy Characteristics'!A:A,MATCH($C1200,'Policy Characteristics'!$C:$C,0)))</f>
        <v>Research and Development</v>
      </c>
      <c r="B1200" s="395" t="str">
        <f>IF(ISBLANK(INDEX('Policy Characteristics'!B:B,MATCH($C1200,'Policy Characteristics'!$C:$C,0))),"",INDEX('Policy Characteristics'!B:B,MATCH($C1200,'Policy Characteristics'!$C:$C,0)))</f>
        <v>Fuel Use Reduction</v>
      </c>
      <c r="C1200" s="394" t="str">
        <f t="shared" si="65"/>
        <v>RnD Industry Fuel Use Perc Reduction</v>
      </c>
      <c r="D1200" t="s">
        <v>752</v>
      </c>
      <c r="E1200" s="399"/>
      <c r="F1200" s="399" t="s">
        <v>893</v>
      </c>
      <c r="G1200" s="399"/>
      <c r="H1200" s="377">
        <v>1494</v>
      </c>
      <c r="I1200" s="396" t="s">
        <v>648</v>
      </c>
      <c r="J1200" s="397" t="str">
        <f>IF(ISBLANK(INDEX('Policy Characteristics'!D:D,MATCH($C1200,'Policy Characteristics'!$C:$C,0))),"",INDEX('Policy Characteristics'!D:D,MATCH($C1200,'Policy Characteristics'!$C:$C,0)))</f>
        <v>R&amp;D Fuel Use Reductions</v>
      </c>
      <c r="K1200" s="394" t="str">
        <f>IF(ISBLANK(INDEX('Policy Characteristics'!E:E,MATCH($C1200,'Policy Characteristics'!$C:$C,0))),"",INDEX('Policy Characteristics'!E:E,MATCH($C1200,'Policy Characteristics'!$C:$C,0)))</f>
        <v>RnD industry fuel use reduction</v>
      </c>
      <c r="L1200" s="398">
        <f>IF(ISBLANK(INDEX('Policy Characteristics'!F:F,MATCH($C1200,'Policy Characteristics'!$C:$C,0))),"",INDEX('Policy Characteristics'!F:F,MATCH($C1200,'Policy Characteristics'!$C:$C,0)))</f>
        <v>0</v>
      </c>
      <c r="M1200" s="398">
        <f>IF(ISBLANK(INDEX('Policy Characteristics'!G:G,MATCH($C1200,'Policy Characteristics'!$C:$C,0))),"",INDEX('Policy Characteristics'!G:G,MATCH($C1200,'Policy Characteristics'!$C:$C,0)))</f>
        <v>0.4</v>
      </c>
      <c r="N1200" s="398">
        <f>IF(ISBLANK(INDEX('Policy Characteristics'!H:H,MATCH($C1200,'Policy Characteristics'!$C:$C,0))),"",INDEX('Policy Characteristics'!H:H,MATCH($C1200,'Policy Characteristics'!$C:$C,0)))</f>
        <v>0.01</v>
      </c>
      <c r="O1200" s="394" t="str">
        <f>IF(ISBLANK(INDEX('Policy Characteristics'!I:I,MATCH($C1200,'Policy Characteristics'!$C:$C,0))),"",INDEX('Policy Characteristics'!I:I,MATCH($C1200,'Policy Characteristics'!$C:$C,0)))</f>
        <v>% reduction in fuel use</v>
      </c>
      <c r="P1200" s="394" t="str">
        <f>IF(ISBLANK(INDEX('Policy Characteristics'!J:J,MATCH($C1200,'Policy Characteristics'!$C:$C,0))),"",INDEX('Policy Characteristics'!J:J,MATCH($C1200,'Policy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0" s="394" t="str">
        <f>IF(ISBLANK(INDEX('Policy Characteristics'!K:K,MATCH($C1200,'Policy Characteristics'!$C:$C,0))),"",INDEX('Policy Characteristics'!K:K,MATCH($C1200,'Policy Characteristics'!$C:$C,0)))</f>
        <v>architectural-design.html#rnd</v>
      </c>
      <c r="R1200" s="394" t="str">
        <f>IF(ISBLANK(INDEX('Policy Characteristics'!L:L,MATCH($C1200,'Policy Characteristics'!$C:$C,0))),"",INDEX('Policy Characteristics'!L:L,MATCH($C1200,'Policy Characteristics'!$C:$C,0)))</f>
        <v>research-and-development.html</v>
      </c>
    </row>
    <row r="1201" customHeight="1" spans="1:18">
      <c r="A1201" s="394" t="str">
        <f>IF(ISBLANK(INDEX('Policy Characteristics'!A:A,MATCH($C1201,'Policy Characteristics'!$C:$C,0))),"",INDEX('Policy Characteristics'!A:A,MATCH($C1201,'Policy Characteristics'!$C:$C,0)))</f>
        <v>Research and Development</v>
      </c>
      <c r="B1201" s="395" t="str">
        <f>IF(ISBLANK(INDEX('Policy Characteristics'!B:B,MATCH($C1201,'Policy Characteristics'!$C:$C,0))),"",INDEX('Policy Characteristics'!B:B,MATCH($C1201,'Policy Characteristics'!$C:$C,0)))</f>
        <v>Fuel Use Reduction</v>
      </c>
      <c r="C1201" s="394" t="str">
        <f t="shared" si="65"/>
        <v>RnD Industry Fuel Use Perc Reduction</v>
      </c>
      <c r="D1201" t="s">
        <v>754</v>
      </c>
      <c r="E1201" s="399"/>
      <c r="F1201" s="399" t="s">
        <v>894</v>
      </c>
      <c r="G1201" s="399"/>
      <c r="H1201" s="377">
        <v>1495</v>
      </c>
      <c r="I1201" s="396" t="s">
        <v>648</v>
      </c>
      <c r="J1201" s="397" t="str">
        <f>IF(ISBLANK(INDEX('Policy Characteristics'!D:D,MATCH($C1201,'Policy Characteristics'!$C:$C,0))),"",INDEX('Policy Characteristics'!D:D,MATCH($C1201,'Policy Characteristics'!$C:$C,0)))</f>
        <v>R&amp;D Fuel Use Reductions</v>
      </c>
      <c r="K1201" s="394" t="str">
        <f>IF(ISBLANK(INDEX('Policy Characteristics'!E:E,MATCH($C1201,'Policy Characteristics'!$C:$C,0))),"",INDEX('Policy Characteristics'!E:E,MATCH($C1201,'Policy Characteristics'!$C:$C,0)))</f>
        <v>RnD industry fuel use reduction</v>
      </c>
      <c r="L1201" s="398">
        <f>IF(ISBLANK(INDEX('Policy Characteristics'!F:F,MATCH($C1201,'Policy Characteristics'!$C:$C,0))),"",INDEX('Policy Characteristics'!F:F,MATCH($C1201,'Policy Characteristics'!$C:$C,0)))</f>
        <v>0</v>
      </c>
      <c r="M1201" s="398">
        <f>IF(ISBLANK(INDEX('Policy Characteristics'!G:G,MATCH($C1201,'Policy Characteristics'!$C:$C,0))),"",INDEX('Policy Characteristics'!G:G,MATCH($C1201,'Policy Characteristics'!$C:$C,0)))</f>
        <v>0.4</v>
      </c>
      <c r="N1201" s="398">
        <f>IF(ISBLANK(INDEX('Policy Characteristics'!H:H,MATCH($C1201,'Policy Characteristics'!$C:$C,0))),"",INDEX('Policy Characteristics'!H:H,MATCH($C1201,'Policy Characteristics'!$C:$C,0)))</f>
        <v>0.01</v>
      </c>
      <c r="O1201" s="394" t="str">
        <f>IF(ISBLANK(INDEX('Policy Characteristics'!I:I,MATCH($C1201,'Policy Characteristics'!$C:$C,0))),"",INDEX('Policy Characteristics'!I:I,MATCH($C1201,'Policy Characteristics'!$C:$C,0)))</f>
        <v>% reduction in fuel use</v>
      </c>
      <c r="P1201" s="394" t="str">
        <f>IF(ISBLANK(INDEX('Policy Characteristics'!J:J,MATCH($C1201,'Policy Characteristics'!$C:$C,0))),"",INDEX('Policy Characteristics'!J:J,MATCH($C1201,'Policy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1" s="394" t="str">
        <f>IF(ISBLANK(INDEX('Policy Characteristics'!K:K,MATCH($C1201,'Policy Characteristics'!$C:$C,0))),"",INDEX('Policy Characteristics'!K:K,MATCH($C1201,'Policy Characteristics'!$C:$C,0)))</f>
        <v>architectural-design.html#rnd</v>
      </c>
      <c r="R1201" s="394" t="str">
        <f>IF(ISBLANK(INDEX('Policy Characteristics'!L:L,MATCH($C1201,'Policy Characteristics'!$C:$C,0))),"",INDEX('Policy Characteristics'!L:L,MATCH($C1201,'Policy Characteristics'!$C:$C,0)))</f>
        <v>research-and-development.html</v>
      </c>
    </row>
    <row r="1202" customHeight="1" spans="1:18">
      <c r="A1202" s="394" t="str">
        <f>IF(ISBLANK(INDEX('Policy Characteristics'!A:A,MATCH($C1202,'Policy Characteristics'!$C:$C,0))),"",INDEX('Policy Characteristics'!A:A,MATCH($C1202,'Policy Characteristics'!$C:$C,0)))</f>
        <v>Research and Development</v>
      </c>
      <c r="B1202" s="395" t="str">
        <f>IF(ISBLANK(INDEX('Policy Characteristics'!B:B,MATCH($C1202,'Policy Characteristics'!$C:$C,0))),"",INDEX('Policy Characteristics'!B:B,MATCH($C1202,'Policy Characteristics'!$C:$C,0)))</f>
        <v>Fuel Use Reduction</v>
      </c>
      <c r="C1202" s="394" t="str">
        <f t="shared" si="65"/>
        <v>RnD Industry Fuel Use Perc Reduction</v>
      </c>
      <c r="D1202" t="s">
        <v>756</v>
      </c>
      <c r="E1202" s="399"/>
      <c r="F1202" s="399" t="s">
        <v>895</v>
      </c>
      <c r="G1202" s="399"/>
      <c r="H1202" s="377">
        <v>1496</v>
      </c>
      <c r="I1202" s="396" t="s">
        <v>648</v>
      </c>
      <c r="J1202" s="397" t="str">
        <f>IF(ISBLANK(INDEX('Policy Characteristics'!D:D,MATCH($C1202,'Policy Characteristics'!$C:$C,0))),"",INDEX('Policy Characteristics'!D:D,MATCH($C1202,'Policy Characteristics'!$C:$C,0)))</f>
        <v>R&amp;D Fuel Use Reductions</v>
      </c>
      <c r="K1202" s="394" t="str">
        <f>IF(ISBLANK(INDEX('Policy Characteristics'!E:E,MATCH($C1202,'Policy Characteristics'!$C:$C,0))),"",INDEX('Policy Characteristics'!E:E,MATCH($C1202,'Policy Characteristics'!$C:$C,0)))</f>
        <v>RnD industry fuel use reduction</v>
      </c>
      <c r="L1202" s="398">
        <f>IF(ISBLANK(INDEX('Policy Characteristics'!F:F,MATCH($C1202,'Policy Characteristics'!$C:$C,0))),"",INDEX('Policy Characteristics'!F:F,MATCH($C1202,'Policy Characteristics'!$C:$C,0)))</f>
        <v>0</v>
      </c>
      <c r="M1202" s="398">
        <f>IF(ISBLANK(INDEX('Policy Characteristics'!G:G,MATCH($C1202,'Policy Characteristics'!$C:$C,0))),"",INDEX('Policy Characteristics'!G:G,MATCH($C1202,'Policy Characteristics'!$C:$C,0)))</f>
        <v>0.4</v>
      </c>
      <c r="N1202" s="398">
        <f>IF(ISBLANK(INDEX('Policy Characteristics'!H:H,MATCH($C1202,'Policy Characteristics'!$C:$C,0))),"",INDEX('Policy Characteristics'!H:H,MATCH($C1202,'Policy Characteristics'!$C:$C,0)))</f>
        <v>0.01</v>
      </c>
      <c r="O1202" s="394" t="str">
        <f>IF(ISBLANK(INDEX('Policy Characteristics'!I:I,MATCH($C1202,'Policy Characteristics'!$C:$C,0))),"",INDEX('Policy Characteristics'!I:I,MATCH($C1202,'Policy Characteristics'!$C:$C,0)))</f>
        <v>% reduction in fuel use</v>
      </c>
      <c r="P1202" s="394" t="str">
        <f>IF(ISBLANK(INDEX('Policy Characteristics'!J:J,MATCH($C1202,'Policy Characteristics'!$C:$C,0))),"",INDEX('Policy Characteristics'!J:J,MATCH($C1202,'Policy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2" s="394" t="str">
        <f>IF(ISBLANK(INDEX('Policy Characteristics'!K:K,MATCH($C1202,'Policy Characteristics'!$C:$C,0))),"",INDEX('Policy Characteristics'!K:K,MATCH($C1202,'Policy Characteristics'!$C:$C,0)))</f>
        <v>architectural-design.html#rnd</v>
      </c>
      <c r="R1202" s="394" t="str">
        <f>IF(ISBLANK(INDEX('Policy Characteristics'!L:L,MATCH($C1202,'Policy Characteristics'!$C:$C,0))),"",INDEX('Policy Characteristics'!L:L,MATCH($C1202,'Policy Characteristics'!$C:$C,0)))</f>
        <v>research-and-development.html</v>
      </c>
    </row>
    <row r="1203" customHeight="1" spans="1:18">
      <c r="A1203" s="394" t="str">
        <f>IF(ISBLANK(INDEX('Policy Characteristics'!A:A,MATCH($C1203,'Policy Characteristics'!$C:$C,0))),"",INDEX('Policy Characteristics'!A:A,MATCH($C1203,'Policy Characteristics'!$C:$C,0)))</f>
        <v>Research and Development</v>
      </c>
      <c r="B1203" s="395" t="str">
        <f>IF(ISBLANK(INDEX('Policy Characteristics'!B:B,MATCH($C1203,'Policy Characteristics'!$C:$C,0))),"",INDEX('Policy Characteristics'!B:B,MATCH($C1203,'Policy Characteristics'!$C:$C,0)))</f>
        <v>Fuel Use Reduction</v>
      </c>
      <c r="C1203" s="394" t="str">
        <f t="shared" si="65"/>
        <v>RnD Industry Fuel Use Perc Reduction</v>
      </c>
      <c r="D1203" t="s">
        <v>758</v>
      </c>
      <c r="E1203" s="399"/>
      <c r="F1203" s="399" t="s">
        <v>896</v>
      </c>
      <c r="G1203" s="399"/>
      <c r="H1203" s="377">
        <v>1497</v>
      </c>
      <c r="I1203" s="396" t="s">
        <v>648</v>
      </c>
      <c r="J1203" s="397" t="str">
        <f>IF(ISBLANK(INDEX('Policy Characteristics'!D:D,MATCH($C1203,'Policy Characteristics'!$C:$C,0))),"",INDEX('Policy Characteristics'!D:D,MATCH($C1203,'Policy Characteristics'!$C:$C,0)))</f>
        <v>R&amp;D Fuel Use Reductions</v>
      </c>
      <c r="K1203" s="394" t="str">
        <f>IF(ISBLANK(INDEX('Policy Characteristics'!E:E,MATCH($C1203,'Policy Characteristics'!$C:$C,0))),"",INDEX('Policy Characteristics'!E:E,MATCH($C1203,'Policy Characteristics'!$C:$C,0)))</f>
        <v>RnD industry fuel use reduction</v>
      </c>
      <c r="L1203" s="398">
        <f>IF(ISBLANK(INDEX('Policy Characteristics'!F:F,MATCH($C1203,'Policy Characteristics'!$C:$C,0))),"",INDEX('Policy Characteristics'!F:F,MATCH($C1203,'Policy Characteristics'!$C:$C,0)))</f>
        <v>0</v>
      </c>
      <c r="M1203" s="398">
        <f>IF(ISBLANK(INDEX('Policy Characteristics'!G:G,MATCH($C1203,'Policy Characteristics'!$C:$C,0))),"",INDEX('Policy Characteristics'!G:G,MATCH($C1203,'Policy Characteristics'!$C:$C,0)))</f>
        <v>0.4</v>
      </c>
      <c r="N1203" s="398">
        <f>IF(ISBLANK(INDEX('Policy Characteristics'!H:H,MATCH($C1203,'Policy Characteristics'!$C:$C,0))),"",INDEX('Policy Characteristics'!H:H,MATCH($C1203,'Policy Characteristics'!$C:$C,0)))</f>
        <v>0.01</v>
      </c>
      <c r="O1203" s="394" t="str">
        <f>IF(ISBLANK(INDEX('Policy Characteristics'!I:I,MATCH($C1203,'Policy Characteristics'!$C:$C,0))),"",INDEX('Policy Characteristics'!I:I,MATCH($C1203,'Policy Characteristics'!$C:$C,0)))</f>
        <v>% reduction in fuel use</v>
      </c>
      <c r="P1203" s="394" t="str">
        <f>IF(ISBLANK(INDEX('Policy Characteristics'!J:J,MATCH($C1203,'Policy Characteristics'!$C:$C,0))),"",INDEX('Policy Characteristics'!J:J,MATCH($C1203,'Policy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3" s="394" t="str">
        <f>IF(ISBLANK(INDEX('Policy Characteristics'!K:K,MATCH($C1203,'Policy Characteristics'!$C:$C,0))),"",INDEX('Policy Characteristics'!K:K,MATCH($C1203,'Policy Characteristics'!$C:$C,0)))</f>
        <v>architectural-design.html#rnd</v>
      </c>
      <c r="R1203" s="394" t="str">
        <f>IF(ISBLANK(INDEX('Policy Characteristics'!L:L,MATCH($C1203,'Policy Characteristics'!$C:$C,0))),"",INDEX('Policy Characteristics'!L:L,MATCH($C1203,'Policy Characteristics'!$C:$C,0)))</f>
        <v>research-and-development.html</v>
      </c>
    </row>
    <row r="1204" customHeight="1" spans="1:18">
      <c r="A1204" s="394" t="str">
        <f>IF(ISBLANK(INDEX('Policy Characteristics'!A:A,MATCH($C1204,'Policy Characteristics'!$C:$C,0))),"",INDEX('Policy Characteristics'!A:A,MATCH($C1204,'Policy Characteristics'!$C:$C,0)))</f>
        <v>Research and Development</v>
      </c>
      <c r="B1204" s="395" t="str">
        <f>IF(ISBLANK(INDEX('Policy Characteristics'!B:B,MATCH($C1204,'Policy Characteristics'!$C:$C,0))),"",INDEX('Policy Characteristics'!B:B,MATCH($C1204,'Policy Characteristics'!$C:$C,0)))</f>
        <v>Fuel Use Reduction</v>
      </c>
      <c r="C1204" s="394" t="str">
        <f t="shared" si="65"/>
        <v>RnD Industry Fuel Use Perc Reduction</v>
      </c>
      <c r="D1204" t="s">
        <v>760</v>
      </c>
      <c r="E1204" s="399"/>
      <c r="F1204" s="400" t="s">
        <v>925</v>
      </c>
      <c r="G1204" s="399"/>
      <c r="H1204" s="377">
        <v>1498</v>
      </c>
      <c r="I1204" s="396" t="s">
        <v>648</v>
      </c>
      <c r="J1204" s="397" t="str">
        <f>IF(ISBLANK(INDEX('Policy Characteristics'!D:D,MATCH($C1204,'Policy Characteristics'!$C:$C,0))),"",INDEX('Policy Characteristics'!D:D,MATCH($C1204,'Policy Characteristics'!$C:$C,0)))</f>
        <v>R&amp;D Fuel Use Reductions</v>
      </c>
      <c r="K1204" s="394" t="str">
        <f>IF(ISBLANK(INDEX('Policy Characteristics'!E:E,MATCH($C1204,'Policy Characteristics'!$C:$C,0))),"",INDEX('Policy Characteristics'!E:E,MATCH($C1204,'Policy Characteristics'!$C:$C,0)))</f>
        <v>RnD industry fuel use reduction</v>
      </c>
      <c r="L1204" s="398">
        <f>IF(ISBLANK(INDEX('Policy Characteristics'!F:F,MATCH($C1204,'Policy Characteristics'!$C:$C,0))),"",INDEX('Policy Characteristics'!F:F,MATCH($C1204,'Policy Characteristics'!$C:$C,0)))</f>
        <v>0</v>
      </c>
      <c r="M1204" s="398">
        <f>IF(ISBLANK(INDEX('Policy Characteristics'!G:G,MATCH($C1204,'Policy Characteristics'!$C:$C,0))),"",INDEX('Policy Characteristics'!G:G,MATCH($C1204,'Policy Characteristics'!$C:$C,0)))</f>
        <v>0.4</v>
      </c>
      <c r="N1204" s="398">
        <f>IF(ISBLANK(INDEX('Policy Characteristics'!H:H,MATCH($C1204,'Policy Characteristics'!$C:$C,0))),"",INDEX('Policy Characteristics'!H:H,MATCH($C1204,'Policy Characteristics'!$C:$C,0)))</f>
        <v>0.01</v>
      </c>
      <c r="O1204" s="394" t="str">
        <f>IF(ISBLANK(INDEX('Policy Characteristics'!I:I,MATCH($C1204,'Policy Characteristics'!$C:$C,0))),"",INDEX('Policy Characteristics'!I:I,MATCH($C1204,'Policy Characteristics'!$C:$C,0)))</f>
        <v>% reduction in fuel use</v>
      </c>
      <c r="P1204" s="394" t="str">
        <f>IF(ISBLANK(INDEX('Policy Characteristics'!J:J,MATCH($C1204,'Policy Characteristics'!$C:$C,0))),"",INDEX('Policy Characteristics'!J:J,MATCH($C1204,'Policy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4" s="394" t="str">
        <f>IF(ISBLANK(INDEX('Policy Characteristics'!K:K,MATCH($C1204,'Policy Characteristics'!$C:$C,0))),"",INDEX('Policy Characteristics'!K:K,MATCH($C1204,'Policy Characteristics'!$C:$C,0)))</f>
        <v>architectural-design.html#rnd</v>
      </c>
      <c r="R1204" s="394" t="str">
        <f>IF(ISBLANK(INDEX('Policy Characteristics'!L:L,MATCH($C1204,'Policy Characteristics'!$C:$C,0))),"",INDEX('Policy Characteristics'!L:L,MATCH($C1204,'Policy Characteristics'!$C:$C,0)))</f>
        <v>research-and-development.html</v>
      </c>
    </row>
    <row r="1205" customHeight="1" spans="1:18">
      <c r="A1205" s="394" t="str">
        <f>IF(ISBLANK(INDEX('Policy Characteristics'!A:A,MATCH($C1205,'Policy Characteristics'!$C:$C,0))),"",INDEX('Policy Characteristics'!A:A,MATCH($C1205,'Policy Characteristics'!$C:$C,0)))</f>
        <v>Research and Development</v>
      </c>
      <c r="B1205" s="395" t="str">
        <f>IF(ISBLANK(INDEX('Policy Characteristics'!B:B,MATCH($C1205,'Policy Characteristics'!$C:$C,0))),"",INDEX('Policy Characteristics'!B:B,MATCH($C1205,'Policy Characteristics'!$C:$C,0)))</f>
        <v>Fuel Use Reduction</v>
      </c>
      <c r="C1205" s="394" t="str">
        <f t="shared" si="65"/>
        <v>RnD Industry Fuel Use Perc Reduction</v>
      </c>
      <c r="D1205" t="s">
        <v>762</v>
      </c>
      <c r="E1205" s="399"/>
      <c r="F1205" s="400" t="s">
        <v>926</v>
      </c>
      <c r="G1205" s="399"/>
      <c r="H1205" s="377">
        <v>1499</v>
      </c>
      <c r="I1205" s="396" t="s">
        <v>648</v>
      </c>
      <c r="J1205" s="397" t="str">
        <f>IF(ISBLANK(INDEX('Policy Characteristics'!D:D,MATCH($C1205,'Policy Characteristics'!$C:$C,0))),"",INDEX('Policy Characteristics'!D:D,MATCH($C1205,'Policy Characteristics'!$C:$C,0)))</f>
        <v>R&amp;D Fuel Use Reductions</v>
      </c>
      <c r="K1205" s="394" t="str">
        <f>IF(ISBLANK(INDEX('Policy Characteristics'!E:E,MATCH($C1205,'Policy Characteristics'!$C:$C,0))),"",INDEX('Policy Characteristics'!E:E,MATCH($C1205,'Policy Characteristics'!$C:$C,0)))</f>
        <v>RnD industry fuel use reduction</v>
      </c>
      <c r="L1205" s="398">
        <f>IF(ISBLANK(INDEX('Policy Characteristics'!F:F,MATCH($C1205,'Policy Characteristics'!$C:$C,0))),"",INDEX('Policy Characteristics'!F:F,MATCH($C1205,'Policy Characteristics'!$C:$C,0)))</f>
        <v>0</v>
      </c>
      <c r="M1205" s="398">
        <f>IF(ISBLANK(INDEX('Policy Characteristics'!G:G,MATCH($C1205,'Policy Characteristics'!$C:$C,0))),"",INDEX('Policy Characteristics'!G:G,MATCH($C1205,'Policy Characteristics'!$C:$C,0)))</f>
        <v>0.4</v>
      </c>
      <c r="N1205" s="398">
        <f>IF(ISBLANK(INDEX('Policy Characteristics'!H:H,MATCH($C1205,'Policy Characteristics'!$C:$C,0))),"",INDEX('Policy Characteristics'!H:H,MATCH($C1205,'Policy Characteristics'!$C:$C,0)))</f>
        <v>0.01</v>
      </c>
      <c r="O1205" s="394" t="str">
        <f>IF(ISBLANK(INDEX('Policy Characteristics'!I:I,MATCH($C1205,'Policy Characteristics'!$C:$C,0))),"",INDEX('Policy Characteristics'!I:I,MATCH($C1205,'Policy Characteristics'!$C:$C,0)))</f>
        <v>% reduction in fuel use</v>
      </c>
      <c r="P1205" s="394" t="str">
        <f>IF(ISBLANK(INDEX('Policy Characteristics'!J:J,MATCH($C1205,'Policy Characteristics'!$C:$C,0))),"",INDEX('Policy Characteristics'!J:J,MATCH($C1205,'Policy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5" s="394" t="str">
        <f>IF(ISBLANK(INDEX('Policy Characteristics'!K:K,MATCH($C1205,'Policy Characteristics'!$C:$C,0))),"",INDEX('Policy Characteristics'!K:K,MATCH($C1205,'Policy Characteristics'!$C:$C,0)))</f>
        <v>architectural-design.html#rnd</v>
      </c>
      <c r="R1205" s="394" t="str">
        <f>IF(ISBLANK(INDEX('Policy Characteristics'!L:L,MATCH($C1205,'Policy Characteristics'!$C:$C,0))),"",INDEX('Policy Characteristics'!L:L,MATCH($C1205,'Policy Characteristics'!$C:$C,0)))</f>
        <v>research-and-development.html</v>
      </c>
    </row>
    <row r="1206" customHeight="1" spans="1:18">
      <c r="A1206" s="394" t="str">
        <f>IF(ISBLANK(INDEX('Policy Characteristics'!A:A,MATCH($C1206,'Policy Characteristics'!$C:$C,0))),"",INDEX('Policy Characteristics'!A:A,MATCH($C1206,'Policy Characteristics'!$C:$C,0)))</f>
        <v>Research and Development</v>
      </c>
      <c r="B1206" s="395" t="str">
        <f>IF(ISBLANK(INDEX('Policy Characteristics'!B:B,MATCH($C1206,'Policy Characteristics'!$C:$C,0))),"",INDEX('Policy Characteristics'!B:B,MATCH($C1206,'Policy Characteristics'!$C:$C,0)))</f>
        <v>Fuel Use Reduction</v>
      </c>
      <c r="C1206" s="394" t="str">
        <f t="shared" si="65"/>
        <v>RnD Industry Fuel Use Perc Reduction</v>
      </c>
      <c r="D1206" t="s">
        <v>764</v>
      </c>
      <c r="E1206" s="399"/>
      <c r="F1206" s="399" t="s">
        <v>899</v>
      </c>
      <c r="G1206" s="399"/>
      <c r="H1206" s="377">
        <v>1500</v>
      </c>
      <c r="I1206" s="396" t="s">
        <v>648</v>
      </c>
      <c r="J1206" s="397" t="str">
        <f>IF(ISBLANK(INDEX('Policy Characteristics'!D:D,MATCH($C1206,'Policy Characteristics'!$C:$C,0))),"",INDEX('Policy Characteristics'!D:D,MATCH($C1206,'Policy Characteristics'!$C:$C,0)))</f>
        <v>R&amp;D Fuel Use Reductions</v>
      </c>
      <c r="K1206" s="394" t="str">
        <f>IF(ISBLANK(INDEX('Policy Characteristics'!E:E,MATCH($C1206,'Policy Characteristics'!$C:$C,0))),"",INDEX('Policy Characteristics'!E:E,MATCH($C1206,'Policy Characteristics'!$C:$C,0)))</f>
        <v>RnD industry fuel use reduction</v>
      </c>
      <c r="L1206" s="398">
        <f>IF(ISBLANK(INDEX('Policy Characteristics'!F:F,MATCH($C1206,'Policy Characteristics'!$C:$C,0))),"",INDEX('Policy Characteristics'!F:F,MATCH($C1206,'Policy Characteristics'!$C:$C,0)))</f>
        <v>0</v>
      </c>
      <c r="M1206" s="398">
        <f>IF(ISBLANK(INDEX('Policy Characteristics'!G:G,MATCH($C1206,'Policy Characteristics'!$C:$C,0))),"",INDEX('Policy Characteristics'!G:G,MATCH($C1206,'Policy Characteristics'!$C:$C,0)))</f>
        <v>0.4</v>
      </c>
      <c r="N1206" s="398">
        <f>IF(ISBLANK(INDEX('Policy Characteristics'!H:H,MATCH($C1206,'Policy Characteristics'!$C:$C,0))),"",INDEX('Policy Characteristics'!H:H,MATCH($C1206,'Policy Characteristics'!$C:$C,0)))</f>
        <v>0.01</v>
      </c>
      <c r="O1206" s="394" t="str">
        <f>IF(ISBLANK(INDEX('Policy Characteristics'!I:I,MATCH($C1206,'Policy Characteristics'!$C:$C,0))),"",INDEX('Policy Characteristics'!I:I,MATCH($C1206,'Policy Characteristics'!$C:$C,0)))</f>
        <v>% reduction in fuel use</v>
      </c>
      <c r="P1206" s="394" t="str">
        <f>IF(ISBLANK(INDEX('Policy Characteristics'!J:J,MATCH($C1206,'Policy Characteristics'!$C:$C,0))),"",INDEX('Policy Characteristics'!J:J,MATCH($C1206,'Policy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6" s="394" t="str">
        <f>IF(ISBLANK(INDEX('Policy Characteristics'!K:K,MATCH($C1206,'Policy Characteristics'!$C:$C,0))),"",INDEX('Policy Characteristics'!K:K,MATCH($C1206,'Policy Characteristics'!$C:$C,0)))</f>
        <v>architectural-design.html#rnd</v>
      </c>
      <c r="R1206" s="394" t="str">
        <f>IF(ISBLANK(INDEX('Policy Characteristics'!L:L,MATCH($C1206,'Policy Characteristics'!$C:$C,0))),"",INDEX('Policy Characteristics'!L:L,MATCH($C1206,'Policy Characteristics'!$C:$C,0)))</f>
        <v>research-and-development.html</v>
      </c>
    </row>
    <row r="1207" customHeight="1" spans="1:18">
      <c r="A1207" s="394" t="str">
        <f>IF(ISBLANK(INDEX('Policy Characteristics'!A:A,MATCH($C1207,'Policy Characteristics'!$C:$C,0))),"",INDEX('Policy Characteristics'!A:A,MATCH($C1207,'Policy Characteristics'!$C:$C,0)))</f>
        <v>Research and Development</v>
      </c>
      <c r="B1207" s="395" t="str">
        <f>IF(ISBLANK(INDEX('Policy Characteristics'!B:B,MATCH($C1207,'Policy Characteristics'!$C:$C,0))),"",INDEX('Policy Characteristics'!B:B,MATCH($C1207,'Policy Characteristics'!$C:$C,0)))</f>
        <v>Fuel Use Reduction</v>
      </c>
      <c r="C1207" s="394" t="str">
        <f t="shared" si="65"/>
        <v>RnD Industry Fuel Use Perc Reduction</v>
      </c>
      <c r="D1207" t="s">
        <v>766</v>
      </c>
      <c r="E1207" s="399"/>
      <c r="F1207" s="399" t="s">
        <v>900</v>
      </c>
      <c r="G1207" s="399"/>
      <c r="H1207" s="377">
        <v>1501</v>
      </c>
      <c r="I1207" s="396" t="s">
        <v>648</v>
      </c>
      <c r="J1207" s="397" t="str">
        <f>IF(ISBLANK(INDEX('Policy Characteristics'!D:D,MATCH($C1207,'Policy Characteristics'!$C:$C,0))),"",INDEX('Policy Characteristics'!D:D,MATCH($C1207,'Policy Characteristics'!$C:$C,0)))</f>
        <v>R&amp;D Fuel Use Reductions</v>
      </c>
      <c r="K1207" s="394" t="str">
        <f>IF(ISBLANK(INDEX('Policy Characteristics'!E:E,MATCH($C1207,'Policy Characteristics'!$C:$C,0))),"",INDEX('Policy Characteristics'!E:E,MATCH($C1207,'Policy Characteristics'!$C:$C,0)))</f>
        <v>RnD industry fuel use reduction</v>
      </c>
      <c r="L1207" s="398">
        <f>IF(ISBLANK(INDEX('Policy Characteristics'!F:F,MATCH($C1207,'Policy Characteristics'!$C:$C,0))),"",INDEX('Policy Characteristics'!F:F,MATCH($C1207,'Policy Characteristics'!$C:$C,0)))</f>
        <v>0</v>
      </c>
      <c r="M1207" s="398">
        <f>IF(ISBLANK(INDEX('Policy Characteristics'!G:G,MATCH($C1207,'Policy Characteristics'!$C:$C,0))),"",INDEX('Policy Characteristics'!G:G,MATCH($C1207,'Policy Characteristics'!$C:$C,0)))</f>
        <v>0.4</v>
      </c>
      <c r="N1207" s="398">
        <f>IF(ISBLANK(INDEX('Policy Characteristics'!H:H,MATCH($C1207,'Policy Characteristics'!$C:$C,0))),"",INDEX('Policy Characteristics'!H:H,MATCH($C1207,'Policy Characteristics'!$C:$C,0)))</f>
        <v>0.01</v>
      </c>
      <c r="O1207" s="394" t="str">
        <f>IF(ISBLANK(INDEX('Policy Characteristics'!I:I,MATCH($C1207,'Policy Characteristics'!$C:$C,0))),"",INDEX('Policy Characteristics'!I:I,MATCH($C1207,'Policy Characteristics'!$C:$C,0)))</f>
        <v>% reduction in fuel use</v>
      </c>
      <c r="P1207" s="394" t="str">
        <f>IF(ISBLANK(INDEX('Policy Characteristics'!J:J,MATCH($C1207,'Policy Characteristics'!$C:$C,0))),"",INDEX('Policy Characteristics'!J:J,MATCH($C1207,'Policy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7" s="394" t="str">
        <f>IF(ISBLANK(INDEX('Policy Characteristics'!K:K,MATCH($C1207,'Policy Characteristics'!$C:$C,0))),"",INDEX('Policy Characteristics'!K:K,MATCH($C1207,'Policy Characteristics'!$C:$C,0)))</f>
        <v>architectural-design.html#rnd</v>
      </c>
      <c r="R1207" s="394" t="str">
        <f>IF(ISBLANK(INDEX('Policy Characteristics'!L:L,MATCH($C1207,'Policy Characteristics'!$C:$C,0))),"",INDEX('Policy Characteristics'!L:L,MATCH($C1207,'Policy Characteristics'!$C:$C,0)))</f>
        <v>research-and-development.html</v>
      </c>
    </row>
    <row r="1208" customHeight="1" spans="1:18">
      <c r="A1208" s="394" t="str">
        <f>IF(ISBLANK(INDEX('Policy Characteristics'!A:A,MATCH($C1208,'Policy Characteristics'!$C:$C,0))),"",INDEX('Policy Characteristics'!A:A,MATCH($C1208,'Policy Characteristics'!$C:$C,0)))</f>
        <v>Research and Development</v>
      </c>
      <c r="B1208" s="395" t="str">
        <f>IF(ISBLANK(INDEX('Policy Characteristics'!B:B,MATCH($C1208,'Policy Characteristics'!$C:$C,0))),"",INDEX('Policy Characteristics'!B:B,MATCH($C1208,'Policy Characteristics'!$C:$C,0)))</f>
        <v>Fuel Use Reduction</v>
      </c>
      <c r="C1208" s="394" t="str">
        <f t="shared" si="65"/>
        <v>RnD Industry Fuel Use Perc Reduction</v>
      </c>
      <c r="D1208" t="s">
        <v>768</v>
      </c>
      <c r="E1208" s="399"/>
      <c r="F1208" s="399" t="s">
        <v>901</v>
      </c>
      <c r="G1208" s="399"/>
      <c r="H1208" s="377">
        <v>1502</v>
      </c>
      <c r="I1208" s="396" t="s">
        <v>648</v>
      </c>
      <c r="J1208" s="397" t="str">
        <f>IF(ISBLANK(INDEX('Policy Characteristics'!D:D,MATCH($C1208,'Policy Characteristics'!$C:$C,0))),"",INDEX('Policy Characteristics'!D:D,MATCH($C1208,'Policy Characteristics'!$C:$C,0)))</f>
        <v>R&amp;D Fuel Use Reductions</v>
      </c>
      <c r="K1208" s="394" t="str">
        <f>IF(ISBLANK(INDEX('Policy Characteristics'!E:E,MATCH($C1208,'Policy Characteristics'!$C:$C,0))),"",INDEX('Policy Characteristics'!E:E,MATCH($C1208,'Policy Characteristics'!$C:$C,0)))</f>
        <v>RnD industry fuel use reduction</v>
      </c>
      <c r="L1208" s="398">
        <f>IF(ISBLANK(INDEX('Policy Characteristics'!F:F,MATCH($C1208,'Policy Characteristics'!$C:$C,0))),"",INDEX('Policy Characteristics'!F:F,MATCH($C1208,'Policy Characteristics'!$C:$C,0)))</f>
        <v>0</v>
      </c>
      <c r="M1208" s="398">
        <f>IF(ISBLANK(INDEX('Policy Characteristics'!G:G,MATCH($C1208,'Policy Characteristics'!$C:$C,0))),"",INDEX('Policy Characteristics'!G:G,MATCH($C1208,'Policy Characteristics'!$C:$C,0)))</f>
        <v>0.4</v>
      </c>
      <c r="N1208" s="398">
        <f>IF(ISBLANK(INDEX('Policy Characteristics'!H:H,MATCH($C1208,'Policy Characteristics'!$C:$C,0))),"",INDEX('Policy Characteristics'!H:H,MATCH($C1208,'Policy Characteristics'!$C:$C,0)))</f>
        <v>0.01</v>
      </c>
      <c r="O1208" s="394" t="str">
        <f>IF(ISBLANK(INDEX('Policy Characteristics'!I:I,MATCH($C1208,'Policy Characteristics'!$C:$C,0))),"",INDEX('Policy Characteristics'!I:I,MATCH($C1208,'Policy Characteristics'!$C:$C,0)))</f>
        <v>% reduction in fuel use</v>
      </c>
      <c r="P1208" s="394" t="str">
        <f>IF(ISBLANK(INDEX('Policy Characteristics'!J:J,MATCH($C1208,'Policy Characteristics'!$C:$C,0))),"",INDEX('Policy Characteristics'!J:J,MATCH($C1208,'Policy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8" s="394" t="str">
        <f>IF(ISBLANK(INDEX('Policy Characteristics'!K:K,MATCH($C1208,'Policy Characteristics'!$C:$C,0))),"",INDEX('Policy Characteristics'!K:K,MATCH($C1208,'Policy Characteristics'!$C:$C,0)))</f>
        <v>architectural-design.html#rnd</v>
      </c>
      <c r="R1208" s="394" t="str">
        <f>IF(ISBLANK(INDEX('Policy Characteristics'!L:L,MATCH($C1208,'Policy Characteristics'!$C:$C,0))),"",INDEX('Policy Characteristics'!L:L,MATCH($C1208,'Policy Characteristics'!$C:$C,0)))</f>
        <v>research-and-development.html</v>
      </c>
    </row>
    <row r="1209" customHeight="1" spans="1:18">
      <c r="A1209" s="394" t="str">
        <f>IF(ISBLANK(INDEX('Policy Characteristics'!A:A,MATCH($C1209,'Policy Characteristics'!$C:$C,0))),"",INDEX('Policy Characteristics'!A:A,MATCH($C1209,'Policy Characteristics'!$C:$C,0)))</f>
        <v>Research and Development</v>
      </c>
      <c r="B1209" s="395" t="str">
        <f>IF(ISBLANK(INDEX('Policy Characteristics'!B:B,MATCH($C1209,'Policy Characteristics'!$C:$C,0))),"",INDEX('Policy Characteristics'!B:B,MATCH($C1209,'Policy Characteristics'!$C:$C,0)))</f>
        <v>Fuel Use Reduction</v>
      </c>
      <c r="C1209" s="394" t="str">
        <f t="shared" si="65"/>
        <v>RnD Industry Fuel Use Perc Reduction</v>
      </c>
      <c r="D1209" t="s">
        <v>770</v>
      </c>
      <c r="E1209" s="399"/>
      <c r="F1209" s="399" t="s">
        <v>902</v>
      </c>
      <c r="G1209" s="399"/>
      <c r="H1209" s="377">
        <v>1503</v>
      </c>
      <c r="I1209" s="396" t="s">
        <v>648</v>
      </c>
      <c r="J1209" s="397" t="str">
        <f>IF(ISBLANK(INDEX('Policy Characteristics'!D:D,MATCH($C1209,'Policy Characteristics'!$C:$C,0))),"",INDEX('Policy Characteristics'!D:D,MATCH($C1209,'Policy Characteristics'!$C:$C,0)))</f>
        <v>R&amp;D Fuel Use Reductions</v>
      </c>
      <c r="K1209" s="394" t="str">
        <f>IF(ISBLANK(INDEX('Policy Characteristics'!E:E,MATCH($C1209,'Policy Characteristics'!$C:$C,0))),"",INDEX('Policy Characteristics'!E:E,MATCH($C1209,'Policy Characteristics'!$C:$C,0)))</f>
        <v>RnD industry fuel use reduction</v>
      </c>
      <c r="L1209" s="398">
        <f>IF(ISBLANK(INDEX('Policy Characteristics'!F:F,MATCH($C1209,'Policy Characteristics'!$C:$C,0))),"",INDEX('Policy Characteristics'!F:F,MATCH($C1209,'Policy Characteristics'!$C:$C,0)))</f>
        <v>0</v>
      </c>
      <c r="M1209" s="398">
        <f>IF(ISBLANK(INDEX('Policy Characteristics'!G:G,MATCH($C1209,'Policy Characteristics'!$C:$C,0))),"",INDEX('Policy Characteristics'!G:G,MATCH($C1209,'Policy Characteristics'!$C:$C,0)))</f>
        <v>0.4</v>
      </c>
      <c r="N1209" s="398">
        <f>IF(ISBLANK(INDEX('Policy Characteristics'!H:H,MATCH($C1209,'Policy Characteristics'!$C:$C,0))),"",INDEX('Policy Characteristics'!H:H,MATCH($C1209,'Policy Characteristics'!$C:$C,0)))</f>
        <v>0.01</v>
      </c>
      <c r="O1209" s="394" t="str">
        <f>IF(ISBLANK(INDEX('Policy Characteristics'!I:I,MATCH($C1209,'Policy Characteristics'!$C:$C,0))),"",INDEX('Policy Characteristics'!I:I,MATCH($C1209,'Policy Characteristics'!$C:$C,0)))</f>
        <v>% reduction in fuel use</v>
      </c>
      <c r="P1209" s="394" t="str">
        <f>IF(ISBLANK(INDEX('Policy Characteristics'!J:J,MATCH($C1209,'Policy Characteristics'!$C:$C,0))),"",INDEX('Policy Characteristics'!J:J,MATCH($C1209,'Policy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9" s="394" t="str">
        <f>IF(ISBLANK(INDEX('Policy Characteristics'!K:K,MATCH($C1209,'Policy Characteristics'!$C:$C,0))),"",INDEX('Policy Characteristics'!K:K,MATCH($C1209,'Policy Characteristics'!$C:$C,0)))</f>
        <v>architectural-design.html#rnd</v>
      </c>
      <c r="R1209" s="394" t="str">
        <f>IF(ISBLANK(INDEX('Policy Characteristics'!L:L,MATCH($C1209,'Policy Characteristics'!$C:$C,0))),"",INDEX('Policy Characteristics'!L:L,MATCH($C1209,'Policy Characteristics'!$C:$C,0)))</f>
        <v>research-and-development.html</v>
      </c>
    </row>
    <row r="1210" customHeight="1" spans="1:18">
      <c r="A1210" s="394" t="str">
        <f>IF(ISBLANK(INDEX('Policy Characteristics'!A:A,MATCH($C1210,'Policy Characteristics'!$C:$C,0))),"",INDEX('Policy Characteristics'!A:A,MATCH($C1210,'Policy Characteristics'!$C:$C,0)))</f>
        <v>Research and Development</v>
      </c>
      <c r="B1210" s="395" t="str">
        <f>IF(ISBLANK(INDEX('Policy Characteristics'!B:B,MATCH($C1210,'Policy Characteristics'!$C:$C,0))),"",INDEX('Policy Characteristics'!B:B,MATCH($C1210,'Policy Characteristics'!$C:$C,0)))</f>
        <v>Fuel Use Reduction</v>
      </c>
      <c r="C1210" s="394" t="str">
        <f t="shared" si="65"/>
        <v>RnD Industry Fuel Use Perc Reduction</v>
      </c>
      <c r="D1210" t="s">
        <v>772</v>
      </c>
      <c r="E1210" s="399"/>
      <c r="F1210" s="399" t="s">
        <v>903</v>
      </c>
      <c r="G1210" s="399"/>
      <c r="H1210" s="377">
        <v>1504</v>
      </c>
      <c r="I1210" s="396" t="s">
        <v>648</v>
      </c>
      <c r="J1210" s="397" t="str">
        <f>IF(ISBLANK(INDEX('Policy Characteristics'!D:D,MATCH($C1210,'Policy Characteristics'!$C:$C,0))),"",INDEX('Policy Characteristics'!D:D,MATCH($C1210,'Policy Characteristics'!$C:$C,0)))</f>
        <v>R&amp;D Fuel Use Reductions</v>
      </c>
      <c r="K1210" s="394" t="str">
        <f>IF(ISBLANK(INDEX('Policy Characteristics'!E:E,MATCH($C1210,'Policy Characteristics'!$C:$C,0))),"",INDEX('Policy Characteristics'!E:E,MATCH($C1210,'Policy Characteristics'!$C:$C,0)))</f>
        <v>RnD industry fuel use reduction</v>
      </c>
      <c r="L1210" s="398">
        <f>IF(ISBLANK(INDEX('Policy Characteristics'!F:F,MATCH($C1210,'Policy Characteristics'!$C:$C,0))),"",INDEX('Policy Characteristics'!F:F,MATCH($C1210,'Policy Characteristics'!$C:$C,0)))</f>
        <v>0</v>
      </c>
      <c r="M1210" s="398">
        <f>IF(ISBLANK(INDEX('Policy Characteristics'!G:G,MATCH($C1210,'Policy Characteristics'!$C:$C,0))),"",INDEX('Policy Characteristics'!G:G,MATCH($C1210,'Policy Characteristics'!$C:$C,0)))</f>
        <v>0.4</v>
      </c>
      <c r="N1210" s="398">
        <f>IF(ISBLANK(INDEX('Policy Characteristics'!H:H,MATCH($C1210,'Policy Characteristics'!$C:$C,0))),"",INDEX('Policy Characteristics'!H:H,MATCH($C1210,'Policy Characteristics'!$C:$C,0)))</f>
        <v>0.01</v>
      </c>
      <c r="O1210" s="394" t="str">
        <f>IF(ISBLANK(INDEX('Policy Characteristics'!I:I,MATCH($C1210,'Policy Characteristics'!$C:$C,0))),"",INDEX('Policy Characteristics'!I:I,MATCH($C1210,'Policy Characteristics'!$C:$C,0)))</f>
        <v>% reduction in fuel use</v>
      </c>
      <c r="P1210" s="394" t="str">
        <f>IF(ISBLANK(INDEX('Policy Characteristics'!J:J,MATCH($C1210,'Policy Characteristics'!$C:$C,0))),"",INDEX('Policy Characteristics'!J:J,MATCH($C1210,'Policy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0" s="394" t="str">
        <f>IF(ISBLANK(INDEX('Policy Characteristics'!K:K,MATCH($C1210,'Policy Characteristics'!$C:$C,0))),"",INDEX('Policy Characteristics'!K:K,MATCH($C1210,'Policy Characteristics'!$C:$C,0)))</f>
        <v>architectural-design.html#rnd</v>
      </c>
      <c r="R1210" s="394" t="str">
        <f>IF(ISBLANK(INDEX('Policy Characteristics'!L:L,MATCH($C1210,'Policy Characteristics'!$C:$C,0))),"",INDEX('Policy Characteristics'!L:L,MATCH($C1210,'Policy Characteristics'!$C:$C,0)))</f>
        <v>research-and-development.html</v>
      </c>
    </row>
    <row r="1211" customHeight="1" spans="1:18">
      <c r="A1211" s="394" t="str">
        <f>IF(ISBLANK(INDEX('Policy Characteristics'!A:A,MATCH($C1211,'Policy Characteristics'!$C:$C,0))),"",INDEX('Policy Characteristics'!A:A,MATCH($C1211,'Policy Characteristics'!$C:$C,0)))</f>
        <v>Research and Development</v>
      </c>
      <c r="B1211" s="395" t="str">
        <f>IF(ISBLANK(INDEX('Policy Characteristics'!B:B,MATCH($C1211,'Policy Characteristics'!$C:$C,0))),"",INDEX('Policy Characteristics'!B:B,MATCH($C1211,'Policy Characteristics'!$C:$C,0)))</f>
        <v>Fuel Use Reduction</v>
      </c>
      <c r="C1211" s="394" t="str">
        <f t="shared" si="65"/>
        <v>RnD Industry Fuel Use Perc Reduction</v>
      </c>
      <c r="D1211" t="s">
        <v>774</v>
      </c>
      <c r="E1211" s="399"/>
      <c r="F1211" s="399" t="s">
        <v>904</v>
      </c>
      <c r="G1211" s="399"/>
      <c r="H1211" s="377">
        <v>1505</v>
      </c>
      <c r="I1211" s="396" t="s">
        <v>648</v>
      </c>
      <c r="J1211" s="397" t="str">
        <f>IF(ISBLANK(INDEX('Policy Characteristics'!D:D,MATCH($C1211,'Policy Characteristics'!$C:$C,0))),"",INDEX('Policy Characteristics'!D:D,MATCH($C1211,'Policy Characteristics'!$C:$C,0)))</f>
        <v>R&amp;D Fuel Use Reductions</v>
      </c>
      <c r="K1211" s="394" t="str">
        <f>IF(ISBLANK(INDEX('Policy Characteristics'!E:E,MATCH($C1211,'Policy Characteristics'!$C:$C,0))),"",INDEX('Policy Characteristics'!E:E,MATCH($C1211,'Policy Characteristics'!$C:$C,0)))</f>
        <v>RnD industry fuel use reduction</v>
      </c>
      <c r="L1211" s="398">
        <f>IF(ISBLANK(INDEX('Policy Characteristics'!F:F,MATCH($C1211,'Policy Characteristics'!$C:$C,0))),"",INDEX('Policy Characteristics'!F:F,MATCH($C1211,'Policy Characteristics'!$C:$C,0)))</f>
        <v>0</v>
      </c>
      <c r="M1211" s="398">
        <f>IF(ISBLANK(INDEX('Policy Characteristics'!G:G,MATCH($C1211,'Policy Characteristics'!$C:$C,0))),"",INDEX('Policy Characteristics'!G:G,MATCH($C1211,'Policy Characteristics'!$C:$C,0)))</f>
        <v>0.4</v>
      </c>
      <c r="N1211" s="398">
        <f>IF(ISBLANK(INDEX('Policy Characteristics'!H:H,MATCH($C1211,'Policy Characteristics'!$C:$C,0))),"",INDEX('Policy Characteristics'!H:H,MATCH($C1211,'Policy Characteristics'!$C:$C,0)))</f>
        <v>0.01</v>
      </c>
      <c r="O1211" s="394" t="str">
        <f>IF(ISBLANK(INDEX('Policy Characteristics'!I:I,MATCH($C1211,'Policy Characteristics'!$C:$C,0))),"",INDEX('Policy Characteristics'!I:I,MATCH($C1211,'Policy Characteristics'!$C:$C,0)))</f>
        <v>% reduction in fuel use</v>
      </c>
      <c r="P1211" s="394" t="str">
        <f>IF(ISBLANK(INDEX('Policy Characteristics'!J:J,MATCH($C1211,'Policy Characteristics'!$C:$C,0))),"",INDEX('Policy Characteristics'!J:J,MATCH($C1211,'Policy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1" s="394" t="str">
        <f>IF(ISBLANK(INDEX('Policy Characteristics'!K:K,MATCH($C1211,'Policy Characteristics'!$C:$C,0))),"",INDEX('Policy Characteristics'!K:K,MATCH($C1211,'Policy Characteristics'!$C:$C,0)))</f>
        <v>architectural-design.html#rnd</v>
      </c>
      <c r="R1211" s="394" t="str">
        <f>IF(ISBLANK(INDEX('Policy Characteristics'!L:L,MATCH($C1211,'Policy Characteristics'!$C:$C,0))),"",INDEX('Policy Characteristics'!L:L,MATCH($C1211,'Policy Characteristics'!$C:$C,0)))</f>
        <v>research-and-development.html</v>
      </c>
    </row>
    <row r="1212" customHeight="1" spans="1:18">
      <c r="A1212" s="394" t="str">
        <f>IF(ISBLANK(INDEX('Policy Characteristics'!A:A,MATCH($C1212,'Policy Characteristics'!$C:$C,0))),"",INDEX('Policy Characteristics'!A:A,MATCH($C1212,'Policy Characteristics'!$C:$C,0)))</f>
        <v>Research and Development</v>
      </c>
      <c r="B1212" s="395" t="str">
        <f>IF(ISBLANK(INDEX('Policy Characteristics'!B:B,MATCH($C1212,'Policy Characteristics'!$C:$C,0))),"",INDEX('Policy Characteristics'!B:B,MATCH($C1212,'Policy Characteristics'!$C:$C,0)))</f>
        <v>Fuel Use Reduction</v>
      </c>
      <c r="C1212" s="394" t="str">
        <f t="shared" si="65"/>
        <v>RnD Industry Fuel Use Perc Reduction</v>
      </c>
      <c r="D1212" t="s">
        <v>776</v>
      </c>
      <c r="E1212" s="399"/>
      <c r="F1212" s="399" t="s">
        <v>905</v>
      </c>
      <c r="G1212" s="399"/>
      <c r="H1212" s="377">
        <v>1506</v>
      </c>
      <c r="I1212" s="396" t="s">
        <v>648</v>
      </c>
      <c r="J1212" s="397" t="str">
        <f>IF(ISBLANK(INDEX('Policy Characteristics'!D:D,MATCH($C1212,'Policy Characteristics'!$C:$C,0))),"",INDEX('Policy Characteristics'!D:D,MATCH($C1212,'Policy Characteristics'!$C:$C,0)))</f>
        <v>R&amp;D Fuel Use Reductions</v>
      </c>
      <c r="K1212" s="394" t="str">
        <f>IF(ISBLANK(INDEX('Policy Characteristics'!E:E,MATCH($C1212,'Policy Characteristics'!$C:$C,0))),"",INDEX('Policy Characteristics'!E:E,MATCH($C1212,'Policy Characteristics'!$C:$C,0)))</f>
        <v>RnD industry fuel use reduction</v>
      </c>
      <c r="L1212" s="398">
        <f>IF(ISBLANK(INDEX('Policy Characteristics'!F:F,MATCH($C1212,'Policy Characteristics'!$C:$C,0))),"",INDEX('Policy Characteristics'!F:F,MATCH($C1212,'Policy Characteristics'!$C:$C,0)))</f>
        <v>0</v>
      </c>
      <c r="M1212" s="398">
        <f>IF(ISBLANK(INDEX('Policy Characteristics'!G:G,MATCH($C1212,'Policy Characteristics'!$C:$C,0))),"",INDEX('Policy Characteristics'!G:G,MATCH($C1212,'Policy Characteristics'!$C:$C,0)))</f>
        <v>0.4</v>
      </c>
      <c r="N1212" s="398">
        <f>IF(ISBLANK(INDEX('Policy Characteristics'!H:H,MATCH($C1212,'Policy Characteristics'!$C:$C,0))),"",INDEX('Policy Characteristics'!H:H,MATCH($C1212,'Policy Characteristics'!$C:$C,0)))</f>
        <v>0.01</v>
      </c>
      <c r="O1212" s="394" t="str">
        <f>IF(ISBLANK(INDEX('Policy Characteristics'!I:I,MATCH($C1212,'Policy Characteristics'!$C:$C,0))),"",INDEX('Policy Characteristics'!I:I,MATCH($C1212,'Policy Characteristics'!$C:$C,0)))</f>
        <v>% reduction in fuel use</v>
      </c>
      <c r="P1212" s="394" t="str">
        <f>IF(ISBLANK(INDEX('Policy Characteristics'!J:J,MATCH($C1212,'Policy Characteristics'!$C:$C,0))),"",INDEX('Policy Characteristics'!J:J,MATCH($C1212,'Policy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2" s="394" t="str">
        <f>IF(ISBLANK(INDEX('Policy Characteristics'!K:K,MATCH($C1212,'Policy Characteristics'!$C:$C,0))),"",INDEX('Policy Characteristics'!K:K,MATCH($C1212,'Policy Characteristics'!$C:$C,0)))</f>
        <v>architectural-design.html#rnd</v>
      </c>
      <c r="R1212" s="394" t="str">
        <f>IF(ISBLANK(INDEX('Policy Characteristics'!L:L,MATCH($C1212,'Policy Characteristics'!$C:$C,0))),"",INDEX('Policy Characteristics'!L:L,MATCH($C1212,'Policy Characteristics'!$C:$C,0)))</f>
        <v>research-and-development.html</v>
      </c>
    </row>
    <row r="1213" customHeight="1" spans="1:18">
      <c r="A1213" s="394" t="str">
        <f>IF(ISBLANK(INDEX('Policy Characteristics'!A:A,MATCH($C1213,'Policy Characteristics'!$C:$C,0))),"",INDEX('Policy Characteristics'!A:A,MATCH($C1213,'Policy Characteristics'!$C:$C,0)))</f>
        <v>Research and Development</v>
      </c>
      <c r="B1213" s="395" t="str">
        <f>IF(ISBLANK(INDEX('Policy Characteristics'!B:B,MATCH($C1213,'Policy Characteristics'!$C:$C,0))),"",INDEX('Policy Characteristics'!B:B,MATCH($C1213,'Policy Characteristics'!$C:$C,0)))</f>
        <v>Fuel Use Reduction</v>
      </c>
      <c r="C1213" s="394" t="str">
        <f t="shared" si="65"/>
        <v>RnD Industry Fuel Use Perc Reduction</v>
      </c>
      <c r="D1213" t="s">
        <v>778</v>
      </c>
      <c r="E1213" s="399"/>
      <c r="F1213" s="399" t="s">
        <v>906</v>
      </c>
      <c r="G1213" s="399"/>
      <c r="H1213" s="377">
        <v>1507</v>
      </c>
      <c r="I1213" s="396" t="s">
        <v>648</v>
      </c>
      <c r="J1213" s="397" t="str">
        <f>IF(ISBLANK(INDEX('Policy Characteristics'!D:D,MATCH($C1213,'Policy Characteristics'!$C:$C,0))),"",INDEX('Policy Characteristics'!D:D,MATCH($C1213,'Policy Characteristics'!$C:$C,0)))</f>
        <v>R&amp;D Fuel Use Reductions</v>
      </c>
      <c r="K1213" s="394" t="str">
        <f>IF(ISBLANK(INDEX('Policy Characteristics'!E:E,MATCH($C1213,'Policy Characteristics'!$C:$C,0))),"",INDEX('Policy Characteristics'!E:E,MATCH($C1213,'Policy Characteristics'!$C:$C,0)))</f>
        <v>RnD industry fuel use reduction</v>
      </c>
      <c r="L1213" s="398">
        <f>IF(ISBLANK(INDEX('Policy Characteristics'!F:F,MATCH($C1213,'Policy Characteristics'!$C:$C,0))),"",INDEX('Policy Characteristics'!F:F,MATCH($C1213,'Policy Characteristics'!$C:$C,0)))</f>
        <v>0</v>
      </c>
      <c r="M1213" s="398">
        <f>IF(ISBLANK(INDEX('Policy Characteristics'!G:G,MATCH($C1213,'Policy Characteristics'!$C:$C,0))),"",INDEX('Policy Characteristics'!G:G,MATCH($C1213,'Policy Characteristics'!$C:$C,0)))</f>
        <v>0.4</v>
      </c>
      <c r="N1213" s="398">
        <f>IF(ISBLANK(INDEX('Policy Characteristics'!H:H,MATCH($C1213,'Policy Characteristics'!$C:$C,0))),"",INDEX('Policy Characteristics'!H:H,MATCH($C1213,'Policy Characteristics'!$C:$C,0)))</f>
        <v>0.01</v>
      </c>
      <c r="O1213" s="394" t="str">
        <f>IF(ISBLANK(INDEX('Policy Characteristics'!I:I,MATCH($C1213,'Policy Characteristics'!$C:$C,0))),"",INDEX('Policy Characteristics'!I:I,MATCH($C1213,'Policy Characteristics'!$C:$C,0)))</f>
        <v>% reduction in fuel use</v>
      </c>
      <c r="P1213" s="394" t="str">
        <f>IF(ISBLANK(INDEX('Policy Characteristics'!J:J,MATCH($C1213,'Policy Characteristics'!$C:$C,0))),"",INDEX('Policy Characteristics'!J:J,MATCH($C1213,'Policy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3" s="394" t="str">
        <f>IF(ISBLANK(INDEX('Policy Characteristics'!K:K,MATCH($C1213,'Policy Characteristics'!$C:$C,0))),"",INDEX('Policy Characteristics'!K:K,MATCH($C1213,'Policy Characteristics'!$C:$C,0)))</f>
        <v>architectural-design.html#rnd</v>
      </c>
      <c r="R1213" s="394" t="str">
        <f>IF(ISBLANK(INDEX('Policy Characteristics'!L:L,MATCH($C1213,'Policy Characteristics'!$C:$C,0))),"",INDEX('Policy Characteristics'!L:L,MATCH($C1213,'Policy Characteristics'!$C:$C,0)))</f>
        <v>research-and-development.html</v>
      </c>
    </row>
    <row r="1214" customHeight="1" spans="1:18">
      <c r="A1214" s="394" t="str">
        <f>IF(ISBLANK(INDEX('Policy Characteristics'!A:A,MATCH($C1214,'Policy Characteristics'!$C:$C,0))),"",INDEX('Policy Characteristics'!A:A,MATCH($C1214,'Policy Characteristics'!$C:$C,0)))</f>
        <v>Research and Development</v>
      </c>
      <c r="B1214" s="395" t="str">
        <f>IF(ISBLANK(INDEX('Policy Characteristics'!B:B,MATCH($C1214,'Policy Characteristics'!$C:$C,0))),"",INDEX('Policy Characteristics'!B:B,MATCH($C1214,'Policy Characteristics'!$C:$C,0)))</f>
        <v>Fuel Use Reduction</v>
      </c>
      <c r="C1214" s="394" t="str">
        <f t="shared" si="65"/>
        <v>RnD Industry Fuel Use Perc Reduction</v>
      </c>
      <c r="D1214" t="s">
        <v>780</v>
      </c>
      <c r="E1214" s="399"/>
      <c r="F1214" s="399" t="s">
        <v>907</v>
      </c>
      <c r="G1214" s="399"/>
      <c r="H1214" s="377">
        <v>1508</v>
      </c>
      <c r="I1214" s="396" t="s">
        <v>648</v>
      </c>
      <c r="J1214" s="397" t="str">
        <f>IF(ISBLANK(INDEX('Policy Characteristics'!D:D,MATCH($C1214,'Policy Characteristics'!$C:$C,0))),"",INDEX('Policy Characteristics'!D:D,MATCH($C1214,'Policy Characteristics'!$C:$C,0)))</f>
        <v>R&amp;D Fuel Use Reductions</v>
      </c>
      <c r="K1214" s="394" t="str">
        <f>IF(ISBLANK(INDEX('Policy Characteristics'!E:E,MATCH($C1214,'Policy Characteristics'!$C:$C,0))),"",INDEX('Policy Characteristics'!E:E,MATCH($C1214,'Policy Characteristics'!$C:$C,0)))</f>
        <v>RnD industry fuel use reduction</v>
      </c>
      <c r="L1214" s="398">
        <f>IF(ISBLANK(INDEX('Policy Characteristics'!F:F,MATCH($C1214,'Policy Characteristics'!$C:$C,0))),"",INDEX('Policy Characteristics'!F:F,MATCH($C1214,'Policy Characteristics'!$C:$C,0)))</f>
        <v>0</v>
      </c>
      <c r="M1214" s="398">
        <f>IF(ISBLANK(INDEX('Policy Characteristics'!G:G,MATCH($C1214,'Policy Characteristics'!$C:$C,0))),"",INDEX('Policy Characteristics'!G:G,MATCH($C1214,'Policy Characteristics'!$C:$C,0)))</f>
        <v>0.4</v>
      </c>
      <c r="N1214" s="398">
        <f>IF(ISBLANK(INDEX('Policy Characteristics'!H:H,MATCH($C1214,'Policy Characteristics'!$C:$C,0))),"",INDEX('Policy Characteristics'!H:H,MATCH($C1214,'Policy Characteristics'!$C:$C,0)))</f>
        <v>0.01</v>
      </c>
      <c r="O1214" s="394" t="str">
        <f>IF(ISBLANK(INDEX('Policy Characteristics'!I:I,MATCH($C1214,'Policy Characteristics'!$C:$C,0))),"",INDEX('Policy Characteristics'!I:I,MATCH($C1214,'Policy Characteristics'!$C:$C,0)))</f>
        <v>% reduction in fuel use</v>
      </c>
      <c r="P1214" s="394" t="str">
        <f>IF(ISBLANK(INDEX('Policy Characteristics'!J:J,MATCH($C1214,'Policy Characteristics'!$C:$C,0))),"",INDEX('Policy Characteristics'!J:J,MATCH($C1214,'Policy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4" s="394" t="str">
        <f>IF(ISBLANK(INDEX('Policy Characteristics'!K:K,MATCH($C1214,'Policy Characteristics'!$C:$C,0))),"",INDEX('Policy Characteristics'!K:K,MATCH($C1214,'Policy Characteristics'!$C:$C,0)))</f>
        <v>architectural-design.html#rnd</v>
      </c>
      <c r="R1214" s="394" t="str">
        <f>IF(ISBLANK(INDEX('Policy Characteristics'!L:L,MATCH($C1214,'Policy Characteristics'!$C:$C,0))),"",INDEX('Policy Characteristics'!L:L,MATCH($C1214,'Policy Characteristics'!$C:$C,0)))</f>
        <v>research-and-development.html</v>
      </c>
    </row>
    <row r="1215" customHeight="1" spans="1:18">
      <c r="A1215" s="394" t="str">
        <f>IF(ISBLANK(INDEX('Policy Characteristics'!A:A,MATCH($C1215,'Policy Characteristics'!$C:$C,0))),"",INDEX('Policy Characteristics'!A:A,MATCH($C1215,'Policy Characteristics'!$C:$C,0)))</f>
        <v>Research and Development</v>
      </c>
      <c r="B1215" s="395" t="str">
        <f>IF(ISBLANK(INDEX('Policy Characteristics'!B:B,MATCH($C1215,'Policy Characteristics'!$C:$C,0))),"",INDEX('Policy Characteristics'!B:B,MATCH($C1215,'Policy Characteristics'!$C:$C,0)))</f>
        <v>Fuel Use Reduction</v>
      </c>
      <c r="C1215" s="394" t="str">
        <f t="shared" si="65"/>
        <v>RnD Industry Fuel Use Perc Reduction</v>
      </c>
      <c r="D1215" t="s">
        <v>782</v>
      </c>
      <c r="E1215" s="399"/>
      <c r="F1215" s="400" t="s">
        <v>908</v>
      </c>
      <c r="G1215" s="399"/>
      <c r="H1215" s="377">
        <v>1509</v>
      </c>
      <c r="I1215" s="396" t="s">
        <v>648</v>
      </c>
      <c r="J1215" s="397" t="str">
        <f>IF(ISBLANK(INDEX('Policy Characteristics'!D:D,MATCH($C1215,'Policy Characteristics'!$C:$C,0))),"",INDEX('Policy Characteristics'!D:D,MATCH($C1215,'Policy Characteristics'!$C:$C,0)))</f>
        <v>R&amp;D Fuel Use Reductions</v>
      </c>
      <c r="K1215" s="394" t="str">
        <f>IF(ISBLANK(INDEX('Policy Characteristics'!E:E,MATCH($C1215,'Policy Characteristics'!$C:$C,0))),"",INDEX('Policy Characteristics'!E:E,MATCH($C1215,'Policy Characteristics'!$C:$C,0)))</f>
        <v>RnD industry fuel use reduction</v>
      </c>
      <c r="L1215" s="398">
        <f>IF(ISBLANK(INDEX('Policy Characteristics'!F:F,MATCH($C1215,'Policy Characteristics'!$C:$C,0))),"",INDEX('Policy Characteristics'!F:F,MATCH($C1215,'Policy Characteristics'!$C:$C,0)))</f>
        <v>0</v>
      </c>
      <c r="M1215" s="398">
        <f>IF(ISBLANK(INDEX('Policy Characteristics'!G:G,MATCH($C1215,'Policy Characteristics'!$C:$C,0))),"",INDEX('Policy Characteristics'!G:G,MATCH($C1215,'Policy Characteristics'!$C:$C,0)))</f>
        <v>0.4</v>
      </c>
      <c r="N1215" s="398">
        <f>IF(ISBLANK(INDEX('Policy Characteristics'!H:H,MATCH($C1215,'Policy Characteristics'!$C:$C,0))),"",INDEX('Policy Characteristics'!H:H,MATCH($C1215,'Policy Characteristics'!$C:$C,0)))</f>
        <v>0.01</v>
      </c>
      <c r="O1215" s="394" t="str">
        <f>IF(ISBLANK(INDEX('Policy Characteristics'!I:I,MATCH($C1215,'Policy Characteristics'!$C:$C,0))),"",INDEX('Policy Characteristics'!I:I,MATCH($C1215,'Policy Characteristics'!$C:$C,0)))</f>
        <v>% reduction in fuel use</v>
      </c>
      <c r="P1215" s="394" t="str">
        <f>IF(ISBLANK(INDEX('Policy Characteristics'!J:J,MATCH($C1215,'Policy Characteristics'!$C:$C,0))),"",INDEX('Policy Characteristics'!J:J,MATCH($C1215,'Policy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5" s="394" t="str">
        <f>IF(ISBLANK(INDEX('Policy Characteristics'!K:K,MATCH($C1215,'Policy Characteristics'!$C:$C,0))),"",INDEX('Policy Characteristics'!K:K,MATCH($C1215,'Policy Characteristics'!$C:$C,0)))</f>
        <v>architectural-design.html#rnd</v>
      </c>
      <c r="R1215" s="394" t="str">
        <f>IF(ISBLANK(INDEX('Policy Characteristics'!L:L,MATCH($C1215,'Policy Characteristics'!$C:$C,0))),"",INDEX('Policy Characteristics'!L:L,MATCH($C1215,'Policy Characteristics'!$C:$C,0)))</f>
        <v>research-and-development.html</v>
      </c>
    </row>
    <row r="1216" customHeight="1" spans="1:18">
      <c r="A1216" s="394" t="str">
        <f>IF(ISBLANK(INDEX('Policy Characteristics'!A:A,MATCH($C1216,'Policy Characteristics'!$C:$C,0))),"",INDEX('Policy Characteristics'!A:A,MATCH($C1216,'Policy Characteristics'!$C:$C,0)))</f>
        <v>Research and Development</v>
      </c>
      <c r="B1216" s="395" t="str">
        <f>IF(ISBLANK(INDEX('Policy Characteristics'!B:B,MATCH($C1216,'Policy Characteristics'!$C:$C,0))),"",INDEX('Policy Characteristics'!B:B,MATCH($C1216,'Policy Characteristics'!$C:$C,0)))</f>
        <v>Fuel Use Reduction</v>
      </c>
      <c r="C1216" s="394" t="str">
        <f t="shared" si="65"/>
        <v>RnD Industry Fuel Use Perc Reduction</v>
      </c>
      <c r="D1216" t="s">
        <v>784</v>
      </c>
      <c r="E1216" s="399"/>
      <c r="F1216" s="399" t="s">
        <v>909</v>
      </c>
      <c r="G1216" s="399"/>
      <c r="H1216" s="377">
        <v>1510</v>
      </c>
      <c r="I1216" s="396" t="s">
        <v>648</v>
      </c>
      <c r="J1216" s="397" t="str">
        <f>IF(ISBLANK(INDEX('Policy Characteristics'!D:D,MATCH($C1216,'Policy Characteristics'!$C:$C,0))),"",INDEX('Policy Characteristics'!D:D,MATCH($C1216,'Policy Characteristics'!$C:$C,0)))</f>
        <v>R&amp;D Fuel Use Reductions</v>
      </c>
      <c r="K1216" s="394" t="str">
        <f>IF(ISBLANK(INDEX('Policy Characteristics'!E:E,MATCH($C1216,'Policy Characteristics'!$C:$C,0))),"",INDEX('Policy Characteristics'!E:E,MATCH($C1216,'Policy Characteristics'!$C:$C,0)))</f>
        <v>RnD industry fuel use reduction</v>
      </c>
      <c r="L1216" s="398">
        <f>IF(ISBLANK(INDEX('Policy Characteristics'!F:F,MATCH($C1216,'Policy Characteristics'!$C:$C,0))),"",INDEX('Policy Characteristics'!F:F,MATCH($C1216,'Policy Characteristics'!$C:$C,0)))</f>
        <v>0</v>
      </c>
      <c r="M1216" s="398">
        <f>IF(ISBLANK(INDEX('Policy Characteristics'!G:G,MATCH($C1216,'Policy Characteristics'!$C:$C,0))),"",INDEX('Policy Characteristics'!G:G,MATCH($C1216,'Policy Characteristics'!$C:$C,0)))</f>
        <v>0.4</v>
      </c>
      <c r="N1216" s="398">
        <f>IF(ISBLANK(INDEX('Policy Characteristics'!H:H,MATCH($C1216,'Policy Characteristics'!$C:$C,0))),"",INDEX('Policy Characteristics'!H:H,MATCH($C1216,'Policy Characteristics'!$C:$C,0)))</f>
        <v>0.01</v>
      </c>
      <c r="O1216" s="394" t="str">
        <f>IF(ISBLANK(INDEX('Policy Characteristics'!I:I,MATCH($C1216,'Policy Characteristics'!$C:$C,0))),"",INDEX('Policy Characteristics'!I:I,MATCH($C1216,'Policy Characteristics'!$C:$C,0)))</f>
        <v>% reduction in fuel use</v>
      </c>
      <c r="P1216" s="394" t="str">
        <f>IF(ISBLANK(INDEX('Policy Characteristics'!J:J,MATCH($C1216,'Policy Characteristics'!$C:$C,0))),"",INDEX('Policy Characteristics'!J:J,MATCH($C1216,'Policy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6" s="394" t="str">
        <f>IF(ISBLANK(INDEX('Policy Characteristics'!K:K,MATCH($C1216,'Policy Characteristics'!$C:$C,0))),"",INDEX('Policy Characteristics'!K:K,MATCH($C1216,'Policy Characteristics'!$C:$C,0)))</f>
        <v>architectural-design.html#rnd</v>
      </c>
      <c r="R1216" s="394" t="str">
        <f>IF(ISBLANK(INDEX('Policy Characteristics'!L:L,MATCH($C1216,'Policy Characteristics'!$C:$C,0))),"",INDEX('Policy Characteristics'!L:L,MATCH($C1216,'Policy Characteristics'!$C:$C,0)))</f>
        <v>research-and-development.html</v>
      </c>
    </row>
    <row r="1217" customHeight="1" spans="1:18">
      <c r="A1217" s="394" t="str">
        <f>IF(ISBLANK(INDEX('Policy Characteristics'!A:A,MATCH($C1217,'Policy Characteristics'!$C:$C,0))),"",INDEX('Policy Characteristics'!A:A,MATCH($C1217,'Policy Characteristics'!$C:$C,0)))</f>
        <v>Research and Development</v>
      </c>
      <c r="B1217" s="395" t="str">
        <f>IF(ISBLANK(INDEX('Policy Characteristics'!B:B,MATCH($C1217,'Policy Characteristics'!$C:$C,0))),"",INDEX('Policy Characteristics'!B:B,MATCH($C1217,'Policy Characteristics'!$C:$C,0)))</f>
        <v>Fuel Use Reduction</v>
      </c>
      <c r="C1217" s="394" t="str">
        <f t="shared" si="65"/>
        <v>RnD Industry Fuel Use Perc Reduction</v>
      </c>
      <c r="D1217" t="s">
        <v>786</v>
      </c>
      <c r="E1217" s="399"/>
      <c r="F1217" s="399" t="s">
        <v>910</v>
      </c>
      <c r="G1217" s="399"/>
      <c r="H1217" s="377">
        <v>1511</v>
      </c>
      <c r="I1217" s="396" t="s">
        <v>648</v>
      </c>
      <c r="J1217" s="397" t="str">
        <f>IF(ISBLANK(INDEX('Policy Characteristics'!D:D,MATCH($C1217,'Policy Characteristics'!$C:$C,0))),"",INDEX('Policy Characteristics'!D:D,MATCH($C1217,'Policy Characteristics'!$C:$C,0)))</f>
        <v>R&amp;D Fuel Use Reductions</v>
      </c>
      <c r="K1217" s="394" t="str">
        <f>IF(ISBLANK(INDEX('Policy Characteristics'!E:E,MATCH($C1217,'Policy Characteristics'!$C:$C,0))),"",INDEX('Policy Characteristics'!E:E,MATCH($C1217,'Policy Characteristics'!$C:$C,0)))</f>
        <v>RnD industry fuel use reduction</v>
      </c>
      <c r="L1217" s="398">
        <f>IF(ISBLANK(INDEX('Policy Characteristics'!F:F,MATCH($C1217,'Policy Characteristics'!$C:$C,0))),"",INDEX('Policy Characteristics'!F:F,MATCH($C1217,'Policy Characteristics'!$C:$C,0)))</f>
        <v>0</v>
      </c>
      <c r="M1217" s="398">
        <f>IF(ISBLANK(INDEX('Policy Characteristics'!G:G,MATCH($C1217,'Policy Characteristics'!$C:$C,0))),"",INDEX('Policy Characteristics'!G:G,MATCH($C1217,'Policy Characteristics'!$C:$C,0)))</f>
        <v>0.4</v>
      </c>
      <c r="N1217" s="398">
        <f>IF(ISBLANK(INDEX('Policy Characteristics'!H:H,MATCH($C1217,'Policy Characteristics'!$C:$C,0))),"",INDEX('Policy Characteristics'!H:H,MATCH($C1217,'Policy Characteristics'!$C:$C,0)))</f>
        <v>0.01</v>
      </c>
      <c r="O1217" s="394" t="str">
        <f>IF(ISBLANK(INDEX('Policy Characteristics'!I:I,MATCH($C1217,'Policy Characteristics'!$C:$C,0))),"",INDEX('Policy Characteristics'!I:I,MATCH($C1217,'Policy Characteristics'!$C:$C,0)))</f>
        <v>% reduction in fuel use</v>
      </c>
      <c r="P1217" s="394" t="str">
        <f>IF(ISBLANK(INDEX('Policy Characteristics'!J:J,MATCH($C1217,'Policy Characteristics'!$C:$C,0))),"",INDEX('Policy Characteristics'!J:J,MATCH($C1217,'Policy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7" s="394" t="str">
        <f>IF(ISBLANK(INDEX('Policy Characteristics'!K:K,MATCH($C1217,'Policy Characteristics'!$C:$C,0))),"",INDEX('Policy Characteristics'!K:K,MATCH($C1217,'Policy Characteristics'!$C:$C,0)))</f>
        <v>architectural-design.html#rnd</v>
      </c>
      <c r="R1217" s="394" t="str">
        <f>IF(ISBLANK(INDEX('Policy Characteristics'!L:L,MATCH($C1217,'Policy Characteristics'!$C:$C,0))),"",INDEX('Policy Characteristics'!L:L,MATCH($C1217,'Policy Characteristics'!$C:$C,0)))</f>
        <v>research-and-development.html</v>
      </c>
    </row>
    <row r="1218" customHeight="1" spans="1:18">
      <c r="A1218" s="394" t="str">
        <f>IF(ISBLANK(INDEX('Policy Characteristics'!A:A,MATCH($C1218,'Policy Characteristics'!$C:$C,0))),"",INDEX('Policy Characteristics'!A:A,MATCH($C1218,'Policy Characteristics'!$C:$C,0)))</f>
        <v>Research and Development</v>
      </c>
      <c r="B1218" s="395" t="str">
        <f>IF(ISBLANK(INDEX('Policy Characteristics'!B:B,MATCH($C1218,'Policy Characteristics'!$C:$C,0))),"",INDEX('Policy Characteristics'!B:B,MATCH($C1218,'Policy Characteristics'!$C:$C,0)))</f>
        <v>Fuel Use Reduction</v>
      </c>
      <c r="C1218" t="s">
        <v>599</v>
      </c>
      <c r="D1218" s="399" t="s">
        <v>911</v>
      </c>
      <c r="E1218" s="399"/>
      <c r="F1218" s="399" t="s">
        <v>912</v>
      </c>
      <c r="G1218" s="399"/>
      <c r="H1218" s="377">
        <v>133</v>
      </c>
      <c r="I1218" s="396" t="s">
        <v>648</v>
      </c>
      <c r="J1218" s="397" t="str">
        <f>IF(ISBLANK(INDEX('Policy Characteristics'!D:D,MATCH($C1218,'Policy Characteristics'!$C:$C,0))),"",INDEX('Policy Characteristics'!D:D,MATCH($C1218,'Policy Characteristics'!$C:$C,0)))</f>
        <v>R&amp;D Fuel Use Reductions</v>
      </c>
      <c r="K1218" s="394" t="str">
        <f>IF(ISBLANK(INDEX('Policy Characteristics'!E:E,MATCH($C1218,'Policy Characteristics'!$C:$C,0))),"",INDEX('Policy Characteristics'!E:E,MATCH($C1218,'Policy Characteristics'!$C:$C,0)))</f>
        <v>RnD transportation fuel use reduction</v>
      </c>
      <c r="L1218" s="398">
        <f>IF(ISBLANK(INDEX('Policy Characteristics'!F:F,MATCH($C1218,'Policy Characteristics'!$C:$C,0))),"",INDEX('Policy Characteristics'!F:F,MATCH($C1218,'Policy Characteristics'!$C:$C,0)))</f>
        <v>0</v>
      </c>
      <c r="M1218" s="398">
        <f>IF(ISBLANK(INDEX('Policy Characteristics'!G:G,MATCH($C1218,'Policy Characteristics'!$C:$C,0))),"",INDEX('Policy Characteristics'!G:G,MATCH($C1218,'Policy Characteristics'!$C:$C,0)))</f>
        <v>0.4</v>
      </c>
      <c r="N1218" s="398">
        <f>IF(ISBLANK(INDEX('Policy Characteristics'!H:H,MATCH($C1218,'Policy Characteristics'!$C:$C,0))),"",INDEX('Policy Characteristics'!H:H,MATCH($C1218,'Policy Characteristics'!$C:$C,0)))</f>
        <v>0.01</v>
      </c>
      <c r="O1218" s="394" t="str">
        <f>IF(ISBLANK(INDEX('Policy Characteristics'!I:I,MATCH($C1218,'Policy Characteristics'!$C:$C,0))),"",INDEX('Policy Characteristics'!I:I,MATCH($C1218,'Policy Characteristics'!$C:$C,0)))</f>
        <v>% reduction in fuel use</v>
      </c>
      <c r="P1218" s="394" t="str">
        <f>IF(ISBLANK(INDEX('Policy Characteristics'!J:J,MATCH($C1218,'Policy Characteristics'!$C:$C,0))),"",INDEX('Policy Characteristics'!J:J,MATCH($C1218,'Policy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8" s="394" t="str">
        <f>IF(ISBLANK(INDEX('Policy Characteristics'!K:K,MATCH($C1218,'Policy Characteristics'!$C:$C,0))),"",INDEX('Policy Characteristics'!K:K,MATCH($C1218,'Policy Characteristics'!$C:$C,0)))</f>
        <v>architectural-design.html#rnd</v>
      </c>
      <c r="R1218" s="394" t="str">
        <f>IF(ISBLANK(INDEX('Policy Characteristics'!L:L,MATCH($C1218,'Policy Characteristics'!$C:$C,0))),"",INDEX('Policy Characteristics'!L:L,MATCH($C1218,'Policy Characteristics'!$C:$C,0)))</f>
        <v>research-and-development.html</v>
      </c>
    </row>
    <row r="1219" customHeight="1" spans="1:18">
      <c r="A1219" s="394" t="str">
        <f>IF(ISBLANK(INDEX('Policy Characteristics'!A:A,MATCH($C1219,'Policy Characteristics'!$C:$C,0))),"",INDEX('Policy Characteristics'!A:A,MATCH($C1219,'Policy Characteristics'!$C:$C,0)))</f>
        <v>Research and Development</v>
      </c>
      <c r="B1219" s="395" t="str">
        <f>IF(ISBLANK(INDEX('Policy Characteristics'!B:B,MATCH($C1219,'Policy Characteristics'!$C:$C,0))),"",INDEX('Policy Characteristics'!B:B,MATCH($C1219,'Policy Characteristics'!$C:$C,0)))</f>
        <v>Fuel Use Reduction</v>
      </c>
      <c r="C1219" s="394" t="str">
        <f t="shared" ref="C1219:C1224" si="66">C$1218</f>
        <v>RnD Transportation Fuel Use Perc Reduction</v>
      </c>
      <c r="D1219" s="399" t="s">
        <v>913</v>
      </c>
      <c r="E1219" s="399"/>
      <c r="F1219" s="399" t="s">
        <v>914</v>
      </c>
      <c r="G1219" s="399"/>
      <c r="H1219" s="377">
        <v>134</v>
      </c>
      <c r="I1219" s="396" t="s">
        <v>648</v>
      </c>
      <c r="J1219" s="397" t="str">
        <f>IF(ISBLANK(INDEX('Policy Characteristics'!D:D,MATCH($C1219,'Policy Characteristics'!$C:$C,0))),"",INDEX('Policy Characteristics'!D:D,MATCH($C1219,'Policy Characteristics'!$C:$C,0)))</f>
        <v>R&amp;D Fuel Use Reductions</v>
      </c>
      <c r="K1219" s="394" t="str">
        <f>IF(ISBLANK(INDEX('Policy Characteristics'!E:E,MATCH($C1219,'Policy Characteristics'!$C:$C,0))),"",INDEX('Policy Characteristics'!E:E,MATCH($C1219,'Policy Characteristics'!$C:$C,0)))</f>
        <v>RnD transportation fuel use reduction</v>
      </c>
      <c r="L1219" s="398">
        <f>IF(ISBLANK(INDEX('Policy Characteristics'!F:F,MATCH($C1219,'Policy Characteristics'!$C:$C,0))),"",INDEX('Policy Characteristics'!F:F,MATCH($C1219,'Policy Characteristics'!$C:$C,0)))</f>
        <v>0</v>
      </c>
      <c r="M1219" s="398">
        <f>IF(ISBLANK(INDEX('Policy Characteristics'!G:G,MATCH($C1219,'Policy Characteristics'!$C:$C,0))),"",INDEX('Policy Characteristics'!G:G,MATCH($C1219,'Policy Characteristics'!$C:$C,0)))</f>
        <v>0.4</v>
      </c>
      <c r="N1219" s="398">
        <f>IF(ISBLANK(INDEX('Policy Characteristics'!H:H,MATCH($C1219,'Policy Characteristics'!$C:$C,0))),"",INDEX('Policy Characteristics'!H:H,MATCH($C1219,'Policy Characteristics'!$C:$C,0)))</f>
        <v>0.01</v>
      </c>
      <c r="O1219" s="394" t="str">
        <f>IF(ISBLANK(INDEX('Policy Characteristics'!I:I,MATCH($C1219,'Policy Characteristics'!$C:$C,0))),"",INDEX('Policy Characteristics'!I:I,MATCH($C1219,'Policy Characteristics'!$C:$C,0)))</f>
        <v>% reduction in fuel use</v>
      </c>
      <c r="P1219" s="394" t="str">
        <f>IF(ISBLANK(INDEX('Policy Characteristics'!J:J,MATCH($C1219,'Policy Characteristics'!$C:$C,0))),"",INDEX('Policy Characteristics'!J:J,MATCH($C1219,'Policy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9" s="394" t="str">
        <f>IF(ISBLANK(INDEX('Policy Characteristics'!K:K,MATCH($C1219,'Policy Characteristics'!$C:$C,0))),"",INDEX('Policy Characteristics'!K:K,MATCH($C1219,'Policy Characteristics'!$C:$C,0)))</f>
        <v>architectural-design.html#rnd</v>
      </c>
      <c r="R1219" s="394" t="str">
        <f>IF(ISBLANK(INDEX('Policy Characteristics'!L:L,MATCH($C1219,'Policy Characteristics'!$C:$C,0))),"",INDEX('Policy Characteristics'!L:L,MATCH($C1219,'Policy Characteristics'!$C:$C,0)))</f>
        <v>research-and-development.html</v>
      </c>
    </row>
    <row r="1220" customHeight="1" spans="1:18">
      <c r="A1220" s="394" t="str">
        <f>IF(ISBLANK(INDEX('Policy Characteristics'!A:A,MATCH($C1220,'Policy Characteristics'!$C:$C,0))),"",INDEX('Policy Characteristics'!A:A,MATCH($C1220,'Policy Characteristics'!$C:$C,0)))</f>
        <v>Research and Development</v>
      </c>
      <c r="B1220" s="395" t="str">
        <f>IF(ISBLANK(INDEX('Policy Characteristics'!B:B,MATCH($C1220,'Policy Characteristics'!$C:$C,0))),"",INDEX('Policy Characteristics'!B:B,MATCH($C1220,'Policy Characteristics'!$C:$C,0)))</f>
        <v>Fuel Use Reduction</v>
      </c>
      <c r="C1220" s="394" t="str">
        <f t="shared" si="66"/>
        <v>RnD Transportation Fuel Use Perc Reduction</v>
      </c>
      <c r="D1220" s="399" t="s">
        <v>915</v>
      </c>
      <c r="E1220" s="399"/>
      <c r="F1220" s="399" t="s">
        <v>916</v>
      </c>
      <c r="G1220" s="399"/>
      <c r="H1220" s="377">
        <v>135</v>
      </c>
      <c r="I1220" s="396" t="s">
        <v>648</v>
      </c>
      <c r="J1220" s="397" t="str">
        <f>IF(ISBLANK(INDEX('Policy Characteristics'!D:D,MATCH($C1220,'Policy Characteristics'!$C:$C,0))),"",INDEX('Policy Characteristics'!D:D,MATCH($C1220,'Policy Characteristics'!$C:$C,0)))</f>
        <v>R&amp;D Fuel Use Reductions</v>
      </c>
      <c r="K1220" s="394" t="str">
        <f>IF(ISBLANK(INDEX('Policy Characteristics'!E:E,MATCH($C1220,'Policy Characteristics'!$C:$C,0))),"",INDEX('Policy Characteristics'!E:E,MATCH($C1220,'Policy Characteristics'!$C:$C,0)))</f>
        <v>RnD transportation fuel use reduction</v>
      </c>
      <c r="L1220" s="398">
        <f>IF(ISBLANK(INDEX('Policy Characteristics'!F:F,MATCH($C1220,'Policy Characteristics'!$C:$C,0))),"",INDEX('Policy Characteristics'!F:F,MATCH($C1220,'Policy Characteristics'!$C:$C,0)))</f>
        <v>0</v>
      </c>
      <c r="M1220" s="398">
        <f>IF(ISBLANK(INDEX('Policy Characteristics'!G:G,MATCH($C1220,'Policy Characteristics'!$C:$C,0))),"",INDEX('Policy Characteristics'!G:G,MATCH($C1220,'Policy Characteristics'!$C:$C,0)))</f>
        <v>0.4</v>
      </c>
      <c r="N1220" s="398">
        <f>IF(ISBLANK(INDEX('Policy Characteristics'!H:H,MATCH($C1220,'Policy Characteristics'!$C:$C,0))),"",INDEX('Policy Characteristics'!H:H,MATCH($C1220,'Policy Characteristics'!$C:$C,0)))</f>
        <v>0.01</v>
      </c>
      <c r="O1220" s="394" t="str">
        <f>IF(ISBLANK(INDEX('Policy Characteristics'!I:I,MATCH($C1220,'Policy Characteristics'!$C:$C,0))),"",INDEX('Policy Characteristics'!I:I,MATCH($C1220,'Policy Characteristics'!$C:$C,0)))</f>
        <v>% reduction in fuel use</v>
      </c>
      <c r="P1220" s="394" t="str">
        <f>IF(ISBLANK(INDEX('Policy Characteristics'!J:J,MATCH($C1220,'Policy Characteristics'!$C:$C,0))),"",INDEX('Policy Characteristics'!J:J,MATCH($C1220,'Policy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0" s="394" t="str">
        <f>IF(ISBLANK(INDEX('Policy Characteristics'!K:K,MATCH($C1220,'Policy Characteristics'!$C:$C,0))),"",INDEX('Policy Characteristics'!K:K,MATCH($C1220,'Policy Characteristics'!$C:$C,0)))</f>
        <v>architectural-design.html#rnd</v>
      </c>
      <c r="R1220" s="394" t="str">
        <f>IF(ISBLANK(INDEX('Policy Characteristics'!L:L,MATCH($C1220,'Policy Characteristics'!$C:$C,0))),"",INDEX('Policy Characteristics'!L:L,MATCH($C1220,'Policy Characteristics'!$C:$C,0)))</f>
        <v>research-and-development.html</v>
      </c>
    </row>
    <row r="1221" customHeight="1" spans="1:18">
      <c r="A1221" s="394" t="str">
        <f>IF(ISBLANK(INDEX('Policy Characteristics'!A:A,MATCH($C1221,'Policy Characteristics'!$C:$C,0))),"",INDEX('Policy Characteristics'!A:A,MATCH($C1221,'Policy Characteristics'!$C:$C,0)))</f>
        <v>Research and Development</v>
      </c>
      <c r="B1221" s="395" t="str">
        <f>IF(ISBLANK(INDEX('Policy Characteristics'!B:B,MATCH($C1221,'Policy Characteristics'!$C:$C,0))),"",INDEX('Policy Characteristics'!B:B,MATCH($C1221,'Policy Characteristics'!$C:$C,0)))</f>
        <v>Fuel Use Reduction</v>
      </c>
      <c r="C1221" s="394" t="str">
        <f t="shared" si="66"/>
        <v>RnD Transportation Fuel Use Perc Reduction</v>
      </c>
      <c r="D1221" s="399" t="s">
        <v>917</v>
      </c>
      <c r="E1221" s="399"/>
      <c r="F1221" s="399" t="s">
        <v>918</v>
      </c>
      <c r="G1221" s="399"/>
      <c r="H1221" s="377">
        <v>136</v>
      </c>
      <c r="I1221" s="396" t="s">
        <v>648</v>
      </c>
      <c r="J1221" s="397" t="str">
        <f>IF(ISBLANK(INDEX('Policy Characteristics'!D:D,MATCH($C1221,'Policy Characteristics'!$C:$C,0))),"",INDEX('Policy Characteristics'!D:D,MATCH($C1221,'Policy Characteristics'!$C:$C,0)))</f>
        <v>R&amp;D Fuel Use Reductions</v>
      </c>
      <c r="K1221" s="394" t="str">
        <f>IF(ISBLANK(INDEX('Policy Characteristics'!E:E,MATCH($C1221,'Policy Characteristics'!$C:$C,0))),"",INDEX('Policy Characteristics'!E:E,MATCH($C1221,'Policy Characteristics'!$C:$C,0)))</f>
        <v>RnD transportation fuel use reduction</v>
      </c>
      <c r="L1221" s="398">
        <f>IF(ISBLANK(INDEX('Policy Characteristics'!F:F,MATCH($C1221,'Policy Characteristics'!$C:$C,0))),"",INDEX('Policy Characteristics'!F:F,MATCH($C1221,'Policy Characteristics'!$C:$C,0)))</f>
        <v>0</v>
      </c>
      <c r="M1221" s="398">
        <f>IF(ISBLANK(INDEX('Policy Characteristics'!G:G,MATCH($C1221,'Policy Characteristics'!$C:$C,0))),"",INDEX('Policy Characteristics'!G:G,MATCH($C1221,'Policy Characteristics'!$C:$C,0)))</f>
        <v>0.4</v>
      </c>
      <c r="N1221" s="398">
        <f>IF(ISBLANK(INDEX('Policy Characteristics'!H:H,MATCH($C1221,'Policy Characteristics'!$C:$C,0))),"",INDEX('Policy Characteristics'!H:H,MATCH($C1221,'Policy Characteristics'!$C:$C,0)))</f>
        <v>0.01</v>
      </c>
      <c r="O1221" s="394" t="str">
        <f>IF(ISBLANK(INDEX('Policy Characteristics'!I:I,MATCH($C1221,'Policy Characteristics'!$C:$C,0))),"",INDEX('Policy Characteristics'!I:I,MATCH($C1221,'Policy Characteristics'!$C:$C,0)))</f>
        <v>% reduction in fuel use</v>
      </c>
      <c r="P1221" s="394" t="str">
        <f>IF(ISBLANK(INDEX('Policy Characteristics'!J:J,MATCH($C1221,'Policy Characteristics'!$C:$C,0))),"",INDEX('Policy Characteristics'!J:J,MATCH($C1221,'Policy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1" s="394" t="str">
        <f>IF(ISBLANK(INDEX('Policy Characteristics'!K:K,MATCH($C1221,'Policy Characteristics'!$C:$C,0))),"",INDEX('Policy Characteristics'!K:K,MATCH($C1221,'Policy Characteristics'!$C:$C,0)))</f>
        <v>architectural-design.html#rnd</v>
      </c>
      <c r="R1221" s="394" t="str">
        <f>IF(ISBLANK(INDEX('Policy Characteristics'!L:L,MATCH($C1221,'Policy Characteristics'!$C:$C,0))),"",INDEX('Policy Characteristics'!L:L,MATCH($C1221,'Policy Characteristics'!$C:$C,0)))</f>
        <v>research-and-development.html</v>
      </c>
    </row>
    <row r="1222" customHeight="1" spans="1:18">
      <c r="A1222" s="394" t="str">
        <f>IF(ISBLANK(INDEX('Policy Characteristics'!A:A,MATCH($C1222,'Policy Characteristics'!$C:$C,0))),"",INDEX('Policy Characteristics'!A:A,MATCH($C1222,'Policy Characteristics'!$C:$C,0)))</f>
        <v>Research and Development</v>
      </c>
      <c r="B1222" s="395" t="str">
        <f>IF(ISBLANK(INDEX('Policy Characteristics'!B:B,MATCH($C1222,'Policy Characteristics'!$C:$C,0))),"",INDEX('Policy Characteristics'!B:B,MATCH($C1222,'Policy Characteristics'!$C:$C,0)))</f>
        <v>Fuel Use Reduction</v>
      </c>
      <c r="C1222" s="394" t="str">
        <f t="shared" si="66"/>
        <v>RnD Transportation Fuel Use Perc Reduction</v>
      </c>
      <c r="D1222" s="399" t="s">
        <v>919</v>
      </c>
      <c r="E1222" s="399"/>
      <c r="F1222" s="399" t="s">
        <v>920</v>
      </c>
      <c r="G1222" s="399"/>
      <c r="H1222" s="377">
        <v>137</v>
      </c>
      <c r="I1222" s="396" t="s">
        <v>648</v>
      </c>
      <c r="J1222" s="397" t="str">
        <f>IF(ISBLANK(INDEX('Policy Characteristics'!D:D,MATCH($C1222,'Policy Characteristics'!$C:$C,0))),"",INDEX('Policy Characteristics'!D:D,MATCH($C1222,'Policy Characteristics'!$C:$C,0)))</f>
        <v>R&amp;D Fuel Use Reductions</v>
      </c>
      <c r="K1222" s="394" t="str">
        <f>IF(ISBLANK(INDEX('Policy Characteristics'!E:E,MATCH($C1222,'Policy Characteristics'!$C:$C,0))),"",INDEX('Policy Characteristics'!E:E,MATCH($C1222,'Policy Characteristics'!$C:$C,0)))</f>
        <v>RnD transportation fuel use reduction</v>
      </c>
      <c r="L1222" s="398">
        <f>IF(ISBLANK(INDEX('Policy Characteristics'!F:F,MATCH($C1222,'Policy Characteristics'!$C:$C,0))),"",INDEX('Policy Characteristics'!F:F,MATCH($C1222,'Policy Characteristics'!$C:$C,0)))</f>
        <v>0</v>
      </c>
      <c r="M1222" s="398">
        <f>IF(ISBLANK(INDEX('Policy Characteristics'!G:G,MATCH($C1222,'Policy Characteristics'!$C:$C,0))),"",INDEX('Policy Characteristics'!G:G,MATCH($C1222,'Policy Characteristics'!$C:$C,0)))</f>
        <v>0.4</v>
      </c>
      <c r="N1222" s="398">
        <f>IF(ISBLANK(INDEX('Policy Characteristics'!H:H,MATCH($C1222,'Policy Characteristics'!$C:$C,0))),"",INDEX('Policy Characteristics'!H:H,MATCH($C1222,'Policy Characteristics'!$C:$C,0)))</f>
        <v>0.01</v>
      </c>
      <c r="O1222" s="394" t="str">
        <f>IF(ISBLANK(INDEX('Policy Characteristics'!I:I,MATCH($C1222,'Policy Characteristics'!$C:$C,0))),"",INDEX('Policy Characteristics'!I:I,MATCH($C1222,'Policy Characteristics'!$C:$C,0)))</f>
        <v>% reduction in fuel use</v>
      </c>
      <c r="P1222" s="394" t="str">
        <f>IF(ISBLANK(INDEX('Policy Characteristics'!J:J,MATCH($C1222,'Policy Characteristics'!$C:$C,0))),"",INDEX('Policy Characteristics'!J:J,MATCH($C1222,'Policy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2" s="394" t="str">
        <f>IF(ISBLANK(INDEX('Policy Characteristics'!K:K,MATCH($C1222,'Policy Characteristics'!$C:$C,0))),"",INDEX('Policy Characteristics'!K:K,MATCH($C1222,'Policy Characteristics'!$C:$C,0)))</f>
        <v>architectural-design.html#rnd</v>
      </c>
      <c r="R1222" s="394" t="str">
        <f>IF(ISBLANK(INDEX('Policy Characteristics'!L:L,MATCH($C1222,'Policy Characteristics'!$C:$C,0))),"",INDEX('Policy Characteristics'!L:L,MATCH($C1222,'Policy Characteristics'!$C:$C,0)))</f>
        <v>research-and-development.html</v>
      </c>
    </row>
    <row r="1223" customHeight="1" spans="1:18">
      <c r="A1223" s="394" t="str">
        <f>IF(ISBLANK(INDEX('Policy Characteristics'!A:A,MATCH($C1223,'Policy Characteristics'!$C:$C,0))),"",INDEX('Policy Characteristics'!A:A,MATCH($C1223,'Policy Characteristics'!$C:$C,0)))</f>
        <v>Research and Development</v>
      </c>
      <c r="B1223" s="395" t="str">
        <f>IF(ISBLANK(INDEX('Policy Characteristics'!B:B,MATCH($C1223,'Policy Characteristics'!$C:$C,0))),"",INDEX('Policy Characteristics'!B:B,MATCH($C1223,'Policy Characteristics'!$C:$C,0)))</f>
        <v>Fuel Use Reduction</v>
      </c>
      <c r="C1223" s="394" t="str">
        <f t="shared" si="66"/>
        <v>RnD Transportation Fuel Use Perc Reduction</v>
      </c>
      <c r="D1223" s="399" t="s">
        <v>921</v>
      </c>
      <c r="E1223" s="399"/>
      <c r="F1223" s="399" t="s">
        <v>922</v>
      </c>
      <c r="G1223" s="399"/>
      <c r="H1223" s="377">
        <v>138</v>
      </c>
      <c r="I1223" s="396" t="s">
        <v>648</v>
      </c>
      <c r="J1223" s="397" t="str">
        <f>IF(ISBLANK(INDEX('Policy Characteristics'!D:D,MATCH($C1223,'Policy Characteristics'!$C:$C,0))),"",INDEX('Policy Characteristics'!D:D,MATCH($C1223,'Policy Characteristics'!$C:$C,0)))</f>
        <v>R&amp;D Fuel Use Reductions</v>
      </c>
      <c r="K1223" s="394" t="str">
        <f>IF(ISBLANK(INDEX('Policy Characteristics'!E:E,MATCH($C1223,'Policy Characteristics'!$C:$C,0))),"",INDEX('Policy Characteristics'!E:E,MATCH($C1223,'Policy Characteristics'!$C:$C,0)))</f>
        <v>RnD transportation fuel use reduction</v>
      </c>
      <c r="L1223" s="398">
        <f>IF(ISBLANK(INDEX('Policy Characteristics'!F:F,MATCH($C1223,'Policy Characteristics'!$C:$C,0))),"",INDEX('Policy Characteristics'!F:F,MATCH($C1223,'Policy Characteristics'!$C:$C,0)))</f>
        <v>0</v>
      </c>
      <c r="M1223" s="398">
        <f>IF(ISBLANK(INDEX('Policy Characteristics'!G:G,MATCH($C1223,'Policy Characteristics'!$C:$C,0))),"",INDEX('Policy Characteristics'!G:G,MATCH($C1223,'Policy Characteristics'!$C:$C,0)))</f>
        <v>0.4</v>
      </c>
      <c r="N1223" s="398">
        <f>IF(ISBLANK(INDEX('Policy Characteristics'!H:H,MATCH($C1223,'Policy Characteristics'!$C:$C,0))),"",INDEX('Policy Characteristics'!H:H,MATCH($C1223,'Policy Characteristics'!$C:$C,0)))</f>
        <v>0.01</v>
      </c>
      <c r="O1223" s="394" t="str">
        <f>IF(ISBLANK(INDEX('Policy Characteristics'!I:I,MATCH($C1223,'Policy Characteristics'!$C:$C,0))),"",INDEX('Policy Characteristics'!I:I,MATCH($C1223,'Policy Characteristics'!$C:$C,0)))</f>
        <v>% reduction in fuel use</v>
      </c>
      <c r="P1223" s="394" t="str">
        <f>IF(ISBLANK(INDEX('Policy Characteristics'!J:J,MATCH($C1223,'Policy Characteristics'!$C:$C,0))),"",INDEX('Policy Characteristics'!J:J,MATCH($C1223,'Policy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3" s="394" t="str">
        <f>IF(ISBLANK(INDEX('Policy Characteristics'!K:K,MATCH($C1223,'Policy Characteristics'!$C:$C,0))),"",INDEX('Policy Characteristics'!K:K,MATCH($C1223,'Policy Characteristics'!$C:$C,0)))</f>
        <v>architectural-design.html#rnd</v>
      </c>
      <c r="R1223" s="394" t="str">
        <f>IF(ISBLANK(INDEX('Policy Characteristics'!L:L,MATCH($C1223,'Policy Characteristics'!$C:$C,0))),"",INDEX('Policy Characteristics'!L:L,MATCH($C1223,'Policy Characteristics'!$C:$C,0)))</f>
        <v>research-and-development.html</v>
      </c>
    </row>
    <row r="1224" customHeight="1" spans="1:18">
      <c r="A1224" s="394" t="str">
        <f>IF(ISBLANK(INDEX('Policy Characteristics'!A:A,MATCH($C1224,'Policy Characteristics'!$C:$C,0))),"",INDEX('Policy Characteristics'!A:A,MATCH($C1224,'Policy Characteristics'!$C:$C,0)))</f>
        <v>Research and Development</v>
      </c>
      <c r="B1224" s="395" t="str">
        <f>IF(ISBLANK(INDEX('Policy Characteristics'!B:B,MATCH($C1224,'Policy Characteristics'!$C:$C,0))),"",INDEX('Policy Characteristics'!B:B,MATCH($C1224,'Policy Characteristics'!$C:$C,0)))</f>
        <v>Fuel Use Reduction</v>
      </c>
      <c r="C1224" s="394" t="str">
        <f t="shared" si="66"/>
        <v>RnD Transportation Fuel Use Perc Reduction</v>
      </c>
      <c r="D1224" s="399" t="s">
        <v>923</v>
      </c>
      <c r="E1224" s="399"/>
      <c r="F1224" s="399" t="s">
        <v>924</v>
      </c>
      <c r="G1224" s="399"/>
      <c r="H1224" s="377">
        <v>524</v>
      </c>
      <c r="I1224" s="396" t="s">
        <v>648</v>
      </c>
      <c r="J1224" s="397" t="str">
        <f>IF(ISBLANK(INDEX('Policy Characteristics'!D:D,MATCH($C1224,'Policy Characteristics'!$C:$C,0))),"",INDEX('Policy Characteristics'!D:D,MATCH($C1224,'Policy Characteristics'!$C:$C,0)))</f>
        <v>R&amp;D Fuel Use Reductions</v>
      </c>
      <c r="K1224" s="394" t="str">
        <f>IF(ISBLANK(INDEX('Policy Characteristics'!E:E,MATCH($C1224,'Policy Characteristics'!$C:$C,0))),"",INDEX('Policy Characteristics'!E:E,MATCH($C1224,'Policy Characteristics'!$C:$C,0)))</f>
        <v>RnD transportation fuel use reduction</v>
      </c>
      <c r="L1224" s="398">
        <f>IF(ISBLANK(INDEX('Policy Characteristics'!F:F,MATCH($C1224,'Policy Characteristics'!$C:$C,0))),"",INDEX('Policy Characteristics'!F:F,MATCH($C1224,'Policy Characteristics'!$C:$C,0)))</f>
        <v>0</v>
      </c>
      <c r="M1224" s="398">
        <f>IF(ISBLANK(INDEX('Policy Characteristics'!G:G,MATCH($C1224,'Policy Characteristics'!$C:$C,0))),"",INDEX('Policy Characteristics'!G:G,MATCH($C1224,'Policy Characteristics'!$C:$C,0)))</f>
        <v>0.4</v>
      </c>
      <c r="N1224" s="398">
        <f>IF(ISBLANK(INDEX('Policy Characteristics'!H:H,MATCH($C1224,'Policy Characteristics'!$C:$C,0))),"",INDEX('Policy Characteristics'!H:H,MATCH($C1224,'Policy Characteristics'!$C:$C,0)))</f>
        <v>0.01</v>
      </c>
      <c r="O1224" s="394" t="str">
        <f>IF(ISBLANK(INDEX('Policy Characteristics'!I:I,MATCH($C1224,'Policy Characteristics'!$C:$C,0))),"",INDEX('Policy Characteristics'!I:I,MATCH($C1224,'Policy Characteristics'!$C:$C,0)))</f>
        <v>% reduction in fuel use</v>
      </c>
      <c r="P1224" s="394" t="str">
        <f>IF(ISBLANK(INDEX('Policy Characteristics'!J:J,MATCH($C1224,'Policy Characteristics'!$C:$C,0))),"",INDEX('Policy Characteristics'!J:J,MATCH($C1224,'Policy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4" s="394" t="str">
        <f>IF(ISBLANK(INDEX('Policy Characteristics'!K:K,MATCH($C1224,'Policy Characteristics'!$C:$C,0))),"",INDEX('Policy Characteristics'!K:K,MATCH($C1224,'Policy Characteristics'!$C:$C,0)))</f>
        <v>architectural-design.html#rnd</v>
      </c>
      <c r="R1224" s="394" t="str">
        <f>IF(ISBLANK(INDEX('Policy Characteristics'!L:L,MATCH($C1224,'Policy Characteristics'!$C:$C,0))),"",INDEX('Policy Characteristics'!L:L,MATCH($C1224,'Policy Characteristics'!$C:$C,0)))</f>
        <v>research-and-development.html</v>
      </c>
    </row>
    <row r="1225" customHeight="1" spans="1:18">
      <c r="A1225" s="394" t="str">
        <f>IF(ISBLANK(INDEX('Policy Characteristics'!A:A,MATCH($C1225,'Policy Characteristics'!$C:$C,0))),"",INDEX('Policy Characteristics'!A:A,MATCH($C1225,'Policy Characteristics'!$C:$C,0)))</f>
        <v>Government Revenue Accounting</v>
      </c>
      <c r="B1225" s="395" t="str">
        <f>IF(ISBLANK(INDEX('Policy Characteristics'!B:B,MATCH($C1225,'Policy Characteristics'!$C:$C,0))),"",INDEX('Policy Characteristics'!B:B,MATCH($C1225,'Policy Characteristics'!$C:$C,0)))</f>
        <v>Carbon Tax Revenue</v>
      </c>
      <c r="C1225" t="s">
        <v>608</v>
      </c>
      <c r="D1225" s="28" t="s">
        <v>927</v>
      </c>
      <c r="F1225" s="28" t="s">
        <v>928</v>
      </c>
      <c r="H1225" s="377">
        <v>545</v>
      </c>
      <c r="I1225" s="385" t="s">
        <v>648</v>
      </c>
      <c r="J1225" s="397" t="str">
        <f>IF(ISBLANK(INDEX('Policy Characteristics'!D:D,MATCH($C1225,'Policy Characteristics'!$C:$C,0))),"",INDEX('Policy Characteristics'!D:D,MATCH($C1225,'Policy Characteristics'!$C:$C,0)))</f>
        <v/>
      </c>
      <c r="K1225" s="394" t="str">
        <f>IF(ISBLANK(INDEX('Policy Characteristics'!E:E,MATCH($C1225,'Policy Characteristics'!$C:$C,0))),"",INDEX('Policy Characteristics'!E:E,MATCH($C1225,'Policy Characteristics'!$C:$C,0)))</f>
        <v>GRA carbon tax revenue</v>
      </c>
      <c r="L1225" s="394">
        <f>IF(ISBLANK(INDEX('Policy Characteristics'!F:F,MATCH($C1225,'Policy Characteristics'!$C:$C,0))),"",INDEX('Policy Characteristics'!F:F,MATCH($C1225,'Policy Characteristics'!$C:$C,0)))</f>
        <v>0</v>
      </c>
      <c r="M1225" s="394">
        <f>IF(ISBLANK(INDEX('Policy Characteristics'!G:G,MATCH($C1225,'Policy Characteristics'!$C:$C,0))),"",INDEX('Policy Characteristics'!G:G,MATCH($C1225,'Policy Characteristics'!$C:$C,0)))</f>
        <v>10</v>
      </c>
      <c r="N1225" s="394">
        <f>IF(ISBLANK(INDEX('Policy Characteristics'!H:H,MATCH($C1225,'Policy Characteristics'!$C:$C,0))),"",INDEX('Policy Characteristics'!H:H,MATCH($C1225,'Policy Characteristics'!$C:$C,0)))</f>
        <v>1</v>
      </c>
      <c r="O1225" s="394" t="str">
        <f>IF(ISBLANK(INDEX('Policy Characteristics'!I:I,MATCH($C1225,'Policy Characteristics'!$C:$C,0))),"",INDEX('Policy Characteristics'!I:I,MATCH($C1225,'Policy Characteristics'!$C:$C,0)))</f>
        <v>weight</v>
      </c>
      <c r="P1225" s="394" t="str">
        <f>IF(ISBLANK(INDEX('Policy Characteristics'!J:J,MATCH($C1225,'Policy Characteristics'!$C:$C,0))),"",INDEX('Policy Characteristics'!J:J,MATCH($C1225,'Policy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5" s="394" t="str">
        <f>IF(ISBLANK(INDEX('Policy Characteristics'!K:K,MATCH($C1225,'Policy Characteristics'!$C:$C,0))),"",INDEX('Policy Characteristics'!K:K,MATCH($C1225,'Policy Characteristics'!$C:$C,0)))</f>
        <v>io-model.html</v>
      </c>
      <c r="R1225" s="394" t="str">
        <f>IF(ISBLANK(INDEX('Policy Characteristics'!L:L,MATCH($C1225,'Policy Characteristics'!$C:$C,0))),"",INDEX('Policy Characteristics'!L:L,MATCH($C1225,'Policy Characteristics'!$C:$C,0)))</f>
        <v/>
      </c>
    </row>
    <row r="1226" customHeight="1" spans="1:18">
      <c r="A1226" s="394" t="str">
        <f>IF(ISBLANK(INDEX('Policy Characteristics'!A:A,MATCH($C1226,'Policy Characteristics'!$C:$C,0))),"",INDEX('Policy Characteristics'!A:A,MATCH($C1226,'Policy Characteristics'!$C:$C,0)))</f>
        <v>Government Revenue Accounting</v>
      </c>
      <c r="B1226" s="395" t="str">
        <f>IF(ISBLANK(INDEX('Policy Characteristics'!B:B,MATCH($C1226,'Policy Characteristics'!$C:$C,0))),"",INDEX('Policy Characteristics'!B:B,MATCH($C1226,'Policy Characteristics'!$C:$C,0)))</f>
        <v>Carbon Tax Revenue</v>
      </c>
      <c r="C1226" s="394" t="str">
        <f t="shared" ref="C1226" si="67">C$1225</f>
        <v>GRA for Carbon Tax Revenue</v>
      </c>
      <c r="D1226" s="28" t="s">
        <v>929</v>
      </c>
      <c r="F1226" s="28" t="s">
        <v>930</v>
      </c>
      <c r="H1226" s="377">
        <v>546</v>
      </c>
      <c r="I1226" s="405" t="s">
        <v>648</v>
      </c>
      <c r="J1226" s="397" t="str">
        <f>IF(ISBLANK(INDEX('Policy Characteristics'!D:D,MATCH($C1226,'Policy Characteristics'!$C:$C,0))),"",INDEX('Policy Characteristics'!D:D,MATCH($C1226,'Policy Characteristics'!$C:$C,0)))</f>
        <v/>
      </c>
      <c r="K1226" s="394" t="str">
        <f>IF(ISBLANK(INDEX('Policy Characteristics'!E:E,MATCH($C1226,'Policy Characteristics'!$C:$C,0))),"",INDEX('Policy Characteristics'!E:E,MATCH($C1226,'Policy Characteristics'!$C:$C,0)))</f>
        <v>GRA carbon tax revenue</v>
      </c>
      <c r="L1226" s="394">
        <f>IF(ISBLANK(INDEX('Policy Characteristics'!F:F,MATCH($C1226,'Policy Characteristics'!$C:$C,0))),"",INDEX('Policy Characteristics'!F:F,MATCH($C1226,'Policy Characteristics'!$C:$C,0)))</f>
        <v>0</v>
      </c>
      <c r="M1226" s="394">
        <f>IF(ISBLANK(INDEX('Policy Characteristics'!G:G,MATCH($C1226,'Policy Characteristics'!$C:$C,0))),"",INDEX('Policy Characteristics'!G:G,MATCH($C1226,'Policy Characteristics'!$C:$C,0)))</f>
        <v>10</v>
      </c>
      <c r="N1226" s="394">
        <f>IF(ISBLANK(INDEX('Policy Characteristics'!H:H,MATCH($C1226,'Policy Characteristics'!$C:$C,0))),"",INDEX('Policy Characteristics'!H:H,MATCH($C1226,'Policy Characteristics'!$C:$C,0)))</f>
        <v>1</v>
      </c>
      <c r="O1226" s="394" t="str">
        <f>IF(ISBLANK(INDEX('Policy Characteristics'!I:I,MATCH($C1226,'Policy Characteristics'!$C:$C,0))),"",INDEX('Policy Characteristics'!I:I,MATCH($C1226,'Policy Characteristics'!$C:$C,0)))</f>
        <v>weight</v>
      </c>
      <c r="P1226" s="394" t="str">
        <f>IF(ISBLANK(INDEX('Policy Characteristics'!J:J,MATCH($C1226,'Policy Characteristics'!$C:$C,0))),"",INDEX('Policy Characteristics'!J:J,MATCH($C1226,'Policy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6" s="394" t="str">
        <f>IF(ISBLANK(INDEX('Policy Characteristics'!K:K,MATCH($C1226,'Policy Characteristics'!$C:$C,0))),"",INDEX('Policy Characteristics'!K:K,MATCH($C1226,'Policy Characteristics'!$C:$C,0)))</f>
        <v>io-model.html</v>
      </c>
      <c r="R1226" s="394" t="str">
        <f>IF(ISBLANK(INDEX('Policy Characteristics'!L:L,MATCH($C1226,'Policy Characteristics'!$C:$C,0))),"",INDEX('Policy Characteristics'!L:L,MATCH($C1226,'Policy Characteristics'!$C:$C,0)))</f>
        <v/>
      </c>
    </row>
    <row r="1227" customHeight="1" spans="1:18">
      <c r="A1227" s="394" t="str">
        <f>IF(ISBLANK(INDEX('Policy Characteristics'!A:A,MATCH($C1227,'Policy Characteristics'!$C:$C,0))),"",INDEX('Policy Characteristics'!A:A,MATCH($C1227,'Policy Characteristics'!$C:$C,0)))</f>
        <v>Government Revenue Accounting</v>
      </c>
      <c r="B1227" s="395" t="str">
        <f>IF(ISBLANK(INDEX('Policy Characteristics'!B:B,MATCH($C1227,'Policy Characteristics'!$C:$C,0))),"",INDEX('Policy Characteristics'!B:B,MATCH($C1227,'Policy Characteristics'!$C:$C,0)))</f>
        <v>Carbon Tax Revenue</v>
      </c>
      <c r="C1227" s="394" t="str">
        <f t="shared" ref="C1227:C1229" si="68">C$1225</f>
        <v>GRA for Carbon Tax Revenue</v>
      </c>
      <c r="D1227" s="28" t="s">
        <v>931</v>
      </c>
      <c r="F1227" s="28" t="s">
        <v>932</v>
      </c>
      <c r="H1227" s="377">
        <v>547</v>
      </c>
      <c r="I1227" s="405" t="s">
        <v>648</v>
      </c>
      <c r="J1227" s="397" t="str">
        <f>IF(ISBLANK(INDEX('Policy Characteristics'!D:D,MATCH($C1227,'Policy Characteristics'!$C:$C,0))),"",INDEX('Policy Characteristics'!D:D,MATCH($C1227,'Policy Characteristics'!$C:$C,0)))</f>
        <v/>
      </c>
      <c r="K1227" s="394" t="str">
        <f>IF(ISBLANK(INDEX('Policy Characteristics'!E:E,MATCH($C1227,'Policy Characteristics'!$C:$C,0))),"",INDEX('Policy Characteristics'!E:E,MATCH($C1227,'Policy Characteristics'!$C:$C,0)))</f>
        <v>GRA carbon tax revenue</v>
      </c>
      <c r="L1227" s="394">
        <f>IF(ISBLANK(INDEX('Policy Characteristics'!F:F,MATCH($C1227,'Policy Characteristics'!$C:$C,0))),"",INDEX('Policy Characteristics'!F:F,MATCH($C1227,'Policy Characteristics'!$C:$C,0)))</f>
        <v>0</v>
      </c>
      <c r="M1227" s="394">
        <f>IF(ISBLANK(INDEX('Policy Characteristics'!G:G,MATCH($C1227,'Policy Characteristics'!$C:$C,0))),"",INDEX('Policy Characteristics'!G:G,MATCH($C1227,'Policy Characteristics'!$C:$C,0)))</f>
        <v>10</v>
      </c>
      <c r="N1227" s="394">
        <f>IF(ISBLANK(INDEX('Policy Characteristics'!H:H,MATCH($C1227,'Policy Characteristics'!$C:$C,0))),"",INDEX('Policy Characteristics'!H:H,MATCH($C1227,'Policy Characteristics'!$C:$C,0)))</f>
        <v>1</v>
      </c>
      <c r="O1227" s="394" t="str">
        <f>IF(ISBLANK(INDEX('Policy Characteristics'!I:I,MATCH($C1227,'Policy Characteristics'!$C:$C,0))),"",INDEX('Policy Characteristics'!I:I,MATCH($C1227,'Policy Characteristics'!$C:$C,0)))</f>
        <v>weight</v>
      </c>
      <c r="P1227" s="394" t="str">
        <f>IF(ISBLANK(INDEX('Policy Characteristics'!J:J,MATCH($C1227,'Policy Characteristics'!$C:$C,0))),"",INDEX('Policy Characteristics'!J:J,MATCH($C1227,'Policy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7" s="394" t="str">
        <f>IF(ISBLANK(INDEX('Policy Characteristics'!K:K,MATCH($C1227,'Policy Characteristics'!$C:$C,0))),"",INDEX('Policy Characteristics'!K:K,MATCH($C1227,'Policy Characteristics'!$C:$C,0)))</f>
        <v>io-model.html</v>
      </c>
      <c r="R1227" s="394" t="str">
        <f>IF(ISBLANK(INDEX('Policy Characteristics'!L:L,MATCH($C1227,'Policy Characteristics'!$C:$C,0))),"",INDEX('Policy Characteristics'!L:L,MATCH($C1227,'Policy Characteristics'!$C:$C,0)))</f>
        <v/>
      </c>
    </row>
    <row r="1228" customHeight="1" spans="1:18">
      <c r="A1228" s="394" t="str">
        <f>IF(ISBLANK(INDEX('Policy Characteristics'!A:A,MATCH($C1228,'Policy Characteristics'!$C:$C,0))),"",INDEX('Policy Characteristics'!A:A,MATCH($C1228,'Policy Characteristics'!$C:$C,0)))</f>
        <v>Government Revenue Accounting</v>
      </c>
      <c r="B1228" s="395" t="str">
        <f>IF(ISBLANK(INDEX('Policy Characteristics'!B:B,MATCH($C1228,'Policy Characteristics'!$C:$C,0))),"",INDEX('Policy Characteristics'!B:B,MATCH($C1228,'Policy Characteristics'!$C:$C,0)))</f>
        <v>Carbon Tax Revenue</v>
      </c>
      <c r="C1228" s="394" t="str">
        <f t="shared" si="68"/>
        <v>GRA for Carbon Tax Revenue</v>
      </c>
      <c r="D1228" s="28" t="s">
        <v>933</v>
      </c>
      <c r="F1228" s="28" t="s">
        <v>934</v>
      </c>
      <c r="H1228" s="377">
        <v>548</v>
      </c>
      <c r="I1228" s="405" t="s">
        <v>648</v>
      </c>
      <c r="J1228" s="397" t="str">
        <f>IF(ISBLANK(INDEX('Policy Characteristics'!D:D,MATCH($C1228,'Policy Characteristics'!$C:$C,0))),"",INDEX('Policy Characteristics'!D:D,MATCH($C1228,'Policy Characteristics'!$C:$C,0)))</f>
        <v/>
      </c>
      <c r="K1228" s="394" t="str">
        <f>IF(ISBLANK(INDEX('Policy Characteristics'!E:E,MATCH($C1228,'Policy Characteristics'!$C:$C,0))),"",INDEX('Policy Characteristics'!E:E,MATCH($C1228,'Policy Characteristics'!$C:$C,0)))</f>
        <v>GRA carbon tax revenue</v>
      </c>
      <c r="L1228" s="394">
        <f>IF(ISBLANK(INDEX('Policy Characteristics'!F:F,MATCH($C1228,'Policy Characteristics'!$C:$C,0))),"",INDEX('Policy Characteristics'!F:F,MATCH($C1228,'Policy Characteristics'!$C:$C,0)))</f>
        <v>0</v>
      </c>
      <c r="M1228" s="394">
        <f>IF(ISBLANK(INDEX('Policy Characteristics'!G:G,MATCH($C1228,'Policy Characteristics'!$C:$C,0))),"",INDEX('Policy Characteristics'!G:G,MATCH($C1228,'Policy Characteristics'!$C:$C,0)))</f>
        <v>10</v>
      </c>
      <c r="N1228" s="394">
        <f>IF(ISBLANK(INDEX('Policy Characteristics'!H:H,MATCH($C1228,'Policy Characteristics'!$C:$C,0))),"",INDEX('Policy Characteristics'!H:H,MATCH($C1228,'Policy Characteristics'!$C:$C,0)))</f>
        <v>1</v>
      </c>
      <c r="O1228" s="394" t="str">
        <f>IF(ISBLANK(INDEX('Policy Characteristics'!I:I,MATCH($C1228,'Policy Characteristics'!$C:$C,0))),"",INDEX('Policy Characteristics'!I:I,MATCH($C1228,'Policy Characteristics'!$C:$C,0)))</f>
        <v>weight</v>
      </c>
      <c r="P1228" s="394" t="str">
        <f>IF(ISBLANK(INDEX('Policy Characteristics'!J:J,MATCH($C1228,'Policy Characteristics'!$C:$C,0))),"",INDEX('Policy Characteristics'!J:J,MATCH($C1228,'Policy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8" s="394" t="str">
        <f>IF(ISBLANK(INDEX('Policy Characteristics'!K:K,MATCH($C1228,'Policy Characteristics'!$C:$C,0))),"",INDEX('Policy Characteristics'!K:K,MATCH($C1228,'Policy Characteristics'!$C:$C,0)))</f>
        <v>io-model.html</v>
      </c>
      <c r="R1228" s="394" t="str">
        <f>IF(ISBLANK(INDEX('Policy Characteristics'!L:L,MATCH($C1228,'Policy Characteristics'!$C:$C,0))),"",INDEX('Policy Characteristics'!L:L,MATCH($C1228,'Policy Characteristics'!$C:$C,0)))</f>
        <v/>
      </c>
    </row>
    <row r="1229" customHeight="1" spans="1:18">
      <c r="A1229" s="394" t="str">
        <f>IF(ISBLANK(INDEX('Policy Characteristics'!A:A,MATCH($C1229,'Policy Characteristics'!$C:$C,0))),"",INDEX('Policy Characteristics'!A:A,MATCH($C1229,'Policy Characteristics'!$C:$C,0)))</f>
        <v>Government Revenue Accounting</v>
      </c>
      <c r="B1229" s="395" t="str">
        <f>IF(ISBLANK(INDEX('Policy Characteristics'!B:B,MATCH($C1229,'Policy Characteristics'!$C:$C,0))),"",INDEX('Policy Characteristics'!B:B,MATCH($C1229,'Policy Characteristics'!$C:$C,0)))</f>
        <v>Carbon Tax Revenue</v>
      </c>
      <c r="C1229" s="394" t="str">
        <f t="shared" si="68"/>
        <v>GRA for Carbon Tax Revenue</v>
      </c>
      <c r="D1229" s="28" t="s">
        <v>935</v>
      </c>
      <c r="F1229" s="28" t="s">
        <v>936</v>
      </c>
      <c r="H1229" s="377">
        <v>549</v>
      </c>
      <c r="I1229" s="405" t="s">
        <v>648</v>
      </c>
      <c r="J1229" s="397" t="str">
        <f>IF(ISBLANK(INDEX('Policy Characteristics'!D:D,MATCH($C1229,'Policy Characteristics'!$C:$C,0))),"",INDEX('Policy Characteristics'!D:D,MATCH($C1229,'Policy Characteristics'!$C:$C,0)))</f>
        <v/>
      </c>
      <c r="K1229" s="394" t="str">
        <f>IF(ISBLANK(INDEX('Policy Characteristics'!E:E,MATCH($C1229,'Policy Characteristics'!$C:$C,0))),"",INDEX('Policy Characteristics'!E:E,MATCH($C1229,'Policy Characteristics'!$C:$C,0)))</f>
        <v>GRA carbon tax revenue</v>
      </c>
      <c r="L1229" s="394">
        <f>IF(ISBLANK(INDEX('Policy Characteristics'!F:F,MATCH($C1229,'Policy Characteristics'!$C:$C,0))),"",INDEX('Policy Characteristics'!F:F,MATCH($C1229,'Policy Characteristics'!$C:$C,0)))</f>
        <v>0</v>
      </c>
      <c r="M1229" s="394">
        <f>IF(ISBLANK(INDEX('Policy Characteristics'!G:G,MATCH($C1229,'Policy Characteristics'!$C:$C,0))),"",INDEX('Policy Characteristics'!G:G,MATCH($C1229,'Policy Characteristics'!$C:$C,0)))</f>
        <v>10</v>
      </c>
      <c r="N1229" s="394">
        <f>IF(ISBLANK(INDEX('Policy Characteristics'!H:H,MATCH($C1229,'Policy Characteristics'!$C:$C,0))),"",INDEX('Policy Characteristics'!H:H,MATCH($C1229,'Policy Characteristics'!$C:$C,0)))</f>
        <v>1</v>
      </c>
      <c r="O1229" s="394" t="str">
        <f>IF(ISBLANK(INDEX('Policy Characteristics'!I:I,MATCH($C1229,'Policy Characteristics'!$C:$C,0))),"",INDEX('Policy Characteristics'!I:I,MATCH($C1229,'Policy Characteristics'!$C:$C,0)))</f>
        <v>weight</v>
      </c>
      <c r="P1229" s="394" t="str">
        <f>IF(ISBLANK(INDEX('Policy Characteristics'!J:J,MATCH($C1229,'Policy Characteristics'!$C:$C,0))),"",INDEX('Policy Characteristics'!J:J,MATCH($C1229,'Policy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9" s="394" t="str">
        <f>IF(ISBLANK(INDEX('Policy Characteristics'!K:K,MATCH($C1229,'Policy Characteristics'!$C:$C,0))),"",INDEX('Policy Characteristics'!K:K,MATCH($C1229,'Policy Characteristics'!$C:$C,0)))</f>
        <v>io-model.html</v>
      </c>
      <c r="R1229" s="394" t="str">
        <f>IF(ISBLANK(INDEX('Policy Characteristics'!L:L,MATCH($C1229,'Policy Characteristics'!$C:$C,0))),"",INDEX('Policy Characteristics'!L:L,MATCH($C1229,'Policy Characteristics'!$C:$C,0)))</f>
        <v/>
      </c>
    </row>
    <row r="1230" customHeight="1" spans="1:18">
      <c r="A1230" s="394" t="str">
        <f>IF(ISBLANK(INDEX('Policy Characteristics'!A:A,MATCH($C1230,'Policy Characteristics'!$C:$C,0))),"",INDEX('Policy Characteristics'!A:A,MATCH($C1230,'Policy Characteristics'!$C:$C,0)))</f>
        <v>Government Revenue Accounting</v>
      </c>
      <c r="B1230" s="395" t="str">
        <f>IF(ISBLANK(INDEX('Policy Characteristics'!B:B,MATCH($C1230,'Policy Characteristics'!$C:$C,0))),"",INDEX('Policy Characteristics'!B:B,MATCH($C1230,'Policy Characteristics'!$C:$C,0)))</f>
        <v>Fuel Tax Revenue</v>
      </c>
      <c r="C1230" t="s">
        <v>614</v>
      </c>
      <c r="D1230" s="28" t="s">
        <v>927</v>
      </c>
      <c r="F1230" s="28" t="s">
        <v>928</v>
      </c>
      <c r="H1230" s="377">
        <v>550</v>
      </c>
      <c r="I1230" s="385" t="s">
        <v>648</v>
      </c>
      <c r="J1230" s="397" t="str">
        <f>IF(ISBLANK(INDEX('Policy Characteristics'!D:D,MATCH($C1230,'Policy Characteristics'!$C:$C,0))),"",INDEX('Policy Characteristics'!D:D,MATCH($C1230,'Policy Characteristics'!$C:$C,0)))</f>
        <v/>
      </c>
      <c r="K1230" s="394" t="str">
        <f>IF(ISBLANK(INDEX('Policy Characteristics'!E:E,MATCH($C1230,'Policy Characteristics'!$C:$C,0))),"",INDEX('Policy Characteristics'!E:E,MATCH($C1230,'Policy Characteristics'!$C:$C,0)))</f>
        <v>GRA fuel tax revenue</v>
      </c>
      <c r="L1230" s="394">
        <f>IF(ISBLANK(INDEX('Policy Characteristics'!F:F,MATCH($C1230,'Policy Characteristics'!$C:$C,0))),"",INDEX('Policy Characteristics'!F:F,MATCH($C1230,'Policy Characteristics'!$C:$C,0)))</f>
        <v>0</v>
      </c>
      <c r="M1230" s="394">
        <f>IF(ISBLANK(INDEX('Policy Characteristics'!G:G,MATCH($C1230,'Policy Characteristics'!$C:$C,0))),"",INDEX('Policy Characteristics'!G:G,MATCH($C1230,'Policy Characteristics'!$C:$C,0)))</f>
        <v>10</v>
      </c>
      <c r="N1230" s="394">
        <f>IF(ISBLANK(INDEX('Policy Characteristics'!H:H,MATCH($C1230,'Policy Characteristics'!$C:$C,0))),"",INDEX('Policy Characteristics'!H:H,MATCH($C1230,'Policy Characteristics'!$C:$C,0)))</f>
        <v>1</v>
      </c>
      <c r="O1230" s="394" t="str">
        <f>IF(ISBLANK(INDEX('Policy Characteristics'!I:I,MATCH($C1230,'Policy Characteristics'!$C:$C,0))),"",INDEX('Policy Characteristics'!I:I,MATCH($C1230,'Policy Characteristics'!$C:$C,0)))</f>
        <v>weight</v>
      </c>
      <c r="P1230" s="394" t="str">
        <f>IF(ISBLANK(INDEX('Policy Characteristics'!J:J,MATCH($C1230,'Policy Characteristics'!$C:$C,0))),"",INDEX('Policy Characteristics'!J:J,MATCH($C1230,'Policy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0" s="394" t="str">
        <f>IF(ISBLANK(INDEX('Policy Characteristics'!K:K,MATCH($C1230,'Policy Characteristics'!$C:$C,0))),"",INDEX('Policy Characteristics'!K:K,MATCH($C1230,'Policy Characteristics'!$C:$C,0)))</f>
        <v>io-model.html</v>
      </c>
      <c r="R1230" s="394" t="str">
        <f>IF(ISBLANK(INDEX('Policy Characteristics'!L:L,MATCH($C1230,'Policy Characteristics'!$C:$C,0))),"",INDEX('Policy Characteristics'!L:L,MATCH($C1230,'Policy Characteristics'!$C:$C,0)))</f>
        <v/>
      </c>
    </row>
    <row r="1231" customHeight="1" spans="1:18">
      <c r="A1231" s="394" t="str">
        <f>IF(ISBLANK(INDEX('Policy Characteristics'!A:A,MATCH($C1231,'Policy Characteristics'!$C:$C,0))),"",INDEX('Policy Characteristics'!A:A,MATCH($C1231,'Policy Characteristics'!$C:$C,0)))</f>
        <v>Government Revenue Accounting</v>
      </c>
      <c r="B1231" s="395" t="str">
        <f>IF(ISBLANK(INDEX('Policy Characteristics'!B:B,MATCH($C1231,'Policy Characteristics'!$C:$C,0))),"",INDEX('Policy Characteristics'!B:B,MATCH($C1231,'Policy Characteristics'!$C:$C,0)))</f>
        <v>Fuel Tax Revenue</v>
      </c>
      <c r="C1231" s="394" t="str">
        <f t="shared" ref="C1231:C1234" si="69">C$1230</f>
        <v>GRA for Fuel Tax Revenue</v>
      </c>
      <c r="D1231" s="28" t="s">
        <v>929</v>
      </c>
      <c r="F1231" s="28" t="s">
        <v>930</v>
      </c>
      <c r="H1231" s="377">
        <v>551</v>
      </c>
      <c r="I1231" s="405" t="s">
        <v>648</v>
      </c>
      <c r="J1231" s="397" t="str">
        <f>IF(ISBLANK(INDEX('Policy Characteristics'!D:D,MATCH($C1231,'Policy Characteristics'!$C:$C,0))),"",INDEX('Policy Characteristics'!D:D,MATCH($C1231,'Policy Characteristics'!$C:$C,0)))</f>
        <v/>
      </c>
      <c r="K1231" s="394" t="str">
        <f>IF(ISBLANK(INDEX('Policy Characteristics'!E:E,MATCH($C1231,'Policy Characteristics'!$C:$C,0))),"",INDEX('Policy Characteristics'!E:E,MATCH($C1231,'Policy Characteristics'!$C:$C,0)))</f>
        <v>GRA fuel tax revenue</v>
      </c>
      <c r="L1231" s="394">
        <f>IF(ISBLANK(INDEX('Policy Characteristics'!F:F,MATCH($C1231,'Policy Characteristics'!$C:$C,0))),"",INDEX('Policy Characteristics'!F:F,MATCH($C1231,'Policy Characteristics'!$C:$C,0)))</f>
        <v>0</v>
      </c>
      <c r="M1231" s="394">
        <f>IF(ISBLANK(INDEX('Policy Characteristics'!G:G,MATCH($C1231,'Policy Characteristics'!$C:$C,0))),"",INDEX('Policy Characteristics'!G:G,MATCH($C1231,'Policy Characteristics'!$C:$C,0)))</f>
        <v>10</v>
      </c>
      <c r="N1231" s="394">
        <f>IF(ISBLANK(INDEX('Policy Characteristics'!H:H,MATCH($C1231,'Policy Characteristics'!$C:$C,0))),"",INDEX('Policy Characteristics'!H:H,MATCH($C1231,'Policy Characteristics'!$C:$C,0)))</f>
        <v>1</v>
      </c>
      <c r="O1231" s="394" t="str">
        <f>IF(ISBLANK(INDEX('Policy Characteristics'!I:I,MATCH($C1231,'Policy Characteristics'!$C:$C,0))),"",INDEX('Policy Characteristics'!I:I,MATCH($C1231,'Policy Characteristics'!$C:$C,0)))</f>
        <v>weight</v>
      </c>
      <c r="P1231" s="394" t="str">
        <f>IF(ISBLANK(INDEX('Policy Characteristics'!J:J,MATCH($C1231,'Policy Characteristics'!$C:$C,0))),"",INDEX('Policy Characteristics'!J:J,MATCH($C1231,'Policy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1" s="394" t="str">
        <f>IF(ISBLANK(INDEX('Policy Characteristics'!K:K,MATCH($C1231,'Policy Characteristics'!$C:$C,0))),"",INDEX('Policy Characteristics'!K:K,MATCH($C1231,'Policy Characteristics'!$C:$C,0)))</f>
        <v>io-model.html</v>
      </c>
      <c r="R1231" s="394" t="str">
        <f>IF(ISBLANK(INDEX('Policy Characteristics'!L:L,MATCH($C1231,'Policy Characteristics'!$C:$C,0))),"",INDEX('Policy Characteristics'!L:L,MATCH($C1231,'Policy Characteristics'!$C:$C,0)))</f>
        <v/>
      </c>
    </row>
    <row r="1232" customHeight="1" spans="1:18">
      <c r="A1232" s="394" t="str">
        <f>IF(ISBLANK(INDEX('Policy Characteristics'!A:A,MATCH($C1232,'Policy Characteristics'!$C:$C,0))),"",INDEX('Policy Characteristics'!A:A,MATCH($C1232,'Policy Characteristics'!$C:$C,0)))</f>
        <v>Government Revenue Accounting</v>
      </c>
      <c r="B1232" s="395" t="str">
        <f>IF(ISBLANK(INDEX('Policy Characteristics'!B:B,MATCH($C1232,'Policy Characteristics'!$C:$C,0))),"",INDEX('Policy Characteristics'!B:B,MATCH($C1232,'Policy Characteristics'!$C:$C,0)))</f>
        <v>Fuel Tax Revenue</v>
      </c>
      <c r="C1232" s="394" t="str">
        <f t="shared" si="69"/>
        <v>GRA for Fuel Tax Revenue</v>
      </c>
      <c r="D1232" s="28" t="s">
        <v>931</v>
      </c>
      <c r="F1232" s="28" t="s">
        <v>932</v>
      </c>
      <c r="H1232" s="377">
        <v>552</v>
      </c>
      <c r="I1232" s="405" t="s">
        <v>648</v>
      </c>
      <c r="J1232" s="397" t="str">
        <f>IF(ISBLANK(INDEX('Policy Characteristics'!D:D,MATCH($C1232,'Policy Characteristics'!$C:$C,0))),"",INDEX('Policy Characteristics'!D:D,MATCH($C1232,'Policy Characteristics'!$C:$C,0)))</f>
        <v/>
      </c>
      <c r="K1232" s="394" t="str">
        <f>IF(ISBLANK(INDEX('Policy Characteristics'!E:E,MATCH($C1232,'Policy Characteristics'!$C:$C,0))),"",INDEX('Policy Characteristics'!E:E,MATCH($C1232,'Policy Characteristics'!$C:$C,0)))</f>
        <v>GRA fuel tax revenue</v>
      </c>
      <c r="L1232" s="394">
        <f>IF(ISBLANK(INDEX('Policy Characteristics'!F:F,MATCH($C1232,'Policy Characteristics'!$C:$C,0))),"",INDEX('Policy Characteristics'!F:F,MATCH($C1232,'Policy Characteristics'!$C:$C,0)))</f>
        <v>0</v>
      </c>
      <c r="M1232" s="394">
        <f>IF(ISBLANK(INDEX('Policy Characteristics'!G:G,MATCH($C1232,'Policy Characteristics'!$C:$C,0))),"",INDEX('Policy Characteristics'!G:G,MATCH($C1232,'Policy Characteristics'!$C:$C,0)))</f>
        <v>10</v>
      </c>
      <c r="N1232" s="394">
        <f>IF(ISBLANK(INDEX('Policy Characteristics'!H:H,MATCH($C1232,'Policy Characteristics'!$C:$C,0))),"",INDEX('Policy Characteristics'!H:H,MATCH($C1232,'Policy Characteristics'!$C:$C,0)))</f>
        <v>1</v>
      </c>
      <c r="O1232" s="394" t="str">
        <f>IF(ISBLANK(INDEX('Policy Characteristics'!I:I,MATCH($C1232,'Policy Characteristics'!$C:$C,0))),"",INDEX('Policy Characteristics'!I:I,MATCH($C1232,'Policy Characteristics'!$C:$C,0)))</f>
        <v>weight</v>
      </c>
      <c r="P1232" s="394" t="str">
        <f>IF(ISBLANK(INDEX('Policy Characteristics'!J:J,MATCH($C1232,'Policy Characteristics'!$C:$C,0))),"",INDEX('Policy Characteristics'!J:J,MATCH($C1232,'Policy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2" s="394" t="str">
        <f>IF(ISBLANK(INDEX('Policy Characteristics'!K:K,MATCH($C1232,'Policy Characteristics'!$C:$C,0))),"",INDEX('Policy Characteristics'!K:K,MATCH($C1232,'Policy Characteristics'!$C:$C,0)))</f>
        <v>io-model.html</v>
      </c>
      <c r="R1232" s="394" t="str">
        <f>IF(ISBLANK(INDEX('Policy Characteristics'!L:L,MATCH($C1232,'Policy Characteristics'!$C:$C,0))),"",INDEX('Policy Characteristics'!L:L,MATCH($C1232,'Policy Characteristics'!$C:$C,0)))</f>
        <v/>
      </c>
    </row>
    <row r="1233" customHeight="1" spans="1:18">
      <c r="A1233" s="394" t="str">
        <f>IF(ISBLANK(INDEX('Policy Characteristics'!A:A,MATCH($C1233,'Policy Characteristics'!$C:$C,0))),"",INDEX('Policy Characteristics'!A:A,MATCH($C1233,'Policy Characteristics'!$C:$C,0)))</f>
        <v>Government Revenue Accounting</v>
      </c>
      <c r="B1233" s="395" t="str">
        <f>IF(ISBLANK(INDEX('Policy Characteristics'!B:B,MATCH($C1233,'Policy Characteristics'!$C:$C,0))),"",INDEX('Policy Characteristics'!B:B,MATCH($C1233,'Policy Characteristics'!$C:$C,0)))</f>
        <v>Fuel Tax Revenue</v>
      </c>
      <c r="C1233" s="394" t="str">
        <f t="shared" si="69"/>
        <v>GRA for Fuel Tax Revenue</v>
      </c>
      <c r="D1233" s="28" t="s">
        <v>933</v>
      </c>
      <c r="F1233" s="28" t="s">
        <v>934</v>
      </c>
      <c r="H1233" s="377">
        <v>553</v>
      </c>
      <c r="I1233" s="405" t="s">
        <v>648</v>
      </c>
      <c r="J1233" s="397" t="str">
        <f>IF(ISBLANK(INDEX('Policy Characteristics'!D:D,MATCH($C1233,'Policy Characteristics'!$C:$C,0))),"",INDEX('Policy Characteristics'!D:D,MATCH($C1233,'Policy Characteristics'!$C:$C,0)))</f>
        <v/>
      </c>
      <c r="K1233" s="394" t="str">
        <f>IF(ISBLANK(INDEX('Policy Characteristics'!E:E,MATCH($C1233,'Policy Characteristics'!$C:$C,0))),"",INDEX('Policy Characteristics'!E:E,MATCH($C1233,'Policy Characteristics'!$C:$C,0)))</f>
        <v>GRA fuel tax revenue</v>
      </c>
      <c r="L1233" s="394">
        <f>IF(ISBLANK(INDEX('Policy Characteristics'!F:F,MATCH($C1233,'Policy Characteristics'!$C:$C,0))),"",INDEX('Policy Characteristics'!F:F,MATCH($C1233,'Policy Characteristics'!$C:$C,0)))</f>
        <v>0</v>
      </c>
      <c r="M1233" s="394">
        <f>IF(ISBLANK(INDEX('Policy Characteristics'!G:G,MATCH($C1233,'Policy Characteristics'!$C:$C,0))),"",INDEX('Policy Characteristics'!G:G,MATCH($C1233,'Policy Characteristics'!$C:$C,0)))</f>
        <v>10</v>
      </c>
      <c r="N1233" s="394">
        <f>IF(ISBLANK(INDEX('Policy Characteristics'!H:H,MATCH($C1233,'Policy Characteristics'!$C:$C,0))),"",INDEX('Policy Characteristics'!H:H,MATCH($C1233,'Policy Characteristics'!$C:$C,0)))</f>
        <v>1</v>
      </c>
      <c r="O1233" s="394" t="str">
        <f>IF(ISBLANK(INDEX('Policy Characteristics'!I:I,MATCH($C1233,'Policy Characteristics'!$C:$C,0))),"",INDEX('Policy Characteristics'!I:I,MATCH($C1233,'Policy Characteristics'!$C:$C,0)))</f>
        <v>weight</v>
      </c>
      <c r="P1233" s="394" t="str">
        <f>IF(ISBLANK(INDEX('Policy Characteristics'!J:J,MATCH($C1233,'Policy Characteristics'!$C:$C,0))),"",INDEX('Policy Characteristics'!J:J,MATCH($C1233,'Policy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3" s="394" t="str">
        <f>IF(ISBLANK(INDEX('Policy Characteristics'!K:K,MATCH($C1233,'Policy Characteristics'!$C:$C,0))),"",INDEX('Policy Characteristics'!K:K,MATCH($C1233,'Policy Characteristics'!$C:$C,0)))</f>
        <v>io-model.html</v>
      </c>
      <c r="R1233" s="394" t="str">
        <f>IF(ISBLANK(INDEX('Policy Characteristics'!L:L,MATCH($C1233,'Policy Characteristics'!$C:$C,0))),"",INDEX('Policy Characteristics'!L:L,MATCH($C1233,'Policy Characteristics'!$C:$C,0)))</f>
        <v/>
      </c>
    </row>
    <row r="1234" customHeight="1" spans="1:18">
      <c r="A1234" s="394" t="str">
        <f>IF(ISBLANK(INDEX('Policy Characteristics'!A:A,MATCH($C1234,'Policy Characteristics'!$C:$C,0))),"",INDEX('Policy Characteristics'!A:A,MATCH($C1234,'Policy Characteristics'!$C:$C,0)))</f>
        <v>Government Revenue Accounting</v>
      </c>
      <c r="B1234" s="395" t="str">
        <f>IF(ISBLANK(INDEX('Policy Characteristics'!B:B,MATCH($C1234,'Policy Characteristics'!$C:$C,0))),"",INDEX('Policy Characteristics'!B:B,MATCH($C1234,'Policy Characteristics'!$C:$C,0)))</f>
        <v>Fuel Tax Revenue</v>
      </c>
      <c r="C1234" s="394" t="str">
        <f t="shared" si="69"/>
        <v>GRA for Fuel Tax Revenue</v>
      </c>
      <c r="D1234" s="28" t="s">
        <v>935</v>
      </c>
      <c r="F1234" s="28" t="s">
        <v>936</v>
      </c>
      <c r="H1234" s="377">
        <v>554</v>
      </c>
      <c r="I1234" s="405" t="s">
        <v>648</v>
      </c>
      <c r="J1234" s="397" t="str">
        <f>IF(ISBLANK(INDEX('Policy Characteristics'!D:D,MATCH($C1234,'Policy Characteristics'!$C:$C,0))),"",INDEX('Policy Characteristics'!D:D,MATCH($C1234,'Policy Characteristics'!$C:$C,0)))</f>
        <v/>
      </c>
      <c r="K1234" s="394" t="str">
        <f>IF(ISBLANK(INDEX('Policy Characteristics'!E:E,MATCH($C1234,'Policy Characteristics'!$C:$C,0))),"",INDEX('Policy Characteristics'!E:E,MATCH($C1234,'Policy Characteristics'!$C:$C,0)))</f>
        <v>GRA fuel tax revenue</v>
      </c>
      <c r="L1234" s="394">
        <f>IF(ISBLANK(INDEX('Policy Characteristics'!F:F,MATCH($C1234,'Policy Characteristics'!$C:$C,0))),"",INDEX('Policy Characteristics'!F:F,MATCH($C1234,'Policy Characteristics'!$C:$C,0)))</f>
        <v>0</v>
      </c>
      <c r="M1234" s="394">
        <f>IF(ISBLANK(INDEX('Policy Characteristics'!G:G,MATCH($C1234,'Policy Characteristics'!$C:$C,0))),"",INDEX('Policy Characteristics'!G:G,MATCH($C1234,'Policy Characteristics'!$C:$C,0)))</f>
        <v>10</v>
      </c>
      <c r="N1234" s="394">
        <f>IF(ISBLANK(INDEX('Policy Characteristics'!H:H,MATCH($C1234,'Policy Characteristics'!$C:$C,0))),"",INDEX('Policy Characteristics'!H:H,MATCH($C1234,'Policy Characteristics'!$C:$C,0)))</f>
        <v>1</v>
      </c>
      <c r="O1234" s="394" t="str">
        <f>IF(ISBLANK(INDEX('Policy Characteristics'!I:I,MATCH($C1234,'Policy Characteristics'!$C:$C,0))),"",INDEX('Policy Characteristics'!I:I,MATCH($C1234,'Policy Characteristics'!$C:$C,0)))</f>
        <v>weight</v>
      </c>
      <c r="P1234" s="394" t="str">
        <f>IF(ISBLANK(INDEX('Policy Characteristics'!J:J,MATCH($C1234,'Policy Characteristics'!$C:$C,0))),"",INDEX('Policy Characteristics'!J:J,MATCH($C1234,'Policy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4" s="394" t="str">
        <f>IF(ISBLANK(INDEX('Policy Characteristics'!K:K,MATCH($C1234,'Policy Characteristics'!$C:$C,0))),"",INDEX('Policy Characteristics'!K:K,MATCH($C1234,'Policy Characteristics'!$C:$C,0)))</f>
        <v>io-model.html</v>
      </c>
      <c r="R1234" s="394" t="str">
        <f>IF(ISBLANK(INDEX('Policy Characteristics'!L:L,MATCH($C1234,'Policy Characteristics'!$C:$C,0))),"",INDEX('Policy Characteristics'!L:L,MATCH($C1234,'Policy Characteristics'!$C:$C,0)))</f>
        <v/>
      </c>
    </row>
    <row r="1235" customHeight="1" spans="1:18">
      <c r="A1235" s="394" t="str">
        <f>IF(ISBLANK(INDEX('Policy Characteristics'!A:A,MATCH($C1235,'Policy Characteristics'!$C:$C,0))),"",INDEX('Policy Characteristics'!A:A,MATCH($C1235,'Policy Characteristics'!$C:$C,0)))</f>
        <v>Government Revenue Accounting</v>
      </c>
      <c r="B1235" s="395" t="str">
        <f>IF(ISBLANK(INDEX('Policy Characteristics'!B:B,MATCH($C1235,'Policy Characteristics'!$C:$C,0))),"",INDEX('Policy Characteristics'!B:B,MATCH($C1235,'Policy Characteristics'!$C:$C,0)))</f>
        <v>EV Subsidy</v>
      </c>
      <c r="C1235" t="s">
        <v>616</v>
      </c>
      <c r="D1235" s="28" t="s">
        <v>927</v>
      </c>
      <c r="F1235" s="28" t="s">
        <v>928</v>
      </c>
      <c r="H1235" s="377">
        <v>555</v>
      </c>
      <c r="I1235" s="385" t="s">
        <v>648</v>
      </c>
      <c r="J1235" s="397" t="str">
        <f>IF(ISBLANK(INDEX('Policy Characteristics'!D:D,MATCH($C1235,'Policy Characteristics'!$C:$C,0))),"",INDEX('Policy Characteristics'!D:D,MATCH($C1235,'Policy Characteristics'!$C:$C,0)))</f>
        <v/>
      </c>
      <c r="K1235" s="394" t="str">
        <f>IF(ISBLANK(INDEX('Policy Characteristics'!E:E,MATCH($C1235,'Policy Characteristics'!$C:$C,0))),"",INDEX('Policy Characteristics'!E:E,MATCH($C1235,'Policy Characteristics'!$C:$C,0)))</f>
        <v>GRA EV subsidy</v>
      </c>
      <c r="L1235" s="394">
        <f>IF(ISBLANK(INDEX('Policy Characteristics'!F:F,MATCH($C1235,'Policy Characteristics'!$C:$C,0))),"",INDEX('Policy Characteristics'!F:F,MATCH($C1235,'Policy Characteristics'!$C:$C,0)))</f>
        <v>0</v>
      </c>
      <c r="M1235" s="394">
        <f>IF(ISBLANK(INDEX('Policy Characteristics'!G:G,MATCH($C1235,'Policy Characteristics'!$C:$C,0))),"",INDEX('Policy Characteristics'!G:G,MATCH($C1235,'Policy Characteristics'!$C:$C,0)))</f>
        <v>10</v>
      </c>
      <c r="N1235" s="394">
        <f>IF(ISBLANK(INDEX('Policy Characteristics'!H:H,MATCH($C1235,'Policy Characteristics'!$C:$C,0))),"",INDEX('Policy Characteristics'!H:H,MATCH($C1235,'Policy Characteristics'!$C:$C,0)))</f>
        <v>1</v>
      </c>
      <c r="O1235" s="394" t="str">
        <f>IF(ISBLANK(INDEX('Policy Characteristics'!I:I,MATCH($C1235,'Policy Characteristics'!$C:$C,0))),"",INDEX('Policy Characteristics'!I:I,MATCH($C1235,'Policy Characteristics'!$C:$C,0)))</f>
        <v>weight</v>
      </c>
      <c r="P1235" s="394" t="str">
        <f>IF(ISBLANK(INDEX('Policy Characteristics'!J:J,MATCH($C1235,'Policy Characteristics'!$C:$C,0))),"",INDEX('Policy Characteristics'!J:J,MATCH($C1235,'Policy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5" s="394" t="str">
        <f>IF(ISBLANK(INDEX('Policy Characteristics'!K:K,MATCH($C1235,'Policy Characteristics'!$C:$C,0))),"",INDEX('Policy Characteristics'!K:K,MATCH($C1235,'Policy Characteristics'!$C:$C,0)))</f>
        <v>io-model.html</v>
      </c>
      <c r="R1235" s="394" t="str">
        <f>IF(ISBLANK(INDEX('Policy Characteristics'!L:L,MATCH($C1235,'Policy Characteristics'!$C:$C,0))),"",INDEX('Policy Characteristics'!L:L,MATCH($C1235,'Policy Characteristics'!$C:$C,0)))</f>
        <v/>
      </c>
    </row>
    <row r="1236" customHeight="1" spans="1:18">
      <c r="A1236" s="394" t="str">
        <f>IF(ISBLANK(INDEX('Policy Characteristics'!A:A,MATCH($C1236,'Policy Characteristics'!$C:$C,0))),"",INDEX('Policy Characteristics'!A:A,MATCH($C1236,'Policy Characteristics'!$C:$C,0)))</f>
        <v>Government Revenue Accounting</v>
      </c>
      <c r="B1236" s="395" t="str">
        <f>IF(ISBLANK(INDEX('Policy Characteristics'!B:B,MATCH($C1236,'Policy Characteristics'!$C:$C,0))),"",INDEX('Policy Characteristics'!B:B,MATCH($C1236,'Policy Characteristics'!$C:$C,0)))</f>
        <v>EV Subsidy</v>
      </c>
      <c r="C1236" s="394" t="str">
        <f t="shared" ref="C1236:C1239" si="70">C$1235</f>
        <v>GRA for EV Subsidy</v>
      </c>
      <c r="D1236" s="28" t="s">
        <v>929</v>
      </c>
      <c r="F1236" s="28" t="s">
        <v>930</v>
      </c>
      <c r="H1236" s="377">
        <v>556</v>
      </c>
      <c r="I1236" s="405" t="s">
        <v>648</v>
      </c>
      <c r="J1236" s="397" t="str">
        <f>IF(ISBLANK(INDEX('Policy Characteristics'!D:D,MATCH($C1236,'Policy Characteristics'!$C:$C,0))),"",INDEX('Policy Characteristics'!D:D,MATCH($C1236,'Policy Characteristics'!$C:$C,0)))</f>
        <v/>
      </c>
      <c r="K1236" s="394" t="str">
        <f>IF(ISBLANK(INDEX('Policy Characteristics'!E:E,MATCH($C1236,'Policy Characteristics'!$C:$C,0))),"",INDEX('Policy Characteristics'!E:E,MATCH($C1236,'Policy Characteristics'!$C:$C,0)))</f>
        <v>GRA EV subsidy</v>
      </c>
      <c r="L1236" s="394">
        <f>IF(ISBLANK(INDEX('Policy Characteristics'!F:F,MATCH($C1236,'Policy Characteristics'!$C:$C,0))),"",INDEX('Policy Characteristics'!F:F,MATCH($C1236,'Policy Characteristics'!$C:$C,0)))</f>
        <v>0</v>
      </c>
      <c r="M1236" s="394">
        <f>IF(ISBLANK(INDEX('Policy Characteristics'!G:G,MATCH($C1236,'Policy Characteristics'!$C:$C,0))),"",INDEX('Policy Characteristics'!G:G,MATCH($C1236,'Policy Characteristics'!$C:$C,0)))</f>
        <v>10</v>
      </c>
      <c r="N1236" s="394">
        <f>IF(ISBLANK(INDEX('Policy Characteristics'!H:H,MATCH($C1236,'Policy Characteristics'!$C:$C,0))),"",INDEX('Policy Characteristics'!H:H,MATCH($C1236,'Policy Characteristics'!$C:$C,0)))</f>
        <v>1</v>
      </c>
      <c r="O1236" s="394" t="str">
        <f>IF(ISBLANK(INDEX('Policy Characteristics'!I:I,MATCH($C1236,'Policy Characteristics'!$C:$C,0))),"",INDEX('Policy Characteristics'!I:I,MATCH($C1236,'Policy Characteristics'!$C:$C,0)))</f>
        <v>weight</v>
      </c>
      <c r="P1236" s="394" t="str">
        <f>IF(ISBLANK(INDEX('Policy Characteristics'!J:J,MATCH($C1236,'Policy Characteristics'!$C:$C,0))),"",INDEX('Policy Characteristics'!J:J,MATCH($C1236,'Policy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6" s="394" t="str">
        <f>IF(ISBLANK(INDEX('Policy Characteristics'!K:K,MATCH($C1236,'Policy Characteristics'!$C:$C,0))),"",INDEX('Policy Characteristics'!K:K,MATCH($C1236,'Policy Characteristics'!$C:$C,0)))</f>
        <v>io-model.html</v>
      </c>
      <c r="R1236" s="394" t="str">
        <f>IF(ISBLANK(INDEX('Policy Characteristics'!L:L,MATCH($C1236,'Policy Characteristics'!$C:$C,0))),"",INDEX('Policy Characteristics'!L:L,MATCH($C1236,'Policy Characteristics'!$C:$C,0)))</f>
        <v/>
      </c>
    </row>
    <row r="1237" customHeight="1" spans="1:18">
      <c r="A1237" s="394" t="str">
        <f>IF(ISBLANK(INDEX('Policy Characteristics'!A:A,MATCH($C1237,'Policy Characteristics'!$C:$C,0))),"",INDEX('Policy Characteristics'!A:A,MATCH($C1237,'Policy Characteristics'!$C:$C,0)))</f>
        <v>Government Revenue Accounting</v>
      </c>
      <c r="B1237" s="395" t="str">
        <f>IF(ISBLANK(INDEX('Policy Characteristics'!B:B,MATCH($C1237,'Policy Characteristics'!$C:$C,0))),"",INDEX('Policy Characteristics'!B:B,MATCH($C1237,'Policy Characteristics'!$C:$C,0)))</f>
        <v>EV Subsidy</v>
      </c>
      <c r="C1237" s="394" t="str">
        <f t="shared" si="70"/>
        <v>GRA for EV Subsidy</v>
      </c>
      <c r="D1237" s="28" t="s">
        <v>931</v>
      </c>
      <c r="F1237" s="28" t="s">
        <v>932</v>
      </c>
      <c r="H1237" s="377">
        <v>557</v>
      </c>
      <c r="I1237" s="405" t="s">
        <v>648</v>
      </c>
      <c r="J1237" s="397" t="str">
        <f>IF(ISBLANK(INDEX('Policy Characteristics'!D:D,MATCH($C1237,'Policy Characteristics'!$C:$C,0))),"",INDEX('Policy Characteristics'!D:D,MATCH($C1237,'Policy Characteristics'!$C:$C,0)))</f>
        <v/>
      </c>
      <c r="K1237" s="394" t="str">
        <f>IF(ISBLANK(INDEX('Policy Characteristics'!E:E,MATCH($C1237,'Policy Characteristics'!$C:$C,0))),"",INDEX('Policy Characteristics'!E:E,MATCH($C1237,'Policy Characteristics'!$C:$C,0)))</f>
        <v>GRA EV subsidy</v>
      </c>
      <c r="L1237" s="394">
        <f>IF(ISBLANK(INDEX('Policy Characteristics'!F:F,MATCH($C1237,'Policy Characteristics'!$C:$C,0))),"",INDEX('Policy Characteristics'!F:F,MATCH($C1237,'Policy Characteristics'!$C:$C,0)))</f>
        <v>0</v>
      </c>
      <c r="M1237" s="394">
        <f>IF(ISBLANK(INDEX('Policy Characteristics'!G:G,MATCH($C1237,'Policy Characteristics'!$C:$C,0))),"",INDEX('Policy Characteristics'!G:G,MATCH($C1237,'Policy Characteristics'!$C:$C,0)))</f>
        <v>10</v>
      </c>
      <c r="N1237" s="394">
        <f>IF(ISBLANK(INDEX('Policy Characteristics'!H:H,MATCH($C1237,'Policy Characteristics'!$C:$C,0))),"",INDEX('Policy Characteristics'!H:H,MATCH($C1237,'Policy Characteristics'!$C:$C,0)))</f>
        <v>1</v>
      </c>
      <c r="O1237" s="394" t="str">
        <f>IF(ISBLANK(INDEX('Policy Characteristics'!I:I,MATCH($C1237,'Policy Characteristics'!$C:$C,0))),"",INDEX('Policy Characteristics'!I:I,MATCH($C1237,'Policy Characteristics'!$C:$C,0)))</f>
        <v>weight</v>
      </c>
      <c r="P1237" s="394" t="str">
        <f>IF(ISBLANK(INDEX('Policy Characteristics'!J:J,MATCH($C1237,'Policy Characteristics'!$C:$C,0))),"",INDEX('Policy Characteristics'!J:J,MATCH($C1237,'Policy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7" s="394" t="str">
        <f>IF(ISBLANK(INDEX('Policy Characteristics'!K:K,MATCH($C1237,'Policy Characteristics'!$C:$C,0))),"",INDEX('Policy Characteristics'!K:K,MATCH($C1237,'Policy Characteristics'!$C:$C,0)))</f>
        <v>io-model.html</v>
      </c>
      <c r="R1237" s="394" t="str">
        <f>IF(ISBLANK(INDEX('Policy Characteristics'!L:L,MATCH($C1237,'Policy Characteristics'!$C:$C,0))),"",INDEX('Policy Characteristics'!L:L,MATCH($C1237,'Policy Characteristics'!$C:$C,0)))</f>
        <v/>
      </c>
    </row>
    <row r="1238" customHeight="1" spans="1:18">
      <c r="A1238" s="394" t="str">
        <f>IF(ISBLANK(INDEX('Policy Characteristics'!A:A,MATCH($C1238,'Policy Characteristics'!$C:$C,0))),"",INDEX('Policy Characteristics'!A:A,MATCH($C1238,'Policy Characteristics'!$C:$C,0)))</f>
        <v>Government Revenue Accounting</v>
      </c>
      <c r="B1238" s="395" t="str">
        <f>IF(ISBLANK(INDEX('Policy Characteristics'!B:B,MATCH($C1238,'Policy Characteristics'!$C:$C,0))),"",INDEX('Policy Characteristics'!B:B,MATCH($C1238,'Policy Characteristics'!$C:$C,0)))</f>
        <v>EV Subsidy</v>
      </c>
      <c r="C1238" s="394" t="str">
        <f t="shared" si="70"/>
        <v>GRA for EV Subsidy</v>
      </c>
      <c r="D1238" s="28" t="s">
        <v>933</v>
      </c>
      <c r="F1238" s="28" t="s">
        <v>934</v>
      </c>
      <c r="H1238" s="377">
        <v>558</v>
      </c>
      <c r="I1238" s="405" t="s">
        <v>648</v>
      </c>
      <c r="J1238" s="397" t="str">
        <f>IF(ISBLANK(INDEX('Policy Characteristics'!D:D,MATCH($C1238,'Policy Characteristics'!$C:$C,0))),"",INDEX('Policy Characteristics'!D:D,MATCH($C1238,'Policy Characteristics'!$C:$C,0)))</f>
        <v/>
      </c>
      <c r="K1238" s="394" t="str">
        <f>IF(ISBLANK(INDEX('Policy Characteristics'!E:E,MATCH($C1238,'Policy Characteristics'!$C:$C,0))),"",INDEX('Policy Characteristics'!E:E,MATCH($C1238,'Policy Characteristics'!$C:$C,0)))</f>
        <v>GRA EV subsidy</v>
      </c>
      <c r="L1238" s="394">
        <f>IF(ISBLANK(INDEX('Policy Characteristics'!F:F,MATCH($C1238,'Policy Characteristics'!$C:$C,0))),"",INDEX('Policy Characteristics'!F:F,MATCH($C1238,'Policy Characteristics'!$C:$C,0)))</f>
        <v>0</v>
      </c>
      <c r="M1238" s="394">
        <f>IF(ISBLANK(INDEX('Policy Characteristics'!G:G,MATCH($C1238,'Policy Characteristics'!$C:$C,0))),"",INDEX('Policy Characteristics'!G:G,MATCH($C1238,'Policy Characteristics'!$C:$C,0)))</f>
        <v>10</v>
      </c>
      <c r="N1238" s="394">
        <f>IF(ISBLANK(INDEX('Policy Characteristics'!H:H,MATCH($C1238,'Policy Characteristics'!$C:$C,0))),"",INDEX('Policy Characteristics'!H:H,MATCH($C1238,'Policy Characteristics'!$C:$C,0)))</f>
        <v>1</v>
      </c>
      <c r="O1238" s="394" t="str">
        <f>IF(ISBLANK(INDEX('Policy Characteristics'!I:I,MATCH($C1238,'Policy Characteristics'!$C:$C,0))),"",INDEX('Policy Characteristics'!I:I,MATCH($C1238,'Policy Characteristics'!$C:$C,0)))</f>
        <v>weight</v>
      </c>
      <c r="P1238" s="394" t="str">
        <f>IF(ISBLANK(INDEX('Policy Characteristics'!J:J,MATCH($C1238,'Policy Characteristics'!$C:$C,0))),"",INDEX('Policy Characteristics'!J:J,MATCH($C1238,'Policy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8" s="394" t="str">
        <f>IF(ISBLANK(INDEX('Policy Characteristics'!K:K,MATCH($C1238,'Policy Characteristics'!$C:$C,0))),"",INDEX('Policy Characteristics'!K:K,MATCH($C1238,'Policy Characteristics'!$C:$C,0)))</f>
        <v>io-model.html</v>
      </c>
      <c r="R1238" s="394" t="str">
        <f>IF(ISBLANK(INDEX('Policy Characteristics'!L:L,MATCH($C1238,'Policy Characteristics'!$C:$C,0))),"",INDEX('Policy Characteristics'!L:L,MATCH($C1238,'Policy Characteristics'!$C:$C,0)))</f>
        <v/>
      </c>
    </row>
    <row r="1239" customHeight="1" spans="1:18">
      <c r="A1239" s="394" t="str">
        <f>IF(ISBLANK(INDEX('Policy Characteristics'!A:A,MATCH($C1239,'Policy Characteristics'!$C:$C,0))),"",INDEX('Policy Characteristics'!A:A,MATCH($C1239,'Policy Characteristics'!$C:$C,0)))</f>
        <v>Government Revenue Accounting</v>
      </c>
      <c r="B1239" s="395" t="str">
        <f>IF(ISBLANK(INDEX('Policy Characteristics'!B:B,MATCH($C1239,'Policy Characteristics'!$C:$C,0))),"",INDEX('Policy Characteristics'!B:B,MATCH($C1239,'Policy Characteristics'!$C:$C,0)))</f>
        <v>EV Subsidy</v>
      </c>
      <c r="C1239" s="394" t="str">
        <f t="shared" si="70"/>
        <v>GRA for EV Subsidy</v>
      </c>
      <c r="D1239" s="28" t="s">
        <v>935</v>
      </c>
      <c r="F1239" s="28" t="s">
        <v>936</v>
      </c>
      <c r="H1239" s="377">
        <v>559</v>
      </c>
      <c r="I1239" s="405" t="s">
        <v>648</v>
      </c>
      <c r="J1239" s="397" t="str">
        <f>IF(ISBLANK(INDEX('Policy Characteristics'!D:D,MATCH($C1239,'Policy Characteristics'!$C:$C,0))),"",INDEX('Policy Characteristics'!D:D,MATCH($C1239,'Policy Characteristics'!$C:$C,0)))</f>
        <v/>
      </c>
      <c r="K1239" s="394" t="str">
        <f>IF(ISBLANK(INDEX('Policy Characteristics'!E:E,MATCH($C1239,'Policy Characteristics'!$C:$C,0))),"",INDEX('Policy Characteristics'!E:E,MATCH($C1239,'Policy Characteristics'!$C:$C,0)))</f>
        <v>GRA EV subsidy</v>
      </c>
      <c r="L1239" s="394">
        <f>IF(ISBLANK(INDEX('Policy Characteristics'!F:F,MATCH($C1239,'Policy Characteristics'!$C:$C,0))),"",INDEX('Policy Characteristics'!F:F,MATCH($C1239,'Policy Characteristics'!$C:$C,0)))</f>
        <v>0</v>
      </c>
      <c r="M1239" s="394">
        <f>IF(ISBLANK(INDEX('Policy Characteristics'!G:G,MATCH($C1239,'Policy Characteristics'!$C:$C,0))),"",INDEX('Policy Characteristics'!G:G,MATCH($C1239,'Policy Characteristics'!$C:$C,0)))</f>
        <v>10</v>
      </c>
      <c r="N1239" s="394">
        <f>IF(ISBLANK(INDEX('Policy Characteristics'!H:H,MATCH($C1239,'Policy Characteristics'!$C:$C,0))),"",INDEX('Policy Characteristics'!H:H,MATCH($C1239,'Policy Characteristics'!$C:$C,0)))</f>
        <v>1</v>
      </c>
      <c r="O1239" s="394" t="str">
        <f>IF(ISBLANK(INDEX('Policy Characteristics'!I:I,MATCH($C1239,'Policy Characteristics'!$C:$C,0))),"",INDEX('Policy Characteristics'!I:I,MATCH($C1239,'Policy Characteristics'!$C:$C,0)))</f>
        <v>weight</v>
      </c>
      <c r="P1239" s="394" t="str">
        <f>IF(ISBLANK(INDEX('Policy Characteristics'!J:J,MATCH($C1239,'Policy Characteristics'!$C:$C,0))),"",INDEX('Policy Characteristics'!J:J,MATCH($C1239,'Policy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9" s="394" t="str">
        <f>IF(ISBLANK(INDEX('Policy Characteristics'!K:K,MATCH($C1239,'Policy Characteristics'!$C:$C,0))),"",INDEX('Policy Characteristics'!K:K,MATCH($C1239,'Policy Characteristics'!$C:$C,0)))</f>
        <v>io-model.html</v>
      </c>
      <c r="R1239" s="394" t="str">
        <f>IF(ISBLANK(INDEX('Policy Characteristics'!L:L,MATCH($C1239,'Policy Characteristics'!$C:$C,0))),"",INDEX('Policy Characteristics'!L:L,MATCH($C1239,'Policy Characteristics'!$C:$C,0)))</f>
        <v/>
      </c>
    </row>
    <row r="1240" customHeight="1" spans="1:18">
      <c r="A1240" s="394" t="str">
        <f>IF(ISBLANK(INDEX('Policy Characteristics'!A:A,MATCH($C1240,'Policy Characteristics'!$C:$C,0))),"",INDEX('Policy Characteristics'!A:A,MATCH($C1240,'Policy Characteristics'!$C:$C,0)))</f>
        <v>Government Revenue Accounting</v>
      </c>
      <c r="B1240" s="395" t="str">
        <f>IF(ISBLANK(INDEX('Policy Characteristics'!B:B,MATCH($C1240,'Policy Characteristics'!$C:$C,0))),"",INDEX('Policy Characteristics'!B:B,MATCH($C1240,'Policy Characteristics'!$C:$C,0)))</f>
        <v>Electricity Generation Subsidy</v>
      </c>
      <c r="C1240" t="s">
        <v>619</v>
      </c>
      <c r="D1240" s="28" t="s">
        <v>927</v>
      </c>
      <c r="F1240" s="28" t="s">
        <v>928</v>
      </c>
      <c r="H1240" s="377">
        <v>560</v>
      </c>
      <c r="I1240" s="385" t="s">
        <v>648</v>
      </c>
      <c r="J1240" s="397" t="str">
        <f>IF(ISBLANK(INDEX('Policy Characteristics'!D:D,MATCH($C1240,'Policy Characteristics'!$C:$C,0))),"",INDEX('Policy Characteristics'!D:D,MATCH($C1240,'Policy Characteristics'!$C:$C,0)))</f>
        <v/>
      </c>
      <c r="K1240" s="394" t="str">
        <f>IF(ISBLANK(INDEX('Policy Characteristics'!E:E,MATCH($C1240,'Policy Characteristics'!$C:$C,0))),"",INDEX('Policy Characteristics'!E:E,MATCH($C1240,'Policy Characteristics'!$C:$C,0)))</f>
        <v>GRA elec gen subsidy</v>
      </c>
      <c r="L1240" s="394">
        <f>IF(ISBLANK(INDEX('Policy Characteristics'!F:F,MATCH($C1240,'Policy Characteristics'!$C:$C,0))),"",INDEX('Policy Characteristics'!F:F,MATCH($C1240,'Policy Characteristics'!$C:$C,0)))</f>
        <v>0</v>
      </c>
      <c r="M1240" s="394">
        <f>IF(ISBLANK(INDEX('Policy Characteristics'!G:G,MATCH($C1240,'Policy Characteristics'!$C:$C,0))),"",INDEX('Policy Characteristics'!G:G,MATCH($C1240,'Policy Characteristics'!$C:$C,0)))</f>
        <v>10</v>
      </c>
      <c r="N1240" s="394">
        <f>IF(ISBLANK(INDEX('Policy Characteristics'!H:H,MATCH($C1240,'Policy Characteristics'!$C:$C,0))),"",INDEX('Policy Characteristics'!H:H,MATCH($C1240,'Policy Characteristics'!$C:$C,0)))</f>
        <v>1</v>
      </c>
      <c r="O1240" s="394" t="str">
        <f>IF(ISBLANK(INDEX('Policy Characteristics'!I:I,MATCH($C1240,'Policy Characteristics'!$C:$C,0))),"",INDEX('Policy Characteristics'!I:I,MATCH($C1240,'Policy Characteristics'!$C:$C,0)))</f>
        <v>weight</v>
      </c>
      <c r="P1240" s="394" t="str">
        <f>IF(ISBLANK(INDEX('Policy Characteristics'!J:J,MATCH($C1240,'Policy Characteristics'!$C:$C,0))),"",INDEX('Policy Characteristics'!J:J,MATCH($C1240,'Policy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0" s="394" t="str">
        <f>IF(ISBLANK(INDEX('Policy Characteristics'!K:K,MATCH($C1240,'Policy Characteristics'!$C:$C,0))),"",INDEX('Policy Characteristics'!K:K,MATCH($C1240,'Policy Characteristics'!$C:$C,0)))</f>
        <v>io-model.html</v>
      </c>
      <c r="R1240" s="394" t="str">
        <f>IF(ISBLANK(INDEX('Policy Characteristics'!L:L,MATCH($C1240,'Policy Characteristics'!$C:$C,0))),"",INDEX('Policy Characteristics'!L:L,MATCH($C1240,'Policy Characteristics'!$C:$C,0)))</f>
        <v/>
      </c>
    </row>
    <row r="1241" customHeight="1" spans="1:18">
      <c r="A1241" s="394" t="str">
        <f>IF(ISBLANK(INDEX('Policy Characteristics'!A:A,MATCH($C1241,'Policy Characteristics'!$C:$C,0))),"",INDEX('Policy Characteristics'!A:A,MATCH($C1241,'Policy Characteristics'!$C:$C,0)))</f>
        <v>Government Revenue Accounting</v>
      </c>
      <c r="B1241" s="395" t="str">
        <f>IF(ISBLANK(INDEX('Policy Characteristics'!B:B,MATCH($C1241,'Policy Characteristics'!$C:$C,0))),"",INDEX('Policy Characteristics'!B:B,MATCH($C1241,'Policy Characteristics'!$C:$C,0)))</f>
        <v>Electricity Generation Subsidy</v>
      </c>
      <c r="C1241" s="394" t="str">
        <f t="shared" ref="C1241:C1244" si="71">C$1240</f>
        <v>GRA for Electricity Generation Subsidies</v>
      </c>
      <c r="D1241" s="28" t="s">
        <v>929</v>
      </c>
      <c r="F1241" s="28" t="s">
        <v>930</v>
      </c>
      <c r="H1241" s="377">
        <v>561</v>
      </c>
      <c r="I1241" s="405" t="s">
        <v>648</v>
      </c>
      <c r="J1241" s="397" t="str">
        <f>IF(ISBLANK(INDEX('Policy Characteristics'!D:D,MATCH($C1241,'Policy Characteristics'!$C:$C,0))),"",INDEX('Policy Characteristics'!D:D,MATCH($C1241,'Policy Characteristics'!$C:$C,0)))</f>
        <v/>
      </c>
      <c r="K1241" s="394" t="str">
        <f>IF(ISBLANK(INDEX('Policy Characteristics'!E:E,MATCH($C1241,'Policy Characteristics'!$C:$C,0))),"",INDEX('Policy Characteristics'!E:E,MATCH($C1241,'Policy Characteristics'!$C:$C,0)))</f>
        <v>GRA elec gen subsidy</v>
      </c>
      <c r="L1241" s="394">
        <f>IF(ISBLANK(INDEX('Policy Characteristics'!F:F,MATCH($C1241,'Policy Characteristics'!$C:$C,0))),"",INDEX('Policy Characteristics'!F:F,MATCH($C1241,'Policy Characteristics'!$C:$C,0)))</f>
        <v>0</v>
      </c>
      <c r="M1241" s="394">
        <f>IF(ISBLANK(INDEX('Policy Characteristics'!G:G,MATCH($C1241,'Policy Characteristics'!$C:$C,0))),"",INDEX('Policy Characteristics'!G:G,MATCH($C1241,'Policy Characteristics'!$C:$C,0)))</f>
        <v>10</v>
      </c>
      <c r="N1241" s="394">
        <f>IF(ISBLANK(INDEX('Policy Characteristics'!H:H,MATCH($C1241,'Policy Characteristics'!$C:$C,0))),"",INDEX('Policy Characteristics'!H:H,MATCH($C1241,'Policy Characteristics'!$C:$C,0)))</f>
        <v>1</v>
      </c>
      <c r="O1241" s="394" t="str">
        <f>IF(ISBLANK(INDEX('Policy Characteristics'!I:I,MATCH($C1241,'Policy Characteristics'!$C:$C,0))),"",INDEX('Policy Characteristics'!I:I,MATCH($C1241,'Policy Characteristics'!$C:$C,0)))</f>
        <v>weight</v>
      </c>
      <c r="P1241" s="394" t="str">
        <f>IF(ISBLANK(INDEX('Policy Characteristics'!J:J,MATCH($C1241,'Policy Characteristics'!$C:$C,0))),"",INDEX('Policy Characteristics'!J:J,MATCH($C1241,'Policy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1" s="394" t="str">
        <f>IF(ISBLANK(INDEX('Policy Characteristics'!K:K,MATCH($C1241,'Policy Characteristics'!$C:$C,0))),"",INDEX('Policy Characteristics'!K:K,MATCH($C1241,'Policy Characteristics'!$C:$C,0)))</f>
        <v>io-model.html</v>
      </c>
      <c r="R1241" s="394" t="str">
        <f>IF(ISBLANK(INDEX('Policy Characteristics'!L:L,MATCH($C1241,'Policy Characteristics'!$C:$C,0))),"",INDEX('Policy Characteristics'!L:L,MATCH($C1241,'Policy Characteristics'!$C:$C,0)))</f>
        <v/>
      </c>
    </row>
    <row r="1242" customHeight="1" spans="1:18">
      <c r="A1242" s="394" t="str">
        <f>IF(ISBLANK(INDEX('Policy Characteristics'!A:A,MATCH($C1242,'Policy Characteristics'!$C:$C,0))),"",INDEX('Policy Characteristics'!A:A,MATCH($C1242,'Policy Characteristics'!$C:$C,0)))</f>
        <v>Government Revenue Accounting</v>
      </c>
      <c r="B1242" s="395" t="str">
        <f>IF(ISBLANK(INDEX('Policy Characteristics'!B:B,MATCH($C1242,'Policy Characteristics'!$C:$C,0))),"",INDEX('Policy Characteristics'!B:B,MATCH($C1242,'Policy Characteristics'!$C:$C,0)))</f>
        <v>Electricity Generation Subsidy</v>
      </c>
      <c r="C1242" s="394" t="str">
        <f t="shared" si="71"/>
        <v>GRA for Electricity Generation Subsidies</v>
      </c>
      <c r="D1242" s="28" t="s">
        <v>931</v>
      </c>
      <c r="F1242" s="28" t="s">
        <v>932</v>
      </c>
      <c r="H1242" s="377">
        <v>562</v>
      </c>
      <c r="I1242" s="405" t="s">
        <v>648</v>
      </c>
      <c r="J1242" s="397" t="str">
        <f>IF(ISBLANK(INDEX('Policy Characteristics'!D:D,MATCH($C1242,'Policy Characteristics'!$C:$C,0))),"",INDEX('Policy Characteristics'!D:D,MATCH($C1242,'Policy Characteristics'!$C:$C,0)))</f>
        <v/>
      </c>
      <c r="K1242" s="394" t="str">
        <f>IF(ISBLANK(INDEX('Policy Characteristics'!E:E,MATCH($C1242,'Policy Characteristics'!$C:$C,0))),"",INDEX('Policy Characteristics'!E:E,MATCH($C1242,'Policy Characteristics'!$C:$C,0)))</f>
        <v>GRA elec gen subsidy</v>
      </c>
      <c r="L1242" s="394">
        <f>IF(ISBLANK(INDEX('Policy Characteristics'!F:F,MATCH($C1242,'Policy Characteristics'!$C:$C,0))),"",INDEX('Policy Characteristics'!F:F,MATCH($C1242,'Policy Characteristics'!$C:$C,0)))</f>
        <v>0</v>
      </c>
      <c r="M1242" s="394">
        <f>IF(ISBLANK(INDEX('Policy Characteristics'!G:G,MATCH($C1242,'Policy Characteristics'!$C:$C,0))),"",INDEX('Policy Characteristics'!G:G,MATCH($C1242,'Policy Characteristics'!$C:$C,0)))</f>
        <v>10</v>
      </c>
      <c r="N1242" s="394">
        <f>IF(ISBLANK(INDEX('Policy Characteristics'!H:H,MATCH($C1242,'Policy Characteristics'!$C:$C,0))),"",INDEX('Policy Characteristics'!H:H,MATCH($C1242,'Policy Characteristics'!$C:$C,0)))</f>
        <v>1</v>
      </c>
      <c r="O1242" s="394" t="str">
        <f>IF(ISBLANK(INDEX('Policy Characteristics'!I:I,MATCH($C1242,'Policy Characteristics'!$C:$C,0))),"",INDEX('Policy Characteristics'!I:I,MATCH($C1242,'Policy Characteristics'!$C:$C,0)))</f>
        <v>weight</v>
      </c>
      <c r="P1242" s="394" t="str">
        <f>IF(ISBLANK(INDEX('Policy Characteristics'!J:J,MATCH($C1242,'Policy Characteristics'!$C:$C,0))),"",INDEX('Policy Characteristics'!J:J,MATCH($C1242,'Policy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2" s="394" t="str">
        <f>IF(ISBLANK(INDEX('Policy Characteristics'!K:K,MATCH($C1242,'Policy Characteristics'!$C:$C,0))),"",INDEX('Policy Characteristics'!K:K,MATCH($C1242,'Policy Characteristics'!$C:$C,0)))</f>
        <v>io-model.html</v>
      </c>
      <c r="R1242" s="394" t="str">
        <f>IF(ISBLANK(INDEX('Policy Characteristics'!L:L,MATCH($C1242,'Policy Characteristics'!$C:$C,0))),"",INDEX('Policy Characteristics'!L:L,MATCH($C1242,'Policy Characteristics'!$C:$C,0)))</f>
        <v/>
      </c>
    </row>
    <row r="1243" customHeight="1" spans="1:18">
      <c r="A1243" s="394" t="str">
        <f>IF(ISBLANK(INDEX('Policy Characteristics'!A:A,MATCH($C1243,'Policy Characteristics'!$C:$C,0))),"",INDEX('Policy Characteristics'!A:A,MATCH($C1243,'Policy Characteristics'!$C:$C,0)))</f>
        <v>Government Revenue Accounting</v>
      </c>
      <c r="B1243" s="395" t="str">
        <f>IF(ISBLANK(INDEX('Policy Characteristics'!B:B,MATCH($C1243,'Policy Characteristics'!$C:$C,0))),"",INDEX('Policy Characteristics'!B:B,MATCH($C1243,'Policy Characteristics'!$C:$C,0)))</f>
        <v>Electricity Generation Subsidy</v>
      </c>
      <c r="C1243" s="394" t="str">
        <f t="shared" si="71"/>
        <v>GRA for Electricity Generation Subsidies</v>
      </c>
      <c r="D1243" s="28" t="s">
        <v>933</v>
      </c>
      <c r="F1243" s="28" t="s">
        <v>934</v>
      </c>
      <c r="H1243" s="377">
        <v>563</v>
      </c>
      <c r="I1243" s="405" t="s">
        <v>648</v>
      </c>
      <c r="J1243" s="397" t="str">
        <f>IF(ISBLANK(INDEX('Policy Characteristics'!D:D,MATCH($C1243,'Policy Characteristics'!$C:$C,0))),"",INDEX('Policy Characteristics'!D:D,MATCH($C1243,'Policy Characteristics'!$C:$C,0)))</f>
        <v/>
      </c>
      <c r="K1243" s="394" t="str">
        <f>IF(ISBLANK(INDEX('Policy Characteristics'!E:E,MATCH($C1243,'Policy Characteristics'!$C:$C,0))),"",INDEX('Policy Characteristics'!E:E,MATCH($C1243,'Policy Characteristics'!$C:$C,0)))</f>
        <v>GRA elec gen subsidy</v>
      </c>
      <c r="L1243" s="394">
        <f>IF(ISBLANK(INDEX('Policy Characteristics'!F:F,MATCH($C1243,'Policy Characteristics'!$C:$C,0))),"",INDEX('Policy Characteristics'!F:F,MATCH($C1243,'Policy Characteristics'!$C:$C,0)))</f>
        <v>0</v>
      </c>
      <c r="M1243" s="394">
        <f>IF(ISBLANK(INDEX('Policy Characteristics'!G:G,MATCH($C1243,'Policy Characteristics'!$C:$C,0))),"",INDEX('Policy Characteristics'!G:G,MATCH($C1243,'Policy Characteristics'!$C:$C,0)))</f>
        <v>10</v>
      </c>
      <c r="N1243" s="394">
        <f>IF(ISBLANK(INDEX('Policy Characteristics'!H:H,MATCH($C1243,'Policy Characteristics'!$C:$C,0))),"",INDEX('Policy Characteristics'!H:H,MATCH($C1243,'Policy Characteristics'!$C:$C,0)))</f>
        <v>1</v>
      </c>
      <c r="O1243" s="394" t="str">
        <f>IF(ISBLANK(INDEX('Policy Characteristics'!I:I,MATCH($C1243,'Policy Characteristics'!$C:$C,0))),"",INDEX('Policy Characteristics'!I:I,MATCH($C1243,'Policy Characteristics'!$C:$C,0)))</f>
        <v>weight</v>
      </c>
      <c r="P1243" s="394" t="str">
        <f>IF(ISBLANK(INDEX('Policy Characteristics'!J:J,MATCH($C1243,'Policy Characteristics'!$C:$C,0))),"",INDEX('Policy Characteristics'!J:J,MATCH($C1243,'Policy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3" s="394" t="str">
        <f>IF(ISBLANK(INDEX('Policy Characteristics'!K:K,MATCH($C1243,'Policy Characteristics'!$C:$C,0))),"",INDEX('Policy Characteristics'!K:K,MATCH($C1243,'Policy Characteristics'!$C:$C,0)))</f>
        <v>io-model.html</v>
      </c>
      <c r="R1243" s="394" t="str">
        <f>IF(ISBLANK(INDEX('Policy Characteristics'!L:L,MATCH($C1243,'Policy Characteristics'!$C:$C,0))),"",INDEX('Policy Characteristics'!L:L,MATCH($C1243,'Policy Characteristics'!$C:$C,0)))</f>
        <v/>
      </c>
    </row>
    <row r="1244" customHeight="1" spans="1:18">
      <c r="A1244" s="394" t="str">
        <f>IF(ISBLANK(INDEX('Policy Characteristics'!A:A,MATCH($C1244,'Policy Characteristics'!$C:$C,0))),"",INDEX('Policy Characteristics'!A:A,MATCH($C1244,'Policy Characteristics'!$C:$C,0)))</f>
        <v>Government Revenue Accounting</v>
      </c>
      <c r="B1244" s="395" t="str">
        <f>IF(ISBLANK(INDEX('Policy Characteristics'!B:B,MATCH($C1244,'Policy Characteristics'!$C:$C,0))),"",INDEX('Policy Characteristics'!B:B,MATCH($C1244,'Policy Characteristics'!$C:$C,0)))</f>
        <v>Electricity Generation Subsidy</v>
      </c>
      <c r="C1244" s="394" t="str">
        <f t="shared" si="71"/>
        <v>GRA for Electricity Generation Subsidies</v>
      </c>
      <c r="D1244" s="28" t="s">
        <v>935</v>
      </c>
      <c r="F1244" s="28" t="s">
        <v>936</v>
      </c>
      <c r="H1244" s="377">
        <v>564</v>
      </c>
      <c r="I1244" s="405" t="s">
        <v>648</v>
      </c>
      <c r="J1244" s="397" t="str">
        <f>IF(ISBLANK(INDEX('Policy Characteristics'!D:D,MATCH($C1244,'Policy Characteristics'!$C:$C,0))),"",INDEX('Policy Characteristics'!D:D,MATCH($C1244,'Policy Characteristics'!$C:$C,0)))</f>
        <v/>
      </c>
      <c r="K1244" s="394" t="str">
        <f>IF(ISBLANK(INDEX('Policy Characteristics'!E:E,MATCH($C1244,'Policy Characteristics'!$C:$C,0))),"",INDEX('Policy Characteristics'!E:E,MATCH($C1244,'Policy Characteristics'!$C:$C,0)))</f>
        <v>GRA elec gen subsidy</v>
      </c>
      <c r="L1244" s="394">
        <f>IF(ISBLANK(INDEX('Policy Characteristics'!F:F,MATCH($C1244,'Policy Characteristics'!$C:$C,0))),"",INDEX('Policy Characteristics'!F:F,MATCH($C1244,'Policy Characteristics'!$C:$C,0)))</f>
        <v>0</v>
      </c>
      <c r="M1244" s="394">
        <f>IF(ISBLANK(INDEX('Policy Characteristics'!G:G,MATCH($C1244,'Policy Characteristics'!$C:$C,0))),"",INDEX('Policy Characteristics'!G:G,MATCH($C1244,'Policy Characteristics'!$C:$C,0)))</f>
        <v>10</v>
      </c>
      <c r="N1244" s="394">
        <f>IF(ISBLANK(INDEX('Policy Characteristics'!H:H,MATCH($C1244,'Policy Characteristics'!$C:$C,0))),"",INDEX('Policy Characteristics'!H:H,MATCH($C1244,'Policy Characteristics'!$C:$C,0)))</f>
        <v>1</v>
      </c>
      <c r="O1244" s="394" t="str">
        <f>IF(ISBLANK(INDEX('Policy Characteristics'!I:I,MATCH($C1244,'Policy Characteristics'!$C:$C,0))),"",INDEX('Policy Characteristics'!I:I,MATCH($C1244,'Policy Characteristics'!$C:$C,0)))</f>
        <v>weight</v>
      </c>
      <c r="P1244" s="394" t="str">
        <f>IF(ISBLANK(INDEX('Policy Characteristics'!J:J,MATCH($C1244,'Policy Characteristics'!$C:$C,0))),"",INDEX('Policy Characteristics'!J:J,MATCH($C1244,'Policy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4" s="394" t="str">
        <f>IF(ISBLANK(INDEX('Policy Characteristics'!K:K,MATCH($C1244,'Policy Characteristics'!$C:$C,0))),"",INDEX('Policy Characteristics'!K:K,MATCH($C1244,'Policy Characteristics'!$C:$C,0)))</f>
        <v>io-model.html</v>
      </c>
      <c r="R1244" s="394" t="str">
        <f>IF(ISBLANK(INDEX('Policy Characteristics'!L:L,MATCH($C1244,'Policy Characteristics'!$C:$C,0))),"",INDEX('Policy Characteristics'!L:L,MATCH($C1244,'Policy Characteristics'!$C:$C,0)))</f>
        <v/>
      </c>
    </row>
    <row r="1245" customHeight="1" spans="1:18">
      <c r="A1245" s="394" t="str">
        <f>IF(ISBLANK(INDEX('Policy Characteristics'!A:A,MATCH($C1245,'Policy Characteristics'!$C:$C,0))),"",INDEX('Policy Characteristics'!A:A,MATCH($C1245,'Policy Characteristics'!$C:$C,0)))</f>
        <v>Government Revenue Accounting</v>
      </c>
      <c r="B1245" s="395" t="str">
        <f>IF(ISBLANK(INDEX('Policy Characteristics'!B:B,MATCH($C1245,'Policy Characteristics'!$C:$C,0))),"",INDEX('Policy Characteristics'!B:B,MATCH($C1245,'Policy Characteristics'!$C:$C,0)))</f>
        <v>Electricity Capacity Construction Subsidy</v>
      </c>
      <c r="C1245" t="s">
        <v>622</v>
      </c>
      <c r="D1245" s="28" t="s">
        <v>927</v>
      </c>
      <c r="F1245" s="28" t="s">
        <v>928</v>
      </c>
      <c r="H1245" s="377">
        <v>565</v>
      </c>
      <c r="I1245" s="385" t="s">
        <v>648</v>
      </c>
      <c r="J1245" s="397" t="str">
        <f>IF(ISBLANK(INDEX('Policy Characteristics'!D:D,MATCH($C1245,'Policy Characteristics'!$C:$C,0))),"",INDEX('Policy Characteristics'!D:D,MATCH($C1245,'Policy Characteristics'!$C:$C,0)))</f>
        <v/>
      </c>
      <c r="K1245" s="394" t="str">
        <f>IF(ISBLANK(INDEX('Policy Characteristics'!E:E,MATCH($C1245,'Policy Characteristics'!$C:$C,0))),"",INDEX('Policy Characteristics'!E:E,MATCH($C1245,'Policy Characteristics'!$C:$C,0)))</f>
        <v>GRA elec cap const subsidy</v>
      </c>
      <c r="L1245" s="394">
        <f>IF(ISBLANK(INDEX('Policy Characteristics'!F:F,MATCH($C1245,'Policy Characteristics'!$C:$C,0))),"",INDEX('Policy Characteristics'!F:F,MATCH($C1245,'Policy Characteristics'!$C:$C,0)))</f>
        <v>0</v>
      </c>
      <c r="M1245" s="394">
        <f>IF(ISBLANK(INDEX('Policy Characteristics'!G:G,MATCH($C1245,'Policy Characteristics'!$C:$C,0))),"",INDEX('Policy Characteristics'!G:G,MATCH($C1245,'Policy Characteristics'!$C:$C,0)))</f>
        <v>10</v>
      </c>
      <c r="N1245" s="394">
        <f>IF(ISBLANK(INDEX('Policy Characteristics'!H:H,MATCH($C1245,'Policy Characteristics'!$C:$C,0))),"",INDEX('Policy Characteristics'!H:H,MATCH($C1245,'Policy Characteristics'!$C:$C,0)))</f>
        <v>1</v>
      </c>
      <c r="O1245" s="394" t="str">
        <f>IF(ISBLANK(INDEX('Policy Characteristics'!I:I,MATCH($C1245,'Policy Characteristics'!$C:$C,0))),"",INDEX('Policy Characteristics'!I:I,MATCH($C1245,'Policy Characteristics'!$C:$C,0)))</f>
        <v>weight</v>
      </c>
      <c r="P1245" s="394" t="str">
        <f>IF(ISBLANK(INDEX('Policy Characteristics'!J:J,MATCH($C1245,'Policy Characteristics'!$C:$C,0))),"",INDEX('Policy Characteristics'!J:J,MATCH($C1245,'Policy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5" s="394" t="str">
        <f>IF(ISBLANK(INDEX('Policy Characteristics'!K:K,MATCH($C1245,'Policy Characteristics'!$C:$C,0))),"",INDEX('Policy Characteristics'!K:K,MATCH($C1245,'Policy Characteristics'!$C:$C,0)))</f>
        <v>io-model.html</v>
      </c>
      <c r="R1245" s="394" t="str">
        <f>IF(ISBLANK(INDEX('Policy Characteristics'!L:L,MATCH($C1245,'Policy Characteristics'!$C:$C,0))),"",INDEX('Policy Characteristics'!L:L,MATCH($C1245,'Policy Characteristics'!$C:$C,0)))</f>
        <v/>
      </c>
    </row>
    <row r="1246" customHeight="1" spans="1:18">
      <c r="A1246" s="394" t="str">
        <f>IF(ISBLANK(INDEX('Policy Characteristics'!A:A,MATCH($C1246,'Policy Characteristics'!$C:$C,0))),"",INDEX('Policy Characteristics'!A:A,MATCH($C1246,'Policy Characteristics'!$C:$C,0)))</f>
        <v>Government Revenue Accounting</v>
      </c>
      <c r="B1246" s="395" t="str">
        <f>IF(ISBLANK(INDEX('Policy Characteristics'!B:B,MATCH($C1246,'Policy Characteristics'!$C:$C,0))),"",INDEX('Policy Characteristics'!B:B,MATCH($C1246,'Policy Characteristics'!$C:$C,0)))</f>
        <v>Electricity Capacity Construction Subsidy</v>
      </c>
      <c r="C1246" s="394" t="str">
        <f t="shared" ref="C1246:C1249" si="72">C$1245</f>
        <v>GRA for Electricity Capacity Construction Subsidies</v>
      </c>
      <c r="D1246" s="28" t="s">
        <v>929</v>
      </c>
      <c r="F1246" s="28" t="s">
        <v>930</v>
      </c>
      <c r="H1246" s="377">
        <v>566</v>
      </c>
      <c r="I1246" s="405" t="s">
        <v>648</v>
      </c>
      <c r="J1246" s="397" t="str">
        <f>IF(ISBLANK(INDEX('Policy Characteristics'!D:D,MATCH($C1246,'Policy Characteristics'!$C:$C,0))),"",INDEX('Policy Characteristics'!D:D,MATCH($C1246,'Policy Characteristics'!$C:$C,0)))</f>
        <v/>
      </c>
      <c r="K1246" s="394" t="str">
        <f>IF(ISBLANK(INDEX('Policy Characteristics'!E:E,MATCH($C1246,'Policy Characteristics'!$C:$C,0))),"",INDEX('Policy Characteristics'!E:E,MATCH($C1246,'Policy Characteristics'!$C:$C,0)))</f>
        <v>GRA elec cap const subsidy</v>
      </c>
      <c r="L1246" s="394">
        <f>IF(ISBLANK(INDEX('Policy Characteristics'!F:F,MATCH($C1246,'Policy Characteristics'!$C:$C,0))),"",INDEX('Policy Characteristics'!F:F,MATCH($C1246,'Policy Characteristics'!$C:$C,0)))</f>
        <v>0</v>
      </c>
      <c r="M1246" s="394">
        <f>IF(ISBLANK(INDEX('Policy Characteristics'!G:G,MATCH($C1246,'Policy Characteristics'!$C:$C,0))),"",INDEX('Policy Characteristics'!G:G,MATCH($C1246,'Policy Characteristics'!$C:$C,0)))</f>
        <v>10</v>
      </c>
      <c r="N1246" s="394">
        <f>IF(ISBLANK(INDEX('Policy Characteristics'!H:H,MATCH($C1246,'Policy Characteristics'!$C:$C,0))),"",INDEX('Policy Characteristics'!H:H,MATCH($C1246,'Policy Characteristics'!$C:$C,0)))</f>
        <v>1</v>
      </c>
      <c r="O1246" s="394" t="str">
        <f>IF(ISBLANK(INDEX('Policy Characteristics'!I:I,MATCH($C1246,'Policy Characteristics'!$C:$C,0))),"",INDEX('Policy Characteristics'!I:I,MATCH($C1246,'Policy Characteristics'!$C:$C,0)))</f>
        <v>weight</v>
      </c>
      <c r="P1246" s="394" t="str">
        <f>IF(ISBLANK(INDEX('Policy Characteristics'!J:J,MATCH($C1246,'Policy Characteristics'!$C:$C,0))),"",INDEX('Policy Characteristics'!J:J,MATCH($C1246,'Policy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6" s="394" t="str">
        <f>IF(ISBLANK(INDEX('Policy Characteristics'!K:K,MATCH($C1246,'Policy Characteristics'!$C:$C,0))),"",INDEX('Policy Characteristics'!K:K,MATCH($C1246,'Policy Characteristics'!$C:$C,0)))</f>
        <v>io-model.html</v>
      </c>
      <c r="R1246" s="394" t="str">
        <f>IF(ISBLANK(INDEX('Policy Characteristics'!L:L,MATCH($C1246,'Policy Characteristics'!$C:$C,0))),"",INDEX('Policy Characteristics'!L:L,MATCH($C1246,'Policy Characteristics'!$C:$C,0)))</f>
        <v/>
      </c>
    </row>
    <row r="1247" customHeight="1" spans="1:18">
      <c r="A1247" s="394" t="str">
        <f>IF(ISBLANK(INDEX('Policy Characteristics'!A:A,MATCH($C1247,'Policy Characteristics'!$C:$C,0))),"",INDEX('Policy Characteristics'!A:A,MATCH($C1247,'Policy Characteristics'!$C:$C,0)))</f>
        <v>Government Revenue Accounting</v>
      </c>
      <c r="B1247" s="395" t="str">
        <f>IF(ISBLANK(INDEX('Policy Characteristics'!B:B,MATCH($C1247,'Policy Characteristics'!$C:$C,0))),"",INDEX('Policy Characteristics'!B:B,MATCH($C1247,'Policy Characteristics'!$C:$C,0)))</f>
        <v>Electricity Capacity Construction Subsidy</v>
      </c>
      <c r="C1247" s="394" t="str">
        <f t="shared" si="72"/>
        <v>GRA for Electricity Capacity Construction Subsidies</v>
      </c>
      <c r="D1247" s="28" t="s">
        <v>931</v>
      </c>
      <c r="F1247" s="28" t="s">
        <v>932</v>
      </c>
      <c r="H1247" s="377">
        <v>567</v>
      </c>
      <c r="I1247" s="405" t="s">
        <v>648</v>
      </c>
      <c r="J1247" s="397" t="str">
        <f>IF(ISBLANK(INDEX('Policy Characteristics'!D:D,MATCH($C1247,'Policy Characteristics'!$C:$C,0))),"",INDEX('Policy Characteristics'!D:D,MATCH($C1247,'Policy Characteristics'!$C:$C,0)))</f>
        <v/>
      </c>
      <c r="K1247" s="394" t="str">
        <f>IF(ISBLANK(INDEX('Policy Characteristics'!E:E,MATCH($C1247,'Policy Characteristics'!$C:$C,0))),"",INDEX('Policy Characteristics'!E:E,MATCH($C1247,'Policy Characteristics'!$C:$C,0)))</f>
        <v>GRA elec cap const subsidy</v>
      </c>
      <c r="L1247" s="394">
        <f>IF(ISBLANK(INDEX('Policy Characteristics'!F:F,MATCH($C1247,'Policy Characteristics'!$C:$C,0))),"",INDEX('Policy Characteristics'!F:F,MATCH($C1247,'Policy Characteristics'!$C:$C,0)))</f>
        <v>0</v>
      </c>
      <c r="M1247" s="394">
        <f>IF(ISBLANK(INDEX('Policy Characteristics'!G:G,MATCH($C1247,'Policy Characteristics'!$C:$C,0))),"",INDEX('Policy Characteristics'!G:G,MATCH($C1247,'Policy Characteristics'!$C:$C,0)))</f>
        <v>10</v>
      </c>
      <c r="N1247" s="394">
        <f>IF(ISBLANK(INDEX('Policy Characteristics'!H:H,MATCH($C1247,'Policy Characteristics'!$C:$C,0))),"",INDEX('Policy Characteristics'!H:H,MATCH($C1247,'Policy Characteristics'!$C:$C,0)))</f>
        <v>1</v>
      </c>
      <c r="O1247" s="394" t="str">
        <f>IF(ISBLANK(INDEX('Policy Characteristics'!I:I,MATCH($C1247,'Policy Characteristics'!$C:$C,0))),"",INDEX('Policy Characteristics'!I:I,MATCH($C1247,'Policy Characteristics'!$C:$C,0)))</f>
        <v>weight</v>
      </c>
      <c r="P1247" s="394" t="str">
        <f>IF(ISBLANK(INDEX('Policy Characteristics'!J:J,MATCH($C1247,'Policy Characteristics'!$C:$C,0))),"",INDEX('Policy Characteristics'!J:J,MATCH($C1247,'Policy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7" s="394" t="str">
        <f>IF(ISBLANK(INDEX('Policy Characteristics'!K:K,MATCH($C1247,'Policy Characteristics'!$C:$C,0))),"",INDEX('Policy Characteristics'!K:K,MATCH($C1247,'Policy Characteristics'!$C:$C,0)))</f>
        <v>io-model.html</v>
      </c>
      <c r="R1247" s="394" t="str">
        <f>IF(ISBLANK(INDEX('Policy Characteristics'!L:L,MATCH($C1247,'Policy Characteristics'!$C:$C,0))),"",INDEX('Policy Characteristics'!L:L,MATCH($C1247,'Policy Characteristics'!$C:$C,0)))</f>
        <v/>
      </c>
    </row>
    <row r="1248" customHeight="1" spans="1:18">
      <c r="A1248" s="394" t="str">
        <f>IF(ISBLANK(INDEX('Policy Characteristics'!A:A,MATCH($C1248,'Policy Characteristics'!$C:$C,0))),"",INDEX('Policy Characteristics'!A:A,MATCH($C1248,'Policy Characteristics'!$C:$C,0)))</f>
        <v>Government Revenue Accounting</v>
      </c>
      <c r="B1248" s="395" t="str">
        <f>IF(ISBLANK(INDEX('Policy Characteristics'!B:B,MATCH($C1248,'Policy Characteristics'!$C:$C,0))),"",INDEX('Policy Characteristics'!B:B,MATCH($C1248,'Policy Characteristics'!$C:$C,0)))</f>
        <v>Electricity Capacity Construction Subsidy</v>
      </c>
      <c r="C1248" s="394" t="str">
        <f t="shared" si="72"/>
        <v>GRA for Electricity Capacity Construction Subsidies</v>
      </c>
      <c r="D1248" s="28" t="s">
        <v>933</v>
      </c>
      <c r="F1248" s="28" t="s">
        <v>934</v>
      </c>
      <c r="H1248" s="377">
        <v>568</v>
      </c>
      <c r="I1248" s="405" t="s">
        <v>648</v>
      </c>
      <c r="J1248" s="397" t="str">
        <f>IF(ISBLANK(INDEX('Policy Characteristics'!D:D,MATCH($C1248,'Policy Characteristics'!$C:$C,0))),"",INDEX('Policy Characteristics'!D:D,MATCH($C1248,'Policy Characteristics'!$C:$C,0)))</f>
        <v/>
      </c>
      <c r="K1248" s="394" t="str">
        <f>IF(ISBLANK(INDEX('Policy Characteristics'!E:E,MATCH($C1248,'Policy Characteristics'!$C:$C,0))),"",INDEX('Policy Characteristics'!E:E,MATCH($C1248,'Policy Characteristics'!$C:$C,0)))</f>
        <v>GRA elec cap const subsidy</v>
      </c>
      <c r="L1248" s="394">
        <f>IF(ISBLANK(INDEX('Policy Characteristics'!F:F,MATCH($C1248,'Policy Characteristics'!$C:$C,0))),"",INDEX('Policy Characteristics'!F:F,MATCH($C1248,'Policy Characteristics'!$C:$C,0)))</f>
        <v>0</v>
      </c>
      <c r="M1248" s="394">
        <f>IF(ISBLANK(INDEX('Policy Characteristics'!G:G,MATCH($C1248,'Policy Characteristics'!$C:$C,0))),"",INDEX('Policy Characteristics'!G:G,MATCH($C1248,'Policy Characteristics'!$C:$C,0)))</f>
        <v>10</v>
      </c>
      <c r="N1248" s="394">
        <f>IF(ISBLANK(INDEX('Policy Characteristics'!H:H,MATCH($C1248,'Policy Characteristics'!$C:$C,0))),"",INDEX('Policy Characteristics'!H:H,MATCH($C1248,'Policy Characteristics'!$C:$C,0)))</f>
        <v>1</v>
      </c>
      <c r="O1248" s="394" t="str">
        <f>IF(ISBLANK(INDEX('Policy Characteristics'!I:I,MATCH($C1248,'Policy Characteristics'!$C:$C,0))),"",INDEX('Policy Characteristics'!I:I,MATCH($C1248,'Policy Characteristics'!$C:$C,0)))</f>
        <v>weight</v>
      </c>
      <c r="P1248" s="394" t="str">
        <f>IF(ISBLANK(INDEX('Policy Characteristics'!J:J,MATCH($C1248,'Policy Characteristics'!$C:$C,0))),"",INDEX('Policy Characteristics'!J:J,MATCH($C1248,'Policy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8" s="394" t="str">
        <f>IF(ISBLANK(INDEX('Policy Characteristics'!K:K,MATCH($C1248,'Policy Characteristics'!$C:$C,0))),"",INDEX('Policy Characteristics'!K:K,MATCH($C1248,'Policy Characteristics'!$C:$C,0)))</f>
        <v>io-model.html</v>
      </c>
      <c r="R1248" s="394" t="str">
        <f>IF(ISBLANK(INDEX('Policy Characteristics'!L:L,MATCH($C1248,'Policy Characteristics'!$C:$C,0))),"",INDEX('Policy Characteristics'!L:L,MATCH($C1248,'Policy Characteristics'!$C:$C,0)))</f>
        <v/>
      </c>
    </row>
    <row r="1249" customHeight="1" spans="1:18">
      <c r="A1249" s="394" t="str">
        <f>IF(ISBLANK(INDEX('Policy Characteristics'!A:A,MATCH($C1249,'Policy Characteristics'!$C:$C,0))),"",INDEX('Policy Characteristics'!A:A,MATCH($C1249,'Policy Characteristics'!$C:$C,0)))</f>
        <v>Government Revenue Accounting</v>
      </c>
      <c r="B1249" s="395" t="str">
        <f>IF(ISBLANK(INDEX('Policy Characteristics'!B:B,MATCH($C1249,'Policy Characteristics'!$C:$C,0))),"",INDEX('Policy Characteristics'!B:B,MATCH($C1249,'Policy Characteristics'!$C:$C,0)))</f>
        <v>Electricity Capacity Construction Subsidy</v>
      </c>
      <c r="C1249" s="394" t="str">
        <f t="shared" si="72"/>
        <v>GRA for Electricity Capacity Construction Subsidies</v>
      </c>
      <c r="D1249" s="28" t="s">
        <v>935</v>
      </c>
      <c r="F1249" s="28" t="s">
        <v>936</v>
      </c>
      <c r="H1249" s="377">
        <v>569</v>
      </c>
      <c r="I1249" s="405" t="s">
        <v>648</v>
      </c>
      <c r="J1249" s="397" t="str">
        <f>IF(ISBLANK(INDEX('Policy Characteristics'!D:D,MATCH($C1249,'Policy Characteristics'!$C:$C,0))),"",INDEX('Policy Characteristics'!D:D,MATCH($C1249,'Policy Characteristics'!$C:$C,0)))</f>
        <v/>
      </c>
      <c r="K1249" s="394" t="str">
        <f>IF(ISBLANK(INDEX('Policy Characteristics'!E:E,MATCH($C1249,'Policy Characteristics'!$C:$C,0))),"",INDEX('Policy Characteristics'!E:E,MATCH($C1249,'Policy Characteristics'!$C:$C,0)))</f>
        <v>GRA elec cap const subsidy</v>
      </c>
      <c r="L1249" s="394">
        <f>IF(ISBLANK(INDEX('Policy Characteristics'!F:F,MATCH($C1249,'Policy Characteristics'!$C:$C,0))),"",INDEX('Policy Characteristics'!F:F,MATCH($C1249,'Policy Characteristics'!$C:$C,0)))</f>
        <v>0</v>
      </c>
      <c r="M1249" s="394">
        <f>IF(ISBLANK(INDEX('Policy Characteristics'!G:G,MATCH($C1249,'Policy Characteristics'!$C:$C,0))),"",INDEX('Policy Characteristics'!G:G,MATCH($C1249,'Policy Characteristics'!$C:$C,0)))</f>
        <v>10</v>
      </c>
      <c r="N1249" s="394">
        <f>IF(ISBLANK(INDEX('Policy Characteristics'!H:H,MATCH($C1249,'Policy Characteristics'!$C:$C,0))),"",INDEX('Policy Characteristics'!H:H,MATCH($C1249,'Policy Characteristics'!$C:$C,0)))</f>
        <v>1</v>
      </c>
      <c r="O1249" s="394" t="str">
        <f>IF(ISBLANK(INDEX('Policy Characteristics'!I:I,MATCH($C1249,'Policy Characteristics'!$C:$C,0))),"",INDEX('Policy Characteristics'!I:I,MATCH($C1249,'Policy Characteristics'!$C:$C,0)))</f>
        <v>weight</v>
      </c>
      <c r="P1249" s="394" t="str">
        <f>IF(ISBLANK(INDEX('Policy Characteristics'!J:J,MATCH($C1249,'Policy Characteristics'!$C:$C,0))),"",INDEX('Policy Characteristics'!J:J,MATCH($C1249,'Policy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9" s="394" t="str">
        <f>IF(ISBLANK(INDEX('Policy Characteristics'!K:K,MATCH($C1249,'Policy Characteristics'!$C:$C,0))),"",INDEX('Policy Characteristics'!K:K,MATCH($C1249,'Policy Characteristics'!$C:$C,0)))</f>
        <v>io-model.html</v>
      </c>
      <c r="R1249" s="394" t="str">
        <f>IF(ISBLANK(INDEX('Policy Characteristics'!L:L,MATCH($C1249,'Policy Characteristics'!$C:$C,0))),"",INDEX('Policy Characteristics'!L:L,MATCH($C1249,'Policy Characteristics'!$C:$C,0)))</f>
        <v/>
      </c>
    </row>
    <row r="1250" customHeight="1" spans="1:18">
      <c r="A1250" s="394" t="str">
        <f>IF(ISBLANK(INDEX('Policy Characteristics'!A:A,MATCH($C1250,'Policy Characteristics'!$C:$C,0))),"",INDEX('Policy Characteristics'!A:A,MATCH($C1250,'Policy Characteristics'!$C:$C,0)))</f>
        <v>Government Revenue Accounting</v>
      </c>
      <c r="B1250" s="395" t="str">
        <f>IF(ISBLANK(INDEX('Policy Characteristics'!B:B,MATCH($C1250,'Policy Characteristics'!$C:$C,0))),"",INDEX('Policy Characteristics'!B:B,MATCH($C1250,'Policy Characteristics'!$C:$C,0)))</f>
        <v>Distributed Solar Subsidy</v>
      </c>
      <c r="C1250" t="s">
        <v>624</v>
      </c>
      <c r="D1250" s="28" t="s">
        <v>927</v>
      </c>
      <c r="F1250" s="28" t="s">
        <v>928</v>
      </c>
      <c r="H1250" s="377">
        <v>570</v>
      </c>
      <c r="I1250" s="385" t="s">
        <v>648</v>
      </c>
      <c r="J1250" s="397" t="str">
        <f>IF(ISBLANK(INDEX('Policy Characteristics'!D:D,MATCH($C1250,'Policy Characteristics'!$C:$C,0))),"",INDEX('Policy Characteristics'!D:D,MATCH($C1250,'Policy Characteristics'!$C:$C,0)))</f>
        <v/>
      </c>
      <c r="K1250" s="394" t="str">
        <f>IF(ISBLANK(INDEX('Policy Characteristics'!E:E,MATCH($C1250,'Policy Characteristics'!$C:$C,0))),"",INDEX('Policy Characteristics'!E:E,MATCH($C1250,'Policy Characteristics'!$C:$C,0)))</f>
        <v>GRA dist solar subsidy</v>
      </c>
      <c r="L1250" s="394">
        <f>IF(ISBLANK(INDEX('Policy Characteristics'!F:F,MATCH($C1250,'Policy Characteristics'!$C:$C,0))),"",INDEX('Policy Characteristics'!F:F,MATCH($C1250,'Policy Characteristics'!$C:$C,0)))</f>
        <v>0</v>
      </c>
      <c r="M1250" s="394">
        <f>IF(ISBLANK(INDEX('Policy Characteristics'!G:G,MATCH($C1250,'Policy Characteristics'!$C:$C,0))),"",INDEX('Policy Characteristics'!G:G,MATCH($C1250,'Policy Characteristics'!$C:$C,0)))</f>
        <v>10</v>
      </c>
      <c r="N1250" s="394">
        <f>IF(ISBLANK(INDEX('Policy Characteristics'!H:H,MATCH($C1250,'Policy Characteristics'!$C:$C,0))),"",INDEX('Policy Characteristics'!H:H,MATCH($C1250,'Policy Characteristics'!$C:$C,0)))</f>
        <v>1</v>
      </c>
      <c r="O1250" s="394" t="str">
        <f>IF(ISBLANK(INDEX('Policy Characteristics'!I:I,MATCH($C1250,'Policy Characteristics'!$C:$C,0))),"",INDEX('Policy Characteristics'!I:I,MATCH($C1250,'Policy Characteristics'!$C:$C,0)))</f>
        <v>weight</v>
      </c>
      <c r="P1250" s="394" t="str">
        <f>IF(ISBLANK(INDEX('Policy Characteristics'!J:J,MATCH($C1250,'Policy Characteristics'!$C:$C,0))),"",INDEX('Policy Characteristics'!J:J,MATCH($C1250,'Policy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0" s="394" t="str">
        <f>IF(ISBLANK(INDEX('Policy Characteristics'!K:K,MATCH($C1250,'Policy Characteristics'!$C:$C,0))),"",INDEX('Policy Characteristics'!K:K,MATCH($C1250,'Policy Characteristics'!$C:$C,0)))</f>
        <v>io-model.html</v>
      </c>
      <c r="R1250" s="394" t="str">
        <f>IF(ISBLANK(INDEX('Policy Characteristics'!L:L,MATCH($C1250,'Policy Characteristics'!$C:$C,0))),"",INDEX('Policy Characteristics'!L:L,MATCH($C1250,'Policy Characteristics'!$C:$C,0)))</f>
        <v/>
      </c>
    </row>
    <row r="1251" customHeight="1" spans="1:18">
      <c r="A1251" s="394" t="str">
        <f>IF(ISBLANK(INDEX('Policy Characteristics'!A:A,MATCH($C1251,'Policy Characteristics'!$C:$C,0))),"",INDEX('Policy Characteristics'!A:A,MATCH($C1251,'Policy Characteristics'!$C:$C,0)))</f>
        <v>Government Revenue Accounting</v>
      </c>
      <c r="B1251" s="395" t="str">
        <f>IF(ISBLANK(INDEX('Policy Characteristics'!B:B,MATCH($C1251,'Policy Characteristics'!$C:$C,0))),"",INDEX('Policy Characteristics'!B:B,MATCH($C1251,'Policy Characteristics'!$C:$C,0)))</f>
        <v>Distributed Solar Subsidy</v>
      </c>
      <c r="C1251" s="394" t="str">
        <f t="shared" ref="C1251:C1254" si="73">C$1250</f>
        <v>GRA for Distributed Solar Subsidy</v>
      </c>
      <c r="D1251" s="28" t="s">
        <v>929</v>
      </c>
      <c r="F1251" s="28" t="s">
        <v>930</v>
      </c>
      <c r="H1251" s="377">
        <v>571</v>
      </c>
      <c r="I1251" s="405" t="s">
        <v>648</v>
      </c>
      <c r="J1251" s="397" t="str">
        <f>IF(ISBLANK(INDEX('Policy Characteristics'!D:D,MATCH($C1251,'Policy Characteristics'!$C:$C,0))),"",INDEX('Policy Characteristics'!D:D,MATCH($C1251,'Policy Characteristics'!$C:$C,0)))</f>
        <v/>
      </c>
      <c r="K1251" s="394" t="str">
        <f>IF(ISBLANK(INDEX('Policy Characteristics'!E:E,MATCH($C1251,'Policy Characteristics'!$C:$C,0))),"",INDEX('Policy Characteristics'!E:E,MATCH($C1251,'Policy Characteristics'!$C:$C,0)))</f>
        <v>GRA dist solar subsidy</v>
      </c>
      <c r="L1251" s="394">
        <f>IF(ISBLANK(INDEX('Policy Characteristics'!F:F,MATCH($C1251,'Policy Characteristics'!$C:$C,0))),"",INDEX('Policy Characteristics'!F:F,MATCH($C1251,'Policy Characteristics'!$C:$C,0)))</f>
        <v>0</v>
      </c>
      <c r="M1251" s="394">
        <f>IF(ISBLANK(INDEX('Policy Characteristics'!G:G,MATCH($C1251,'Policy Characteristics'!$C:$C,0))),"",INDEX('Policy Characteristics'!G:G,MATCH($C1251,'Policy Characteristics'!$C:$C,0)))</f>
        <v>10</v>
      </c>
      <c r="N1251" s="394">
        <f>IF(ISBLANK(INDEX('Policy Characteristics'!H:H,MATCH($C1251,'Policy Characteristics'!$C:$C,0))),"",INDEX('Policy Characteristics'!H:H,MATCH($C1251,'Policy Characteristics'!$C:$C,0)))</f>
        <v>1</v>
      </c>
      <c r="O1251" s="394" t="str">
        <f>IF(ISBLANK(INDEX('Policy Characteristics'!I:I,MATCH($C1251,'Policy Characteristics'!$C:$C,0))),"",INDEX('Policy Characteristics'!I:I,MATCH($C1251,'Policy Characteristics'!$C:$C,0)))</f>
        <v>weight</v>
      </c>
      <c r="P1251" s="394" t="str">
        <f>IF(ISBLANK(INDEX('Policy Characteristics'!J:J,MATCH($C1251,'Policy Characteristics'!$C:$C,0))),"",INDEX('Policy Characteristics'!J:J,MATCH($C1251,'Policy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1" s="394" t="str">
        <f>IF(ISBLANK(INDEX('Policy Characteristics'!K:K,MATCH($C1251,'Policy Characteristics'!$C:$C,0))),"",INDEX('Policy Characteristics'!K:K,MATCH($C1251,'Policy Characteristics'!$C:$C,0)))</f>
        <v>io-model.html</v>
      </c>
      <c r="R1251" s="394" t="str">
        <f>IF(ISBLANK(INDEX('Policy Characteristics'!L:L,MATCH($C1251,'Policy Characteristics'!$C:$C,0))),"",INDEX('Policy Characteristics'!L:L,MATCH($C1251,'Policy Characteristics'!$C:$C,0)))</f>
        <v/>
      </c>
    </row>
    <row r="1252" customHeight="1" spans="1:18">
      <c r="A1252" s="394" t="str">
        <f>IF(ISBLANK(INDEX('Policy Characteristics'!A:A,MATCH($C1252,'Policy Characteristics'!$C:$C,0))),"",INDEX('Policy Characteristics'!A:A,MATCH($C1252,'Policy Characteristics'!$C:$C,0)))</f>
        <v>Government Revenue Accounting</v>
      </c>
      <c r="B1252" s="395" t="str">
        <f>IF(ISBLANK(INDEX('Policy Characteristics'!B:B,MATCH($C1252,'Policy Characteristics'!$C:$C,0))),"",INDEX('Policy Characteristics'!B:B,MATCH($C1252,'Policy Characteristics'!$C:$C,0)))</f>
        <v>Distributed Solar Subsidy</v>
      </c>
      <c r="C1252" s="394" t="str">
        <f t="shared" si="73"/>
        <v>GRA for Distributed Solar Subsidy</v>
      </c>
      <c r="D1252" s="28" t="s">
        <v>931</v>
      </c>
      <c r="F1252" s="28" t="s">
        <v>932</v>
      </c>
      <c r="H1252" s="377">
        <v>572</v>
      </c>
      <c r="I1252" s="405" t="s">
        <v>648</v>
      </c>
      <c r="J1252" s="397" t="str">
        <f>IF(ISBLANK(INDEX('Policy Characteristics'!D:D,MATCH($C1252,'Policy Characteristics'!$C:$C,0))),"",INDEX('Policy Characteristics'!D:D,MATCH($C1252,'Policy Characteristics'!$C:$C,0)))</f>
        <v/>
      </c>
      <c r="K1252" s="394" t="str">
        <f>IF(ISBLANK(INDEX('Policy Characteristics'!E:E,MATCH($C1252,'Policy Characteristics'!$C:$C,0))),"",INDEX('Policy Characteristics'!E:E,MATCH($C1252,'Policy Characteristics'!$C:$C,0)))</f>
        <v>GRA dist solar subsidy</v>
      </c>
      <c r="L1252" s="394">
        <f>IF(ISBLANK(INDEX('Policy Characteristics'!F:F,MATCH($C1252,'Policy Characteristics'!$C:$C,0))),"",INDEX('Policy Characteristics'!F:F,MATCH($C1252,'Policy Characteristics'!$C:$C,0)))</f>
        <v>0</v>
      </c>
      <c r="M1252" s="394">
        <f>IF(ISBLANK(INDEX('Policy Characteristics'!G:G,MATCH($C1252,'Policy Characteristics'!$C:$C,0))),"",INDEX('Policy Characteristics'!G:G,MATCH($C1252,'Policy Characteristics'!$C:$C,0)))</f>
        <v>10</v>
      </c>
      <c r="N1252" s="394">
        <f>IF(ISBLANK(INDEX('Policy Characteristics'!H:H,MATCH($C1252,'Policy Characteristics'!$C:$C,0))),"",INDEX('Policy Characteristics'!H:H,MATCH($C1252,'Policy Characteristics'!$C:$C,0)))</f>
        <v>1</v>
      </c>
      <c r="O1252" s="394" t="str">
        <f>IF(ISBLANK(INDEX('Policy Characteristics'!I:I,MATCH($C1252,'Policy Characteristics'!$C:$C,0))),"",INDEX('Policy Characteristics'!I:I,MATCH($C1252,'Policy Characteristics'!$C:$C,0)))</f>
        <v>weight</v>
      </c>
      <c r="P1252" s="394" t="str">
        <f>IF(ISBLANK(INDEX('Policy Characteristics'!J:J,MATCH($C1252,'Policy Characteristics'!$C:$C,0))),"",INDEX('Policy Characteristics'!J:J,MATCH($C1252,'Policy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2" s="394" t="str">
        <f>IF(ISBLANK(INDEX('Policy Characteristics'!K:K,MATCH($C1252,'Policy Characteristics'!$C:$C,0))),"",INDEX('Policy Characteristics'!K:K,MATCH($C1252,'Policy Characteristics'!$C:$C,0)))</f>
        <v>io-model.html</v>
      </c>
      <c r="R1252" s="394" t="str">
        <f>IF(ISBLANK(INDEX('Policy Characteristics'!L:L,MATCH($C1252,'Policy Characteristics'!$C:$C,0))),"",INDEX('Policy Characteristics'!L:L,MATCH($C1252,'Policy Characteristics'!$C:$C,0)))</f>
        <v/>
      </c>
    </row>
    <row r="1253" customHeight="1" spans="1:18">
      <c r="A1253" s="394" t="str">
        <f>IF(ISBLANK(INDEX('Policy Characteristics'!A:A,MATCH($C1253,'Policy Characteristics'!$C:$C,0))),"",INDEX('Policy Characteristics'!A:A,MATCH($C1253,'Policy Characteristics'!$C:$C,0)))</f>
        <v>Government Revenue Accounting</v>
      </c>
      <c r="B1253" s="395" t="str">
        <f>IF(ISBLANK(INDEX('Policy Characteristics'!B:B,MATCH($C1253,'Policy Characteristics'!$C:$C,0))),"",INDEX('Policy Characteristics'!B:B,MATCH($C1253,'Policy Characteristics'!$C:$C,0)))</f>
        <v>Distributed Solar Subsidy</v>
      </c>
      <c r="C1253" s="394" t="str">
        <f t="shared" si="73"/>
        <v>GRA for Distributed Solar Subsidy</v>
      </c>
      <c r="D1253" s="28" t="s">
        <v>933</v>
      </c>
      <c r="F1253" s="28" t="s">
        <v>934</v>
      </c>
      <c r="H1253" s="377">
        <v>573</v>
      </c>
      <c r="I1253" s="405" t="s">
        <v>648</v>
      </c>
      <c r="J1253" s="397" t="str">
        <f>IF(ISBLANK(INDEX('Policy Characteristics'!D:D,MATCH($C1253,'Policy Characteristics'!$C:$C,0))),"",INDEX('Policy Characteristics'!D:D,MATCH($C1253,'Policy Characteristics'!$C:$C,0)))</f>
        <v/>
      </c>
      <c r="K1253" s="394" t="str">
        <f>IF(ISBLANK(INDEX('Policy Characteristics'!E:E,MATCH($C1253,'Policy Characteristics'!$C:$C,0))),"",INDEX('Policy Characteristics'!E:E,MATCH($C1253,'Policy Characteristics'!$C:$C,0)))</f>
        <v>GRA dist solar subsidy</v>
      </c>
      <c r="L1253" s="394">
        <f>IF(ISBLANK(INDEX('Policy Characteristics'!F:F,MATCH($C1253,'Policy Characteristics'!$C:$C,0))),"",INDEX('Policy Characteristics'!F:F,MATCH($C1253,'Policy Characteristics'!$C:$C,0)))</f>
        <v>0</v>
      </c>
      <c r="M1253" s="394">
        <f>IF(ISBLANK(INDEX('Policy Characteristics'!G:G,MATCH($C1253,'Policy Characteristics'!$C:$C,0))),"",INDEX('Policy Characteristics'!G:G,MATCH($C1253,'Policy Characteristics'!$C:$C,0)))</f>
        <v>10</v>
      </c>
      <c r="N1253" s="394">
        <f>IF(ISBLANK(INDEX('Policy Characteristics'!H:H,MATCH($C1253,'Policy Characteristics'!$C:$C,0))),"",INDEX('Policy Characteristics'!H:H,MATCH($C1253,'Policy Characteristics'!$C:$C,0)))</f>
        <v>1</v>
      </c>
      <c r="O1253" s="394" t="str">
        <f>IF(ISBLANK(INDEX('Policy Characteristics'!I:I,MATCH($C1253,'Policy Characteristics'!$C:$C,0))),"",INDEX('Policy Characteristics'!I:I,MATCH($C1253,'Policy Characteristics'!$C:$C,0)))</f>
        <v>weight</v>
      </c>
      <c r="P1253" s="394" t="str">
        <f>IF(ISBLANK(INDEX('Policy Characteristics'!J:J,MATCH($C1253,'Policy Characteristics'!$C:$C,0))),"",INDEX('Policy Characteristics'!J:J,MATCH($C1253,'Policy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3" s="394" t="str">
        <f>IF(ISBLANK(INDEX('Policy Characteristics'!K:K,MATCH($C1253,'Policy Characteristics'!$C:$C,0))),"",INDEX('Policy Characteristics'!K:K,MATCH($C1253,'Policy Characteristics'!$C:$C,0)))</f>
        <v>io-model.html</v>
      </c>
      <c r="R1253" s="394" t="str">
        <f>IF(ISBLANK(INDEX('Policy Characteristics'!L:L,MATCH($C1253,'Policy Characteristics'!$C:$C,0))),"",INDEX('Policy Characteristics'!L:L,MATCH($C1253,'Policy Characteristics'!$C:$C,0)))</f>
        <v/>
      </c>
    </row>
    <row r="1254" customHeight="1" spans="1:18">
      <c r="A1254" s="394" t="str">
        <f>IF(ISBLANK(INDEX('Policy Characteristics'!A:A,MATCH($C1254,'Policy Characteristics'!$C:$C,0))),"",INDEX('Policy Characteristics'!A:A,MATCH($C1254,'Policy Characteristics'!$C:$C,0)))</f>
        <v>Government Revenue Accounting</v>
      </c>
      <c r="B1254" s="395" t="str">
        <f>IF(ISBLANK(INDEX('Policy Characteristics'!B:B,MATCH($C1254,'Policy Characteristics'!$C:$C,0))),"",INDEX('Policy Characteristics'!B:B,MATCH($C1254,'Policy Characteristics'!$C:$C,0)))</f>
        <v>Distributed Solar Subsidy</v>
      </c>
      <c r="C1254" s="394" t="str">
        <f t="shared" si="73"/>
        <v>GRA for Distributed Solar Subsidy</v>
      </c>
      <c r="D1254" s="28" t="s">
        <v>935</v>
      </c>
      <c r="F1254" s="28" t="s">
        <v>936</v>
      </c>
      <c r="H1254" s="377">
        <v>574</v>
      </c>
      <c r="I1254" s="405" t="s">
        <v>648</v>
      </c>
      <c r="J1254" s="397" t="str">
        <f>IF(ISBLANK(INDEX('Policy Characteristics'!D:D,MATCH($C1254,'Policy Characteristics'!$C:$C,0))),"",INDEX('Policy Characteristics'!D:D,MATCH($C1254,'Policy Characteristics'!$C:$C,0)))</f>
        <v/>
      </c>
      <c r="K1254" s="394" t="str">
        <f>IF(ISBLANK(INDEX('Policy Characteristics'!E:E,MATCH($C1254,'Policy Characteristics'!$C:$C,0))),"",INDEX('Policy Characteristics'!E:E,MATCH($C1254,'Policy Characteristics'!$C:$C,0)))</f>
        <v>GRA dist solar subsidy</v>
      </c>
      <c r="L1254" s="394">
        <f>IF(ISBLANK(INDEX('Policy Characteristics'!F:F,MATCH($C1254,'Policy Characteristics'!$C:$C,0))),"",INDEX('Policy Characteristics'!F:F,MATCH($C1254,'Policy Characteristics'!$C:$C,0)))</f>
        <v>0</v>
      </c>
      <c r="M1254" s="394">
        <f>IF(ISBLANK(INDEX('Policy Characteristics'!G:G,MATCH($C1254,'Policy Characteristics'!$C:$C,0))),"",INDEX('Policy Characteristics'!G:G,MATCH($C1254,'Policy Characteristics'!$C:$C,0)))</f>
        <v>10</v>
      </c>
      <c r="N1254" s="394">
        <f>IF(ISBLANK(INDEX('Policy Characteristics'!H:H,MATCH($C1254,'Policy Characteristics'!$C:$C,0))),"",INDEX('Policy Characteristics'!H:H,MATCH($C1254,'Policy Characteristics'!$C:$C,0)))</f>
        <v>1</v>
      </c>
      <c r="O1254" s="394" t="str">
        <f>IF(ISBLANK(INDEX('Policy Characteristics'!I:I,MATCH($C1254,'Policy Characteristics'!$C:$C,0))),"",INDEX('Policy Characteristics'!I:I,MATCH($C1254,'Policy Characteristics'!$C:$C,0)))</f>
        <v>weight</v>
      </c>
      <c r="P1254" s="394" t="str">
        <f>IF(ISBLANK(INDEX('Policy Characteristics'!J:J,MATCH($C1254,'Policy Characteristics'!$C:$C,0))),"",INDEX('Policy Characteristics'!J:J,MATCH($C1254,'Policy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4" s="394" t="str">
        <f>IF(ISBLANK(INDEX('Policy Characteristics'!K:K,MATCH($C1254,'Policy Characteristics'!$C:$C,0))),"",INDEX('Policy Characteristics'!K:K,MATCH($C1254,'Policy Characteristics'!$C:$C,0)))</f>
        <v>io-model.html</v>
      </c>
      <c r="R1254" s="394" t="str">
        <f>IF(ISBLANK(INDEX('Policy Characteristics'!L:L,MATCH($C1254,'Policy Characteristics'!$C:$C,0))),"",INDEX('Policy Characteristics'!L:L,MATCH($C1254,'Policy Characteristics'!$C:$C,0)))</f>
        <v/>
      </c>
    </row>
    <row r="1255" customHeight="1" spans="1:18">
      <c r="A1255" s="394" t="str">
        <f>IF(ISBLANK(INDEX('Policy Characteristics'!A:A,MATCH($C1255,'Policy Characteristics'!$C:$C,0))),"",INDEX('Policy Characteristics'!A:A,MATCH($C1255,'Policy Characteristics'!$C:$C,0)))</f>
        <v>Government Revenue Accounting</v>
      </c>
      <c r="B1255" s="395" t="str">
        <f>IF(ISBLANK(INDEX('Policy Characteristics'!B:B,MATCH($C1255,'Policy Characteristics'!$C:$C,0))),"",INDEX('Policy Characteristics'!B:B,MATCH($C1255,'Policy Characteristics'!$C:$C,0)))</f>
        <v>Fuel Subsidy</v>
      </c>
      <c r="C1255" t="s">
        <v>627</v>
      </c>
      <c r="D1255" s="28" t="s">
        <v>927</v>
      </c>
      <c r="F1255" s="28" t="s">
        <v>928</v>
      </c>
      <c r="H1255" s="377">
        <v>575</v>
      </c>
      <c r="I1255" s="385" t="s">
        <v>648</v>
      </c>
      <c r="J1255" s="397" t="str">
        <f>IF(ISBLANK(INDEX('Policy Characteristics'!D:D,MATCH($C1255,'Policy Characteristics'!$C:$C,0))),"",INDEX('Policy Characteristics'!D:D,MATCH($C1255,'Policy Characteristics'!$C:$C,0)))</f>
        <v/>
      </c>
      <c r="K1255" s="394" t="str">
        <f>IF(ISBLANK(INDEX('Policy Characteristics'!E:E,MATCH($C1255,'Policy Characteristics'!$C:$C,0))),"",INDEX('Policy Characteristics'!E:E,MATCH($C1255,'Policy Characteristics'!$C:$C,0)))</f>
        <v>GRA fuel subsidy</v>
      </c>
      <c r="L1255" s="394">
        <f>IF(ISBLANK(INDEX('Policy Characteristics'!F:F,MATCH($C1255,'Policy Characteristics'!$C:$C,0))),"",INDEX('Policy Characteristics'!F:F,MATCH($C1255,'Policy Characteristics'!$C:$C,0)))</f>
        <v>0</v>
      </c>
      <c r="M1255" s="394">
        <f>IF(ISBLANK(INDEX('Policy Characteristics'!G:G,MATCH($C1255,'Policy Characteristics'!$C:$C,0))),"",INDEX('Policy Characteristics'!G:G,MATCH($C1255,'Policy Characteristics'!$C:$C,0)))</f>
        <v>10</v>
      </c>
      <c r="N1255" s="394">
        <f>IF(ISBLANK(INDEX('Policy Characteristics'!H:H,MATCH($C1255,'Policy Characteristics'!$C:$C,0))),"",INDEX('Policy Characteristics'!H:H,MATCH($C1255,'Policy Characteristics'!$C:$C,0)))</f>
        <v>1</v>
      </c>
      <c r="O1255" s="394" t="str">
        <f>IF(ISBLANK(INDEX('Policy Characteristics'!I:I,MATCH($C1255,'Policy Characteristics'!$C:$C,0))),"",INDEX('Policy Characteristics'!I:I,MATCH($C1255,'Policy Characteristics'!$C:$C,0)))</f>
        <v>weight</v>
      </c>
      <c r="P1255" s="394" t="str">
        <f>IF(ISBLANK(INDEX('Policy Characteristics'!J:J,MATCH($C1255,'Policy Characteristics'!$C:$C,0))),"",INDEX('Policy Characteristics'!J:J,MATCH($C1255,'Policy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5" s="394" t="str">
        <f>IF(ISBLANK(INDEX('Policy Characteristics'!K:K,MATCH($C1255,'Policy Characteristics'!$C:$C,0))),"",INDEX('Policy Characteristics'!K:K,MATCH($C1255,'Policy Characteristics'!$C:$C,0)))</f>
        <v>io-model.html</v>
      </c>
      <c r="R1255" s="394" t="str">
        <f>IF(ISBLANK(INDEX('Policy Characteristics'!L:L,MATCH($C1255,'Policy Characteristics'!$C:$C,0))),"",INDEX('Policy Characteristics'!L:L,MATCH($C1255,'Policy Characteristics'!$C:$C,0)))</f>
        <v/>
      </c>
    </row>
    <row r="1256" customHeight="1" spans="1:18">
      <c r="A1256" s="394" t="str">
        <f>IF(ISBLANK(INDEX('Policy Characteristics'!A:A,MATCH($C1256,'Policy Characteristics'!$C:$C,0))),"",INDEX('Policy Characteristics'!A:A,MATCH($C1256,'Policy Characteristics'!$C:$C,0)))</f>
        <v>Government Revenue Accounting</v>
      </c>
      <c r="B1256" s="395" t="str">
        <f>IF(ISBLANK(INDEX('Policy Characteristics'!B:B,MATCH($C1256,'Policy Characteristics'!$C:$C,0))),"",INDEX('Policy Characteristics'!B:B,MATCH($C1256,'Policy Characteristics'!$C:$C,0)))</f>
        <v>Fuel Subsidy</v>
      </c>
      <c r="C1256" s="394" t="str">
        <f t="shared" ref="C1256:C1259" si="74">C$1255</f>
        <v>GRA for Fuel Subsidies</v>
      </c>
      <c r="D1256" s="28" t="s">
        <v>929</v>
      </c>
      <c r="F1256" s="28" t="s">
        <v>930</v>
      </c>
      <c r="H1256" s="377">
        <v>576</v>
      </c>
      <c r="I1256" s="405" t="s">
        <v>648</v>
      </c>
      <c r="J1256" s="397" t="str">
        <f>IF(ISBLANK(INDEX('Policy Characteristics'!D:D,MATCH($C1256,'Policy Characteristics'!$C:$C,0))),"",INDEX('Policy Characteristics'!D:D,MATCH($C1256,'Policy Characteristics'!$C:$C,0)))</f>
        <v/>
      </c>
      <c r="K1256" s="394" t="str">
        <f>IF(ISBLANK(INDEX('Policy Characteristics'!E:E,MATCH($C1256,'Policy Characteristics'!$C:$C,0))),"",INDEX('Policy Characteristics'!E:E,MATCH($C1256,'Policy Characteristics'!$C:$C,0)))</f>
        <v>GRA fuel subsidy</v>
      </c>
      <c r="L1256" s="394">
        <f>IF(ISBLANK(INDEX('Policy Characteristics'!F:F,MATCH($C1256,'Policy Characteristics'!$C:$C,0))),"",INDEX('Policy Characteristics'!F:F,MATCH($C1256,'Policy Characteristics'!$C:$C,0)))</f>
        <v>0</v>
      </c>
      <c r="M1256" s="394">
        <f>IF(ISBLANK(INDEX('Policy Characteristics'!G:G,MATCH($C1256,'Policy Characteristics'!$C:$C,0))),"",INDEX('Policy Characteristics'!G:G,MATCH($C1256,'Policy Characteristics'!$C:$C,0)))</f>
        <v>10</v>
      </c>
      <c r="N1256" s="394">
        <f>IF(ISBLANK(INDEX('Policy Characteristics'!H:H,MATCH($C1256,'Policy Characteristics'!$C:$C,0))),"",INDEX('Policy Characteristics'!H:H,MATCH($C1256,'Policy Characteristics'!$C:$C,0)))</f>
        <v>1</v>
      </c>
      <c r="O1256" s="394" t="str">
        <f>IF(ISBLANK(INDEX('Policy Characteristics'!I:I,MATCH($C1256,'Policy Characteristics'!$C:$C,0))),"",INDEX('Policy Characteristics'!I:I,MATCH($C1256,'Policy Characteristics'!$C:$C,0)))</f>
        <v>weight</v>
      </c>
      <c r="P1256" s="394" t="str">
        <f>IF(ISBLANK(INDEX('Policy Characteristics'!J:J,MATCH($C1256,'Policy Characteristics'!$C:$C,0))),"",INDEX('Policy Characteristics'!J:J,MATCH($C1256,'Policy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6" s="394" t="str">
        <f>IF(ISBLANK(INDEX('Policy Characteristics'!K:K,MATCH($C1256,'Policy Characteristics'!$C:$C,0))),"",INDEX('Policy Characteristics'!K:K,MATCH($C1256,'Policy Characteristics'!$C:$C,0)))</f>
        <v>io-model.html</v>
      </c>
      <c r="R1256" s="394" t="str">
        <f>IF(ISBLANK(INDEX('Policy Characteristics'!L:L,MATCH($C1256,'Policy Characteristics'!$C:$C,0))),"",INDEX('Policy Characteristics'!L:L,MATCH($C1256,'Policy Characteristics'!$C:$C,0)))</f>
        <v/>
      </c>
    </row>
    <row r="1257" customHeight="1" spans="1:18">
      <c r="A1257" s="394" t="str">
        <f>IF(ISBLANK(INDEX('Policy Characteristics'!A:A,MATCH($C1257,'Policy Characteristics'!$C:$C,0))),"",INDEX('Policy Characteristics'!A:A,MATCH($C1257,'Policy Characteristics'!$C:$C,0)))</f>
        <v>Government Revenue Accounting</v>
      </c>
      <c r="B1257" s="395" t="str">
        <f>IF(ISBLANK(INDEX('Policy Characteristics'!B:B,MATCH($C1257,'Policy Characteristics'!$C:$C,0))),"",INDEX('Policy Characteristics'!B:B,MATCH($C1257,'Policy Characteristics'!$C:$C,0)))</f>
        <v>Fuel Subsidy</v>
      </c>
      <c r="C1257" s="394" t="str">
        <f t="shared" si="74"/>
        <v>GRA for Fuel Subsidies</v>
      </c>
      <c r="D1257" s="28" t="s">
        <v>931</v>
      </c>
      <c r="F1257" s="28" t="s">
        <v>932</v>
      </c>
      <c r="H1257" s="377">
        <v>577</v>
      </c>
      <c r="I1257" s="405" t="s">
        <v>648</v>
      </c>
      <c r="J1257" s="397" t="str">
        <f>IF(ISBLANK(INDEX('Policy Characteristics'!D:D,MATCH($C1257,'Policy Characteristics'!$C:$C,0))),"",INDEX('Policy Characteristics'!D:D,MATCH($C1257,'Policy Characteristics'!$C:$C,0)))</f>
        <v/>
      </c>
      <c r="K1257" s="394" t="str">
        <f>IF(ISBLANK(INDEX('Policy Characteristics'!E:E,MATCH($C1257,'Policy Characteristics'!$C:$C,0))),"",INDEX('Policy Characteristics'!E:E,MATCH($C1257,'Policy Characteristics'!$C:$C,0)))</f>
        <v>GRA fuel subsidy</v>
      </c>
      <c r="L1257" s="394">
        <f>IF(ISBLANK(INDEX('Policy Characteristics'!F:F,MATCH($C1257,'Policy Characteristics'!$C:$C,0))),"",INDEX('Policy Characteristics'!F:F,MATCH($C1257,'Policy Characteristics'!$C:$C,0)))</f>
        <v>0</v>
      </c>
      <c r="M1257" s="394">
        <f>IF(ISBLANK(INDEX('Policy Characteristics'!G:G,MATCH($C1257,'Policy Characteristics'!$C:$C,0))),"",INDEX('Policy Characteristics'!G:G,MATCH($C1257,'Policy Characteristics'!$C:$C,0)))</f>
        <v>10</v>
      </c>
      <c r="N1257" s="394">
        <f>IF(ISBLANK(INDEX('Policy Characteristics'!H:H,MATCH($C1257,'Policy Characteristics'!$C:$C,0))),"",INDEX('Policy Characteristics'!H:H,MATCH($C1257,'Policy Characteristics'!$C:$C,0)))</f>
        <v>1</v>
      </c>
      <c r="O1257" s="394" t="str">
        <f>IF(ISBLANK(INDEX('Policy Characteristics'!I:I,MATCH($C1257,'Policy Characteristics'!$C:$C,0))),"",INDEX('Policy Characteristics'!I:I,MATCH($C1257,'Policy Characteristics'!$C:$C,0)))</f>
        <v>weight</v>
      </c>
      <c r="P1257" s="394" t="str">
        <f>IF(ISBLANK(INDEX('Policy Characteristics'!J:J,MATCH($C1257,'Policy Characteristics'!$C:$C,0))),"",INDEX('Policy Characteristics'!J:J,MATCH($C1257,'Policy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7" s="394" t="str">
        <f>IF(ISBLANK(INDEX('Policy Characteristics'!K:K,MATCH($C1257,'Policy Characteristics'!$C:$C,0))),"",INDEX('Policy Characteristics'!K:K,MATCH($C1257,'Policy Characteristics'!$C:$C,0)))</f>
        <v>io-model.html</v>
      </c>
      <c r="R1257" s="394" t="str">
        <f>IF(ISBLANK(INDEX('Policy Characteristics'!L:L,MATCH($C1257,'Policy Characteristics'!$C:$C,0))),"",INDEX('Policy Characteristics'!L:L,MATCH($C1257,'Policy Characteristics'!$C:$C,0)))</f>
        <v/>
      </c>
    </row>
    <row r="1258" customHeight="1" spans="1:18">
      <c r="A1258" s="394" t="str">
        <f>IF(ISBLANK(INDEX('Policy Characteristics'!A:A,MATCH($C1258,'Policy Characteristics'!$C:$C,0))),"",INDEX('Policy Characteristics'!A:A,MATCH($C1258,'Policy Characteristics'!$C:$C,0)))</f>
        <v>Government Revenue Accounting</v>
      </c>
      <c r="B1258" s="395" t="str">
        <f>IF(ISBLANK(INDEX('Policy Characteristics'!B:B,MATCH($C1258,'Policy Characteristics'!$C:$C,0))),"",INDEX('Policy Characteristics'!B:B,MATCH($C1258,'Policy Characteristics'!$C:$C,0)))</f>
        <v>Fuel Subsidy</v>
      </c>
      <c r="C1258" s="394" t="str">
        <f t="shared" si="74"/>
        <v>GRA for Fuel Subsidies</v>
      </c>
      <c r="D1258" s="28" t="s">
        <v>933</v>
      </c>
      <c r="F1258" s="28" t="s">
        <v>934</v>
      </c>
      <c r="H1258" s="377">
        <v>578</v>
      </c>
      <c r="I1258" s="405" t="s">
        <v>648</v>
      </c>
      <c r="J1258" s="397" t="str">
        <f>IF(ISBLANK(INDEX('Policy Characteristics'!D:D,MATCH($C1258,'Policy Characteristics'!$C:$C,0))),"",INDEX('Policy Characteristics'!D:D,MATCH($C1258,'Policy Characteristics'!$C:$C,0)))</f>
        <v/>
      </c>
      <c r="K1258" s="394" t="str">
        <f>IF(ISBLANK(INDEX('Policy Characteristics'!E:E,MATCH($C1258,'Policy Characteristics'!$C:$C,0))),"",INDEX('Policy Characteristics'!E:E,MATCH($C1258,'Policy Characteristics'!$C:$C,0)))</f>
        <v>GRA fuel subsidy</v>
      </c>
      <c r="L1258" s="394">
        <f>IF(ISBLANK(INDEX('Policy Characteristics'!F:F,MATCH($C1258,'Policy Characteristics'!$C:$C,0))),"",INDEX('Policy Characteristics'!F:F,MATCH($C1258,'Policy Characteristics'!$C:$C,0)))</f>
        <v>0</v>
      </c>
      <c r="M1258" s="394">
        <f>IF(ISBLANK(INDEX('Policy Characteristics'!G:G,MATCH($C1258,'Policy Characteristics'!$C:$C,0))),"",INDEX('Policy Characteristics'!G:G,MATCH($C1258,'Policy Characteristics'!$C:$C,0)))</f>
        <v>10</v>
      </c>
      <c r="N1258" s="394">
        <f>IF(ISBLANK(INDEX('Policy Characteristics'!H:H,MATCH($C1258,'Policy Characteristics'!$C:$C,0))),"",INDEX('Policy Characteristics'!H:H,MATCH($C1258,'Policy Characteristics'!$C:$C,0)))</f>
        <v>1</v>
      </c>
      <c r="O1258" s="394" t="str">
        <f>IF(ISBLANK(INDEX('Policy Characteristics'!I:I,MATCH($C1258,'Policy Characteristics'!$C:$C,0))),"",INDEX('Policy Characteristics'!I:I,MATCH($C1258,'Policy Characteristics'!$C:$C,0)))</f>
        <v>weight</v>
      </c>
      <c r="P1258" s="394" t="str">
        <f>IF(ISBLANK(INDEX('Policy Characteristics'!J:J,MATCH($C1258,'Policy Characteristics'!$C:$C,0))),"",INDEX('Policy Characteristics'!J:J,MATCH($C1258,'Policy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8" s="394" t="str">
        <f>IF(ISBLANK(INDEX('Policy Characteristics'!K:K,MATCH($C1258,'Policy Characteristics'!$C:$C,0))),"",INDEX('Policy Characteristics'!K:K,MATCH($C1258,'Policy Characteristics'!$C:$C,0)))</f>
        <v>io-model.html</v>
      </c>
      <c r="R1258" s="394" t="str">
        <f>IF(ISBLANK(INDEX('Policy Characteristics'!L:L,MATCH($C1258,'Policy Characteristics'!$C:$C,0))),"",INDEX('Policy Characteristics'!L:L,MATCH($C1258,'Policy Characteristics'!$C:$C,0)))</f>
        <v/>
      </c>
    </row>
    <row r="1259" customHeight="1" spans="1:18">
      <c r="A1259" s="394" t="str">
        <f>IF(ISBLANK(INDEX('Policy Characteristics'!A:A,MATCH($C1259,'Policy Characteristics'!$C:$C,0))),"",INDEX('Policy Characteristics'!A:A,MATCH($C1259,'Policy Characteristics'!$C:$C,0)))</f>
        <v>Government Revenue Accounting</v>
      </c>
      <c r="B1259" s="395" t="str">
        <f>IF(ISBLANK(INDEX('Policy Characteristics'!B:B,MATCH($C1259,'Policy Characteristics'!$C:$C,0))),"",INDEX('Policy Characteristics'!B:B,MATCH($C1259,'Policy Characteristics'!$C:$C,0)))</f>
        <v>Fuel Subsidy</v>
      </c>
      <c r="C1259" s="394" t="str">
        <f t="shared" si="74"/>
        <v>GRA for Fuel Subsidies</v>
      </c>
      <c r="D1259" s="28" t="s">
        <v>935</v>
      </c>
      <c r="F1259" s="28" t="s">
        <v>936</v>
      </c>
      <c r="H1259" s="377">
        <v>579</v>
      </c>
      <c r="I1259" s="405" t="s">
        <v>648</v>
      </c>
      <c r="J1259" s="397" t="str">
        <f>IF(ISBLANK(INDEX('Policy Characteristics'!D:D,MATCH($C1259,'Policy Characteristics'!$C:$C,0))),"",INDEX('Policy Characteristics'!D:D,MATCH($C1259,'Policy Characteristics'!$C:$C,0)))</f>
        <v/>
      </c>
      <c r="K1259" s="394" t="str">
        <f>IF(ISBLANK(INDEX('Policy Characteristics'!E:E,MATCH($C1259,'Policy Characteristics'!$C:$C,0))),"",INDEX('Policy Characteristics'!E:E,MATCH($C1259,'Policy Characteristics'!$C:$C,0)))</f>
        <v>GRA fuel subsidy</v>
      </c>
      <c r="L1259" s="394">
        <f>IF(ISBLANK(INDEX('Policy Characteristics'!F:F,MATCH($C1259,'Policy Characteristics'!$C:$C,0))),"",INDEX('Policy Characteristics'!F:F,MATCH($C1259,'Policy Characteristics'!$C:$C,0)))</f>
        <v>0</v>
      </c>
      <c r="M1259" s="394">
        <f>IF(ISBLANK(INDEX('Policy Characteristics'!G:G,MATCH($C1259,'Policy Characteristics'!$C:$C,0))),"",INDEX('Policy Characteristics'!G:G,MATCH($C1259,'Policy Characteristics'!$C:$C,0)))</f>
        <v>10</v>
      </c>
      <c r="N1259" s="394">
        <f>IF(ISBLANK(INDEX('Policy Characteristics'!H:H,MATCH($C1259,'Policy Characteristics'!$C:$C,0))),"",INDEX('Policy Characteristics'!H:H,MATCH($C1259,'Policy Characteristics'!$C:$C,0)))</f>
        <v>1</v>
      </c>
      <c r="O1259" s="394" t="str">
        <f>IF(ISBLANK(INDEX('Policy Characteristics'!I:I,MATCH($C1259,'Policy Characteristics'!$C:$C,0))),"",INDEX('Policy Characteristics'!I:I,MATCH($C1259,'Policy Characteristics'!$C:$C,0)))</f>
        <v>weight</v>
      </c>
      <c r="P1259" s="394" t="str">
        <f>IF(ISBLANK(INDEX('Policy Characteristics'!J:J,MATCH($C1259,'Policy Characteristics'!$C:$C,0))),"",INDEX('Policy Characteristics'!J:J,MATCH($C1259,'Policy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9" s="394" t="str">
        <f>IF(ISBLANK(INDEX('Policy Characteristics'!K:K,MATCH($C1259,'Policy Characteristics'!$C:$C,0))),"",INDEX('Policy Characteristics'!K:K,MATCH($C1259,'Policy Characteristics'!$C:$C,0)))</f>
        <v>io-model.html</v>
      </c>
      <c r="R1259" s="394" t="str">
        <f>IF(ISBLANK(INDEX('Policy Characteristics'!L:L,MATCH($C1259,'Policy Characteristics'!$C:$C,0))),"",INDEX('Policy Characteristics'!L:L,MATCH($C1259,'Policy Characteristics'!$C:$C,0)))</f>
        <v/>
      </c>
    </row>
    <row r="1260" customHeight="1" spans="1:18">
      <c r="A1260" s="394" t="str">
        <f>IF(ISBLANK(INDEX('Policy Characteristics'!A:A,MATCH($C1260,'Policy Characteristics'!$C:$C,0))),"",INDEX('Policy Characteristics'!A:A,MATCH($C1260,'Policy Characteristics'!$C:$C,0)))</f>
        <v>Government Revenue Accounting</v>
      </c>
      <c r="B1260" s="395" t="str">
        <f>IF(ISBLANK(INDEX('Policy Characteristics'!B:B,MATCH($C1260,'Policy Characteristics'!$C:$C,0))),"",INDEX('Policy Characteristics'!B:B,MATCH($C1260,'Policy Characteristics'!$C:$C,0)))</f>
        <v>National Debt Interest</v>
      </c>
      <c r="C1260" t="s">
        <v>630</v>
      </c>
      <c r="D1260" s="28" t="s">
        <v>927</v>
      </c>
      <c r="F1260" s="28" t="s">
        <v>928</v>
      </c>
      <c r="H1260" s="377">
        <v>580</v>
      </c>
      <c r="I1260" s="385" t="s">
        <v>648</v>
      </c>
      <c r="J1260" s="397" t="str">
        <f>IF(ISBLANK(INDEX('Policy Characteristics'!D:D,MATCH($C1260,'Policy Characteristics'!$C:$C,0))),"",INDEX('Policy Characteristics'!D:D,MATCH($C1260,'Policy Characteristics'!$C:$C,0)))</f>
        <v/>
      </c>
      <c r="K1260" s="394" t="str">
        <f>IF(ISBLANK(INDEX('Policy Characteristics'!E:E,MATCH($C1260,'Policy Characteristics'!$C:$C,0))),"",INDEX('Policy Characteristics'!E:E,MATCH($C1260,'Policy Characteristics'!$C:$C,0)))</f>
        <v>GRA national debt interest</v>
      </c>
      <c r="L1260" s="394">
        <f>IF(ISBLANK(INDEX('Policy Characteristics'!F:F,MATCH($C1260,'Policy Characteristics'!$C:$C,0))),"",INDEX('Policy Characteristics'!F:F,MATCH($C1260,'Policy Characteristics'!$C:$C,0)))</f>
        <v>0</v>
      </c>
      <c r="M1260" s="394">
        <f>IF(ISBLANK(INDEX('Policy Characteristics'!G:G,MATCH($C1260,'Policy Characteristics'!$C:$C,0))),"",INDEX('Policy Characteristics'!G:G,MATCH($C1260,'Policy Characteristics'!$C:$C,0)))</f>
        <v>10</v>
      </c>
      <c r="N1260" s="394">
        <f>IF(ISBLANK(INDEX('Policy Characteristics'!H:H,MATCH($C1260,'Policy Characteristics'!$C:$C,0))),"",INDEX('Policy Characteristics'!H:H,MATCH($C1260,'Policy Characteristics'!$C:$C,0)))</f>
        <v>1</v>
      </c>
      <c r="O1260" s="394" t="str">
        <f>IF(ISBLANK(INDEX('Policy Characteristics'!I:I,MATCH($C1260,'Policy Characteristics'!$C:$C,0))),"",INDEX('Policy Characteristics'!I:I,MATCH($C1260,'Policy Characteristics'!$C:$C,0)))</f>
        <v>weight</v>
      </c>
      <c r="P1260" s="394" t="str">
        <f>IF(ISBLANK(INDEX('Policy Characteristics'!J:J,MATCH($C1260,'Policy Characteristics'!$C:$C,0))),"",INDEX('Policy Characteristics'!J:J,MATCH($C1260,'Policy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0" s="394" t="str">
        <f>IF(ISBLANK(INDEX('Policy Characteristics'!K:K,MATCH($C1260,'Policy Characteristics'!$C:$C,0))),"",INDEX('Policy Characteristics'!K:K,MATCH($C1260,'Policy Characteristics'!$C:$C,0)))</f>
        <v>io-model.html</v>
      </c>
      <c r="R1260" s="394" t="str">
        <f>IF(ISBLANK(INDEX('Policy Characteristics'!L:L,MATCH($C1260,'Policy Characteristics'!$C:$C,0))),"",INDEX('Policy Characteristics'!L:L,MATCH($C1260,'Policy Characteristics'!$C:$C,0)))</f>
        <v/>
      </c>
    </row>
    <row r="1261" customHeight="1" spans="1:18">
      <c r="A1261" s="394" t="str">
        <f>IF(ISBLANK(INDEX('Policy Characteristics'!A:A,MATCH($C1261,'Policy Characteristics'!$C:$C,0))),"",INDEX('Policy Characteristics'!A:A,MATCH($C1261,'Policy Characteristics'!$C:$C,0)))</f>
        <v>Government Revenue Accounting</v>
      </c>
      <c r="B1261" s="395" t="str">
        <f>IF(ISBLANK(INDEX('Policy Characteristics'!B:B,MATCH($C1261,'Policy Characteristics'!$C:$C,0))),"",INDEX('Policy Characteristics'!B:B,MATCH($C1261,'Policy Characteristics'!$C:$C,0)))</f>
        <v>National Debt Interest</v>
      </c>
      <c r="C1261" s="394" t="str">
        <f t="shared" ref="C1261:C1264" si="75">C$1260</f>
        <v>GRA for National Debt Interest</v>
      </c>
      <c r="D1261" s="28" t="s">
        <v>929</v>
      </c>
      <c r="F1261" s="28" t="s">
        <v>930</v>
      </c>
      <c r="H1261" s="377">
        <v>581</v>
      </c>
      <c r="I1261" s="405" t="s">
        <v>648</v>
      </c>
      <c r="J1261" s="397" t="str">
        <f>IF(ISBLANK(INDEX('Policy Characteristics'!D:D,MATCH($C1261,'Policy Characteristics'!$C:$C,0))),"",INDEX('Policy Characteristics'!D:D,MATCH($C1261,'Policy Characteristics'!$C:$C,0)))</f>
        <v/>
      </c>
      <c r="K1261" s="394" t="str">
        <f>IF(ISBLANK(INDEX('Policy Characteristics'!E:E,MATCH($C1261,'Policy Characteristics'!$C:$C,0))),"",INDEX('Policy Characteristics'!E:E,MATCH($C1261,'Policy Characteristics'!$C:$C,0)))</f>
        <v>GRA national debt interest</v>
      </c>
      <c r="L1261" s="394">
        <f>IF(ISBLANK(INDEX('Policy Characteristics'!F:F,MATCH($C1261,'Policy Characteristics'!$C:$C,0))),"",INDEX('Policy Characteristics'!F:F,MATCH($C1261,'Policy Characteristics'!$C:$C,0)))</f>
        <v>0</v>
      </c>
      <c r="M1261" s="394">
        <f>IF(ISBLANK(INDEX('Policy Characteristics'!G:G,MATCH($C1261,'Policy Characteristics'!$C:$C,0))),"",INDEX('Policy Characteristics'!G:G,MATCH($C1261,'Policy Characteristics'!$C:$C,0)))</f>
        <v>10</v>
      </c>
      <c r="N1261" s="394">
        <f>IF(ISBLANK(INDEX('Policy Characteristics'!H:H,MATCH($C1261,'Policy Characteristics'!$C:$C,0))),"",INDEX('Policy Characteristics'!H:H,MATCH($C1261,'Policy Characteristics'!$C:$C,0)))</f>
        <v>1</v>
      </c>
      <c r="O1261" s="394" t="str">
        <f>IF(ISBLANK(INDEX('Policy Characteristics'!I:I,MATCH($C1261,'Policy Characteristics'!$C:$C,0))),"",INDEX('Policy Characteristics'!I:I,MATCH($C1261,'Policy Characteristics'!$C:$C,0)))</f>
        <v>weight</v>
      </c>
      <c r="P1261" s="394" t="str">
        <f>IF(ISBLANK(INDEX('Policy Characteristics'!J:J,MATCH($C1261,'Policy Characteristics'!$C:$C,0))),"",INDEX('Policy Characteristics'!J:J,MATCH($C1261,'Policy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1" s="394" t="str">
        <f>IF(ISBLANK(INDEX('Policy Characteristics'!K:K,MATCH($C1261,'Policy Characteristics'!$C:$C,0))),"",INDEX('Policy Characteristics'!K:K,MATCH($C1261,'Policy Characteristics'!$C:$C,0)))</f>
        <v>io-model.html</v>
      </c>
      <c r="R1261" s="394" t="str">
        <f>IF(ISBLANK(INDEX('Policy Characteristics'!L:L,MATCH($C1261,'Policy Characteristics'!$C:$C,0))),"",INDEX('Policy Characteristics'!L:L,MATCH($C1261,'Policy Characteristics'!$C:$C,0)))</f>
        <v/>
      </c>
    </row>
    <row r="1262" customHeight="1" spans="1:18">
      <c r="A1262" s="394" t="str">
        <f>IF(ISBLANK(INDEX('Policy Characteristics'!A:A,MATCH($C1262,'Policy Characteristics'!$C:$C,0))),"",INDEX('Policy Characteristics'!A:A,MATCH($C1262,'Policy Characteristics'!$C:$C,0)))</f>
        <v>Government Revenue Accounting</v>
      </c>
      <c r="B1262" s="395" t="str">
        <f>IF(ISBLANK(INDEX('Policy Characteristics'!B:B,MATCH($C1262,'Policy Characteristics'!$C:$C,0))),"",INDEX('Policy Characteristics'!B:B,MATCH($C1262,'Policy Characteristics'!$C:$C,0)))</f>
        <v>National Debt Interest</v>
      </c>
      <c r="C1262" s="394" t="str">
        <f t="shared" si="75"/>
        <v>GRA for National Debt Interest</v>
      </c>
      <c r="D1262" s="28" t="s">
        <v>931</v>
      </c>
      <c r="F1262" s="28" t="s">
        <v>932</v>
      </c>
      <c r="H1262" s="377">
        <v>582</v>
      </c>
      <c r="I1262" s="405" t="s">
        <v>648</v>
      </c>
      <c r="J1262" s="397" t="str">
        <f>IF(ISBLANK(INDEX('Policy Characteristics'!D:D,MATCH($C1262,'Policy Characteristics'!$C:$C,0))),"",INDEX('Policy Characteristics'!D:D,MATCH($C1262,'Policy Characteristics'!$C:$C,0)))</f>
        <v/>
      </c>
      <c r="K1262" s="394" t="str">
        <f>IF(ISBLANK(INDEX('Policy Characteristics'!E:E,MATCH($C1262,'Policy Characteristics'!$C:$C,0))),"",INDEX('Policy Characteristics'!E:E,MATCH($C1262,'Policy Characteristics'!$C:$C,0)))</f>
        <v>GRA national debt interest</v>
      </c>
      <c r="L1262" s="394">
        <f>IF(ISBLANK(INDEX('Policy Characteristics'!F:F,MATCH($C1262,'Policy Characteristics'!$C:$C,0))),"",INDEX('Policy Characteristics'!F:F,MATCH($C1262,'Policy Characteristics'!$C:$C,0)))</f>
        <v>0</v>
      </c>
      <c r="M1262" s="394">
        <f>IF(ISBLANK(INDEX('Policy Characteristics'!G:G,MATCH($C1262,'Policy Characteristics'!$C:$C,0))),"",INDEX('Policy Characteristics'!G:G,MATCH($C1262,'Policy Characteristics'!$C:$C,0)))</f>
        <v>10</v>
      </c>
      <c r="N1262" s="394">
        <f>IF(ISBLANK(INDEX('Policy Characteristics'!H:H,MATCH($C1262,'Policy Characteristics'!$C:$C,0))),"",INDEX('Policy Characteristics'!H:H,MATCH($C1262,'Policy Characteristics'!$C:$C,0)))</f>
        <v>1</v>
      </c>
      <c r="O1262" s="394" t="str">
        <f>IF(ISBLANK(INDEX('Policy Characteristics'!I:I,MATCH($C1262,'Policy Characteristics'!$C:$C,0))),"",INDEX('Policy Characteristics'!I:I,MATCH($C1262,'Policy Characteristics'!$C:$C,0)))</f>
        <v>weight</v>
      </c>
      <c r="P1262" s="394" t="str">
        <f>IF(ISBLANK(INDEX('Policy Characteristics'!J:J,MATCH($C1262,'Policy Characteristics'!$C:$C,0))),"",INDEX('Policy Characteristics'!J:J,MATCH($C1262,'Policy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2" s="394" t="str">
        <f>IF(ISBLANK(INDEX('Policy Characteristics'!K:K,MATCH($C1262,'Policy Characteristics'!$C:$C,0))),"",INDEX('Policy Characteristics'!K:K,MATCH($C1262,'Policy Characteristics'!$C:$C,0)))</f>
        <v>io-model.html</v>
      </c>
      <c r="R1262" s="394" t="str">
        <f>IF(ISBLANK(INDEX('Policy Characteristics'!L:L,MATCH($C1262,'Policy Characteristics'!$C:$C,0))),"",INDEX('Policy Characteristics'!L:L,MATCH($C1262,'Policy Characteristics'!$C:$C,0)))</f>
        <v/>
      </c>
    </row>
    <row r="1263" customHeight="1" spans="1:18">
      <c r="A1263" s="394" t="str">
        <f>IF(ISBLANK(INDEX('Policy Characteristics'!A:A,MATCH($C1263,'Policy Characteristics'!$C:$C,0))),"",INDEX('Policy Characteristics'!A:A,MATCH($C1263,'Policy Characteristics'!$C:$C,0)))</f>
        <v>Government Revenue Accounting</v>
      </c>
      <c r="B1263" s="395" t="str">
        <f>IF(ISBLANK(INDEX('Policy Characteristics'!B:B,MATCH($C1263,'Policy Characteristics'!$C:$C,0))),"",INDEX('Policy Characteristics'!B:B,MATCH($C1263,'Policy Characteristics'!$C:$C,0)))</f>
        <v>National Debt Interest</v>
      </c>
      <c r="C1263" s="394" t="str">
        <f t="shared" si="75"/>
        <v>GRA for National Debt Interest</v>
      </c>
      <c r="D1263" s="28" t="s">
        <v>933</v>
      </c>
      <c r="F1263" s="28" t="s">
        <v>934</v>
      </c>
      <c r="H1263" s="377">
        <v>583</v>
      </c>
      <c r="I1263" s="405" t="s">
        <v>648</v>
      </c>
      <c r="J1263" s="397" t="str">
        <f>IF(ISBLANK(INDEX('Policy Characteristics'!D:D,MATCH($C1263,'Policy Characteristics'!$C:$C,0))),"",INDEX('Policy Characteristics'!D:D,MATCH($C1263,'Policy Characteristics'!$C:$C,0)))</f>
        <v/>
      </c>
      <c r="K1263" s="394" t="str">
        <f>IF(ISBLANK(INDEX('Policy Characteristics'!E:E,MATCH($C1263,'Policy Characteristics'!$C:$C,0))),"",INDEX('Policy Characteristics'!E:E,MATCH($C1263,'Policy Characteristics'!$C:$C,0)))</f>
        <v>GRA national debt interest</v>
      </c>
      <c r="L1263" s="394">
        <f>IF(ISBLANK(INDEX('Policy Characteristics'!F:F,MATCH($C1263,'Policy Characteristics'!$C:$C,0))),"",INDEX('Policy Characteristics'!F:F,MATCH($C1263,'Policy Characteristics'!$C:$C,0)))</f>
        <v>0</v>
      </c>
      <c r="M1263" s="394">
        <f>IF(ISBLANK(INDEX('Policy Characteristics'!G:G,MATCH($C1263,'Policy Characteristics'!$C:$C,0))),"",INDEX('Policy Characteristics'!G:G,MATCH($C1263,'Policy Characteristics'!$C:$C,0)))</f>
        <v>10</v>
      </c>
      <c r="N1263" s="394">
        <f>IF(ISBLANK(INDEX('Policy Characteristics'!H:H,MATCH($C1263,'Policy Characteristics'!$C:$C,0))),"",INDEX('Policy Characteristics'!H:H,MATCH($C1263,'Policy Characteristics'!$C:$C,0)))</f>
        <v>1</v>
      </c>
      <c r="O1263" s="394" t="str">
        <f>IF(ISBLANK(INDEX('Policy Characteristics'!I:I,MATCH($C1263,'Policy Characteristics'!$C:$C,0))),"",INDEX('Policy Characteristics'!I:I,MATCH($C1263,'Policy Characteristics'!$C:$C,0)))</f>
        <v>weight</v>
      </c>
      <c r="P1263" s="394" t="str">
        <f>IF(ISBLANK(INDEX('Policy Characteristics'!J:J,MATCH($C1263,'Policy Characteristics'!$C:$C,0))),"",INDEX('Policy Characteristics'!J:J,MATCH($C1263,'Policy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3" s="394" t="str">
        <f>IF(ISBLANK(INDEX('Policy Characteristics'!K:K,MATCH($C1263,'Policy Characteristics'!$C:$C,0))),"",INDEX('Policy Characteristics'!K:K,MATCH($C1263,'Policy Characteristics'!$C:$C,0)))</f>
        <v>io-model.html</v>
      </c>
      <c r="R1263" s="394" t="str">
        <f>IF(ISBLANK(INDEX('Policy Characteristics'!L:L,MATCH($C1263,'Policy Characteristics'!$C:$C,0))),"",INDEX('Policy Characteristics'!L:L,MATCH($C1263,'Policy Characteristics'!$C:$C,0)))</f>
        <v/>
      </c>
    </row>
    <row r="1264" customHeight="1" spans="1:18">
      <c r="A1264" s="394" t="str">
        <f>IF(ISBLANK(INDEX('Policy Characteristics'!A:A,MATCH($C1264,'Policy Characteristics'!$C:$C,0))),"",INDEX('Policy Characteristics'!A:A,MATCH($C1264,'Policy Characteristics'!$C:$C,0)))</f>
        <v>Government Revenue Accounting</v>
      </c>
      <c r="B1264" s="395" t="str">
        <f>IF(ISBLANK(INDEX('Policy Characteristics'!B:B,MATCH($C1264,'Policy Characteristics'!$C:$C,0))),"",INDEX('Policy Characteristics'!B:B,MATCH($C1264,'Policy Characteristics'!$C:$C,0)))</f>
        <v>National Debt Interest</v>
      </c>
      <c r="C1264" s="394" t="str">
        <f t="shared" si="75"/>
        <v>GRA for National Debt Interest</v>
      </c>
      <c r="D1264" s="28" t="s">
        <v>935</v>
      </c>
      <c r="F1264" s="28" t="s">
        <v>936</v>
      </c>
      <c r="H1264" s="377">
        <v>584</v>
      </c>
      <c r="I1264" s="405" t="s">
        <v>648</v>
      </c>
      <c r="J1264" s="397" t="str">
        <f>IF(ISBLANK(INDEX('Policy Characteristics'!D:D,MATCH($C1264,'Policy Characteristics'!$C:$C,0))),"",INDEX('Policy Characteristics'!D:D,MATCH($C1264,'Policy Characteristics'!$C:$C,0)))</f>
        <v/>
      </c>
      <c r="K1264" s="394" t="str">
        <f>IF(ISBLANK(INDEX('Policy Characteristics'!E:E,MATCH($C1264,'Policy Characteristics'!$C:$C,0))),"",INDEX('Policy Characteristics'!E:E,MATCH($C1264,'Policy Characteristics'!$C:$C,0)))</f>
        <v>GRA national debt interest</v>
      </c>
      <c r="L1264" s="394">
        <f>IF(ISBLANK(INDEX('Policy Characteristics'!F:F,MATCH($C1264,'Policy Characteristics'!$C:$C,0))),"",INDEX('Policy Characteristics'!F:F,MATCH($C1264,'Policy Characteristics'!$C:$C,0)))</f>
        <v>0</v>
      </c>
      <c r="M1264" s="394">
        <f>IF(ISBLANK(INDEX('Policy Characteristics'!G:G,MATCH($C1264,'Policy Characteristics'!$C:$C,0))),"",INDEX('Policy Characteristics'!G:G,MATCH($C1264,'Policy Characteristics'!$C:$C,0)))</f>
        <v>10</v>
      </c>
      <c r="N1264" s="394">
        <f>IF(ISBLANK(INDEX('Policy Characteristics'!H:H,MATCH($C1264,'Policy Characteristics'!$C:$C,0))),"",INDEX('Policy Characteristics'!H:H,MATCH($C1264,'Policy Characteristics'!$C:$C,0)))</f>
        <v>1</v>
      </c>
      <c r="O1264" s="394" t="str">
        <f>IF(ISBLANK(INDEX('Policy Characteristics'!I:I,MATCH($C1264,'Policy Characteristics'!$C:$C,0))),"",INDEX('Policy Characteristics'!I:I,MATCH($C1264,'Policy Characteristics'!$C:$C,0)))</f>
        <v>weight</v>
      </c>
      <c r="P1264" s="394" t="str">
        <f>IF(ISBLANK(INDEX('Policy Characteristics'!J:J,MATCH($C1264,'Policy Characteristics'!$C:$C,0))),"",INDEX('Policy Characteristics'!J:J,MATCH($C1264,'Policy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4" s="394" t="str">
        <f>IF(ISBLANK(INDEX('Policy Characteristics'!K:K,MATCH($C1264,'Policy Characteristics'!$C:$C,0))),"",INDEX('Policy Characteristics'!K:K,MATCH($C1264,'Policy Characteristics'!$C:$C,0)))</f>
        <v>io-model.html</v>
      </c>
      <c r="R1264" s="394" t="str">
        <f>IF(ISBLANK(INDEX('Policy Characteristics'!L:L,MATCH($C1264,'Policy Characteristics'!$C:$C,0))),"",INDEX('Policy Characteristics'!L:L,MATCH($C1264,'Policy Characteristics'!$C:$C,0)))</f>
        <v/>
      </c>
    </row>
    <row r="1265" customHeight="1" spans="1:18">
      <c r="A1265" s="394" t="str">
        <f>IF(ISBLANK(INDEX('Policy Characteristics'!A:A,MATCH($C1265,'Policy Characteristics'!$C:$C,0))),"",INDEX('Policy Characteristics'!A:A,MATCH($C1265,'Policy Characteristics'!$C:$C,0)))</f>
        <v>Government Revenue Accounting</v>
      </c>
      <c r="B1265" s="395" t="str">
        <f>IF(ISBLANK(INDEX('Policy Characteristics'!B:B,MATCH($C1265,'Policy Characteristics'!$C:$C,0))),"",INDEX('Policy Characteristics'!B:B,MATCH($C1265,'Policy Characteristics'!$C:$C,0)))</f>
        <v>Remaining Government Cash Flows</v>
      </c>
      <c r="C1265" t="s">
        <v>633</v>
      </c>
      <c r="D1265" s="28" t="s">
        <v>927</v>
      </c>
      <c r="F1265" s="28" t="s">
        <v>928</v>
      </c>
      <c r="H1265" s="377">
        <v>585</v>
      </c>
      <c r="I1265" s="385" t="s">
        <v>648</v>
      </c>
      <c r="J1265" s="397" t="str">
        <f>IF(ISBLANK(INDEX('Policy Characteristics'!D:D,MATCH($C1265,'Policy Characteristics'!$C:$C,0))),"",INDEX('Policy Characteristics'!D:D,MATCH($C1265,'Policy Characteristics'!$C:$C,0)))</f>
        <v/>
      </c>
      <c r="K1265" s="394" t="str">
        <f>IF(ISBLANK(INDEX('Policy Characteristics'!E:E,MATCH($C1265,'Policy Characteristics'!$C:$C,0))),"",INDEX('Policy Characteristics'!E:E,MATCH($C1265,'Policy Characteristics'!$C:$C,0)))</f>
        <v>GRA remaining cash flow changes</v>
      </c>
      <c r="L1265" s="394">
        <f>IF(ISBLANK(INDEX('Policy Characteristics'!F:F,MATCH($C1265,'Policy Characteristics'!$C:$C,0))),"",INDEX('Policy Characteristics'!F:F,MATCH($C1265,'Policy Characteristics'!$C:$C,0)))</f>
        <v>0</v>
      </c>
      <c r="M1265" s="394">
        <f>IF(ISBLANK(INDEX('Policy Characteristics'!G:G,MATCH($C1265,'Policy Characteristics'!$C:$C,0))),"",INDEX('Policy Characteristics'!G:G,MATCH($C1265,'Policy Characteristics'!$C:$C,0)))</f>
        <v>10</v>
      </c>
      <c r="N1265" s="394">
        <f>IF(ISBLANK(INDEX('Policy Characteristics'!H:H,MATCH($C1265,'Policy Characteristics'!$C:$C,0))),"",INDEX('Policy Characteristics'!H:H,MATCH($C1265,'Policy Characteristics'!$C:$C,0)))</f>
        <v>1</v>
      </c>
      <c r="O1265" s="394" t="str">
        <f>IF(ISBLANK(INDEX('Policy Characteristics'!I:I,MATCH($C1265,'Policy Characteristics'!$C:$C,0))),"",INDEX('Policy Characteristics'!I:I,MATCH($C1265,'Policy Characteristics'!$C:$C,0)))</f>
        <v>weight</v>
      </c>
      <c r="P1265" s="394" t="str">
        <f>IF(ISBLANK(INDEX('Policy Characteristics'!J:J,MATCH($C1265,'Policy Characteristics'!$C:$C,0))),"",INDEX('Policy Characteristics'!J:J,MATCH($C1265,'Policy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5" s="394" t="str">
        <f>IF(ISBLANK(INDEX('Policy Characteristics'!K:K,MATCH($C1265,'Policy Characteristics'!$C:$C,0))),"",INDEX('Policy Characteristics'!K:K,MATCH($C1265,'Policy Characteristics'!$C:$C,0)))</f>
        <v>io-model.html</v>
      </c>
      <c r="R1265" s="394" t="str">
        <f>IF(ISBLANK(INDEX('Policy Characteristics'!L:L,MATCH($C1265,'Policy Characteristics'!$C:$C,0))),"",INDEX('Policy Characteristics'!L:L,MATCH($C1265,'Policy Characteristics'!$C:$C,0)))</f>
        <v/>
      </c>
    </row>
    <row r="1266" customHeight="1" spans="1:18">
      <c r="A1266" s="394" t="str">
        <f>IF(ISBLANK(INDEX('Policy Characteristics'!A:A,MATCH($C1266,'Policy Characteristics'!$C:$C,0))),"",INDEX('Policy Characteristics'!A:A,MATCH($C1266,'Policy Characteristics'!$C:$C,0)))</f>
        <v>Government Revenue Accounting</v>
      </c>
      <c r="B1266" s="395" t="str">
        <f>IF(ISBLANK(INDEX('Policy Characteristics'!B:B,MATCH($C1266,'Policy Characteristics'!$C:$C,0))),"",INDEX('Policy Characteristics'!B:B,MATCH($C1266,'Policy Characteristics'!$C:$C,0)))</f>
        <v>Remaining Government Cash Flows</v>
      </c>
      <c r="C1266" s="394" t="str">
        <f t="shared" ref="C1266" si="76">C$1265</f>
        <v>GRA for Remaining Government Cash Flow Changes</v>
      </c>
      <c r="D1266" s="28" t="s">
        <v>929</v>
      </c>
      <c r="F1266" s="28" t="s">
        <v>930</v>
      </c>
      <c r="H1266" s="377">
        <v>586</v>
      </c>
      <c r="I1266" s="405" t="s">
        <v>648</v>
      </c>
      <c r="J1266" s="397" t="str">
        <f>IF(ISBLANK(INDEX('Policy Characteristics'!D:D,MATCH($C1266,'Policy Characteristics'!$C:$C,0))),"",INDEX('Policy Characteristics'!D:D,MATCH($C1266,'Policy Characteristics'!$C:$C,0)))</f>
        <v/>
      </c>
      <c r="K1266" s="394" t="str">
        <f>IF(ISBLANK(INDEX('Policy Characteristics'!E:E,MATCH($C1266,'Policy Characteristics'!$C:$C,0))),"",INDEX('Policy Characteristics'!E:E,MATCH($C1266,'Policy Characteristics'!$C:$C,0)))</f>
        <v>GRA remaining cash flow changes</v>
      </c>
      <c r="L1266" s="394">
        <f>IF(ISBLANK(INDEX('Policy Characteristics'!F:F,MATCH($C1266,'Policy Characteristics'!$C:$C,0))),"",INDEX('Policy Characteristics'!F:F,MATCH($C1266,'Policy Characteristics'!$C:$C,0)))</f>
        <v>0</v>
      </c>
      <c r="M1266" s="394">
        <f>IF(ISBLANK(INDEX('Policy Characteristics'!G:G,MATCH($C1266,'Policy Characteristics'!$C:$C,0))),"",INDEX('Policy Characteristics'!G:G,MATCH($C1266,'Policy Characteristics'!$C:$C,0)))</f>
        <v>10</v>
      </c>
      <c r="N1266" s="394">
        <f>IF(ISBLANK(INDEX('Policy Characteristics'!H:H,MATCH($C1266,'Policy Characteristics'!$C:$C,0))),"",INDEX('Policy Characteristics'!H:H,MATCH($C1266,'Policy Characteristics'!$C:$C,0)))</f>
        <v>1</v>
      </c>
      <c r="O1266" s="394" t="str">
        <f>IF(ISBLANK(INDEX('Policy Characteristics'!I:I,MATCH($C1266,'Policy Characteristics'!$C:$C,0))),"",INDEX('Policy Characteristics'!I:I,MATCH($C1266,'Policy Characteristics'!$C:$C,0)))</f>
        <v>weight</v>
      </c>
      <c r="P1266" s="394" t="str">
        <f>IF(ISBLANK(INDEX('Policy Characteristics'!J:J,MATCH($C1266,'Policy Characteristics'!$C:$C,0))),"",INDEX('Policy Characteristics'!J:J,MATCH($C1266,'Policy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6" s="394" t="str">
        <f>IF(ISBLANK(INDEX('Policy Characteristics'!K:K,MATCH($C1266,'Policy Characteristics'!$C:$C,0))),"",INDEX('Policy Characteristics'!K:K,MATCH($C1266,'Policy Characteristics'!$C:$C,0)))</f>
        <v>io-model.html</v>
      </c>
      <c r="R1266" s="394" t="str">
        <f>IF(ISBLANK(INDEX('Policy Characteristics'!L:L,MATCH($C1266,'Policy Characteristics'!$C:$C,0))),"",INDEX('Policy Characteristics'!L:L,MATCH($C1266,'Policy Characteristics'!$C:$C,0)))</f>
        <v/>
      </c>
    </row>
    <row r="1267" customHeight="1" spans="1:18">
      <c r="A1267" s="394" t="str">
        <f>IF(ISBLANK(INDEX('Policy Characteristics'!A:A,MATCH($C1267,'Policy Characteristics'!$C:$C,0))),"",INDEX('Policy Characteristics'!A:A,MATCH($C1267,'Policy Characteristics'!$C:$C,0)))</f>
        <v>Government Revenue Accounting</v>
      </c>
      <c r="B1267" s="395" t="str">
        <f>IF(ISBLANK(INDEX('Policy Characteristics'!B:B,MATCH($C1267,'Policy Characteristics'!$C:$C,0))),"",INDEX('Policy Characteristics'!B:B,MATCH($C1267,'Policy Characteristics'!$C:$C,0)))</f>
        <v>Remaining Government Cash Flows</v>
      </c>
      <c r="C1267" s="394" t="str">
        <f t="shared" ref="C1267:C1269" si="77">C$1265</f>
        <v>GRA for Remaining Government Cash Flow Changes</v>
      </c>
      <c r="D1267" s="28" t="s">
        <v>931</v>
      </c>
      <c r="F1267" s="28" t="s">
        <v>932</v>
      </c>
      <c r="H1267" s="377">
        <v>587</v>
      </c>
      <c r="I1267" s="405" t="s">
        <v>648</v>
      </c>
      <c r="J1267" s="397" t="str">
        <f>IF(ISBLANK(INDEX('Policy Characteristics'!D:D,MATCH($C1267,'Policy Characteristics'!$C:$C,0))),"",INDEX('Policy Characteristics'!D:D,MATCH($C1267,'Policy Characteristics'!$C:$C,0)))</f>
        <v/>
      </c>
      <c r="K1267" s="394" t="str">
        <f>IF(ISBLANK(INDEX('Policy Characteristics'!E:E,MATCH($C1267,'Policy Characteristics'!$C:$C,0))),"",INDEX('Policy Characteristics'!E:E,MATCH($C1267,'Policy Characteristics'!$C:$C,0)))</f>
        <v>GRA remaining cash flow changes</v>
      </c>
      <c r="L1267" s="394">
        <f>IF(ISBLANK(INDEX('Policy Characteristics'!F:F,MATCH($C1267,'Policy Characteristics'!$C:$C,0))),"",INDEX('Policy Characteristics'!F:F,MATCH($C1267,'Policy Characteristics'!$C:$C,0)))</f>
        <v>0</v>
      </c>
      <c r="M1267" s="394">
        <f>IF(ISBLANK(INDEX('Policy Characteristics'!G:G,MATCH($C1267,'Policy Characteristics'!$C:$C,0))),"",INDEX('Policy Characteristics'!G:G,MATCH($C1267,'Policy Characteristics'!$C:$C,0)))</f>
        <v>10</v>
      </c>
      <c r="N1267" s="394">
        <f>IF(ISBLANK(INDEX('Policy Characteristics'!H:H,MATCH($C1267,'Policy Characteristics'!$C:$C,0))),"",INDEX('Policy Characteristics'!H:H,MATCH($C1267,'Policy Characteristics'!$C:$C,0)))</f>
        <v>1</v>
      </c>
      <c r="O1267" s="394" t="str">
        <f>IF(ISBLANK(INDEX('Policy Characteristics'!I:I,MATCH($C1267,'Policy Characteristics'!$C:$C,0))),"",INDEX('Policy Characteristics'!I:I,MATCH($C1267,'Policy Characteristics'!$C:$C,0)))</f>
        <v>weight</v>
      </c>
      <c r="P1267" s="394" t="str">
        <f>IF(ISBLANK(INDEX('Policy Characteristics'!J:J,MATCH($C1267,'Policy Characteristics'!$C:$C,0))),"",INDEX('Policy Characteristics'!J:J,MATCH($C1267,'Policy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7" s="394" t="str">
        <f>IF(ISBLANK(INDEX('Policy Characteristics'!K:K,MATCH($C1267,'Policy Characteristics'!$C:$C,0))),"",INDEX('Policy Characteristics'!K:K,MATCH($C1267,'Policy Characteristics'!$C:$C,0)))</f>
        <v>io-model.html</v>
      </c>
      <c r="R1267" s="394" t="str">
        <f>IF(ISBLANK(INDEX('Policy Characteristics'!L:L,MATCH($C1267,'Policy Characteristics'!$C:$C,0))),"",INDEX('Policy Characteristics'!L:L,MATCH($C1267,'Policy Characteristics'!$C:$C,0)))</f>
        <v/>
      </c>
    </row>
    <row r="1268" customHeight="1" spans="1:18">
      <c r="A1268" s="394" t="str">
        <f>IF(ISBLANK(INDEX('Policy Characteristics'!A:A,MATCH($C1268,'Policy Characteristics'!$C:$C,0))),"",INDEX('Policy Characteristics'!A:A,MATCH($C1268,'Policy Characteristics'!$C:$C,0)))</f>
        <v>Government Revenue Accounting</v>
      </c>
      <c r="B1268" s="395" t="str">
        <f>IF(ISBLANK(INDEX('Policy Characteristics'!B:B,MATCH($C1268,'Policy Characteristics'!$C:$C,0))),"",INDEX('Policy Characteristics'!B:B,MATCH($C1268,'Policy Characteristics'!$C:$C,0)))</f>
        <v>Remaining Government Cash Flows</v>
      </c>
      <c r="C1268" s="394" t="str">
        <f t="shared" si="77"/>
        <v>GRA for Remaining Government Cash Flow Changes</v>
      </c>
      <c r="D1268" s="28" t="s">
        <v>933</v>
      </c>
      <c r="F1268" s="28" t="s">
        <v>934</v>
      </c>
      <c r="H1268" s="377">
        <v>588</v>
      </c>
      <c r="I1268" s="405" t="s">
        <v>648</v>
      </c>
      <c r="J1268" s="397" t="str">
        <f>IF(ISBLANK(INDEX('Policy Characteristics'!D:D,MATCH($C1268,'Policy Characteristics'!$C:$C,0))),"",INDEX('Policy Characteristics'!D:D,MATCH($C1268,'Policy Characteristics'!$C:$C,0)))</f>
        <v/>
      </c>
      <c r="K1268" s="394" t="str">
        <f>IF(ISBLANK(INDEX('Policy Characteristics'!E:E,MATCH($C1268,'Policy Characteristics'!$C:$C,0))),"",INDEX('Policy Characteristics'!E:E,MATCH($C1268,'Policy Characteristics'!$C:$C,0)))</f>
        <v>GRA remaining cash flow changes</v>
      </c>
      <c r="L1268" s="394">
        <f>IF(ISBLANK(INDEX('Policy Characteristics'!F:F,MATCH($C1268,'Policy Characteristics'!$C:$C,0))),"",INDEX('Policy Characteristics'!F:F,MATCH($C1268,'Policy Characteristics'!$C:$C,0)))</f>
        <v>0</v>
      </c>
      <c r="M1268" s="394">
        <f>IF(ISBLANK(INDEX('Policy Characteristics'!G:G,MATCH($C1268,'Policy Characteristics'!$C:$C,0))),"",INDEX('Policy Characteristics'!G:G,MATCH($C1268,'Policy Characteristics'!$C:$C,0)))</f>
        <v>10</v>
      </c>
      <c r="N1268" s="394">
        <f>IF(ISBLANK(INDEX('Policy Characteristics'!H:H,MATCH($C1268,'Policy Characteristics'!$C:$C,0))),"",INDEX('Policy Characteristics'!H:H,MATCH($C1268,'Policy Characteristics'!$C:$C,0)))</f>
        <v>1</v>
      </c>
      <c r="O1268" s="394" t="str">
        <f>IF(ISBLANK(INDEX('Policy Characteristics'!I:I,MATCH($C1268,'Policy Characteristics'!$C:$C,0))),"",INDEX('Policy Characteristics'!I:I,MATCH($C1268,'Policy Characteristics'!$C:$C,0)))</f>
        <v>weight</v>
      </c>
      <c r="P1268" s="394" t="str">
        <f>IF(ISBLANK(INDEX('Policy Characteristics'!J:J,MATCH($C1268,'Policy Characteristics'!$C:$C,0))),"",INDEX('Policy Characteristics'!J:J,MATCH($C1268,'Policy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8" s="394" t="str">
        <f>IF(ISBLANK(INDEX('Policy Characteristics'!K:K,MATCH($C1268,'Policy Characteristics'!$C:$C,0))),"",INDEX('Policy Characteristics'!K:K,MATCH($C1268,'Policy Characteristics'!$C:$C,0)))</f>
        <v>io-model.html</v>
      </c>
      <c r="R1268" s="394" t="str">
        <f>IF(ISBLANK(INDEX('Policy Characteristics'!L:L,MATCH($C1268,'Policy Characteristics'!$C:$C,0))),"",INDEX('Policy Characteristics'!L:L,MATCH($C1268,'Policy Characteristics'!$C:$C,0)))</f>
        <v/>
      </c>
    </row>
    <row r="1269" customHeight="1" spans="1:18">
      <c r="A1269" s="394" t="str">
        <f>IF(ISBLANK(INDEX('Policy Characteristics'!A:A,MATCH($C1269,'Policy Characteristics'!$C:$C,0))),"",INDEX('Policy Characteristics'!A:A,MATCH($C1269,'Policy Characteristics'!$C:$C,0)))</f>
        <v>Government Revenue Accounting</v>
      </c>
      <c r="B1269" s="395" t="str">
        <f>IF(ISBLANK(INDEX('Policy Characteristics'!B:B,MATCH($C1269,'Policy Characteristics'!$C:$C,0))),"",INDEX('Policy Characteristics'!B:B,MATCH($C1269,'Policy Characteristics'!$C:$C,0)))</f>
        <v>Remaining Government Cash Flows</v>
      </c>
      <c r="C1269" s="394" t="str">
        <f t="shared" si="77"/>
        <v>GRA for Remaining Government Cash Flow Changes</v>
      </c>
      <c r="D1269" s="28" t="s">
        <v>935</v>
      </c>
      <c r="F1269" s="28" t="s">
        <v>936</v>
      </c>
      <c r="H1269" s="377">
        <v>589</v>
      </c>
      <c r="I1269" s="405" t="s">
        <v>648</v>
      </c>
      <c r="J1269" s="397" t="str">
        <f>IF(ISBLANK(INDEX('Policy Characteristics'!D:D,MATCH($C1269,'Policy Characteristics'!$C:$C,0))),"",INDEX('Policy Characteristics'!D:D,MATCH($C1269,'Policy Characteristics'!$C:$C,0)))</f>
        <v/>
      </c>
      <c r="K1269" s="394" t="str">
        <f>IF(ISBLANK(INDEX('Policy Characteristics'!E:E,MATCH($C1269,'Policy Characteristics'!$C:$C,0))),"",INDEX('Policy Characteristics'!E:E,MATCH($C1269,'Policy Characteristics'!$C:$C,0)))</f>
        <v>GRA remaining cash flow changes</v>
      </c>
      <c r="L1269" s="394">
        <f>IF(ISBLANK(INDEX('Policy Characteristics'!F:F,MATCH($C1269,'Policy Characteristics'!$C:$C,0))),"",INDEX('Policy Characteristics'!F:F,MATCH($C1269,'Policy Characteristics'!$C:$C,0)))</f>
        <v>0</v>
      </c>
      <c r="M1269" s="394">
        <f>IF(ISBLANK(INDEX('Policy Characteristics'!G:G,MATCH($C1269,'Policy Characteristics'!$C:$C,0))),"",INDEX('Policy Characteristics'!G:G,MATCH($C1269,'Policy Characteristics'!$C:$C,0)))</f>
        <v>10</v>
      </c>
      <c r="N1269" s="394">
        <f>IF(ISBLANK(INDEX('Policy Characteristics'!H:H,MATCH($C1269,'Policy Characteristics'!$C:$C,0))),"",INDEX('Policy Characteristics'!H:H,MATCH($C1269,'Policy Characteristics'!$C:$C,0)))</f>
        <v>1</v>
      </c>
      <c r="O1269" s="394" t="str">
        <f>IF(ISBLANK(INDEX('Policy Characteristics'!I:I,MATCH($C1269,'Policy Characteristics'!$C:$C,0))),"",INDEX('Policy Characteristics'!I:I,MATCH($C1269,'Policy Characteristics'!$C:$C,0)))</f>
        <v>weight</v>
      </c>
      <c r="P1269" s="394" t="str">
        <f>IF(ISBLANK(INDEX('Policy Characteristics'!J:J,MATCH($C1269,'Policy Characteristics'!$C:$C,0))),"",INDEX('Policy Characteristics'!J:J,MATCH($C1269,'Policy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9" s="394" t="str">
        <f>IF(ISBLANK(INDEX('Policy Characteristics'!K:K,MATCH($C1269,'Policy Characteristics'!$C:$C,0))),"",INDEX('Policy Characteristics'!K:K,MATCH($C1269,'Policy Characteristics'!$C:$C,0)))</f>
        <v>io-model.html</v>
      </c>
      <c r="R1269" s="394" t="str">
        <f>IF(ISBLANK(INDEX('Policy Characteristics'!L:L,MATCH($C1269,'Policy Characteristics'!$C:$C,0))),"",INDEX('Policy Characteristics'!L:L,MATCH($C1269,'Policy Characteristics'!$C:$C,0)))</f>
        <v/>
      </c>
    </row>
    <row r="1270" customHeight="1" spans="1:18">
      <c r="A1270" s="394" t="str">
        <f>IF(ISBLANK(INDEX('Policy Characteristics'!A:A,MATCH($C1270,'Policy Characteristics'!$C:$C,0))),"",INDEX('Policy Characteristics'!A:A,MATCH($C1270,'Policy Characteristics'!$C:$C,0)))</f>
        <v>Control Settings</v>
      </c>
      <c r="B1270" s="395" t="str">
        <f>IF(ISBLANK(INDEX('Policy Characteristics'!B:B,MATCH($C1270,'Policy Characteristics'!$C:$C,0))),"",INDEX('Policy Characteristics'!B:B,MATCH($C1270,'Policy Characteristics'!$C:$C,0)))</f>
        <v>COVID-19 Recession</v>
      </c>
      <c r="C1270" s="28" t="s">
        <v>603</v>
      </c>
      <c r="H1270" s="377">
        <v>543</v>
      </c>
      <c r="I1270" s="385" t="s">
        <v>658</v>
      </c>
      <c r="J1270" s="397" t="str">
        <f>IF(ISBLANK(INDEX('Policy Characteristics'!D:D,MATCH($C1270,'Policy Characteristics'!$C:$C,0))),"",INDEX('Policy Characteristics'!D:D,MATCH($C1270,'Policy Characteristics'!$C:$C,0)))</f>
        <v/>
      </c>
      <c r="K1270" s="394" t="str">
        <f>IF(ISBLANK(INDEX('Policy Characteristics'!E:E,MATCH($C1270,'Policy Characteristics'!$C:$C,0))),"",INDEX('Policy Characteristics'!E:E,MATCH($C1270,'Policy Characteristics'!$C:$C,0)))</f>
        <v>settings exogenous GDP adjustment</v>
      </c>
      <c r="L1270" s="406">
        <f>IF(ISBLANK(INDEX('Policy Characteristics'!F:F,MATCH($C1270,'Policy Characteristics'!$C:$C,0))),"",INDEX('Policy Characteristics'!F:F,MATCH($C1270,'Policy Characteristics'!$C:$C,0)))</f>
        <v>0</v>
      </c>
      <c r="M1270" s="406">
        <f>IF(ISBLANK(INDEX('Policy Characteristics'!G:G,MATCH($C1270,'Policy Characteristics'!$C:$C,0))),"",INDEX('Policy Characteristics'!G:G,MATCH($C1270,'Policy Characteristics'!$C:$C,0)))</f>
        <v>1</v>
      </c>
      <c r="N1270" s="406">
        <f>IF(ISBLANK(INDEX('Policy Characteristics'!H:H,MATCH($C1270,'Policy Characteristics'!$C:$C,0))),"",INDEX('Policy Characteristics'!H:H,MATCH($C1270,'Policy Characteristics'!$C:$C,0)))</f>
        <v>1</v>
      </c>
      <c r="O1270" s="394" t="str">
        <f>IF(ISBLANK(INDEX('Policy Characteristics'!I:I,MATCH($C1270,'Policy Characteristics'!$C:$C,0))),"",INDEX('Policy Characteristics'!I:I,MATCH($C1270,'Policy Characteristics'!$C:$C,0)))</f>
        <v>on/off</v>
      </c>
      <c r="P1270" s="394" t="str">
        <f>IF(ISBLANK(INDEX('Policy Characteristics'!J:J,MATCH($C1270,'Policy Characteristics'!$C:$C,0))),"",INDEX('Policy Characteristics'!J:J,MATCH($C1270,'Policy Characteristics'!$C:$C,0)))</f>
        <v>**Description:** This control setting enables or disables the GDP impact of the recession caused by SARS-CoV-2 (COVID-19).  This adjusts energy demand to account for the fact that Chinese energy demand forecasts (used as input data in the EPS) have generally not yet been updated to account for pandemic impacts and associated lockdowns, shipping delays, etc.</v>
      </c>
      <c r="Q1270" s="394" t="str">
        <f>IF(ISBLANK(INDEX('Policy Characteristics'!K:K,MATCH($C1270,'Policy Characteristics'!$C:$C,0))),"",INDEX('Policy Characteristics'!K:K,MATCH($C1270,'Policy Characteristics'!$C:$C,0)))</f>
        <v/>
      </c>
      <c r="R1270" s="394" t="str">
        <f>IF(ISBLANK(INDEX('Policy Characteristics'!L:L,MATCH($C1270,'Policy Characteristics'!$C:$C,0))),"",INDEX('Policy Characteristics'!L:L,MATCH($C1270,'Policy Characteristics'!$C:$C,0)))</f>
        <v/>
      </c>
    </row>
    <row r="1271" customHeight="1" spans="1:18">
      <c r="A1271" s="394" t="str">
        <f>IF(ISBLANK(INDEX('Policy Characteristics'!A:A,MATCH($C1271,'Policy Characteristics'!$C:$C,0))),"",INDEX('Policy Characteristics'!A:A,MATCH($C1271,'Policy Characteristics'!$C:$C,0)))</f>
        <v>Control Settings</v>
      </c>
      <c r="B1271" s="395" t="str">
        <f>IF(ISBLANK(INDEX('Policy Characteristics'!B:B,MATCH($C1271,'Policy Characteristics'!$C:$C,0))),"",INDEX('Policy Characteristics'!B:B,MATCH($C1271,'Policy Characteristics'!$C:$C,0)))</f>
        <v>Use 20-Year GWP Values</v>
      </c>
      <c r="C1271" t="s">
        <v>636</v>
      </c>
      <c r="H1271" s="377">
        <v>1601</v>
      </c>
      <c r="I1271" s="385" t="s">
        <v>658</v>
      </c>
      <c r="J1271" s="397" t="str">
        <f>IF(ISBLANK(INDEX('Policy Characteristics'!D:D,MATCH($C1271,'Policy Characteristics'!$C:$C,0))),"",INDEX('Policy Characteristics'!D:D,MATCH($C1271,'Policy Characteristics'!$C:$C,0)))</f>
        <v/>
      </c>
      <c r="K1271" s="394" t="str">
        <f>IF(ISBLANK(INDEX('Policy Characteristics'!E:E,MATCH($C1271,'Policy Characteristics'!$C:$C,0))),"",INDEX('Policy Characteristics'!E:E,MATCH($C1271,'Policy Characteristics'!$C:$C,0)))</f>
        <v/>
      </c>
      <c r="L1271" s="406">
        <f>IF(ISBLANK(INDEX('Policy Characteristics'!F:F,MATCH($C1271,'Policy Characteristics'!$C:$C,0))),"",INDEX('Policy Characteristics'!F:F,MATCH($C1271,'Policy Characteristics'!$C:$C,0)))</f>
        <v>0</v>
      </c>
      <c r="M1271" s="406">
        <f>IF(ISBLANK(INDEX('Policy Characteristics'!G:G,MATCH($C1271,'Policy Characteristics'!$C:$C,0))),"",INDEX('Policy Characteristics'!G:G,MATCH($C1271,'Policy Characteristics'!$C:$C,0)))</f>
        <v>1</v>
      </c>
      <c r="N1271" s="406">
        <f>IF(ISBLANK(INDEX('Policy Characteristics'!H:H,MATCH($C1271,'Policy Characteristics'!$C:$C,0))),"",INDEX('Policy Characteristics'!H:H,MATCH($C1271,'Policy Characteristics'!$C:$C,0)))</f>
        <v>1</v>
      </c>
      <c r="O1271" s="394" t="str">
        <f>IF(ISBLANK(INDEX('Policy Characteristics'!I:I,MATCH($C1271,'Policy Characteristics'!$C:$C,0))),"",INDEX('Policy Characteristics'!I:I,MATCH($C1271,'Policy Characteristics'!$C:$C,0)))</f>
        <v>on/off</v>
      </c>
      <c r="P1271" s="394" t="str">
        <f>IF(ISBLANK(INDEX('Policy Characteristics'!J:J,MATCH($C1271,'Policy Characteristics'!$C:$C,0))),"",INDEX('Policy Characteristics'!J:J,MATCH($C1271,'Policy Characteristics'!$C:$C,0)))</f>
        <v>**Description:**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271" s="394" t="str">
        <f>IF(ISBLANK(INDEX('Policy Characteristics'!K:K,MATCH($C1271,'Policy Characteristics'!$C:$C,0))),"",INDEX('Policy Characteristics'!K:K,MATCH($C1271,'Policy Characteristics'!$C:$C,0)))</f>
        <v/>
      </c>
      <c r="R1271" s="394" t="str">
        <f>IF(ISBLANK(INDEX('Policy Characteristics'!L:L,MATCH($C1271,'Policy Characteristics'!$C:$C,0))),"",INDEX('Policy Characteristics'!L:L,MATCH($C1271,'Policy Characteristics'!$C:$C,0)))</f>
        <v/>
      </c>
    </row>
  </sheetData>
  <autoFilter xmlns:etc="http://www.wps.cn/officeDocument/2017/etCustomData" ref="A1:S1271" etc:filterBottomFollowUsedRange="0">
    <extLst/>
  </autoFilter>
  <sortState ref="A118:I138">
    <sortCondition ref="B118:B138"/>
  </sortState>
  <conditionalFormatting sqref="I1:I1225">
    <cfRule type="containsText" dxfId="2" priority="1" operator="between" text="No">
      <formula>NOT(ISERROR(SEARCH("No",I1)))</formula>
    </cfRule>
  </conditionalFormatting>
  <conditionalFormatting sqref="I1230 I1235 I1240 I1245 I1250 I1255 I1260 I1265 I1270:I1048576">
    <cfRule type="containsText" dxfId="2" priority="127" operator="between" text="No">
      <formula>NOT(ISERROR(SEARCH("No",I1230)))</formula>
    </cfRule>
  </conditionalFormatting>
  <pageMargins left="0.7" right="0.7" top="0.75" bottom="0.75" header="0.3" footer="0.3"/>
  <pageSetup paperSize="1" orientation="portrait" horizontalDpi="1200" verticalDpi="12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45066682943"/>
  </sheetPr>
  <dimension ref="A1:C59"/>
  <sheetViews>
    <sheetView workbookViewId="0">
      <selection activeCell="A1" sqref="A1:C1"/>
    </sheetView>
  </sheetViews>
  <sheetFormatPr defaultColWidth="9.14159292035398" defaultRowHeight="14.25" customHeight="1" outlineLevelCol="2"/>
  <cols>
    <col min="1" max="2" width="76.4247787610619" customWidth="1"/>
    <col min="3" max="3" width="29.4247787610619" customWidth="1"/>
  </cols>
  <sheetData>
    <row r="1" customHeight="1" spans="1:3">
      <c r="A1" s="381" t="s">
        <v>937</v>
      </c>
      <c r="B1" s="381"/>
      <c r="C1" s="381"/>
    </row>
    <row r="2" customHeight="1" spans="1:3">
      <c r="A2" s="382" t="s">
        <v>938</v>
      </c>
      <c r="B2" s="382" t="s">
        <v>939</v>
      </c>
      <c r="C2" s="382" t="s">
        <v>940</v>
      </c>
    </row>
    <row r="3" customHeight="1" spans="1:3">
      <c r="A3" s="383" t="s">
        <v>941</v>
      </c>
      <c r="B3" s="366" t="s">
        <v>942</v>
      </c>
      <c r="C3" t="s">
        <v>943</v>
      </c>
    </row>
    <row r="4" customHeight="1" spans="1:3">
      <c r="A4" s="383" t="s">
        <v>944</v>
      </c>
      <c r="B4" s="366" t="s">
        <v>945</v>
      </c>
      <c r="C4" t="s">
        <v>946</v>
      </c>
    </row>
    <row r="5" customHeight="1" spans="1:3">
      <c r="A5" s="383" t="s">
        <v>947</v>
      </c>
      <c r="B5" s="366" t="s">
        <v>948</v>
      </c>
      <c r="C5" t="s">
        <v>949</v>
      </c>
    </row>
    <row r="6" customHeight="1" spans="1:3">
      <c r="A6" s="383" t="s">
        <v>950</v>
      </c>
      <c r="B6" s="366" t="s">
        <v>951</v>
      </c>
      <c r="C6" t="s">
        <v>946</v>
      </c>
    </row>
    <row r="7" customHeight="1" spans="1:3">
      <c r="A7" s="339" t="s">
        <v>952</v>
      </c>
      <c r="B7" s="366" t="s">
        <v>953</v>
      </c>
      <c r="C7" t="s">
        <v>946</v>
      </c>
    </row>
    <row r="8" customHeight="1" spans="1:3">
      <c r="A8" s="383" t="s">
        <v>954</v>
      </c>
      <c r="B8" s="366" t="s">
        <v>955</v>
      </c>
      <c r="C8" t="s">
        <v>956</v>
      </c>
    </row>
    <row r="9" customHeight="1" spans="1:3">
      <c r="A9" s="383" t="s">
        <v>957</v>
      </c>
      <c r="B9" s="366" t="s">
        <v>958</v>
      </c>
      <c r="C9" t="s">
        <v>956</v>
      </c>
    </row>
    <row r="10" customHeight="1" spans="1:3">
      <c r="A10" s="383" t="s">
        <v>959</v>
      </c>
      <c r="B10" t="str">
        <f t="shared" ref="B10:B34" si="0">A10</f>
        <v>jobs</v>
      </c>
    </row>
    <row r="11" customHeight="1" spans="1:3">
      <c r="A11" s="383" t="s">
        <v>960</v>
      </c>
      <c r="B11" t="str">
        <f t="shared" si="0"/>
        <v>incidents / year</v>
      </c>
    </row>
    <row r="12" customHeight="1" spans="1:3">
      <c r="A12" s="383" t="s">
        <v>961</v>
      </c>
      <c r="B12" t="str">
        <f t="shared" si="0"/>
        <v>% change</v>
      </c>
    </row>
    <row r="13" customHeight="1" spans="1:3">
      <c r="A13" s="383" t="s">
        <v>962</v>
      </c>
      <c r="B13" s="366" t="s">
        <v>963</v>
      </c>
      <c r="C13" t="s">
        <v>946</v>
      </c>
    </row>
    <row r="14" customHeight="1" spans="1:3">
      <c r="A14" s="383" t="s">
        <v>964</v>
      </c>
      <c r="B14" t="str">
        <f t="shared" si="0"/>
        <v>lives / year</v>
      </c>
    </row>
    <row r="15" customHeight="1" spans="1:3">
      <c r="A15" s="383" t="s">
        <v>965</v>
      </c>
      <c r="B15" t="str">
        <f t="shared" si="0"/>
        <v>terawatt-hours (TWh) / year</v>
      </c>
    </row>
    <row r="16" customHeight="1" spans="1:3">
      <c r="A16" s="383" t="s">
        <v>966</v>
      </c>
      <c r="B16" t="str">
        <f t="shared" si="0"/>
        <v>%</v>
      </c>
    </row>
    <row r="17" customHeight="1" spans="1:3">
      <c r="A17" s="383" t="s">
        <v>967</v>
      </c>
      <c r="B17" t="str">
        <f t="shared" si="0"/>
        <v>metric tons CO2e / megawatt-hour (MWh)</v>
      </c>
    </row>
    <row r="18" customHeight="1" spans="1:3">
      <c r="A18" s="383" t="s">
        <v>968</v>
      </c>
      <c r="B18" s="366" t="s">
        <v>969</v>
      </c>
      <c r="C18" t="s">
        <v>946</v>
      </c>
    </row>
    <row r="19" customHeight="1" spans="1:3">
      <c r="A19" s="383" t="s">
        <v>970</v>
      </c>
      <c r="B19" t="str">
        <f t="shared" si="0"/>
        <v>gigawatts (GW) / year</v>
      </c>
    </row>
    <row r="20" customHeight="1" spans="1:3">
      <c r="A20" s="383" t="s">
        <v>971</v>
      </c>
      <c r="B20" s="366" t="s">
        <v>972</v>
      </c>
      <c r="C20" t="s">
        <v>946</v>
      </c>
    </row>
    <row r="21" customHeight="1" spans="1:3">
      <c r="A21" s="383" t="s">
        <v>973</v>
      </c>
      <c r="B21" s="366" t="s">
        <v>974</v>
      </c>
      <c r="C21" t="s">
        <v>975</v>
      </c>
    </row>
    <row r="22" customHeight="1" spans="1:3">
      <c r="A22" s="383" t="s">
        <v>976</v>
      </c>
      <c r="B22" s="366" t="s">
        <v>977</v>
      </c>
      <c r="C22" t="s">
        <v>978</v>
      </c>
    </row>
    <row r="23" customHeight="1" spans="1:3">
      <c r="A23" s="383" t="s">
        <v>979</v>
      </c>
      <c r="B23" s="366" t="s">
        <v>980</v>
      </c>
      <c r="C23" t="s">
        <v>981</v>
      </c>
    </row>
    <row r="24" customHeight="1" spans="1:3">
      <c r="A24" s="383" t="s">
        <v>982</v>
      </c>
      <c r="B24" t="str">
        <f t="shared" si="0"/>
        <v>million vehicles / year</v>
      </c>
    </row>
    <row r="25" customHeight="1" spans="1:3">
      <c r="A25" s="383" t="s">
        <v>983</v>
      </c>
      <c r="B25" t="str">
        <f t="shared" si="0"/>
        <v>thousand vehicles / year</v>
      </c>
    </row>
    <row r="26" customHeight="1" spans="1:3">
      <c r="A26" s="383" t="s">
        <v>984</v>
      </c>
      <c r="B26" t="str">
        <f t="shared" si="0"/>
        <v>million vehicles</v>
      </c>
    </row>
    <row r="27" customHeight="1" spans="1:3">
      <c r="A27" s="383" t="s">
        <v>985</v>
      </c>
      <c r="B27" t="str">
        <f t="shared" si="0"/>
        <v>thousand vehicles</v>
      </c>
    </row>
    <row r="28" customHeight="1" spans="1:3">
      <c r="A28" s="383" t="s">
        <v>986</v>
      </c>
      <c r="B28" s="366" t="s">
        <v>987</v>
      </c>
      <c r="C28" t="s">
        <v>988</v>
      </c>
    </row>
    <row r="29" customHeight="1" spans="1:3">
      <c r="A29" s="383" t="s">
        <v>989</v>
      </c>
      <c r="B29" s="366" t="s">
        <v>990</v>
      </c>
      <c r="C29" t="s">
        <v>991</v>
      </c>
    </row>
    <row r="30" customHeight="1" spans="1:3">
      <c r="A30" s="383" t="s">
        <v>992</v>
      </c>
      <c r="B30" s="366" t="s">
        <v>948</v>
      </c>
      <c r="C30" t="s">
        <v>993</v>
      </c>
    </row>
    <row r="31" customHeight="1" spans="1:3">
      <c r="A31" s="383" t="s">
        <v>994</v>
      </c>
      <c r="B31" s="366" t="s">
        <v>974</v>
      </c>
      <c r="C31" t="s">
        <v>993</v>
      </c>
    </row>
    <row r="32" customHeight="1" spans="1:3">
      <c r="A32" s="383" t="s">
        <v>995</v>
      </c>
      <c r="B32" s="366" t="s">
        <v>948</v>
      </c>
      <c r="C32" t="s">
        <v>993</v>
      </c>
    </row>
    <row r="33" customHeight="1" spans="1:3">
      <c r="A33" s="383" t="s">
        <v>996</v>
      </c>
      <c r="B33" s="366" t="s">
        <v>948</v>
      </c>
      <c r="C33" t="s">
        <v>993</v>
      </c>
    </row>
    <row r="34" customHeight="1" spans="1:3">
      <c r="A34" s="383" t="s">
        <v>997</v>
      </c>
      <c r="B34" s="366" t="str">
        <f t="shared" si="0"/>
        <v>trillion BTU / year</v>
      </c>
      <c r="C34" t="s">
        <v>998</v>
      </c>
    </row>
    <row r="35" customHeight="1" spans="1:3">
      <c r="A35" s="383" t="s">
        <v>999</v>
      </c>
      <c r="B35" s="366" t="s">
        <v>1000</v>
      </c>
      <c r="C35" t="s">
        <v>998</v>
      </c>
    </row>
    <row r="36" customHeight="1" spans="1:3">
      <c r="A36" s="383" t="s">
        <v>1001</v>
      </c>
      <c r="B36" s="366" t="s">
        <v>1002</v>
      </c>
      <c r="C36" t="s">
        <v>998</v>
      </c>
    </row>
    <row r="37" customHeight="1" spans="1:3">
      <c r="A37" s="383" t="s">
        <v>1003</v>
      </c>
      <c r="B37" s="366" t="s">
        <v>1000</v>
      </c>
      <c r="C37" t="s">
        <v>998</v>
      </c>
    </row>
    <row r="38" customHeight="1" spans="1:3">
      <c r="A38" s="383" t="s">
        <v>1004</v>
      </c>
      <c r="B38" s="366" t="s">
        <v>1000</v>
      </c>
      <c r="C38" t="s">
        <v>998</v>
      </c>
    </row>
    <row r="39" customHeight="1" spans="1:3">
      <c r="A39" s="383" t="s">
        <v>1005</v>
      </c>
      <c r="B39" s="366" t="s">
        <v>1006</v>
      </c>
      <c r="C39" t="s">
        <v>998</v>
      </c>
    </row>
    <row r="40" customHeight="1" spans="1:3">
      <c r="A40" s="383" t="s">
        <v>1007</v>
      </c>
      <c r="B40" s="366" t="s">
        <v>1008</v>
      </c>
      <c r="C40" t="s">
        <v>946</v>
      </c>
    </row>
    <row r="41" customHeight="1" spans="1:3">
      <c r="A41" s="339" t="s">
        <v>1009</v>
      </c>
      <c r="B41" s="366" t="s">
        <v>1010</v>
      </c>
      <c r="C41" t="s">
        <v>946</v>
      </c>
    </row>
    <row r="42" customHeight="1" spans="1:3">
      <c r="A42" s="383" t="s">
        <v>1011</v>
      </c>
      <c r="B42" s="366" t="s">
        <v>1012</v>
      </c>
      <c r="C42" t="s">
        <v>1013</v>
      </c>
    </row>
    <row r="43" customHeight="1" spans="1:3">
      <c r="A43" s="383" t="s">
        <v>1014</v>
      </c>
      <c r="B43" s="366" t="s">
        <v>1015</v>
      </c>
      <c r="C43" t="s">
        <v>946</v>
      </c>
    </row>
    <row r="45" customHeight="1" spans="1:3">
      <c r="A45" s="381" t="s">
        <v>1016</v>
      </c>
      <c r="B45" s="381"/>
      <c r="C45" s="381"/>
    </row>
    <row r="46" customHeight="1" spans="1:3">
      <c r="A46" s="382" t="s">
        <v>938</v>
      </c>
      <c r="B46" s="382" t="s">
        <v>939</v>
      </c>
      <c r="C46" s="382" t="s">
        <v>940</v>
      </c>
    </row>
    <row r="47" customHeight="1" spans="1:3">
      <c r="A47" s="339" t="s">
        <v>1017</v>
      </c>
      <c r="B47" s="366" t="s">
        <v>1018</v>
      </c>
      <c r="C47" t="s">
        <v>946</v>
      </c>
    </row>
    <row r="48" customHeight="1" spans="1:3">
      <c r="A48" s="339" t="s">
        <v>1019</v>
      </c>
      <c r="B48" s="366" t="s">
        <v>972</v>
      </c>
      <c r="C48" t="s">
        <v>946</v>
      </c>
    </row>
    <row r="59" customHeight="1" spans="1:1">
      <c r="A59" s="28"/>
    </row>
  </sheetData>
  <mergeCells count="2">
    <mergeCell ref="A1:C1"/>
    <mergeCell ref="A45:C4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1"/>
  <sheetViews>
    <sheetView workbookViewId="0">
      <selection activeCell="C17" sqref="C17"/>
    </sheetView>
  </sheetViews>
  <sheetFormatPr defaultColWidth="9.14159292035398" defaultRowHeight="13.85"/>
  <cols>
    <col min="1" max="1" width="37.4247787610619" style="28" customWidth="1"/>
    <col min="2" max="2" width="27.4247787610619" style="28" customWidth="1"/>
    <col min="3" max="3" width="9" style="28" customWidth="1"/>
    <col min="4" max="4" width="18.4247787610619" style="28" customWidth="1"/>
    <col min="5" max="5" width="18.141592920354" style="28" customWidth="1"/>
    <col min="6" max="6" width="34.141592920354" style="28" customWidth="1"/>
    <col min="7" max="7" width="95" style="28" customWidth="1"/>
    <col min="8" max="8" width="37.4247787610619" style="28" customWidth="1"/>
    <col min="9" max="9" width="34.4247787610619" style="28" customWidth="1"/>
    <col min="10" max="10" width="25.4247787610619" style="28" customWidth="1"/>
    <col min="11" max="11" width="11.141592920354" style="28" customWidth="1"/>
    <col min="12" max="13" width="16" style="28" customWidth="1"/>
    <col min="14" max="14" width="37.4247787610619" style="28" customWidth="1"/>
    <col min="15" max="15" width="25.4247787610619" style="28" customWidth="1"/>
    <col min="16" max="16" width="11.141592920354" style="28" customWidth="1"/>
    <col min="17" max="18" width="16" style="28" customWidth="1"/>
    <col min="19" max="19" width="37.4247787610619" style="28" customWidth="1"/>
    <col min="20" max="16384" width="9.14159292035398" style="28"/>
  </cols>
  <sheetData>
    <row r="1" s="61" customFormat="1" ht="27.75" spans="1:19">
      <c r="A1" s="372" t="s">
        <v>1020</v>
      </c>
      <c r="B1" s="373" t="s">
        <v>1021</v>
      </c>
      <c r="C1" s="374" t="s">
        <v>1022</v>
      </c>
      <c r="D1" s="373" t="s">
        <v>1023</v>
      </c>
      <c r="E1" s="373" t="s">
        <v>1024</v>
      </c>
      <c r="F1" s="373" t="s">
        <v>1025</v>
      </c>
      <c r="G1" s="373" t="s">
        <v>1026</v>
      </c>
      <c r="H1" s="373" t="s">
        <v>1027</v>
      </c>
      <c r="I1" s="375" t="s">
        <v>1028</v>
      </c>
      <c r="J1" s="376" t="s">
        <v>1029</v>
      </c>
      <c r="K1" s="376" t="s">
        <v>1030</v>
      </c>
      <c r="L1" s="376" t="s">
        <v>1031</v>
      </c>
      <c r="M1" s="376" t="s">
        <v>1032</v>
      </c>
      <c r="N1" s="376" t="s">
        <v>1033</v>
      </c>
      <c r="O1" s="376" t="s">
        <v>1034</v>
      </c>
      <c r="P1" s="376" t="s">
        <v>1035</v>
      </c>
      <c r="Q1" s="376" t="s">
        <v>1036</v>
      </c>
      <c r="R1" s="376" t="s">
        <v>1037</v>
      </c>
      <c r="S1" s="376" t="s">
        <v>1038</v>
      </c>
    </row>
    <row r="2" ht="13.9" spans="1:19">
      <c r="A2" s="28" t="s">
        <v>1039</v>
      </c>
      <c r="B2" s="28" t="s">
        <v>1040</v>
      </c>
      <c r="C2" s="377">
        <v>1</v>
      </c>
      <c r="D2" s="28" t="s">
        <v>1041</v>
      </c>
      <c r="E2" s="28" t="s">
        <v>1042</v>
      </c>
      <c r="F2" s="28" t="str">
        <f>UnitControlCenter!$B$3</f>
        <v>10^8 tons / year</v>
      </c>
      <c r="G2" s="28" t="s">
        <v>1043</v>
      </c>
      <c r="L2" s="89"/>
      <c r="M2" s="89"/>
    </row>
    <row r="3" ht="13.9" spans="1:19">
      <c r="A3" s="28" t="s">
        <v>1039</v>
      </c>
      <c r="B3" s="28" t="s">
        <v>1044</v>
      </c>
      <c r="C3" s="377">
        <v>1</v>
      </c>
      <c r="D3" s="28" t="s">
        <v>1041</v>
      </c>
      <c r="E3" s="28" t="s">
        <v>1042</v>
      </c>
      <c r="F3" s="28" t="str">
        <f>UnitControlCenter!$B$3</f>
        <v>10^8 tons / year</v>
      </c>
      <c r="G3" s="28" t="s">
        <v>1045</v>
      </c>
    </row>
    <row r="4" ht="69.4" spans="1:19">
      <c r="A4" s="28" t="s">
        <v>1039</v>
      </c>
      <c r="B4" s="28" t="s">
        <v>1046</v>
      </c>
      <c r="C4" s="377">
        <v>1</v>
      </c>
      <c r="D4" s="28" t="s">
        <v>1047</v>
      </c>
      <c r="E4" s="28" t="s">
        <v>1048</v>
      </c>
      <c r="F4" s="28" t="str">
        <f>UnitControlCenter!$B$3</f>
        <v>10^8 tons / year</v>
      </c>
      <c r="G4" s="28" t="s">
        <v>1049</v>
      </c>
      <c r="H4" s="28" t="s">
        <v>1050</v>
      </c>
      <c r="I4" s="28" t="s">
        <v>1051</v>
      </c>
    </row>
    <row r="5" ht="27.75" spans="1:19">
      <c r="A5" s="28" t="s">
        <v>1039</v>
      </c>
      <c r="B5" s="28" t="s">
        <v>1052</v>
      </c>
      <c r="C5" s="377">
        <v>1</v>
      </c>
      <c r="D5" s="28" t="s">
        <v>1047</v>
      </c>
      <c r="E5" s="28" t="s">
        <v>1048</v>
      </c>
      <c r="F5" s="28" t="str">
        <f>UnitControlCenter!$B$3</f>
        <v>10^8 tons / year</v>
      </c>
      <c r="G5" s="28" t="s">
        <v>1053</v>
      </c>
      <c r="H5" s="28" t="s">
        <v>1054</v>
      </c>
      <c r="I5" s="28" t="s">
        <v>1055</v>
      </c>
    </row>
    <row r="6" ht="27.75" spans="1:19">
      <c r="A6" s="28" t="s">
        <v>1039</v>
      </c>
      <c r="B6" s="28" t="s">
        <v>1056</v>
      </c>
      <c r="C6" s="377">
        <v>1</v>
      </c>
      <c r="D6" s="28" t="s">
        <v>1047</v>
      </c>
      <c r="E6" s="28" t="s">
        <v>1048</v>
      </c>
      <c r="F6" s="28" t="str">
        <f>UnitControlCenter!$B$3</f>
        <v>10^8 tons / year</v>
      </c>
      <c r="G6" s="28" t="s">
        <v>1057</v>
      </c>
      <c r="H6" s="28" t="s">
        <v>1058</v>
      </c>
      <c r="I6" s="28" t="s">
        <v>1059</v>
      </c>
    </row>
    <row r="7" ht="13.9" spans="1:19">
      <c r="A7" s="28" t="s">
        <v>1039</v>
      </c>
      <c r="B7" s="28" t="s">
        <v>1060</v>
      </c>
      <c r="C7" s="377">
        <v>0</v>
      </c>
      <c r="D7" s="28" t="s">
        <v>1041</v>
      </c>
      <c r="E7" s="28" t="s">
        <v>1042</v>
      </c>
      <c r="F7" s="28" t="str">
        <f>UnitControlCenter!$B$4</f>
        <v>g CO2e / 2020 RMB</v>
      </c>
      <c r="G7" s="28" t="s">
        <v>1061</v>
      </c>
    </row>
    <row r="8" ht="13.9" spans="1:19">
      <c r="A8" s="28" t="s">
        <v>1039</v>
      </c>
      <c r="B8" s="28" t="s">
        <v>1062</v>
      </c>
      <c r="C8" s="377">
        <v>1</v>
      </c>
      <c r="D8" s="28" t="s">
        <v>1041</v>
      </c>
      <c r="E8" s="28" t="s">
        <v>1042</v>
      </c>
      <c r="F8" s="28" t="str">
        <f>UnitControlCenter!$B$3</f>
        <v>10^8 tons / year</v>
      </c>
      <c r="G8" s="28" t="s">
        <v>1063</v>
      </c>
    </row>
    <row r="9" ht="13.9" spans="1:19">
      <c r="A9" s="28" t="s">
        <v>1039</v>
      </c>
      <c r="B9" s="28" t="s">
        <v>1064</v>
      </c>
      <c r="C9" s="377">
        <v>1</v>
      </c>
      <c r="D9" s="28" t="s">
        <v>1041</v>
      </c>
      <c r="E9" s="28" t="s">
        <v>1042</v>
      </c>
      <c r="F9" s="28" t="str">
        <f>UnitControlCenter!$B$3</f>
        <v>10^8 tons / year</v>
      </c>
      <c r="G9" s="28" t="s">
        <v>1065</v>
      </c>
    </row>
    <row r="10" ht="13.9" spans="1:19">
      <c r="A10" s="28" t="s">
        <v>1039</v>
      </c>
      <c r="B10" s="28" t="s">
        <v>1066</v>
      </c>
      <c r="C10" s="377">
        <v>1</v>
      </c>
      <c r="D10" s="28" t="s">
        <v>1041</v>
      </c>
      <c r="E10" s="28" t="s">
        <v>1042</v>
      </c>
      <c r="F10" s="28" t="str">
        <f>UnitControlCenter!$B$3</f>
        <v>10^8 tons / year</v>
      </c>
      <c r="G10" s="28" t="s">
        <v>1067</v>
      </c>
    </row>
    <row r="11" ht="13.9" spans="1:19">
      <c r="A11" s="28" t="s">
        <v>1039</v>
      </c>
      <c r="B11" s="28" t="s">
        <v>851</v>
      </c>
      <c r="C11" s="377">
        <v>1</v>
      </c>
      <c r="D11" s="28" t="s">
        <v>1041</v>
      </c>
      <c r="E11" s="28" t="s">
        <v>1042</v>
      </c>
      <c r="F11" s="28" t="str">
        <f>UnitControlCenter!$B$3</f>
        <v>10^8 tons / year</v>
      </c>
      <c r="G11" s="28" t="s">
        <v>1068</v>
      </c>
    </row>
    <row r="12" ht="13.9" spans="1:19">
      <c r="A12" s="28" t="s">
        <v>1039</v>
      </c>
      <c r="B12" s="28" t="s">
        <v>333</v>
      </c>
      <c r="C12" s="377">
        <v>1</v>
      </c>
      <c r="D12" s="28" t="s">
        <v>1041</v>
      </c>
      <c r="E12" s="28" t="s">
        <v>1042</v>
      </c>
      <c r="F12" s="28" t="str">
        <f>UnitControlCenter!$B$3</f>
        <v>10^8 tons / year</v>
      </c>
      <c r="G12" s="28" t="s">
        <v>1069</v>
      </c>
    </row>
    <row r="13" ht="13.9" spans="1:19">
      <c r="A13" s="28" t="s">
        <v>1039</v>
      </c>
      <c r="B13" s="28" t="s">
        <v>1070</v>
      </c>
      <c r="C13" s="377">
        <v>1</v>
      </c>
      <c r="D13" s="28" t="s">
        <v>1041</v>
      </c>
      <c r="E13" s="28" t="s">
        <v>1042</v>
      </c>
      <c r="F13" s="28" t="str">
        <f>UnitControlCenter!$B$3</f>
        <v>10^8 tons / year</v>
      </c>
      <c r="G13" s="28" t="s">
        <v>1071</v>
      </c>
    </row>
    <row r="14" ht="13.9" spans="1:19">
      <c r="A14" s="28" t="s">
        <v>1039</v>
      </c>
      <c r="B14" s="28" t="s">
        <v>58</v>
      </c>
      <c r="C14" s="377">
        <v>1</v>
      </c>
      <c r="D14" s="28" t="s">
        <v>1041</v>
      </c>
      <c r="E14" s="28" t="s">
        <v>1042</v>
      </c>
      <c r="F14" s="28" t="str">
        <f>UnitControlCenter!$B$3</f>
        <v>10^8 tons / year</v>
      </c>
      <c r="G14" s="28" t="s">
        <v>1072</v>
      </c>
    </row>
    <row r="15" ht="14.65" spans="1:19">
      <c r="A15" s="371" t="s">
        <v>1039</v>
      </c>
      <c r="B15" s="371" t="s">
        <v>1073</v>
      </c>
      <c r="C15" s="378">
        <v>1</v>
      </c>
      <c r="D15" s="371" t="s">
        <v>1041</v>
      </c>
      <c r="E15" s="371" t="s">
        <v>1042</v>
      </c>
      <c r="F15" s="371" t="str">
        <f>UnitControlCenter!$B$3</f>
        <v>10^8 tons / year</v>
      </c>
      <c r="G15" s="371" t="s">
        <v>1074</v>
      </c>
      <c r="H15" s="371"/>
      <c r="I15" s="371"/>
      <c r="J15" s="371"/>
      <c r="K15" s="371"/>
      <c r="L15" s="371"/>
      <c r="M15" s="371"/>
      <c r="N15" s="371"/>
      <c r="O15" s="371"/>
      <c r="P15" s="371"/>
      <c r="Q15" s="371"/>
      <c r="R15" s="371"/>
      <c r="S15" s="371"/>
    </row>
    <row r="16" ht="97.15" spans="1:19">
      <c r="A16" s="28" t="s">
        <v>1075</v>
      </c>
      <c r="B16" s="28" t="s">
        <v>1076</v>
      </c>
      <c r="C16" s="377">
        <v>1</v>
      </c>
      <c r="D16" s="28" t="s">
        <v>1047</v>
      </c>
      <c r="E16" s="28" t="s">
        <v>1048</v>
      </c>
      <c r="F16" s="28" t="str">
        <f>UnitControlCenter!$B$3</f>
        <v>10^8 tons / year</v>
      </c>
      <c r="G16" s="28" t="s">
        <v>1077</v>
      </c>
      <c r="H16" s="28" t="s">
        <v>1050</v>
      </c>
      <c r="I16" s="28" t="s">
        <v>1051</v>
      </c>
    </row>
    <row r="17" ht="97.15" spans="1:19">
      <c r="A17" s="28" t="s">
        <v>1075</v>
      </c>
      <c r="B17" s="28" t="s">
        <v>657</v>
      </c>
      <c r="C17" s="377">
        <v>1</v>
      </c>
      <c r="D17" s="28" t="s">
        <v>1047</v>
      </c>
      <c r="E17" s="28" t="s">
        <v>1048</v>
      </c>
      <c r="F17" s="28" t="str">
        <f>UnitControlCenter!$B$3</f>
        <v>10^8 tons / year</v>
      </c>
      <c r="G17" s="28" t="s">
        <v>1078</v>
      </c>
      <c r="H17" s="28" t="s">
        <v>1050</v>
      </c>
      <c r="I17" s="28" t="s">
        <v>1079</v>
      </c>
    </row>
    <row r="18" ht="97.15" spans="1:19">
      <c r="A18" s="28" t="s">
        <v>1075</v>
      </c>
      <c r="B18" s="28" t="s">
        <v>659</v>
      </c>
      <c r="C18" s="377">
        <v>1</v>
      </c>
      <c r="D18" s="28" t="s">
        <v>1047</v>
      </c>
      <c r="E18" s="28" t="s">
        <v>1048</v>
      </c>
      <c r="F18" s="28" t="str">
        <f>UnitControlCenter!$B$3</f>
        <v>10^8 tons / year</v>
      </c>
      <c r="G18" s="28" t="s">
        <v>1080</v>
      </c>
      <c r="H18" s="28" t="s">
        <v>1050</v>
      </c>
      <c r="I18" s="28" t="s">
        <v>1081</v>
      </c>
    </row>
    <row r="19" ht="97.15" spans="1:19">
      <c r="A19" s="28" t="s">
        <v>1075</v>
      </c>
      <c r="B19" s="28" t="s">
        <v>1082</v>
      </c>
      <c r="C19" s="377">
        <v>1</v>
      </c>
      <c r="D19" s="28" t="s">
        <v>1047</v>
      </c>
      <c r="E19" s="28" t="s">
        <v>1048</v>
      </c>
      <c r="F19" s="28" t="str">
        <f>UnitControlCenter!$B$3</f>
        <v>10^8 tons / year</v>
      </c>
      <c r="G19" s="28" t="s">
        <v>1083</v>
      </c>
      <c r="H19" s="28" t="s">
        <v>1050</v>
      </c>
      <c r="I19" s="28" t="s">
        <v>1084</v>
      </c>
    </row>
    <row r="20" ht="97.15" spans="1:19">
      <c r="A20" s="28" t="s">
        <v>1075</v>
      </c>
      <c r="B20" s="28" t="s">
        <v>653</v>
      </c>
      <c r="C20" s="377">
        <v>1</v>
      </c>
      <c r="D20" s="28" t="s">
        <v>1047</v>
      </c>
      <c r="E20" s="28" t="s">
        <v>1048</v>
      </c>
      <c r="F20" s="28" t="str">
        <f>UnitControlCenter!$B$5</f>
        <v>10^4 tons / year</v>
      </c>
      <c r="G20" s="28" t="s">
        <v>1085</v>
      </c>
      <c r="H20" s="28" t="s">
        <v>1050</v>
      </c>
      <c r="I20" s="28" t="s">
        <v>1086</v>
      </c>
    </row>
    <row r="21" ht="97.15" spans="1:19">
      <c r="A21" s="28" t="s">
        <v>1075</v>
      </c>
      <c r="B21" s="28" t="s">
        <v>651</v>
      </c>
      <c r="C21" s="377">
        <v>1</v>
      </c>
      <c r="D21" s="28" t="s">
        <v>1047</v>
      </c>
      <c r="E21" s="28" t="s">
        <v>1048</v>
      </c>
      <c r="F21" s="28" t="str">
        <f>UnitControlCenter!$B$5</f>
        <v>10^4 tons / year</v>
      </c>
      <c r="G21" s="28" t="s">
        <v>1087</v>
      </c>
      <c r="H21" s="28" t="s">
        <v>1050</v>
      </c>
      <c r="I21" s="28" t="s">
        <v>1088</v>
      </c>
    </row>
    <row r="22" ht="83.25" spans="1:19">
      <c r="A22" s="28" t="s">
        <v>1075</v>
      </c>
      <c r="B22" s="28" t="s">
        <v>655</v>
      </c>
      <c r="C22" s="377">
        <v>1</v>
      </c>
      <c r="D22" s="28" t="s">
        <v>1047</v>
      </c>
      <c r="E22" s="28" t="s">
        <v>1048</v>
      </c>
      <c r="F22" s="28" t="str">
        <f>UnitControlCenter!$B$5</f>
        <v>10^4 tons / year</v>
      </c>
      <c r="G22" s="28" t="s">
        <v>1089</v>
      </c>
      <c r="H22" s="28" t="s">
        <v>1050</v>
      </c>
      <c r="I22" s="28" t="s">
        <v>1090</v>
      </c>
    </row>
    <row r="23" ht="83.25" spans="1:19">
      <c r="A23" s="28" t="s">
        <v>1075</v>
      </c>
      <c r="B23" s="28" t="s">
        <v>656</v>
      </c>
      <c r="C23" s="377">
        <v>1</v>
      </c>
      <c r="D23" s="28" t="s">
        <v>1047</v>
      </c>
      <c r="E23" s="28" t="s">
        <v>1048</v>
      </c>
      <c r="F23" s="28" t="str">
        <f>UnitControlCenter!$B$5</f>
        <v>10^4 tons / year</v>
      </c>
      <c r="G23" s="28" t="s">
        <v>1091</v>
      </c>
      <c r="H23" s="28" t="s">
        <v>1050</v>
      </c>
      <c r="I23" s="28" t="s">
        <v>1092</v>
      </c>
    </row>
    <row r="24" ht="97.15" spans="1:19">
      <c r="A24" s="28" t="s">
        <v>1075</v>
      </c>
      <c r="B24" s="28" t="s">
        <v>650</v>
      </c>
      <c r="C24" s="377">
        <v>1</v>
      </c>
      <c r="D24" s="28" t="s">
        <v>1047</v>
      </c>
      <c r="E24" s="28" t="s">
        <v>1048</v>
      </c>
      <c r="F24" s="28" t="str">
        <f>UnitControlCenter!$B$3</f>
        <v>10^8 tons / year</v>
      </c>
      <c r="G24" s="28" t="s">
        <v>1093</v>
      </c>
      <c r="H24" s="28" t="s">
        <v>1050</v>
      </c>
      <c r="I24" s="28" t="s">
        <v>1094</v>
      </c>
    </row>
    <row r="25" ht="97.15" spans="1:19">
      <c r="A25" s="28" t="s">
        <v>1075</v>
      </c>
      <c r="B25" s="28" t="s">
        <v>645</v>
      </c>
      <c r="C25" s="377">
        <v>1</v>
      </c>
      <c r="D25" s="28" t="s">
        <v>1047</v>
      </c>
      <c r="E25" s="28" t="s">
        <v>1048</v>
      </c>
      <c r="F25" s="28" t="str">
        <f>UnitControlCenter!$B$5</f>
        <v>10^4 tons / year</v>
      </c>
      <c r="G25" s="28" t="s">
        <v>1095</v>
      </c>
      <c r="H25" s="28" t="s">
        <v>1050</v>
      </c>
      <c r="I25" s="28" t="s">
        <v>1096</v>
      </c>
    </row>
    <row r="26" ht="97.15" spans="1:19">
      <c r="A26" s="28" t="s">
        <v>1075</v>
      </c>
      <c r="B26" s="28" t="s">
        <v>654</v>
      </c>
      <c r="C26" s="377">
        <v>1</v>
      </c>
      <c r="D26" s="28" t="s">
        <v>1047</v>
      </c>
      <c r="E26" s="28" t="s">
        <v>1048</v>
      </c>
      <c r="F26" s="28" t="str">
        <f>UnitControlCenter!$B$3</f>
        <v>10^8 tons / year</v>
      </c>
      <c r="G26" s="28" t="s">
        <v>1097</v>
      </c>
      <c r="H26" s="28" t="s">
        <v>1050</v>
      </c>
      <c r="I26" s="28" t="s">
        <v>1098</v>
      </c>
    </row>
    <row r="27" ht="84" spans="1:19">
      <c r="A27" s="371" t="s">
        <v>1075</v>
      </c>
      <c r="B27" s="371" t="s">
        <v>649</v>
      </c>
      <c r="C27" s="378">
        <v>1</v>
      </c>
      <c r="D27" s="28" t="s">
        <v>1047</v>
      </c>
      <c r="E27" s="28" t="s">
        <v>1048</v>
      </c>
      <c r="F27" s="371" t="str">
        <f>UnitControlCenter!$B$3</f>
        <v>10^8 tons / year</v>
      </c>
      <c r="G27" s="28" t="s">
        <v>1099</v>
      </c>
      <c r="H27" s="28" t="s">
        <v>1050</v>
      </c>
      <c r="I27" s="28" t="s">
        <v>1100</v>
      </c>
      <c r="J27" s="371"/>
      <c r="K27" s="371"/>
      <c r="L27" s="371"/>
      <c r="M27" s="371"/>
      <c r="N27" s="371"/>
      <c r="O27" s="371"/>
      <c r="P27" s="371"/>
      <c r="Q27" s="371"/>
      <c r="R27" s="371"/>
      <c r="S27" s="371"/>
    </row>
    <row r="28" ht="69.4" spans="1:19">
      <c r="A28" s="28" t="s">
        <v>1101</v>
      </c>
      <c r="B28" s="28" t="s">
        <v>1046</v>
      </c>
      <c r="C28" s="377">
        <v>1</v>
      </c>
      <c r="D28" s="28" t="s">
        <v>1047</v>
      </c>
      <c r="E28" s="28" t="s">
        <v>1048</v>
      </c>
      <c r="F28" s="28" t="str">
        <f>UnitControlCenter!$B$3</f>
        <v>10^8 tons / year</v>
      </c>
      <c r="G28" s="28" t="s">
        <v>1102</v>
      </c>
      <c r="H28" s="28" t="s">
        <v>1103</v>
      </c>
      <c r="I28" s="28" t="s">
        <v>1104</v>
      </c>
    </row>
    <row r="29" ht="83.25" spans="1:19">
      <c r="A29" s="28" t="s">
        <v>1101</v>
      </c>
      <c r="B29" s="28" t="s">
        <v>1105</v>
      </c>
      <c r="C29" s="377">
        <v>1</v>
      </c>
      <c r="D29" s="28" t="s">
        <v>1047</v>
      </c>
      <c r="E29" s="28" t="s">
        <v>1048</v>
      </c>
      <c r="F29" s="28" t="str">
        <f>UnitControlCenter!$B$3</f>
        <v>10^8 tons / year</v>
      </c>
      <c r="G29" s="28" t="s">
        <v>1106</v>
      </c>
      <c r="H29" s="28" t="s">
        <v>1107</v>
      </c>
      <c r="I29" s="28" t="s">
        <v>1108</v>
      </c>
    </row>
    <row r="30" ht="55.5" spans="1:19">
      <c r="A30" s="28" t="s">
        <v>1101</v>
      </c>
      <c r="B30" s="28" t="s">
        <v>1109</v>
      </c>
      <c r="C30" s="377">
        <v>1</v>
      </c>
      <c r="D30" s="28" t="s">
        <v>1047</v>
      </c>
      <c r="E30" s="28" t="s">
        <v>1048</v>
      </c>
      <c r="F30" s="28" t="str">
        <f>UnitControlCenter!$B$3</f>
        <v>10^8 tons / year</v>
      </c>
      <c r="G30" s="28" t="s">
        <v>1110</v>
      </c>
      <c r="H30" s="28" t="s">
        <v>1111</v>
      </c>
      <c r="I30" s="28" t="s">
        <v>1112</v>
      </c>
    </row>
    <row r="31" ht="14.65" spans="1:19">
      <c r="A31" s="371" t="s">
        <v>1101</v>
      </c>
      <c r="B31" s="371" t="s">
        <v>1060</v>
      </c>
      <c r="C31" s="378">
        <v>0</v>
      </c>
      <c r="D31" s="371" t="s">
        <v>1041</v>
      </c>
      <c r="E31" s="371" t="s">
        <v>1042</v>
      </c>
      <c r="F31" s="371" t="str">
        <f>UnitControlCenter!$B$6</f>
        <v>g CO2 / 2020 RMB</v>
      </c>
      <c r="G31" s="371" t="s">
        <v>1113</v>
      </c>
      <c r="H31" s="371"/>
      <c r="I31" s="371"/>
      <c r="J31" s="371"/>
      <c r="K31" s="371"/>
      <c r="L31" s="371"/>
      <c r="M31" s="371"/>
      <c r="N31" s="371"/>
      <c r="O31" s="371"/>
      <c r="P31" s="371"/>
      <c r="Q31" s="371"/>
      <c r="R31" s="371"/>
      <c r="S31" s="371"/>
    </row>
    <row r="32" ht="83.25" spans="1:19">
      <c r="A32" s="28" t="s">
        <v>1114</v>
      </c>
      <c r="B32" s="28" t="s">
        <v>1115</v>
      </c>
      <c r="C32" s="377">
        <v>1</v>
      </c>
      <c r="D32" s="28" t="s">
        <v>1041</v>
      </c>
      <c r="E32" s="28" t="s">
        <v>1116</v>
      </c>
      <c r="F32" s="28" t="str">
        <f>UnitControlCenter!$B$3</f>
        <v>10^8 tons / year</v>
      </c>
      <c r="G32" s="28" t="s">
        <v>1117</v>
      </c>
    </row>
    <row r="33" ht="13.9" spans="1:19">
      <c r="A33" s="28" t="s">
        <v>1114</v>
      </c>
      <c r="B33" s="28" t="s">
        <v>1062</v>
      </c>
      <c r="C33" s="377">
        <v>1</v>
      </c>
      <c r="D33" s="28" t="s">
        <v>1041</v>
      </c>
      <c r="E33" s="28" t="s">
        <v>1116</v>
      </c>
      <c r="F33" s="28" t="str">
        <f>UnitControlCenter!$B$3</f>
        <v>10^8 tons / year</v>
      </c>
      <c r="G33" s="28" t="s">
        <v>1063</v>
      </c>
    </row>
    <row r="34" ht="13.9" spans="1:19">
      <c r="A34" s="28" t="s">
        <v>1114</v>
      </c>
      <c r="B34" s="28" t="s">
        <v>1064</v>
      </c>
      <c r="C34" s="377">
        <v>1</v>
      </c>
      <c r="D34" s="28" t="s">
        <v>1041</v>
      </c>
      <c r="E34" s="28" t="s">
        <v>1116</v>
      </c>
      <c r="F34" s="28" t="str">
        <f>UnitControlCenter!$B$3</f>
        <v>10^8 tons / year</v>
      </c>
      <c r="G34" s="28" t="s">
        <v>1065</v>
      </c>
    </row>
    <row r="35" ht="13.9" spans="1:19">
      <c r="A35" s="28" t="s">
        <v>1114</v>
      </c>
      <c r="B35" s="28" t="s">
        <v>1066</v>
      </c>
      <c r="C35" s="377">
        <v>1</v>
      </c>
      <c r="D35" s="28" t="s">
        <v>1041</v>
      </c>
      <c r="E35" s="28" t="s">
        <v>1116</v>
      </c>
      <c r="F35" s="28" t="str">
        <f>UnitControlCenter!$B$3</f>
        <v>10^8 tons / year</v>
      </c>
      <c r="G35" s="28" t="s">
        <v>1067</v>
      </c>
    </row>
    <row r="36" ht="13.9" spans="1:19">
      <c r="A36" s="28" t="s">
        <v>1114</v>
      </c>
      <c r="B36" s="28" t="s">
        <v>851</v>
      </c>
      <c r="C36" s="377">
        <v>1</v>
      </c>
      <c r="D36" s="28" t="s">
        <v>1041</v>
      </c>
      <c r="E36" s="28" t="s">
        <v>1116</v>
      </c>
      <c r="F36" s="28" t="str">
        <f>UnitControlCenter!$B$3</f>
        <v>10^8 tons / year</v>
      </c>
      <c r="G36" s="28" t="s">
        <v>1068</v>
      </c>
    </row>
    <row r="37" ht="27.75" spans="1:19">
      <c r="A37" s="28" t="s">
        <v>1114</v>
      </c>
      <c r="B37" s="28" t="s">
        <v>333</v>
      </c>
      <c r="C37" s="377">
        <v>1</v>
      </c>
      <c r="D37" s="28" t="s">
        <v>1041</v>
      </c>
      <c r="E37" s="28" t="s">
        <v>1116</v>
      </c>
      <c r="F37" s="28" t="str">
        <f>UnitControlCenter!$B$3</f>
        <v>10^8 tons / year</v>
      </c>
      <c r="G37" s="28" t="s">
        <v>1118</v>
      </c>
    </row>
    <row r="38" ht="14.65" spans="1:19">
      <c r="A38" s="371" t="s">
        <v>1114</v>
      </c>
      <c r="B38" s="371" t="s">
        <v>58</v>
      </c>
      <c r="C38" s="378">
        <v>1</v>
      </c>
      <c r="D38" s="371" t="s">
        <v>1041</v>
      </c>
      <c r="E38" s="371" t="s">
        <v>1116</v>
      </c>
      <c r="F38" s="371" t="str">
        <f>UnitControlCenter!$B$3</f>
        <v>10^8 tons / year</v>
      </c>
      <c r="G38" s="371" t="s">
        <v>1072</v>
      </c>
      <c r="H38" s="371"/>
      <c r="I38" s="371"/>
      <c r="J38" s="371"/>
      <c r="K38" s="371"/>
      <c r="L38" s="371"/>
      <c r="M38" s="371"/>
      <c r="N38" s="371"/>
      <c r="O38" s="371"/>
      <c r="P38" s="371"/>
      <c r="Q38" s="371"/>
      <c r="R38" s="371"/>
      <c r="S38" s="371"/>
    </row>
    <row r="39" ht="41.65" spans="1:19">
      <c r="A39" s="28" t="s">
        <v>1119</v>
      </c>
      <c r="B39" s="28" t="s">
        <v>1120</v>
      </c>
      <c r="C39" s="377">
        <v>1</v>
      </c>
      <c r="D39" s="28" t="s">
        <v>1047</v>
      </c>
      <c r="E39" s="28" t="s">
        <v>1121</v>
      </c>
      <c r="F39" s="28" t="str">
        <f>UnitControlCenter!$B$7</f>
        <v>2020 RMB / metric ton CO2e abated, Annual average abatement (million metric tons CO2e)</v>
      </c>
      <c r="G39" s="28" t="s">
        <v>1122</v>
      </c>
    </row>
    <row r="40" ht="42.4" spans="1:19">
      <c r="A40" s="371" t="s">
        <v>1119</v>
      </c>
      <c r="B40" s="371" t="s">
        <v>1123</v>
      </c>
      <c r="C40" s="378">
        <v>1</v>
      </c>
      <c r="D40" s="371" t="s">
        <v>1047</v>
      </c>
      <c r="E40" s="371" t="s">
        <v>1121</v>
      </c>
      <c r="F40" s="371" t="str">
        <f>UnitControlCenter!$B$7</f>
        <v>2020 RMB / metric ton CO2e abated, Annual average abatement (million metric tons CO2e)</v>
      </c>
      <c r="G40" s="371" t="s">
        <v>1122</v>
      </c>
      <c r="H40" s="371"/>
      <c r="I40" s="371"/>
      <c r="J40" s="371"/>
      <c r="K40" s="371"/>
      <c r="L40" s="371"/>
      <c r="M40" s="371"/>
      <c r="N40" s="371"/>
      <c r="O40" s="371"/>
      <c r="P40" s="371"/>
      <c r="Q40" s="371"/>
      <c r="R40" s="371"/>
      <c r="S40" s="371"/>
    </row>
    <row r="41" ht="41.65" spans="1:19">
      <c r="A41" s="28" t="s">
        <v>1124</v>
      </c>
      <c r="B41" s="28" t="s">
        <v>1125</v>
      </c>
      <c r="C41" s="377">
        <v>1</v>
      </c>
      <c r="D41" s="28" t="s">
        <v>1047</v>
      </c>
      <c r="E41" s="28" t="s">
        <v>1042</v>
      </c>
      <c r="F41" s="28" t="str">
        <f>UnitControlCenter!$B$8</f>
        <v>yi (10^8) 2020 RMB / year</v>
      </c>
      <c r="G41" s="28" t="s">
        <v>1126</v>
      </c>
      <c r="H41" s="28" t="s">
        <v>1127</v>
      </c>
      <c r="I41" s="28" t="s">
        <v>1128</v>
      </c>
    </row>
    <row r="42" ht="13.9" spans="1:19">
      <c r="A42" s="28" t="s">
        <v>1124</v>
      </c>
      <c r="B42" s="431" t="s">
        <v>1129</v>
      </c>
      <c r="C42" s="377">
        <v>1</v>
      </c>
      <c r="D42" s="28" t="s">
        <v>1041</v>
      </c>
      <c r="E42" s="28" t="s">
        <v>1042</v>
      </c>
      <c r="F42" s="28" t="str">
        <f>UnitControlCenter!$B$8</f>
        <v>yi (10^8) 2020 RMB / year</v>
      </c>
      <c r="G42" s="28" t="s">
        <v>1130</v>
      </c>
    </row>
    <row r="43" ht="55.5" spans="1:19">
      <c r="A43" s="28" t="s">
        <v>1124</v>
      </c>
      <c r="B43" s="28" t="s">
        <v>1131</v>
      </c>
      <c r="C43" s="377">
        <v>1</v>
      </c>
      <c r="D43" s="28" t="s">
        <v>1047</v>
      </c>
      <c r="E43" s="28" t="s">
        <v>1048</v>
      </c>
      <c r="F43" s="28" t="str">
        <f>UnitControlCenter!$B$8</f>
        <v>yi (10^8) 2020 RMB / year</v>
      </c>
      <c r="G43" s="28" t="s">
        <v>1132</v>
      </c>
      <c r="H43" s="28" t="s">
        <v>1133</v>
      </c>
      <c r="I43" s="28" t="s">
        <v>1134</v>
      </c>
    </row>
    <row r="44" ht="27.75" spans="1:19">
      <c r="A44" s="28" t="s">
        <v>1124</v>
      </c>
      <c r="B44" s="431" t="s">
        <v>1135</v>
      </c>
      <c r="C44" s="377">
        <v>1</v>
      </c>
      <c r="D44" s="28" t="s">
        <v>1041</v>
      </c>
      <c r="E44" s="28" t="s">
        <v>1042</v>
      </c>
      <c r="F44" s="28" t="str">
        <f>UnitControlCenter!$B$9</f>
        <v>yi (10^8) 2020 RMB</v>
      </c>
      <c r="G44" s="28" t="s">
        <v>1136</v>
      </c>
    </row>
    <row r="45" ht="27.75" spans="1:19">
      <c r="A45" s="28" t="s">
        <v>1124</v>
      </c>
      <c r="B45" s="431" t="s">
        <v>1137</v>
      </c>
      <c r="C45" s="377">
        <v>1</v>
      </c>
      <c r="D45" s="28" t="s">
        <v>1041</v>
      </c>
      <c r="E45" s="28" t="s">
        <v>1042</v>
      </c>
      <c r="F45" s="28" t="str">
        <f>UnitControlCenter!$B$8</f>
        <v>yi (10^8) 2020 RMB / year</v>
      </c>
      <c r="G45" s="28" t="s">
        <v>1138</v>
      </c>
    </row>
    <row r="46" ht="111.75" spans="1:19">
      <c r="A46" s="371" t="s">
        <v>1124</v>
      </c>
      <c r="B46" s="432" t="s">
        <v>1139</v>
      </c>
      <c r="C46" s="378">
        <v>1</v>
      </c>
      <c r="D46" s="371" t="s">
        <v>1047</v>
      </c>
      <c r="E46" s="371" t="s">
        <v>1042</v>
      </c>
      <c r="F46" s="371" t="str">
        <f>UnitControlCenter!$B$8</f>
        <v>yi (10^8) 2020 RMB / year</v>
      </c>
      <c r="G46" s="371" t="s">
        <v>1140</v>
      </c>
      <c r="H46" s="371" t="s">
        <v>1141</v>
      </c>
      <c r="I46" s="371" t="s">
        <v>1142</v>
      </c>
      <c r="J46" s="371"/>
      <c r="K46" s="371"/>
      <c r="L46" s="371"/>
      <c r="M46" s="371"/>
      <c r="N46" s="371"/>
      <c r="O46" s="371"/>
      <c r="P46" s="371"/>
      <c r="Q46" s="371"/>
      <c r="R46" s="371"/>
      <c r="S46" s="371"/>
    </row>
    <row r="47" ht="27.75" spans="1:19">
      <c r="A47" s="28" t="s">
        <v>1143</v>
      </c>
      <c r="B47" s="431" t="s">
        <v>1144</v>
      </c>
      <c r="C47" s="377">
        <v>1</v>
      </c>
      <c r="D47" s="28" t="s">
        <v>1047</v>
      </c>
      <c r="E47" s="28" t="s">
        <v>1042</v>
      </c>
      <c r="F47" s="28" t="str">
        <f>UnitControlCenter!$B$10</f>
        <v>jobs</v>
      </c>
      <c r="G47" s="28" t="s">
        <v>1145</v>
      </c>
      <c r="H47" s="28" t="s">
        <v>1146</v>
      </c>
      <c r="I47" s="28" t="s">
        <v>1147</v>
      </c>
    </row>
    <row r="48" ht="27.75" spans="1:19">
      <c r="A48" s="28" t="s">
        <v>1143</v>
      </c>
      <c r="B48" s="431" t="s">
        <v>1148</v>
      </c>
      <c r="C48" s="377">
        <v>0</v>
      </c>
      <c r="D48" s="28" t="s">
        <v>1047</v>
      </c>
      <c r="E48" s="28" t="s">
        <v>1048</v>
      </c>
      <c r="F48" s="28" t="str">
        <f>UnitControlCenter!$B$10</f>
        <v>jobs</v>
      </c>
      <c r="G48" s="28" t="s">
        <v>1149</v>
      </c>
      <c r="H48" s="28" t="s">
        <v>1150</v>
      </c>
      <c r="I48" s="28" t="s">
        <v>1151</v>
      </c>
    </row>
    <row r="49" ht="27.75" spans="1:9">
      <c r="A49" s="28" t="s">
        <v>1143</v>
      </c>
      <c r="B49" s="431" t="s">
        <v>1152</v>
      </c>
      <c r="C49" s="377">
        <v>0</v>
      </c>
      <c r="D49" s="28" t="s">
        <v>1047</v>
      </c>
      <c r="E49" s="28" t="s">
        <v>1042</v>
      </c>
      <c r="F49" s="28" t="str">
        <f>UnitControlCenter!$B$12</f>
        <v>% change</v>
      </c>
      <c r="G49" s="28" t="s">
        <v>1153</v>
      </c>
      <c r="H49" s="28" t="s">
        <v>1150</v>
      </c>
      <c r="I49" s="28" t="s">
        <v>1151</v>
      </c>
    </row>
    <row r="50" ht="41.65" spans="1:9">
      <c r="A50" s="28" t="s">
        <v>1143</v>
      </c>
      <c r="B50" s="431" t="s">
        <v>1154</v>
      </c>
      <c r="C50" s="377">
        <v>0</v>
      </c>
      <c r="D50" s="28" t="s">
        <v>1047</v>
      </c>
      <c r="E50" s="28" t="s">
        <v>1048</v>
      </c>
      <c r="F50" s="28" t="str">
        <f>UnitControlCenter!$B$10</f>
        <v>jobs</v>
      </c>
      <c r="G50" s="28" t="s">
        <v>1155</v>
      </c>
      <c r="H50" s="28" t="s">
        <v>1156</v>
      </c>
      <c r="I50" s="30" t="s">
        <v>1157</v>
      </c>
    </row>
    <row r="51" ht="41.65" spans="1:9">
      <c r="A51" s="28" t="s">
        <v>1143</v>
      </c>
      <c r="B51" s="431" t="s">
        <v>1158</v>
      </c>
      <c r="C51" s="377">
        <v>0</v>
      </c>
      <c r="D51" s="28" t="s">
        <v>1047</v>
      </c>
      <c r="E51" s="28" t="s">
        <v>1042</v>
      </c>
      <c r="F51" s="28" t="str">
        <f>UnitControlCenter!$B$12</f>
        <v>% change</v>
      </c>
      <c r="G51" s="28" t="s">
        <v>1159</v>
      </c>
      <c r="H51" s="28" t="s">
        <v>1156</v>
      </c>
      <c r="I51" s="30" t="s">
        <v>1157</v>
      </c>
    </row>
    <row r="52" ht="27.75" spans="1:9">
      <c r="A52" s="28" t="s">
        <v>1143</v>
      </c>
      <c r="B52" s="431" t="s">
        <v>1160</v>
      </c>
      <c r="C52" s="377">
        <v>0</v>
      </c>
      <c r="D52" s="28" t="s">
        <v>1047</v>
      </c>
      <c r="E52" s="28" t="s">
        <v>1048</v>
      </c>
      <c r="F52" s="28" t="str">
        <f>UnitControlCenter!$B$10</f>
        <v>jobs</v>
      </c>
      <c r="G52" s="28" t="s">
        <v>1161</v>
      </c>
      <c r="H52" s="28" t="s">
        <v>1162</v>
      </c>
      <c r="I52" s="28" t="s">
        <v>1163</v>
      </c>
    </row>
    <row r="53" ht="27.75" spans="1:9">
      <c r="A53" s="28" t="s">
        <v>1143</v>
      </c>
      <c r="B53" s="431" t="s">
        <v>1164</v>
      </c>
      <c r="C53" s="377">
        <v>0</v>
      </c>
      <c r="D53" s="28" t="s">
        <v>1047</v>
      </c>
      <c r="E53" s="28" t="s">
        <v>1042</v>
      </c>
      <c r="F53" s="28" t="str">
        <f>UnitControlCenter!$B$12</f>
        <v>% change</v>
      </c>
      <c r="G53" s="28" t="s">
        <v>1165</v>
      </c>
      <c r="H53" s="28" t="s">
        <v>1162</v>
      </c>
      <c r="I53" s="28" t="s">
        <v>1163</v>
      </c>
    </row>
    <row r="54" ht="69.4" spans="1:9">
      <c r="A54" s="28" t="s">
        <v>1143</v>
      </c>
      <c r="B54" s="431" t="s">
        <v>1166</v>
      </c>
      <c r="C54" s="377">
        <v>0</v>
      </c>
      <c r="D54" s="28" t="s">
        <v>1047</v>
      </c>
      <c r="E54" s="28" t="s">
        <v>1048</v>
      </c>
      <c r="F54" s="28" t="str">
        <f>UnitControlCenter!$B$10</f>
        <v>jobs</v>
      </c>
      <c r="G54" s="28" t="s">
        <v>1167</v>
      </c>
      <c r="H54" s="28" t="s">
        <v>1168</v>
      </c>
      <c r="I54" s="28" t="s">
        <v>1169</v>
      </c>
    </row>
    <row r="55" ht="69.4" spans="1:9">
      <c r="A55" s="28" t="s">
        <v>1143</v>
      </c>
      <c r="B55" s="431" t="s">
        <v>1170</v>
      </c>
      <c r="C55" s="377">
        <v>0</v>
      </c>
      <c r="D55" s="28" t="s">
        <v>1047</v>
      </c>
      <c r="E55" s="28" t="s">
        <v>1042</v>
      </c>
      <c r="F55" s="28" t="str">
        <f>UnitControlCenter!$B$12</f>
        <v>% change</v>
      </c>
      <c r="G55" s="28" t="s">
        <v>1171</v>
      </c>
      <c r="H55" s="28" t="s">
        <v>1168</v>
      </c>
      <c r="I55" s="28" t="s">
        <v>1169</v>
      </c>
    </row>
    <row r="56" ht="27.75" spans="1:9">
      <c r="A56" s="28" t="s">
        <v>1143</v>
      </c>
      <c r="B56" s="431" t="s">
        <v>1172</v>
      </c>
      <c r="C56" s="377">
        <v>0</v>
      </c>
      <c r="D56" s="28" t="s">
        <v>1047</v>
      </c>
      <c r="E56" s="28" t="s">
        <v>1048</v>
      </c>
      <c r="F56" s="28" t="str">
        <f>UnitControlCenter!$B$10</f>
        <v>jobs</v>
      </c>
      <c r="G56" s="28" t="s">
        <v>1173</v>
      </c>
      <c r="H56" s="28" t="s">
        <v>1174</v>
      </c>
      <c r="I56" s="28" t="s">
        <v>1175</v>
      </c>
    </row>
    <row r="57" ht="27.75" spans="1:9">
      <c r="A57" s="28" t="s">
        <v>1143</v>
      </c>
      <c r="B57" s="431" t="s">
        <v>1176</v>
      </c>
      <c r="C57" s="377">
        <v>0</v>
      </c>
      <c r="D57" s="28" t="s">
        <v>1047</v>
      </c>
      <c r="E57" s="28" t="s">
        <v>1042</v>
      </c>
      <c r="F57" s="28" t="str">
        <f>UnitControlCenter!$B$12</f>
        <v>% change</v>
      </c>
      <c r="G57" s="28" t="s">
        <v>1177</v>
      </c>
      <c r="H57" s="28" t="s">
        <v>1174</v>
      </c>
      <c r="I57" s="28" t="s">
        <v>1175</v>
      </c>
    </row>
    <row r="58" ht="27.75" spans="1:9">
      <c r="A58" s="28" t="s">
        <v>1143</v>
      </c>
      <c r="B58" s="431" t="s">
        <v>1178</v>
      </c>
      <c r="C58" s="377">
        <v>1</v>
      </c>
      <c r="D58" s="28" t="s">
        <v>1047</v>
      </c>
      <c r="E58" s="28" t="s">
        <v>1042</v>
      </c>
      <c r="F58" s="28" t="str">
        <f>UnitControlCenter!$B$10</f>
        <v>jobs</v>
      </c>
      <c r="G58" s="28" t="s">
        <v>1179</v>
      </c>
      <c r="H58" s="28" t="s">
        <v>1180</v>
      </c>
      <c r="I58" s="28" t="s">
        <v>1181</v>
      </c>
    </row>
    <row r="59" ht="41.65" spans="1:9">
      <c r="A59" s="28" t="s">
        <v>1143</v>
      </c>
      <c r="B59" s="431" t="s">
        <v>1182</v>
      </c>
      <c r="C59" s="377">
        <v>1</v>
      </c>
      <c r="D59" s="28" t="s">
        <v>1047</v>
      </c>
      <c r="E59" s="28" t="s">
        <v>1042</v>
      </c>
      <c r="F59" s="28" t="str">
        <f>UnitControlCenter!$B$10</f>
        <v>jobs</v>
      </c>
      <c r="G59" s="28" t="s">
        <v>1183</v>
      </c>
      <c r="H59" s="28" t="s">
        <v>1146</v>
      </c>
      <c r="I59" s="28" t="s">
        <v>1147</v>
      </c>
    </row>
    <row r="60" ht="27.75" spans="1:9">
      <c r="A60" s="28" t="s">
        <v>1143</v>
      </c>
      <c r="B60" s="431" t="s">
        <v>1184</v>
      </c>
      <c r="C60" s="377">
        <v>1</v>
      </c>
      <c r="D60" s="28" t="s">
        <v>1047</v>
      </c>
      <c r="E60" s="28" t="s">
        <v>1042</v>
      </c>
      <c r="F60" s="28" t="str">
        <f>UnitControlCenter!$B$8</f>
        <v>yi (10^8) 2020 RMB / year</v>
      </c>
      <c r="G60" s="28" t="s">
        <v>1185</v>
      </c>
      <c r="H60" s="28" t="s">
        <v>1186</v>
      </c>
      <c r="I60" s="28" t="s">
        <v>1147</v>
      </c>
    </row>
    <row r="61" ht="41.65" spans="1:9">
      <c r="A61" s="28" t="s">
        <v>1143</v>
      </c>
      <c r="B61" s="431" t="s">
        <v>1187</v>
      </c>
      <c r="C61" s="377">
        <v>1</v>
      </c>
      <c r="D61" s="28" t="s">
        <v>1047</v>
      </c>
      <c r="E61" s="28" t="s">
        <v>1042</v>
      </c>
      <c r="F61" s="28" t="str">
        <f>UnitControlCenter!$B$12</f>
        <v>% change</v>
      </c>
      <c r="G61" s="28" t="s">
        <v>1188</v>
      </c>
      <c r="H61" s="28" t="s">
        <v>1186</v>
      </c>
      <c r="I61" s="28" t="s">
        <v>1147</v>
      </c>
    </row>
    <row r="62" ht="27.75" spans="1:9">
      <c r="A62" s="28" t="s">
        <v>1143</v>
      </c>
      <c r="B62" s="431" t="s">
        <v>1189</v>
      </c>
      <c r="C62" s="377">
        <v>1</v>
      </c>
      <c r="D62" s="28" t="s">
        <v>1047</v>
      </c>
      <c r="E62" s="28" t="s">
        <v>1042</v>
      </c>
      <c r="F62" s="28" t="str">
        <f>UnitControlCenter!$B$8</f>
        <v>yi (10^8) 2020 RMB / year</v>
      </c>
      <c r="G62" s="28" t="s">
        <v>1190</v>
      </c>
      <c r="H62" s="28" t="s">
        <v>1180</v>
      </c>
      <c r="I62" s="28" t="s">
        <v>1181</v>
      </c>
    </row>
    <row r="63" ht="41.65" spans="1:9">
      <c r="A63" s="28" t="s">
        <v>1143</v>
      </c>
      <c r="B63" s="431" t="s">
        <v>1191</v>
      </c>
      <c r="C63" s="377">
        <v>1</v>
      </c>
      <c r="D63" s="28" t="s">
        <v>1047</v>
      </c>
      <c r="E63" s="28" t="s">
        <v>1042</v>
      </c>
      <c r="F63" s="28" t="str">
        <f>UnitControlCenter!$B$8</f>
        <v>yi (10^8) 2020 RMB / year</v>
      </c>
      <c r="G63" s="28" t="s">
        <v>1192</v>
      </c>
      <c r="H63" s="28" t="s">
        <v>1193</v>
      </c>
      <c r="I63" s="28" t="s">
        <v>1147</v>
      </c>
    </row>
    <row r="64" ht="27.75" spans="1:9">
      <c r="A64" s="28" t="s">
        <v>1143</v>
      </c>
      <c r="B64" s="431" t="s">
        <v>1194</v>
      </c>
      <c r="C64" s="377">
        <v>1</v>
      </c>
      <c r="D64" s="28" t="s">
        <v>1041</v>
      </c>
      <c r="E64" s="28" t="s">
        <v>1042</v>
      </c>
      <c r="F64" s="28" t="str">
        <f>UnitControlCenter!$B$13</f>
        <v>2020 RMB / employee-year</v>
      </c>
      <c r="G64" s="28" t="s">
        <v>1195</v>
      </c>
    </row>
    <row r="65" ht="28.5" spans="1:19">
      <c r="A65" s="371" t="s">
        <v>1143</v>
      </c>
      <c r="B65" s="432" t="s">
        <v>1196</v>
      </c>
      <c r="C65" s="378">
        <v>1</v>
      </c>
      <c r="D65" s="371" t="s">
        <v>1047</v>
      </c>
      <c r="E65" s="371" t="s">
        <v>1042</v>
      </c>
      <c r="F65" s="371" t="str">
        <f>UnitControlCenter!$B$8</f>
        <v>yi (10^8) 2020 RMB / year</v>
      </c>
      <c r="G65" s="371" t="s">
        <v>1197</v>
      </c>
      <c r="H65" s="371" t="s">
        <v>1180</v>
      </c>
      <c r="I65" s="371" t="s">
        <v>1181</v>
      </c>
      <c r="J65" s="371"/>
      <c r="K65" s="371"/>
      <c r="L65" s="371"/>
      <c r="M65" s="371"/>
      <c r="N65" s="371"/>
      <c r="O65" s="371"/>
      <c r="P65" s="371"/>
      <c r="Q65" s="371"/>
      <c r="R65" s="371"/>
      <c r="S65" s="371"/>
    </row>
    <row r="66" ht="69.4" spans="1:19">
      <c r="A66" s="28" t="s">
        <v>1198</v>
      </c>
      <c r="B66" s="28" t="s">
        <v>1199</v>
      </c>
      <c r="C66" s="377">
        <v>0</v>
      </c>
      <c r="D66" s="28" t="s">
        <v>1047</v>
      </c>
      <c r="E66" s="28" t="s">
        <v>1042</v>
      </c>
      <c r="F66" s="28" t="str">
        <f>UnitControlCenter!$B$8</f>
        <v>yi (10^8) 2020 RMB / year</v>
      </c>
      <c r="G66" s="28" t="s">
        <v>1200</v>
      </c>
      <c r="H66" s="28" t="s">
        <v>1201</v>
      </c>
      <c r="I66" s="28" t="s">
        <v>1202</v>
      </c>
    </row>
    <row r="67" ht="41.65" spans="1:19">
      <c r="A67" s="28" t="s">
        <v>1198</v>
      </c>
      <c r="B67" s="28" t="s">
        <v>1203</v>
      </c>
      <c r="C67" s="377">
        <v>0</v>
      </c>
      <c r="D67" s="28" t="s">
        <v>1047</v>
      </c>
      <c r="E67" s="28" t="s">
        <v>1042</v>
      </c>
      <c r="F67" s="28" t="str">
        <f>UnitControlCenter!$B$8</f>
        <v>yi (10^8) 2020 RMB / year</v>
      </c>
      <c r="G67" s="28" t="s">
        <v>1204</v>
      </c>
      <c r="H67" s="28" t="s">
        <v>1205</v>
      </c>
      <c r="I67" s="28" t="s">
        <v>1206</v>
      </c>
    </row>
    <row r="68" ht="55.5" spans="1:19">
      <c r="A68" s="28" t="s">
        <v>1198</v>
      </c>
      <c r="B68" s="28" t="s">
        <v>1207</v>
      </c>
      <c r="C68" s="377">
        <v>0</v>
      </c>
      <c r="D68" s="28" t="s">
        <v>1047</v>
      </c>
      <c r="E68" s="28" t="s">
        <v>1042</v>
      </c>
      <c r="F68" s="28" t="str">
        <f>UnitControlCenter!$B$8</f>
        <v>yi (10^8) 2020 RMB / year</v>
      </c>
      <c r="G68" s="28" t="s">
        <v>1208</v>
      </c>
      <c r="H68" s="28" t="s">
        <v>1209</v>
      </c>
      <c r="I68" s="28" t="s">
        <v>1210</v>
      </c>
    </row>
    <row r="69" ht="41.65" spans="1:19">
      <c r="A69" s="28" t="s">
        <v>1198</v>
      </c>
      <c r="B69" s="28" t="s">
        <v>1211</v>
      </c>
      <c r="C69" s="377">
        <v>0</v>
      </c>
      <c r="D69" s="28" t="s">
        <v>1047</v>
      </c>
      <c r="E69" s="28" t="s">
        <v>1042</v>
      </c>
      <c r="F69" s="28" t="str">
        <f>UnitControlCenter!$B$8</f>
        <v>yi (10^8) 2020 RMB / year</v>
      </c>
      <c r="G69" s="28" t="s">
        <v>1212</v>
      </c>
      <c r="H69" s="28" t="s">
        <v>1205</v>
      </c>
      <c r="I69" s="28" t="s">
        <v>1213</v>
      </c>
    </row>
    <row r="70" ht="41.65" spans="1:19">
      <c r="A70" s="28" t="s">
        <v>1198</v>
      </c>
      <c r="B70" s="28" t="s">
        <v>1214</v>
      </c>
      <c r="C70" s="377">
        <v>0</v>
      </c>
      <c r="D70" s="28" t="s">
        <v>1047</v>
      </c>
      <c r="E70" s="28" t="s">
        <v>1042</v>
      </c>
      <c r="F70" s="28" t="str">
        <f>UnitControlCenter!$B$8</f>
        <v>yi (10^8) 2020 RMB / year</v>
      </c>
      <c r="G70" s="28" t="s">
        <v>1215</v>
      </c>
      <c r="H70" s="28" t="s">
        <v>1205</v>
      </c>
      <c r="I70" s="28" t="s">
        <v>1216</v>
      </c>
    </row>
    <row r="71" ht="55.5" spans="1:19">
      <c r="A71" s="28" t="s">
        <v>1198</v>
      </c>
      <c r="B71" s="28" t="s">
        <v>1217</v>
      </c>
      <c r="C71" s="377">
        <v>0</v>
      </c>
      <c r="D71" s="28" t="s">
        <v>1047</v>
      </c>
      <c r="E71" s="28" t="s">
        <v>1042</v>
      </c>
      <c r="F71" s="28" t="str">
        <f>UnitControlCenter!$B$8</f>
        <v>yi (10^8) 2020 RMB / year</v>
      </c>
      <c r="G71" s="28" t="s">
        <v>1218</v>
      </c>
      <c r="H71" s="28" t="s">
        <v>1209</v>
      </c>
      <c r="I71" s="28" t="s">
        <v>1210</v>
      </c>
    </row>
    <row r="72" ht="55.5" spans="1:19">
      <c r="A72" s="28" t="s">
        <v>1198</v>
      </c>
      <c r="B72" s="28" t="s">
        <v>1219</v>
      </c>
      <c r="C72" s="377">
        <v>0</v>
      </c>
      <c r="D72" s="28" t="s">
        <v>1047</v>
      </c>
      <c r="E72" s="28" t="s">
        <v>1042</v>
      </c>
      <c r="F72" s="28" t="str">
        <f>UnitControlCenter!$B$8</f>
        <v>yi (10^8) 2020 RMB / year</v>
      </c>
      <c r="G72" s="28" t="s">
        <v>1220</v>
      </c>
      <c r="H72" s="28" t="s">
        <v>1209</v>
      </c>
      <c r="I72" s="28" t="s">
        <v>1210</v>
      </c>
    </row>
    <row r="73" ht="69.4" spans="1:19">
      <c r="A73" s="28" t="s">
        <v>1198</v>
      </c>
      <c r="B73" s="28" t="s">
        <v>1221</v>
      </c>
      <c r="C73" s="377">
        <v>0</v>
      </c>
      <c r="D73" s="28" t="s">
        <v>1047</v>
      </c>
      <c r="E73" s="28" t="s">
        <v>1042</v>
      </c>
      <c r="F73" s="28" t="str">
        <f>UnitControlCenter!$B$8</f>
        <v>yi (10^8) 2020 RMB / year</v>
      </c>
      <c r="G73" s="28" t="s">
        <v>1222</v>
      </c>
      <c r="H73" s="28" t="s">
        <v>1209</v>
      </c>
      <c r="I73" s="28" t="s">
        <v>1210</v>
      </c>
    </row>
    <row r="74" ht="55.5" spans="1:19">
      <c r="A74" s="28" t="s">
        <v>1198</v>
      </c>
      <c r="B74" s="28" t="s">
        <v>1223</v>
      </c>
      <c r="C74" s="377">
        <v>0</v>
      </c>
      <c r="D74" s="28" t="s">
        <v>1047</v>
      </c>
      <c r="E74" s="28" t="s">
        <v>1042</v>
      </c>
      <c r="F74" s="28" t="str">
        <f>UnitControlCenter!$B$8</f>
        <v>yi (10^8) 2020 RMB / year</v>
      </c>
      <c r="G74" s="28" t="s">
        <v>1224</v>
      </c>
      <c r="H74" s="28" t="s">
        <v>1209</v>
      </c>
      <c r="I74" s="28" t="s">
        <v>1225</v>
      </c>
    </row>
    <row r="75" ht="56.25" spans="1:19">
      <c r="A75" s="371" t="s">
        <v>1198</v>
      </c>
      <c r="B75" s="371" t="s">
        <v>1226</v>
      </c>
      <c r="C75" s="378">
        <v>0</v>
      </c>
      <c r="D75" s="371" t="s">
        <v>1047</v>
      </c>
      <c r="E75" s="371" t="s">
        <v>1042</v>
      </c>
      <c r="F75" s="371" t="str">
        <f>UnitControlCenter!$B$8</f>
        <v>yi (10^8) 2020 RMB / year</v>
      </c>
      <c r="G75" s="371" t="s">
        <v>1227</v>
      </c>
      <c r="H75" s="371" t="s">
        <v>1209</v>
      </c>
      <c r="I75" s="371" t="s">
        <v>1228</v>
      </c>
      <c r="J75" s="371"/>
      <c r="K75" s="371"/>
      <c r="L75" s="371"/>
      <c r="M75" s="371"/>
      <c r="N75" s="371"/>
      <c r="O75" s="371"/>
      <c r="P75" s="371"/>
      <c r="Q75" s="371"/>
      <c r="R75" s="371"/>
      <c r="S75" s="371"/>
    </row>
    <row r="76" ht="27.75" spans="1:19">
      <c r="A76" s="28" t="s">
        <v>1229</v>
      </c>
      <c r="B76" s="28" t="s">
        <v>1230</v>
      </c>
      <c r="C76" s="377">
        <v>1</v>
      </c>
      <c r="D76" s="28" t="s">
        <v>1041</v>
      </c>
      <c r="E76" s="28" t="s">
        <v>1231</v>
      </c>
      <c r="F76" s="28" t="str">
        <f>UnitControlCenter!$B$11</f>
        <v>incidents / year</v>
      </c>
      <c r="G76" s="28" t="s">
        <v>1232</v>
      </c>
    </row>
    <row r="77" ht="13.9" spans="1:19">
      <c r="A77" s="28" t="s">
        <v>1229</v>
      </c>
      <c r="B77" s="28" t="s">
        <v>1233</v>
      </c>
      <c r="C77" s="377">
        <v>1</v>
      </c>
      <c r="D77" s="28" t="s">
        <v>1041</v>
      </c>
      <c r="E77" s="28" t="s">
        <v>1042</v>
      </c>
      <c r="F77" s="28" t="str">
        <f>UnitControlCenter!$B$12</f>
        <v>% change</v>
      </c>
      <c r="G77" s="28" t="s">
        <v>1234</v>
      </c>
    </row>
    <row r="78" ht="27.75" spans="1:19">
      <c r="A78" s="28" t="s">
        <v>1229</v>
      </c>
      <c r="B78" s="28" t="s">
        <v>1235</v>
      </c>
      <c r="C78" s="377">
        <v>1</v>
      </c>
      <c r="D78" s="28" t="s">
        <v>1047</v>
      </c>
      <c r="E78" s="28" t="s">
        <v>1048</v>
      </c>
      <c r="F78" s="28" t="str">
        <f>UnitControlCenter!$B$11</f>
        <v>incidents / year</v>
      </c>
      <c r="G78" s="28" t="s">
        <v>1236</v>
      </c>
      <c r="H78" s="28" t="s">
        <v>1150</v>
      </c>
      <c r="I78" s="28" t="s">
        <v>1151</v>
      </c>
    </row>
    <row r="79" ht="27.75" spans="1:19">
      <c r="A79" s="28" t="s">
        <v>1229</v>
      </c>
      <c r="B79" s="28" t="s">
        <v>1237</v>
      </c>
      <c r="C79" s="377">
        <v>1</v>
      </c>
      <c r="D79" s="28" t="s">
        <v>1047</v>
      </c>
      <c r="E79" s="28" t="s">
        <v>1042</v>
      </c>
      <c r="F79" s="28" t="str">
        <f>UnitControlCenter!$B$12</f>
        <v>% change</v>
      </c>
      <c r="G79" s="28" t="s">
        <v>1238</v>
      </c>
      <c r="H79" s="28" t="s">
        <v>1150</v>
      </c>
      <c r="I79" s="28" t="s">
        <v>1151</v>
      </c>
    </row>
    <row r="80" ht="41.65" spans="1:19">
      <c r="A80" s="28" t="s">
        <v>1229</v>
      </c>
      <c r="B80" s="28" t="s">
        <v>1239</v>
      </c>
      <c r="C80" s="377">
        <v>0</v>
      </c>
      <c r="D80" s="28" t="s">
        <v>1047</v>
      </c>
      <c r="E80" s="28" t="s">
        <v>1048</v>
      </c>
      <c r="F80" s="28" t="str">
        <f>UnitControlCenter!$B$11</f>
        <v>incidents / year</v>
      </c>
      <c r="G80" s="28" t="s">
        <v>1240</v>
      </c>
      <c r="H80" s="28" t="s">
        <v>1156</v>
      </c>
      <c r="I80" s="30" t="s">
        <v>1157</v>
      </c>
    </row>
    <row r="81" ht="41.65" spans="1:19">
      <c r="A81" s="28" t="s">
        <v>1229</v>
      </c>
      <c r="B81" s="28" t="s">
        <v>1241</v>
      </c>
      <c r="C81" s="377">
        <v>0</v>
      </c>
      <c r="D81" s="28" t="s">
        <v>1047</v>
      </c>
      <c r="E81" s="28" t="s">
        <v>1042</v>
      </c>
      <c r="F81" s="28" t="str">
        <f>UnitControlCenter!$B$12</f>
        <v>% change</v>
      </c>
      <c r="G81" s="28" t="s">
        <v>1242</v>
      </c>
      <c r="H81" s="28" t="s">
        <v>1156</v>
      </c>
      <c r="I81" s="30" t="s">
        <v>1157</v>
      </c>
    </row>
    <row r="82" ht="27.75" spans="1:19">
      <c r="A82" s="28" t="s">
        <v>1229</v>
      </c>
      <c r="B82" s="28" t="s">
        <v>1243</v>
      </c>
      <c r="C82" s="377">
        <v>0</v>
      </c>
      <c r="D82" s="28" t="s">
        <v>1047</v>
      </c>
      <c r="E82" s="28" t="s">
        <v>1048</v>
      </c>
      <c r="F82" s="28" t="str">
        <f>UnitControlCenter!$B$11</f>
        <v>incidents / year</v>
      </c>
      <c r="G82" s="28" t="s">
        <v>1244</v>
      </c>
      <c r="H82" s="28" t="s">
        <v>1162</v>
      </c>
      <c r="I82" s="28" t="s">
        <v>1163</v>
      </c>
    </row>
    <row r="83" ht="27.75" spans="1:19">
      <c r="A83" s="28" t="s">
        <v>1229</v>
      </c>
      <c r="B83" s="28" t="s">
        <v>1245</v>
      </c>
      <c r="C83" s="377">
        <v>0</v>
      </c>
      <c r="D83" s="28" t="s">
        <v>1047</v>
      </c>
      <c r="E83" s="28" t="s">
        <v>1042</v>
      </c>
      <c r="F83" s="28" t="str">
        <f>UnitControlCenter!$B$12</f>
        <v>% change</v>
      </c>
      <c r="G83" s="28" t="s">
        <v>1246</v>
      </c>
      <c r="H83" s="28" t="s">
        <v>1162</v>
      </c>
      <c r="I83" s="28" t="s">
        <v>1163</v>
      </c>
    </row>
    <row r="84" ht="13.9" spans="1:19">
      <c r="A84" s="28" t="s">
        <v>1229</v>
      </c>
      <c r="B84" s="28" t="s">
        <v>1247</v>
      </c>
      <c r="C84" s="377">
        <v>0</v>
      </c>
      <c r="D84" s="28" t="s">
        <v>1041</v>
      </c>
      <c r="E84" s="28" t="s">
        <v>1042</v>
      </c>
      <c r="F84" s="28" t="str">
        <f>UnitControlCenter!$B$11</f>
        <v>incidents / year</v>
      </c>
      <c r="G84" s="28" t="s">
        <v>1232</v>
      </c>
    </row>
    <row r="85" ht="27.75" spans="1:19">
      <c r="A85" s="28" t="s">
        <v>1229</v>
      </c>
      <c r="B85" s="28" t="s">
        <v>1248</v>
      </c>
      <c r="C85" s="377">
        <v>1</v>
      </c>
      <c r="D85" s="28" t="s">
        <v>1041</v>
      </c>
      <c r="E85" s="28" t="s">
        <v>1042</v>
      </c>
      <c r="F85" s="28" t="str">
        <f>UnitControlCenter!$B$8</f>
        <v>yi (10^8) 2020 RMB / year</v>
      </c>
      <c r="G85" s="28" t="s">
        <v>1249</v>
      </c>
    </row>
    <row r="86" ht="13.9" spans="1:19">
      <c r="A86" s="28" t="s">
        <v>1229</v>
      </c>
      <c r="B86" s="28" t="s">
        <v>1250</v>
      </c>
      <c r="C86" s="377">
        <v>1</v>
      </c>
      <c r="D86" s="28" t="s">
        <v>1041</v>
      </c>
      <c r="E86" s="28" t="s">
        <v>1042</v>
      </c>
      <c r="F86" s="28" t="str">
        <f>UnitControlCenter!$B$11</f>
        <v>incidents / year</v>
      </c>
      <c r="G86" s="28" t="s">
        <v>1251</v>
      </c>
    </row>
    <row r="87" ht="27.75" spans="1:19">
      <c r="A87" s="28" t="s">
        <v>1229</v>
      </c>
      <c r="B87" s="28" t="s">
        <v>1252</v>
      </c>
      <c r="C87" s="377">
        <v>1</v>
      </c>
      <c r="D87" s="28" t="s">
        <v>1041</v>
      </c>
      <c r="E87" s="28" t="s">
        <v>1042</v>
      </c>
      <c r="F87" s="28" t="str">
        <f>UnitControlCenter!$B$11</f>
        <v>incidents / year</v>
      </c>
      <c r="G87" s="28" t="s">
        <v>1253</v>
      </c>
    </row>
    <row r="88" ht="13.9" spans="1:19">
      <c r="A88" s="28" t="s">
        <v>1229</v>
      </c>
      <c r="B88" s="28" t="s">
        <v>1254</v>
      </c>
      <c r="C88" s="377">
        <v>1</v>
      </c>
      <c r="D88" s="28" t="s">
        <v>1041</v>
      </c>
      <c r="E88" s="28" t="s">
        <v>1042</v>
      </c>
      <c r="F88" s="28" t="str">
        <f>UnitControlCenter!$B$11</f>
        <v>incidents / year</v>
      </c>
      <c r="G88" s="28" t="s">
        <v>1255</v>
      </c>
    </row>
    <row r="89" ht="13.9" spans="1:19">
      <c r="A89" s="28" t="s">
        <v>1229</v>
      </c>
      <c r="B89" s="28" t="s">
        <v>1256</v>
      </c>
      <c r="C89" s="377">
        <v>1</v>
      </c>
      <c r="D89" s="28" t="s">
        <v>1041</v>
      </c>
      <c r="E89" s="28" t="s">
        <v>1042</v>
      </c>
      <c r="F89" s="28" t="str">
        <f>UnitControlCenter!$B$11</f>
        <v>incidents / year</v>
      </c>
      <c r="G89" s="28" t="s">
        <v>1257</v>
      </c>
    </row>
    <row r="90" ht="13.9" spans="1:19">
      <c r="A90" s="28" t="s">
        <v>1229</v>
      </c>
      <c r="B90" s="28" t="s">
        <v>1258</v>
      </c>
      <c r="C90" s="377">
        <v>1</v>
      </c>
      <c r="D90" s="28" t="s">
        <v>1041</v>
      </c>
      <c r="E90" s="28" t="s">
        <v>1042</v>
      </c>
      <c r="F90" s="28" t="str">
        <f>UnitControlCenter!$B$11</f>
        <v>incidents / year</v>
      </c>
      <c r="G90" s="28" t="s">
        <v>1259</v>
      </c>
    </row>
    <row r="91" ht="13.9" spans="1:19">
      <c r="A91" s="28" t="s">
        <v>1229</v>
      </c>
      <c r="B91" s="28" t="s">
        <v>1260</v>
      </c>
      <c r="C91" s="377">
        <v>1</v>
      </c>
      <c r="D91" s="28" t="s">
        <v>1041</v>
      </c>
      <c r="E91" s="28" t="s">
        <v>1042</v>
      </c>
      <c r="F91" s="28" t="str">
        <f>UnitControlCenter!$B$11</f>
        <v>incidents / year</v>
      </c>
      <c r="G91" s="28" t="s">
        <v>1261</v>
      </c>
    </row>
    <row r="92" ht="28.5" spans="1:19">
      <c r="A92" s="371" t="s">
        <v>1229</v>
      </c>
      <c r="B92" s="371" t="s">
        <v>1262</v>
      </c>
      <c r="C92" s="378">
        <v>1</v>
      </c>
      <c r="D92" s="371" t="s">
        <v>1041</v>
      </c>
      <c r="E92" s="371" t="s">
        <v>1042</v>
      </c>
      <c r="F92" s="371" t="str">
        <f>UnitControlCenter!$B$11</f>
        <v>incidents / year</v>
      </c>
      <c r="G92" s="371" t="s">
        <v>1263</v>
      </c>
      <c r="H92" s="371"/>
      <c r="I92" s="371"/>
      <c r="J92" s="371"/>
      <c r="K92" s="371"/>
      <c r="L92" s="371"/>
      <c r="M92" s="371"/>
      <c r="N92" s="371"/>
      <c r="O92" s="371"/>
      <c r="P92" s="371"/>
      <c r="Q92" s="371"/>
      <c r="R92" s="371"/>
      <c r="S92" s="371"/>
    </row>
    <row r="93" ht="111" spans="1:19">
      <c r="A93" s="28" t="s">
        <v>1264</v>
      </c>
      <c r="B93" s="28" t="s">
        <v>1265</v>
      </c>
      <c r="C93" s="377">
        <v>1</v>
      </c>
      <c r="D93" s="28" t="s">
        <v>1047</v>
      </c>
      <c r="E93" s="28" t="s">
        <v>1048</v>
      </c>
      <c r="F93" s="28" t="str">
        <f>UnitControlCenter!$B$15</f>
        <v>terawatt-hours (TWh) / year</v>
      </c>
      <c r="G93" s="28" t="s">
        <v>1266</v>
      </c>
      <c r="H93" s="28" t="s">
        <v>1267</v>
      </c>
      <c r="I93" s="28" t="s">
        <v>1268</v>
      </c>
    </row>
    <row r="94" ht="138.75" spans="1:19">
      <c r="A94" s="28" t="s">
        <v>1264</v>
      </c>
      <c r="B94" s="28" t="s">
        <v>1269</v>
      </c>
      <c r="C94" s="377">
        <v>1</v>
      </c>
      <c r="D94" s="28" t="s">
        <v>1047</v>
      </c>
      <c r="E94" s="28" t="s">
        <v>1042</v>
      </c>
      <c r="F94" s="28" t="str">
        <f>UnitControlCenter!$B$15</f>
        <v>terawatt-hours (TWh) / year</v>
      </c>
      <c r="G94" s="28" t="s">
        <v>1270</v>
      </c>
      <c r="H94" s="28" t="s">
        <v>1271</v>
      </c>
      <c r="I94" s="28" t="s">
        <v>1272</v>
      </c>
    </row>
    <row r="95" ht="111" spans="1:19">
      <c r="A95" s="28" t="s">
        <v>1264</v>
      </c>
      <c r="B95" s="28" t="s">
        <v>1273</v>
      </c>
      <c r="C95" s="377">
        <v>1</v>
      </c>
      <c r="D95" s="28" t="s">
        <v>1047</v>
      </c>
      <c r="E95" s="28" t="s">
        <v>1048</v>
      </c>
      <c r="F95" s="28" t="str">
        <f>UnitControlCenter!$B$19</f>
        <v>gigawatts (GW) / year</v>
      </c>
      <c r="G95" s="28" t="s">
        <v>1274</v>
      </c>
      <c r="H95" s="28" t="s">
        <v>1275</v>
      </c>
      <c r="I95" s="28" t="s">
        <v>1276</v>
      </c>
    </row>
    <row r="96" ht="124.9" spans="1:19">
      <c r="A96" s="28" t="s">
        <v>1264</v>
      </c>
      <c r="B96" s="28" t="s">
        <v>1277</v>
      </c>
      <c r="C96" s="377">
        <v>1</v>
      </c>
      <c r="D96" s="28" t="s">
        <v>1047</v>
      </c>
      <c r="E96" s="28" t="s">
        <v>1042</v>
      </c>
      <c r="F96" s="28" t="str">
        <f>UnitControlCenter!$B$19</f>
        <v>gigawatts (GW) / year</v>
      </c>
      <c r="G96" s="28" t="s">
        <v>1278</v>
      </c>
      <c r="H96" s="28" t="s">
        <v>1279</v>
      </c>
      <c r="I96" s="28" t="s">
        <v>1280</v>
      </c>
    </row>
    <row r="97" ht="41.65" spans="1:19">
      <c r="A97" s="28" t="s">
        <v>1264</v>
      </c>
      <c r="B97" s="28" t="s">
        <v>1281</v>
      </c>
      <c r="C97" s="377">
        <v>1</v>
      </c>
      <c r="D97" s="28" t="s">
        <v>1047</v>
      </c>
      <c r="E97" s="28" t="s">
        <v>1048</v>
      </c>
      <c r="F97" s="28" t="str">
        <f>UnitControlCenter!$B$15</f>
        <v>terawatt-hours (TWh) / year</v>
      </c>
      <c r="G97" s="28" t="s">
        <v>1282</v>
      </c>
      <c r="H97" s="28" t="s">
        <v>1283</v>
      </c>
      <c r="I97" s="28" t="s">
        <v>1284</v>
      </c>
    </row>
    <row r="98" ht="27.75" spans="1:19">
      <c r="A98" s="28" t="s">
        <v>1264</v>
      </c>
      <c r="B98" s="28" t="s">
        <v>1285</v>
      </c>
      <c r="C98" s="377">
        <v>1</v>
      </c>
      <c r="D98" s="28" t="s">
        <v>1041</v>
      </c>
      <c r="E98" s="28" t="s">
        <v>1042</v>
      </c>
      <c r="F98" s="28" t="str">
        <f>UnitControlCenter!B16</f>
        <v>%</v>
      </c>
      <c r="G98" s="28" t="s">
        <v>1286</v>
      </c>
    </row>
    <row r="99" ht="27.75" spans="1:19">
      <c r="A99" s="28" t="s">
        <v>1264</v>
      </c>
      <c r="B99" s="28" t="s">
        <v>1287</v>
      </c>
      <c r="C99" s="377">
        <v>1</v>
      </c>
      <c r="D99" s="28" t="s">
        <v>1041</v>
      </c>
      <c r="E99" s="28" t="s">
        <v>1042</v>
      </c>
      <c r="F99" s="28" t="str">
        <f>UnitControlCenter!B17</f>
        <v>metric tons CO2e / megawatt-hour (MWh)</v>
      </c>
      <c r="G99" s="28" t="s">
        <v>1288</v>
      </c>
    </row>
    <row r="100" ht="28.5" spans="1:19">
      <c r="A100" s="371" t="s">
        <v>1264</v>
      </c>
      <c r="B100" s="371" t="s">
        <v>1289</v>
      </c>
      <c r="C100" s="378">
        <v>1</v>
      </c>
      <c r="D100" s="371" t="s">
        <v>1041</v>
      </c>
      <c r="E100" s="371" t="s">
        <v>1042</v>
      </c>
      <c r="F100" s="371" t="str">
        <f>UnitControlCenter!B18</f>
        <v>kilowatt-hour / 2020 RMB</v>
      </c>
      <c r="G100" s="371" t="s">
        <v>1290</v>
      </c>
      <c r="H100" s="371"/>
      <c r="I100" s="371"/>
      <c r="J100" s="371"/>
      <c r="K100" s="371"/>
      <c r="L100" s="371"/>
      <c r="M100" s="371"/>
      <c r="N100" s="371"/>
      <c r="O100" s="371"/>
      <c r="P100" s="371"/>
      <c r="Q100" s="371"/>
      <c r="R100" s="371"/>
      <c r="S100" s="371"/>
    </row>
    <row r="101" ht="111" spans="1:19">
      <c r="A101" s="28" t="s">
        <v>1291</v>
      </c>
      <c r="B101" s="28" t="s">
        <v>1292</v>
      </c>
      <c r="C101" s="377">
        <v>1</v>
      </c>
      <c r="D101" s="28" t="s">
        <v>1047</v>
      </c>
      <c r="E101" s="28" t="s">
        <v>1293</v>
      </c>
      <c r="F101" s="28" t="str">
        <f>UnitControlCenter!$B$20</f>
        <v>2020 RMB / MWh</v>
      </c>
      <c r="G101" s="28" t="s">
        <v>1294</v>
      </c>
      <c r="H101" s="28" t="s">
        <v>1295</v>
      </c>
      <c r="I101" s="28" t="s">
        <v>1296</v>
      </c>
    </row>
    <row r="102" ht="27.75" spans="1:19">
      <c r="A102" s="28" t="s">
        <v>1291</v>
      </c>
      <c r="B102" s="28" t="s">
        <v>1297</v>
      </c>
      <c r="C102" s="377">
        <v>1</v>
      </c>
      <c r="D102" s="28" t="s">
        <v>1047</v>
      </c>
      <c r="E102" s="28" t="s">
        <v>1048</v>
      </c>
      <c r="F102" s="28" t="str">
        <f>UnitControlCenter!$B$15</f>
        <v>terawatt-hours (TWh) / year</v>
      </c>
      <c r="G102" s="28" t="s">
        <v>1298</v>
      </c>
      <c r="H102" s="28" t="s">
        <v>1299</v>
      </c>
      <c r="I102" s="28" t="s">
        <v>1300</v>
      </c>
    </row>
    <row r="103" ht="55.5" spans="1:19">
      <c r="A103" s="28" t="s">
        <v>1291</v>
      </c>
      <c r="B103" s="28" t="s">
        <v>1301</v>
      </c>
      <c r="C103" s="377">
        <v>1</v>
      </c>
      <c r="D103" s="28" t="s">
        <v>1047</v>
      </c>
      <c r="E103" s="28" t="s">
        <v>1048</v>
      </c>
      <c r="F103" s="28" t="str">
        <f>UnitControlCenter!$B$3</f>
        <v>10^8 tons / year</v>
      </c>
      <c r="G103" s="28" t="s">
        <v>1302</v>
      </c>
      <c r="H103" s="28" t="s">
        <v>1303</v>
      </c>
      <c r="I103" s="28" t="s">
        <v>1304</v>
      </c>
    </row>
    <row r="104" ht="83.25" spans="1:19">
      <c r="A104" s="28" t="s">
        <v>1291</v>
      </c>
      <c r="B104" s="28" t="s">
        <v>1305</v>
      </c>
      <c r="C104" s="377">
        <v>1</v>
      </c>
      <c r="D104" s="28" t="s">
        <v>1047</v>
      </c>
      <c r="E104" s="28" t="s">
        <v>1048</v>
      </c>
      <c r="F104" s="28" t="str">
        <f>UnitControlCenter!$B$21</f>
        <v>10^8 cubic meters / yr</v>
      </c>
      <c r="G104" s="28" t="s">
        <v>1306</v>
      </c>
      <c r="H104" s="28" t="s">
        <v>1307</v>
      </c>
      <c r="I104" s="28" t="s">
        <v>1308</v>
      </c>
    </row>
    <row r="105" ht="97.9" spans="1:19">
      <c r="A105" s="371" t="s">
        <v>1291</v>
      </c>
      <c r="B105" s="371" t="s">
        <v>1309</v>
      </c>
      <c r="C105" s="378">
        <v>1</v>
      </c>
      <c r="D105" s="371" t="s">
        <v>1047</v>
      </c>
      <c r="E105" s="371" t="s">
        <v>1048</v>
      </c>
      <c r="F105" s="371" t="str">
        <f>UnitControlCenter!$B$21</f>
        <v>10^8 cubic meters / yr</v>
      </c>
      <c r="G105" s="371" t="s">
        <v>1310</v>
      </c>
      <c r="H105" s="371" t="s">
        <v>1311</v>
      </c>
      <c r="I105" s="371" t="s">
        <v>1312</v>
      </c>
    </row>
    <row r="106" ht="69.4" spans="1:19">
      <c r="A106" s="28" t="s">
        <v>1313</v>
      </c>
      <c r="B106" s="28" t="s">
        <v>1314</v>
      </c>
      <c r="C106" s="377">
        <v>1</v>
      </c>
      <c r="D106" s="28" t="s">
        <v>1047</v>
      </c>
      <c r="E106" s="28" t="s">
        <v>1048</v>
      </c>
      <c r="F106" s="28" t="str">
        <f>UnitControlCenter!$B$24</f>
        <v>million vehicles / year</v>
      </c>
      <c r="G106" s="28" t="s">
        <v>1315</v>
      </c>
      <c r="H106" s="28" t="s">
        <v>1316</v>
      </c>
      <c r="I106" s="28" t="s">
        <v>1317</v>
      </c>
    </row>
    <row r="107" ht="69.4" spans="1:19">
      <c r="A107" s="28" t="s">
        <v>1313</v>
      </c>
      <c r="B107" s="28" t="s">
        <v>1318</v>
      </c>
      <c r="C107" s="377">
        <v>1</v>
      </c>
      <c r="D107" s="28" t="s">
        <v>1047</v>
      </c>
      <c r="E107" s="28" t="s">
        <v>1048</v>
      </c>
      <c r="F107" s="28" t="str">
        <f>UnitControlCenter!$B$25</f>
        <v>thousand vehicles / year</v>
      </c>
      <c r="G107" s="28" t="s">
        <v>1319</v>
      </c>
      <c r="H107" s="28" t="s">
        <v>1320</v>
      </c>
      <c r="I107" s="28" t="s">
        <v>1321</v>
      </c>
    </row>
    <row r="108" ht="69.4" spans="1:19">
      <c r="A108" s="28" t="s">
        <v>1313</v>
      </c>
      <c r="B108" s="28" t="s">
        <v>1322</v>
      </c>
      <c r="C108" s="377">
        <v>1</v>
      </c>
      <c r="D108" s="28" t="s">
        <v>1047</v>
      </c>
      <c r="E108" s="28" t="s">
        <v>1048</v>
      </c>
      <c r="F108" s="28" t="str">
        <f>UnitControlCenter!$B$25</f>
        <v>thousand vehicles / year</v>
      </c>
      <c r="G108" s="28" t="s">
        <v>1323</v>
      </c>
      <c r="H108" s="28" t="s">
        <v>1316</v>
      </c>
      <c r="I108" s="28" t="s">
        <v>1317</v>
      </c>
    </row>
    <row r="109" ht="69.4" spans="1:19">
      <c r="A109" s="28" t="s">
        <v>1313</v>
      </c>
      <c r="B109" s="28" t="s">
        <v>1324</v>
      </c>
      <c r="C109" s="377">
        <v>1</v>
      </c>
      <c r="D109" s="28" t="s">
        <v>1047</v>
      </c>
      <c r="E109" s="28" t="s">
        <v>1048</v>
      </c>
      <c r="F109" s="28" t="str">
        <f>UnitControlCenter!$B$25</f>
        <v>thousand vehicles / year</v>
      </c>
      <c r="G109" s="28" t="s">
        <v>1325</v>
      </c>
      <c r="H109" s="28" t="s">
        <v>1320</v>
      </c>
      <c r="I109" s="28" t="s">
        <v>1321</v>
      </c>
    </row>
    <row r="110" ht="27.75" spans="1:19">
      <c r="A110" s="28" t="s">
        <v>1313</v>
      </c>
      <c r="B110" s="28" t="s">
        <v>1326</v>
      </c>
      <c r="C110" s="377">
        <v>1</v>
      </c>
      <c r="D110" s="28" t="s">
        <v>1047</v>
      </c>
      <c r="E110" s="28" t="s">
        <v>1048</v>
      </c>
      <c r="F110" s="28" t="str">
        <f>UnitControlCenter!$B$25</f>
        <v>thousand vehicles / year</v>
      </c>
      <c r="G110" s="28" t="s">
        <v>1327</v>
      </c>
      <c r="H110" s="28" t="s">
        <v>1328</v>
      </c>
      <c r="I110" s="28" t="s">
        <v>1329</v>
      </c>
    </row>
    <row r="111" ht="27.75" spans="1:19">
      <c r="A111" s="28" t="s">
        <v>1313</v>
      </c>
      <c r="B111" s="28" t="s">
        <v>1330</v>
      </c>
      <c r="C111" s="377">
        <v>0</v>
      </c>
      <c r="D111" s="28" t="s">
        <v>1047</v>
      </c>
      <c r="E111" s="28" t="s">
        <v>1048</v>
      </c>
      <c r="F111" s="28" t="str">
        <f>UnitControlCenter!$B$25</f>
        <v>thousand vehicles / year</v>
      </c>
      <c r="G111" s="28" t="s">
        <v>1331</v>
      </c>
      <c r="H111" s="28" t="s">
        <v>1328</v>
      </c>
      <c r="I111" s="28" t="s">
        <v>1329</v>
      </c>
    </row>
    <row r="112" ht="55.5" spans="1:19">
      <c r="A112" s="28" t="s">
        <v>1313</v>
      </c>
      <c r="B112" s="28" t="s">
        <v>1332</v>
      </c>
      <c r="C112" s="377">
        <v>1</v>
      </c>
      <c r="D112" s="28" t="s">
        <v>1047</v>
      </c>
      <c r="E112" s="28" t="s">
        <v>1048</v>
      </c>
      <c r="F112" s="28" t="str">
        <f>UnitControlCenter!$B$26</f>
        <v>million vehicles</v>
      </c>
      <c r="G112" s="28" t="s">
        <v>1333</v>
      </c>
      <c r="H112" s="28" t="s">
        <v>1316</v>
      </c>
      <c r="I112" s="28" t="s">
        <v>1317</v>
      </c>
    </row>
    <row r="113" ht="69.4" spans="1:19">
      <c r="A113" s="28" t="s">
        <v>1313</v>
      </c>
      <c r="B113" s="28" t="s">
        <v>1334</v>
      </c>
      <c r="C113" s="377">
        <v>1</v>
      </c>
      <c r="D113" s="28" t="s">
        <v>1047</v>
      </c>
      <c r="E113" s="28" t="s">
        <v>1048</v>
      </c>
      <c r="F113" s="28" t="str">
        <f>UnitControlCenter!$B$27</f>
        <v>thousand vehicles</v>
      </c>
      <c r="G113" s="28" t="s">
        <v>1335</v>
      </c>
      <c r="H113" s="28" t="s">
        <v>1320</v>
      </c>
      <c r="I113" s="28" t="s">
        <v>1321</v>
      </c>
    </row>
    <row r="114" ht="55.5" spans="1:19">
      <c r="A114" s="28" t="s">
        <v>1313</v>
      </c>
      <c r="B114" s="28" t="s">
        <v>1336</v>
      </c>
      <c r="C114" s="377">
        <v>1</v>
      </c>
      <c r="D114" s="28" t="s">
        <v>1047</v>
      </c>
      <c r="E114" s="28" t="s">
        <v>1048</v>
      </c>
      <c r="F114" s="28" t="str">
        <f>UnitControlCenter!$B$26</f>
        <v>million vehicles</v>
      </c>
      <c r="G114" s="28" t="s">
        <v>1337</v>
      </c>
      <c r="H114" s="28" t="s">
        <v>1316</v>
      </c>
      <c r="I114" s="28" t="s">
        <v>1317</v>
      </c>
    </row>
    <row r="115" ht="55.5" spans="1:19">
      <c r="A115" s="28" t="s">
        <v>1313</v>
      </c>
      <c r="B115" s="28" t="s">
        <v>1338</v>
      </c>
      <c r="C115" s="377">
        <v>1</v>
      </c>
      <c r="D115" s="28" t="s">
        <v>1047</v>
      </c>
      <c r="E115" s="28" t="s">
        <v>1048</v>
      </c>
      <c r="F115" s="28" t="str">
        <f>UnitControlCenter!$B$26</f>
        <v>million vehicles</v>
      </c>
      <c r="G115" s="28" t="s">
        <v>1339</v>
      </c>
      <c r="H115" s="28" t="s">
        <v>1320</v>
      </c>
      <c r="I115" s="28" t="s">
        <v>1321</v>
      </c>
    </row>
    <row r="116" ht="27.75" spans="1:19">
      <c r="A116" s="28" t="s">
        <v>1313</v>
      </c>
      <c r="B116" s="28" t="s">
        <v>1340</v>
      </c>
      <c r="C116" s="377">
        <v>1</v>
      </c>
      <c r="D116" s="28" t="s">
        <v>1047</v>
      </c>
      <c r="E116" s="28" t="s">
        <v>1048</v>
      </c>
      <c r="F116" s="28" t="str">
        <f>UnitControlCenter!$B$26</f>
        <v>million vehicles</v>
      </c>
      <c r="G116" s="28" t="s">
        <v>1341</v>
      </c>
      <c r="H116" s="28" t="s">
        <v>1328</v>
      </c>
      <c r="I116" s="28" t="s">
        <v>1329</v>
      </c>
    </row>
    <row r="117" ht="28.5" spans="1:19">
      <c r="A117" s="371" t="s">
        <v>1313</v>
      </c>
      <c r="B117" s="371" t="s">
        <v>1342</v>
      </c>
      <c r="C117" s="378">
        <v>0</v>
      </c>
      <c r="D117" s="371" t="s">
        <v>1047</v>
      </c>
      <c r="E117" s="371" t="s">
        <v>1048</v>
      </c>
      <c r="F117" s="371" t="str">
        <f>UnitControlCenter!$B$26</f>
        <v>million vehicles</v>
      </c>
      <c r="G117" s="371" t="s">
        <v>1343</v>
      </c>
      <c r="H117" s="371" t="s">
        <v>1328</v>
      </c>
      <c r="I117" s="371" t="s">
        <v>1329</v>
      </c>
    </row>
    <row r="118" ht="124.9" spans="1:19">
      <c r="A118" s="28" t="s">
        <v>1344</v>
      </c>
      <c r="B118" s="28" t="s">
        <v>1345</v>
      </c>
      <c r="C118" s="377">
        <v>1</v>
      </c>
      <c r="D118" s="28" t="s">
        <v>1047</v>
      </c>
      <c r="E118" s="28" t="s">
        <v>1048</v>
      </c>
      <c r="F118" s="28" t="str">
        <f>UnitControlCenter!$B$3</f>
        <v>10^8 tons / year</v>
      </c>
      <c r="G118" s="28" t="s">
        <v>1346</v>
      </c>
      <c r="H118" s="28" t="s">
        <v>1347</v>
      </c>
      <c r="I118" s="28" t="s">
        <v>1348</v>
      </c>
    </row>
    <row r="119" ht="83.25" spans="1:19">
      <c r="A119" s="28" t="s">
        <v>1344</v>
      </c>
      <c r="B119" s="28" t="s">
        <v>1349</v>
      </c>
      <c r="C119" s="377">
        <v>1</v>
      </c>
      <c r="D119" s="28" t="s">
        <v>1047</v>
      </c>
      <c r="E119" s="28" t="s">
        <v>1048</v>
      </c>
      <c r="F119" s="28" t="str">
        <f>UnitControlCenter!$B$28</f>
        <v>10^4 tce / yr</v>
      </c>
      <c r="G119" s="28" t="s">
        <v>1350</v>
      </c>
      <c r="H119" s="28" t="s">
        <v>1351</v>
      </c>
      <c r="I119" s="28" t="s">
        <v>1352</v>
      </c>
    </row>
    <row r="120" ht="111" spans="1:19">
      <c r="A120" s="28" t="s">
        <v>1344</v>
      </c>
      <c r="B120" s="28" t="s">
        <v>1353</v>
      </c>
      <c r="C120" s="377">
        <v>1</v>
      </c>
      <c r="D120" s="28" t="s">
        <v>1047</v>
      </c>
      <c r="E120" s="28" t="s">
        <v>1048</v>
      </c>
      <c r="F120" s="28" t="str">
        <f>UnitControlCenter!$B$28</f>
        <v>10^4 tce / yr</v>
      </c>
      <c r="G120" s="28" t="s">
        <v>1354</v>
      </c>
      <c r="H120" s="28" t="s">
        <v>1347</v>
      </c>
      <c r="I120" s="28" t="s">
        <v>1348</v>
      </c>
    </row>
    <row r="121" ht="27.75" spans="1:19">
      <c r="A121" s="28" t="s">
        <v>1344</v>
      </c>
      <c r="B121" s="28" t="s">
        <v>1355</v>
      </c>
      <c r="C121" s="377">
        <v>1</v>
      </c>
      <c r="D121" s="28" t="s">
        <v>1041</v>
      </c>
      <c r="E121" s="28" t="s">
        <v>1042</v>
      </c>
      <c r="F121" s="28" t="str">
        <f>UnitControlCenter!$B$28</f>
        <v>10^4 tce / yr</v>
      </c>
      <c r="G121" s="28" t="s">
        <v>1356</v>
      </c>
    </row>
    <row r="122" ht="41.65" spans="1:19">
      <c r="A122" s="28" t="s">
        <v>1344</v>
      </c>
      <c r="B122" s="28" t="s">
        <v>1357</v>
      </c>
      <c r="C122" s="377">
        <v>1</v>
      </c>
      <c r="D122" s="28" t="s">
        <v>1047</v>
      </c>
      <c r="E122" s="28" t="s">
        <v>1048</v>
      </c>
      <c r="F122" s="28" t="str">
        <f>UnitControlCenter!$B$22</f>
        <v>yi (10^8) passenger-km / year</v>
      </c>
      <c r="G122" s="28" t="s">
        <v>1358</v>
      </c>
      <c r="H122" s="28" t="s">
        <v>1359</v>
      </c>
      <c r="I122" s="28" t="s">
        <v>1360</v>
      </c>
    </row>
    <row r="123" ht="42.4" spans="1:19">
      <c r="A123" s="371" t="s">
        <v>1344</v>
      </c>
      <c r="B123" s="371" t="s">
        <v>1361</v>
      </c>
      <c r="C123" s="378">
        <v>1</v>
      </c>
      <c r="D123" s="371" t="s">
        <v>1047</v>
      </c>
      <c r="E123" s="371" t="s">
        <v>1048</v>
      </c>
      <c r="F123" s="371" t="str">
        <f>UnitControlCenter!$B$23</f>
        <v>yi (10^8) freight ton-km / year</v>
      </c>
      <c r="G123" s="371" t="s">
        <v>1362</v>
      </c>
      <c r="H123" s="371" t="s">
        <v>1363</v>
      </c>
      <c r="I123" s="371" t="s">
        <v>1364</v>
      </c>
      <c r="J123" s="371"/>
      <c r="K123" s="371"/>
      <c r="L123" s="371"/>
      <c r="M123" s="371"/>
      <c r="N123" s="371"/>
      <c r="O123" s="371"/>
      <c r="P123" s="371"/>
      <c r="Q123" s="371"/>
      <c r="R123" s="371"/>
      <c r="S123" s="371"/>
    </row>
    <row r="124" ht="263.25" spans="1:19">
      <c r="A124" s="28" t="s">
        <v>1365</v>
      </c>
      <c r="B124" s="28" t="s">
        <v>1366</v>
      </c>
      <c r="C124" s="377">
        <v>1</v>
      </c>
      <c r="D124" s="28" t="s">
        <v>1047</v>
      </c>
      <c r="E124" s="28" t="s">
        <v>1048</v>
      </c>
      <c r="F124" s="28" t="str">
        <f>UnitControlCenter!$B$28</f>
        <v>10^4 tce / yr</v>
      </c>
      <c r="G124" s="28" t="s">
        <v>1367</v>
      </c>
      <c r="H124" s="28" t="s">
        <v>1368</v>
      </c>
      <c r="I124" s="379" t="s">
        <v>1369</v>
      </c>
    </row>
    <row r="125" ht="97.15" spans="1:19">
      <c r="A125" s="28" t="s">
        <v>1365</v>
      </c>
      <c r="B125" s="28" t="s">
        <v>1370</v>
      </c>
      <c r="C125" s="377">
        <v>1</v>
      </c>
      <c r="D125" s="28" t="s">
        <v>1047</v>
      </c>
      <c r="E125" s="28" t="s">
        <v>1048</v>
      </c>
      <c r="F125" s="28" t="str">
        <f>UnitControlCenter!$B$28</f>
        <v>10^4 tce / yr</v>
      </c>
      <c r="G125" s="28" t="s">
        <v>1371</v>
      </c>
      <c r="H125" s="28" t="s">
        <v>1372</v>
      </c>
      <c r="I125" s="28" t="s">
        <v>1373</v>
      </c>
    </row>
    <row r="126" ht="13.9" spans="1:19">
      <c r="A126" s="28" t="s">
        <v>1365</v>
      </c>
      <c r="B126" s="28" t="s">
        <v>1374</v>
      </c>
      <c r="C126" s="377">
        <v>1</v>
      </c>
      <c r="D126" s="28" t="s">
        <v>1041</v>
      </c>
      <c r="E126" s="28" t="s">
        <v>1042</v>
      </c>
      <c r="F126" s="28" t="str">
        <f>UnitControlCenter!$B$28</f>
        <v>10^4 tce / yr</v>
      </c>
      <c r="G126" s="28" t="s">
        <v>1375</v>
      </c>
    </row>
    <row r="127" ht="221.65" spans="1:19">
      <c r="A127" s="28" t="s">
        <v>1365</v>
      </c>
      <c r="B127" s="28" t="s">
        <v>1376</v>
      </c>
      <c r="C127" s="377">
        <v>1</v>
      </c>
      <c r="D127" s="28" t="s">
        <v>1047</v>
      </c>
      <c r="E127" s="28" t="s">
        <v>1048</v>
      </c>
      <c r="F127" s="28" t="str">
        <f>UnitControlCenter!$B$28</f>
        <v>10^4 tce / yr</v>
      </c>
      <c r="G127" s="28" t="s">
        <v>1377</v>
      </c>
      <c r="H127" s="28" t="s">
        <v>1368</v>
      </c>
      <c r="I127" s="379" t="s">
        <v>1369</v>
      </c>
    </row>
    <row r="128" ht="69.4" spans="1:19">
      <c r="A128" s="28" t="s">
        <v>1365</v>
      </c>
      <c r="B128" s="28" t="s">
        <v>1378</v>
      </c>
      <c r="C128" s="377">
        <v>1</v>
      </c>
      <c r="D128" s="28" t="s">
        <v>1047</v>
      </c>
      <c r="E128" s="28" t="s">
        <v>1048</v>
      </c>
      <c r="F128" s="28" t="str">
        <f>UnitControlCenter!$B$28</f>
        <v>10^4 tce / yr</v>
      </c>
      <c r="G128" s="28" t="s">
        <v>1379</v>
      </c>
      <c r="H128" s="28" t="s">
        <v>1372</v>
      </c>
      <c r="I128" s="28" t="s">
        <v>1373</v>
      </c>
    </row>
    <row r="129" s="371" customFormat="1" ht="14.65" spans="1:19">
      <c r="A129" s="371" t="s">
        <v>1365</v>
      </c>
      <c r="B129" s="371" t="s">
        <v>1380</v>
      </c>
      <c r="C129" s="378">
        <v>1</v>
      </c>
      <c r="D129" s="371" t="s">
        <v>1041</v>
      </c>
      <c r="E129" s="371" t="s">
        <v>1042</v>
      </c>
      <c r="F129" s="371" t="str">
        <f>UnitControlCenter!$B$28</f>
        <v>10^4 tce / yr</v>
      </c>
      <c r="G129" s="371" t="s">
        <v>1381</v>
      </c>
    </row>
    <row r="130" ht="249.4" spans="1:19">
      <c r="A130" s="28" t="s">
        <v>1382</v>
      </c>
      <c r="B130" s="28" t="s">
        <v>1383</v>
      </c>
      <c r="C130" s="377">
        <v>1</v>
      </c>
      <c r="D130" s="28" t="s">
        <v>1047</v>
      </c>
      <c r="E130" s="28" t="s">
        <v>1048</v>
      </c>
      <c r="F130" s="28" t="str">
        <f>UnitControlCenter!$B$3</f>
        <v>10^8 tons / year</v>
      </c>
      <c r="G130" s="28" t="s">
        <v>1384</v>
      </c>
      <c r="H130" s="28" t="s">
        <v>1368</v>
      </c>
      <c r="I130" s="379" t="s">
        <v>1369</v>
      </c>
    </row>
    <row r="131" ht="41.65" spans="1:19">
      <c r="A131" s="28" t="s">
        <v>1382</v>
      </c>
      <c r="B131" s="28" t="s">
        <v>1385</v>
      </c>
      <c r="C131" s="377">
        <v>1</v>
      </c>
      <c r="D131" s="28" t="s">
        <v>1047</v>
      </c>
      <c r="E131" s="28" t="s">
        <v>1048</v>
      </c>
      <c r="F131" s="28" t="str">
        <f>UnitControlCenter!$B$3</f>
        <v>10^8 tons / year</v>
      </c>
      <c r="G131" s="28" t="s">
        <v>1386</v>
      </c>
      <c r="H131" s="28" t="s">
        <v>1058</v>
      </c>
      <c r="I131" s="28" t="s">
        <v>1059</v>
      </c>
    </row>
    <row r="132" ht="221.65" spans="1:19">
      <c r="A132" s="28" t="s">
        <v>1382</v>
      </c>
      <c r="B132" s="28" t="s">
        <v>1387</v>
      </c>
      <c r="C132" s="377">
        <v>1</v>
      </c>
      <c r="D132" s="28" t="s">
        <v>1047</v>
      </c>
      <c r="E132" s="28" t="s">
        <v>1048</v>
      </c>
      <c r="F132" s="28" t="str">
        <f>UnitControlCenter!$B$3</f>
        <v>10^8 tons / year</v>
      </c>
      <c r="G132" s="28" t="s">
        <v>1388</v>
      </c>
      <c r="H132" s="28" t="s">
        <v>1368</v>
      </c>
      <c r="I132" s="379" t="s">
        <v>1369</v>
      </c>
    </row>
    <row r="133" ht="27.75" spans="1:19">
      <c r="A133" s="28" t="s">
        <v>1382</v>
      </c>
      <c r="B133" s="28" t="s">
        <v>1389</v>
      </c>
      <c r="C133" s="377">
        <v>1</v>
      </c>
      <c r="D133" s="28" t="s">
        <v>1047</v>
      </c>
      <c r="E133" s="28" t="s">
        <v>1048</v>
      </c>
      <c r="F133" s="28" t="str">
        <f>UnitControlCenter!$B$3</f>
        <v>10^8 tons / year</v>
      </c>
      <c r="G133" s="28" t="s">
        <v>1390</v>
      </c>
      <c r="H133" s="28" t="s">
        <v>1058</v>
      </c>
      <c r="I133" s="28" t="s">
        <v>1059</v>
      </c>
    </row>
    <row r="134" ht="291" spans="1:19">
      <c r="A134" s="28" t="s">
        <v>1382</v>
      </c>
      <c r="B134" s="28" t="s">
        <v>1391</v>
      </c>
      <c r="C134" s="377">
        <v>1</v>
      </c>
      <c r="D134" s="28" t="s">
        <v>1047</v>
      </c>
      <c r="E134" s="28" t="s">
        <v>1048</v>
      </c>
      <c r="F134" s="28" t="str">
        <f>UnitControlCenter!$B$3</f>
        <v>10^8 tons / year</v>
      </c>
      <c r="G134" s="28" t="s">
        <v>1392</v>
      </c>
      <c r="H134" s="28" t="s">
        <v>1368</v>
      </c>
      <c r="I134" s="379" t="s">
        <v>1369</v>
      </c>
    </row>
    <row r="135" ht="27.75" spans="1:19">
      <c r="A135" s="28" t="s">
        <v>1382</v>
      </c>
      <c r="B135" s="28" t="s">
        <v>1393</v>
      </c>
      <c r="C135" s="377">
        <v>1</v>
      </c>
      <c r="D135" s="28" t="s">
        <v>1047</v>
      </c>
      <c r="E135" s="28" t="s">
        <v>1048</v>
      </c>
      <c r="F135" s="28" t="str">
        <f>UnitControlCenter!$B$3</f>
        <v>10^8 tons / year</v>
      </c>
      <c r="G135" s="28" t="s">
        <v>1394</v>
      </c>
      <c r="H135" s="28" t="s">
        <v>1395</v>
      </c>
      <c r="I135" s="28" t="s">
        <v>1396</v>
      </c>
    </row>
    <row r="136" ht="27.75" spans="1:19">
      <c r="A136" s="28" t="s">
        <v>1382</v>
      </c>
      <c r="B136" s="28" t="s">
        <v>1397</v>
      </c>
      <c r="C136" s="377">
        <v>1</v>
      </c>
      <c r="D136" s="28" t="s">
        <v>1047</v>
      </c>
      <c r="E136" s="28" t="s">
        <v>1048</v>
      </c>
      <c r="F136" s="28" t="str">
        <f>UnitControlCenter!$B$3</f>
        <v>10^8 tons / year</v>
      </c>
      <c r="G136" s="28" t="s">
        <v>1398</v>
      </c>
      <c r="H136" s="28" t="s">
        <v>1399</v>
      </c>
      <c r="I136" s="28" t="s">
        <v>1400</v>
      </c>
    </row>
    <row r="137" ht="221.65" spans="1:19">
      <c r="A137" s="28" t="s">
        <v>1382</v>
      </c>
      <c r="B137" s="28" t="s">
        <v>1401</v>
      </c>
      <c r="C137" s="377">
        <v>1</v>
      </c>
      <c r="D137" s="28" t="s">
        <v>1047</v>
      </c>
      <c r="E137" s="28" t="s">
        <v>1048</v>
      </c>
      <c r="F137" s="28" t="str">
        <f>UnitControlCenter!$B$3</f>
        <v>10^8 tons / year</v>
      </c>
      <c r="G137" s="28" t="s">
        <v>1402</v>
      </c>
      <c r="H137" s="28" t="s">
        <v>1368</v>
      </c>
      <c r="I137" s="379" t="s">
        <v>1369</v>
      </c>
    </row>
    <row r="138" ht="277.9" spans="1:19">
      <c r="A138" s="371" t="s">
        <v>1382</v>
      </c>
      <c r="B138" s="371" t="s">
        <v>1403</v>
      </c>
      <c r="C138" s="378">
        <v>1</v>
      </c>
      <c r="D138" s="371" t="s">
        <v>1047</v>
      </c>
      <c r="E138" s="371" t="s">
        <v>1048</v>
      </c>
      <c r="F138" s="371" t="str">
        <f>UnitControlCenter!$B$3</f>
        <v>10^8 tons / year</v>
      </c>
      <c r="G138" s="371" t="s">
        <v>1404</v>
      </c>
      <c r="H138" s="28" t="s">
        <v>1368</v>
      </c>
      <c r="I138" s="371" t="s">
        <v>1369</v>
      </c>
      <c r="J138" s="371"/>
      <c r="K138" s="371"/>
      <c r="L138" s="371"/>
      <c r="M138" s="371"/>
      <c r="N138" s="371"/>
      <c r="O138" s="371"/>
      <c r="P138" s="371"/>
      <c r="Q138" s="371"/>
      <c r="R138" s="371"/>
      <c r="S138" s="371"/>
    </row>
    <row r="139" ht="41.65" spans="1:19">
      <c r="A139" s="28" t="s">
        <v>1405</v>
      </c>
      <c r="B139" s="28" t="s">
        <v>1406</v>
      </c>
      <c r="C139" s="377">
        <v>1</v>
      </c>
      <c r="D139" s="28" t="s">
        <v>1047</v>
      </c>
      <c r="E139" s="28" t="s">
        <v>1048</v>
      </c>
      <c r="F139" s="28" t="str">
        <f>UnitControlCenter!$B$28</f>
        <v>10^4 tce / yr</v>
      </c>
      <c r="G139" s="28" t="s">
        <v>1407</v>
      </c>
      <c r="H139" s="28" t="s">
        <v>1408</v>
      </c>
      <c r="I139" s="28" t="s">
        <v>1409</v>
      </c>
    </row>
    <row r="140" ht="27.75" spans="1:19">
      <c r="A140" s="28" t="s">
        <v>1405</v>
      </c>
      <c r="B140" s="28" t="s">
        <v>1410</v>
      </c>
      <c r="C140" s="377">
        <v>1</v>
      </c>
      <c r="D140" s="28" t="s">
        <v>1047</v>
      </c>
      <c r="E140" s="28" t="s">
        <v>1048</v>
      </c>
      <c r="F140" s="28" t="str">
        <f>UnitControlCenter!$B$28</f>
        <v>10^4 tce / yr</v>
      </c>
      <c r="G140" s="28" t="s">
        <v>1411</v>
      </c>
      <c r="H140" s="28" t="s">
        <v>1412</v>
      </c>
      <c r="I140" s="28" t="s">
        <v>1413</v>
      </c>
    </row>
    <row r="141" ht="69.4" spans="1:19">
      <c r="A141" s="28" t="s">
        <v>1405</v>
      </c>
      <c r="B141" s="28" t="s">
        <v>1414</v>
      </c>
      <c r="C141" s="377">
        <v>1</v>
      </c>
      <c r="D141" s="28" t="s">
        <v>1047</v>
      </c>
      <c r="E141" s="28" t="s">
        <v>1048</v>
      </c>
      <c r="F141" s="28" t="str">
        <f>UnitControlCenter!$B$28</f>
        <v>10^4 tce / yr</v>
      </c>
      <c r="G141" s="28" t="s">
        <v>1415</v>
      </c>
      <c r="H141" s="28" t="s">
        <v>1416</v>
      </c>
      <c r="I141" s="28" t="s">
        <v>1417</v>
      </c>
    </row>
    <row r="142" s="371" customFormat="1" ht="14.65" spans="1:19">
      <c r="A142" s="371" t="s">
        <v>1405</v>
      </c>
      <c r="B142" s="371" t="s">
        <v>1115</v>
      </c>
      <c r="C142" s="378">
        <v>1</v>
      </c>
      <c r="D142" s="371" t="s">
        <v>1041</v>
      </c>
      <c r="E142" s="371" t="s">
        <v>1042</v>
      </c>
      <c r="F142" s="371" t="str">
        <f>UnitControlCenter!$B$28</f>
        <v>10^4 tce / yr</v>
      </c>
      <c r="G142" s="371" t="s">
        <v>1418</v>
      </c>
    </row>
    <row r="143" ht="97.15" spans="1:19">
      <c r="A143" s="28" t="s">
        <v>1419</v>
      </c>
      <c r="B143" s="28" t="s">
        <v>1420</v>
      </c>
      <c r="C143" s="377">
        <v>1</v>
      </c>
      <c r="D143" s="28" t="s">
        <v>1047</v>
      </c>
      <c r="E143" s="28" t="s">
        <v>1048</v>
      </c>
      <c r="F143" s="28" t="str">
        <f>UnitControlCenter!$B$28</f>
        <v>10^4 tce / yr</v>
      </c>
      <c r="G143" s="28" t="s">
        <v>1421</v>
      </c>
      <c r="H143" s="28" t="s">
        <v>1422</v>
      </c>
      <c r="I143" s="28" t="s">
        <v>1423</v>
      </c>
    </row>
    <row r="144" ht="55.5" spans="1:19">
      <c r="A144" s="28" t="s">
        <v>1419</v>
      </c>
      <c r="B144" s="28" t="s">
        <v>1424</v>
      </c>
      <c r="C144" s="377">
        <v>1</v>
      </c>
      <c r="D144" s="28" t="s">
        <v>1047</v>
      </c>
      <c r="E144" s="28" t="s">
        <v>1048</v>
      </c>
      <c r="F144" s="28" t="str">
        <f>UnitControlCenter!$B$28</f>
        <v>10^4 tce / yr</v>
      </c>
      <c r="G144" s="28" t="s">
        <v>1425</v>
      </c>
      <c r="H144" s="28" t="s">
        <v>1426</v>
      </c>
      <c r="I144" s="28" t="s">
        <v>1427</v>
      </c>
    </row>
    <row r="145" ht="13.9" spans="1:19">
      <c r="A145" s="28" t="s">
        <v>1419</v>
      </c>
      <c r="B145" s="28" t="s">
        <v>1060</v>
      </c>
      <c r="C145" s="377">
        <v>0</v>
      </c>
      <c r="D145" s="28" t="s">
        <v>1041</v>
      </c>
      <c r="E145" s="28" t="s">
        <v>1042</v>
      </c>
      <c r="F145" s="28" t="str">
        <f>UnitControlCenter!$B$29</f>
        <v>kgce / 2020 RMB</v>
      </c>
      <c r="G145" s="28" t="s">
        <v>1428</v>
      </c>
    </row>
    <row r="146" ht="13.9" spans="1:19">
      <c r="A146" s="28" t="s">
        <v>1419</v>
      </c>
      <c r="B146" s="28" t="s">
        <v>1429</v>
      </c>
      <c r="C146" s="377">
        <v>1</v>
      </c>
      <c r="D146" s="28" t="s">
        <v>1041</v>
      </c>
      <c r="E146" s="28" t="s">
        <v>1042</v>
      </c>
      <c r="F146" s="28" t="str">
        <f>UnitControlCenter!$B$15</f>
        <v>terawatt-hours (TWh) / year</v>
      </c>
      <c r="G146" s="28" t="s">
        <v>1430</v>
      </c>
    </row>
    <row r="147" ht="13.9" spans="1:19">
      <c r="A147" s="28" t="s">
        <v>1419</v>
      </c>
      <c r="B147" s="28" t="s">
        <v>1431</v>
      </c>
      <c r="C147" s="377">
        <v>1</v>
      </c>
      <c r="D147" s="28" t="s">
        <v>1041</v>
      </c>
      <c r="E147" s="28" t="s">
        <v>1042</v>
      </c>
      <c r="F147" s="28" t="str">
        <f>UnitControlCenter!$B$30</f>
        <v>10^4 tons / year</v>
      </c>
      <c r="G147" s="28" t="s">
        <v>1432</v>
      </c>
    </row>
    <row r="148" ht="13.9" spans="1:19">
      <c r="A148" s="28" t="s">
        <v>1419</v>
      </c>
      <c r="B148" s="28" t="s">
        <v>1433</v>
      </c>
      <c r="C148" s="377">
        <v>1</v>
      </c>
      <c r="D148" s="28" t="s">
        <v>1041</v>
      </c>
      <c r="E148" s="28" t="s">
        <v>1042</v>
      </c>
      <c r="F148" s="28" t="str">
        <f>UnitControlCenter!$B$30</f>
        <v>10^4 tons / year</v>
      </c>
      <c r="G148" s="28" t="s">
        <v>1434</v>
      </c>
    </row>
    <row r="149" ht="13.9" spans="1:19">
      <c r="A149" s="28" t="s">
        <v>1419</v>
      </c>
      <c r="B149" s="28" t="s">
        <v>1435</v>
      </c>
      <c r="C149" s="377">
        <v>1</v>
      </c>
      <c r="D149" s="28" t="s">
        <v>1041</v>
      </c>
      <c r="E149" s="28" t="s">
        <v>1042</v>
      </c>
      <c r="F149" s="28" t="str">
        <f>UnitControlCenter!$B$31</f>
        <v>10^8 cubic meters / yr</v>
      </c>
      <c r="G149" s="28" t="s">
        <v>1436</v>
      </c>
    </row>
    <row r="150" ht="13.9" spans="1:19">
      <c r="A150" s="28" t="s">
        <v>1419</v>
      </c>
      <c r="B150" s="28" t="s">
        <v>1437</v>
      </c>
      <c r="C150" s="377">
        <v>1</v>
      </c>
      <c r="D150" s="28" t="s">
        <v>1041</v>
      </c>
      <c r="E150" s="28" t="s">
        <v>1042</v>
      </c>
      <c r="F150" s="28" t="str">
        <f>UnitControlCenter!$B$32</f>
        <v>10^4 tons / year</v>
      </c>
      <c r="G150" s="28" t="s">
        <v>1438</v>
      </c>
    </row>
    <row r="151" ht="13.9" spans="1:19">
      <c r="A151" s="28" t="s">
        <v>1419</v>
      </c>
      <c r="B151" s="28" t="s">
        <v>1439</v>
      </c>
      <c r="C151" s="377">
        <v>1</v>
      </c>
      <c r="D151" s="28" t="s">
        <v>1041</v>
      </c>
      <c r="E151" s="28" t="s">
        <v>1042</v>
      </c>
      <c r="F151" s="28" t="str">
        <f>UnitControlCenter!$B$32</f>
        <v>10^4 tons / year</v>
      </c>
      <c r="G151" s="28" t="s">
        <v>1440</v>
      </c>
    </row>
    <row r="152" ht="13.9" spans="1:19">
      <c r="A152" s="28" t="s">
        <v>1419</v>
      </c>
      <c r="B152" s="28" t="s">
        <v>1441</v>
      </c>
      <c r="C152" s="377">
        <v>1</v>
      </c>
      <c r="D152" s="28" t="s">
        <v>1041</v>
      </c>
      <c r="E152" s="28" t="s">
        <v>1042</v>
      </c>
      <c r="F152" s="28" t="str">
        <f>UnitControlCenter!$B$30</f>
        <v>10^4 tons / year</v>
      </c>
      <c r="G152" s="28" t="s">
        <v>1442</v>
      </c>
    </row>
    <row r="153" ht="27.75" spans="1:19">
      <c r="A153" s="28" t="s">
        <v>1419</v>
      </c>
      <c r="B153" s="28" t="s">
        <v>1443</v>
      </c>
      <c r="C153" s="377">
        <v>1</v>
      </c>
      <c r="D153" s="28" t="s">
        <v>1041</v>
      </c>
      <c r="E153" s="28" t="s">
        <v>1042</v>
      </c>
      <c r="F153" s="28" t="str">
        <f>UnitControlCenter!$B$33</f>
        <v>10^4 tons / year</v>
      </c>
      <c r="G153" s="28" t="s">
        <v>1444</v>
      </c>
    </row>
    <row r="154" ht="27.75" spans="1:19">
      <c r="A154" s="28" t="s">
        <v>1419</v>
      </c>
      <c r="B154" s="28" t="s">
        <v>1445</v>
      </c>
      <c r="C154" s="377">
        <v>1</v>
      </c>
      <c r="D154" s="28" t="s">
        <v>1041</v>
      </c>
      <c r="E154" s="28" t="s">
        <v>1042</v>
      </c>
      <c r="F154" s="28" t="str">
        <f>UnitControlCenter!$B$30</f>
        <v>10^4 tons / year</v>
      </c>
      <c r="G154" s="28" t="s">
        <v>1446</v>
      </c>
    </row>
    <row r="155" ht="14.65" spans="1:19">
      <c r="A155" s="371" t="s">
        <v>1419</v>
      </c>
      <c r="B155" s="371" t="s">
        <v>1447</v>
      </c>
      <c r="C155" s="378">
        <v>1</v>
      </c>
      <c r="D155" s="371" t="s">
        <v>1041</v>
      </c>
      <c r="E155" s="371" t="s">
        <v>1042</v>
      </c>
      <c r="F155" s="371" t="str">
        <f>UnitControlCenter!$B$5</f>
        <v>10^4 tons / year</v>
      </c>
      <c r="G155" s="371" t="s">
        <v>1448</v>
      </c>
      <c r="H155" s="371"/>
      <c r="I155" s="371"/>
      <c r="J155" s="371"/>
      <c r="K155" s="371"/>
      <c r="L155" s="371"/>
      <c r="M155" s="371"/>
      <c r="N155" s="371"/>
      <c r="O155" s="371"/>
      <c r="P155" s="371"/>
      <c r="Q155" s="371"/>
      <c r="R155" s="371"/>
      <c r="S155" s="371"/>
    </row>
    <row r="156" ht="41.65" spans="1:19">
      <c r="A156" s="28" t="s">
        <v>1449</v>
      </c>
      <c r="B156" s="28" t="s">
        <v>1450</v>
      </c>
      <c r="C156" s="377">
        <v>1</v>
      </c>
      <c r="D156" s="28" t="s">
        <v>1047</v>
      </c>
      <c r="E156" s="28" t="s">
        <v>1048</v>
      </c>
      <c r="F156" s="28" t="str">
        <f>UnitControlCenter!$B$34</f>
        <v>trillion BTU / year</v>
      </c>
      <c r="G156" s="28" t="s">
        <v>1451</v>
      </c>
      <c r="H156" s="28" t="s">
        <v>1452</v>
      </c>
      <c r="I156" s="28" t="s">
        <v>1453</v>
      </c>
    </row>
    <row r="157" ht="55.5" spans="1:19">
      <c r="A157" s="28" t="s">
        <v>1449</v>
      </c>
      <c r="B157" s="28" t="s">
        <v>1454</v>
      </c>
      <c r="C157" s="377">
        <v>1</v>
      </c>
      <c r="D157" s="28" t="s">
        <v>1047</v>
      </c>
      <c r="E157" s="28" t="s">
        <v>1048</v>
      </c>
      <c r="F157" s="28" t="str">
        <f>UnitControlCenter!$B$34</f>
        <v>trillion BTU / year</v>
      </c>
      <c r="G157" s="28" t="s">
        <v>1455</v>
      </c>
      <c r="H157" s="28" t="s">
        <v>1452</v>
      </c>
      <c r="I157" s="28" t="s">
        <v>1453</v>
      </c>
    </row>
    <row r="158" ht="55.5" spans="1:19">
      <c r="A158" s="28" t="s">
        <v>1449</v>
      </c>
      <c r="B158" s="28" t="s">
        <v>1456</v>
      </c>
      <c r="C158" s="377">
        <v>1</v>
      </c>
      <c r="D158" s="28" t="s">
        <v>1047</v>
      </c>
      <c r="E158" s="28" t="s">
        <v>1048</v>
      </c>
      <c r="F158" s="28" t="str">
        <f>UnitControlCenter!$B$8</f>
        <v>yi (10^8) 2020 RMB / year</v>
      </c>
      <c r="G158" s="28" t="s">
        <v>1457</v>
      </c>
      <c r="H158" s="28" t="s">
        <v>1452</v>
      </c>
      <c r="I158" s="28" t="s">
        <v>1453</v>
      </c>
    </row>
    <row r="159" ht="69.4" spans="1:19">
      <c r="A159" s="28" t="s">
        <v>1449</v>
      </c>
      <c r="B159" s="28" t="s">
        <v>1458</v>
      </c>
      <c r="C159" s="377">
        <v>1</v>
      </c>
      <c r="D159" s="28" t="s">
        <v>1047</v>
      </c>
      <c r="E159" s="28" t="s">
        <v>1048</v>
      </c>
      <c r="F159" s="28" t="str">
        <f>UnitControlCenter!$B$8</f>
        <v>yi (10^8) 2020 RMB / year</v>
      </c>
      <c r="G159" s="28" t="s">
        <v>1459</v>
      </c>
      <c r="H159" s="28" t="s">
        <v>1452</v>
      </c>
      <c r="I159" s="28" t="s">
        <v>1453</v>
      </c>
    </row>
    <row r="160" ht="41.65" spans="1:19">
      <c r="A160" s="28" t="s">
        <v>1449</v>
      </c>
      <c r="B160" s="28" t="s">
        <v>1460</v>
      </c>
      <c r="C160" s="377">
        <v>1</v>
      </c>
      <c r="D160" s="28" t="s">
        <v>1047</v>
      </c>
      <c r="E160" s="28" t="s">
        <v>1048</v>
      </c>
      <c r="F160" s="28" t="str">
        <f>UnitControlCenter!B3</f>
        <v>10^8 tons / year</v>
      </c>
      <c r="G160" s="28" t="s">
        <v>1461</v>
      </c>
      <c r="H160" s="28" t="s">
        <v>1462</v>
      </c>
      <c r="I160" s="28" t="s">
        <v>1463</v>
      </c>
    </row>
    <row r="161" ht="55.5" spans="1:19">
      <c r="A161" s="28" t="s">
        <v>1449</v>
      </c>
      <c r="B161" s="28" t="s">
        <v>1464</v>
      </c>
      <c r="C161" s="377">
        <v>1</v>
      </c>
      <c r="D161" s="28" t="s">
        <v>1047</v>
      </c>
      <c r="E161" s="28" t="s">
        <v>1048</v>
      </c>
      <c r="F161" s="28" t="str">
        <f>UnitControlCenter!B3</f>
        <v>10^8 tons / year</v>
      </c>
      <c r="G161" s="28" t="s">
        <v>1465</v>
      </c>
      <c r="H161" s="28" t="s">
        <v>1462</v>
      </c>
      <c r="I161" s="28" t="s">
        <v>1463</v>
      </c>
    </row>
    <row r="162" ht="55.5" spans="1:19">
      <c r="A162" s="28" t="s">
        <v>1449</v>
      </c>
      <c r="B162" s="28" t="s">
        <v>1466</v>
      </c>
      <c r="C162" s="377">
        <v>1</v>
      </c>
      <c r="D162" s="28" t="s">
        <v>1047</v>
      </c>
      <c r="E162" s="28" t="s">
        <v>1048</v>
      </c>
      <c r="F162" s="28" t="str">
        <f>UnitControlCenter!$B$34</f>
        <v>trillion BTU / year</v>
      </c>
      <c r="G162" s="28" t="s">
        <v>1467</v>
      </c>
      <c r="H162" s="28" t="s">
        <v>1468</v>
      </c>
      <c r="I162" s="28" t="s">
        <v>1469</v>
      </c>
    </row>
    <row r="163" ht="69.4" spans="1:19">
      <c r="A163" s="28" t="s">
        <v>1449</v>
      </c>
      <c r="B163" s="28" t="s">
        <v>1470</v>
      </c>
      <c r="C163" s="377">
        <v>1</v>
      </c>
      <c r="D163" s="28" t="s">
        <v>1047</v>
      </c>
      <c r="E163" s="28" t="s">
        <v>1048</v>
      </c>
      <c r="F163" s="28" t="str">
        <f>UnitControlCenter!$B$34</f>
        <v>trillion BTU / year</v>
      </c>
      <c r="G163" s="28" t="s">
        <v>1471</v>
      </c>
      <c r="H163" s="28" t="s">
        <v>1468</v>
      </c>
      <c r="I163" s="28" t="s">
        <v>1472</v>
      </c>
    </row>
    <row r="164" ht="69.4" spans="1:19">
      <c r="A164" s="28" t="s">
        <v>1449</v>
      </c>
      <c r="B164" s="28" t="s">
        <v>1473</v>
      </c>
      <c r="C164" s="377">
        <v>1</v>
      </c>
      <c r="D164" s="28" t="s">
        <v>1047</v>
      </c>
      <c r="E164" s="28" t="s">
        <v>1048</v>
      </c>
      <c r="F164" s="28" t="str">
        <f>UnitControlCenter!$B$8</f>
        <v>yi (10^8) 2020 RMB / year</v>
      </c>
      <c r="G164" s="28" t="s">
        <v>1474</v>
      </c>
      <c r="H164" s="28" t="s">
        <v>1468</v>
      </c>
      <c r="I164" s="28" t="s">
        <v>1475</v>
      </c>
    </row>
    <row r="165" ht="83.25" spans="1:19">
      <c r="A165" s="28" t="s">
        <v>1449</v>
      </c>
      <c r="B165" s="28" t="s">
        <v>1476</v>
      </c>
      <c r="C165" s="377">
        <v>1</v>
      </c>
      <c r="D165" s="28" t="s">
        <v>1047</v>
      </c>
      <c r="E165" s="28" t="s">
        <v>1048</v>
      </c>
      <c r="F165" s="28" t="str">
        <f>UnitControlCenter!$B$8</f>
        <v>yi (10^8) 2020 RMB / year</v>
      </c>
      <c r="G165" s="28" t="s">
        <v>1477</v>
      </c>
      <c r="H165" s="28" t="s">
        <v>1468</v>
      </c>
      <c r="I165" s="28" t="s">
        <v>1478</v>
      </c>
    </row>
    <row r="166" ht="97.15" spans="1:19">
      <c r="A166" s="28" t="s">
        <v>1449</v>
      </c>
      <c r="B166" s="28" t="s">
        <v>1479</v>
      </c>
      <c r="C166" s="377">
        <v>1</v>
      </c>
      <c r="D166" s="28" t="s">
        <v>1047</v>
      </c>
      <c r="E166" s="28" t="s">
        <v>1048</v>
      </c>
      <c r="F166" s="28" t="str">
        <f>UnitControlCenter!$B$28</f>
        <v>10^4 tce / yr</v>
      </c>
      <c r="G166" s="28" t="s">
        <v>1480</v>
      </c>
      <c r="H166" s="28" t="s">
        <v>1481</v>
      </c>
      <c r="I166" s="28" t="s">
        <v>1482</v>
      </c>
    </row>
    <row r="167" ht="111" spans="1:19">
      <c r="A167" s="28" t="s">
        <v>1449</v>
      </c>
      <c r="B167" s="28" t="s">
        <v>1483</v>
      </c>
      <c r="C167" s="377">
        <v>1</v>
      </c>
      <c r="D167" s="28" t="s">
        <v>1047</v>
      </c>
      <c r="E167" s="28" t="s">
        <v>1048</v>
      </c>
      <c r="F167" s="28" t="str">
        <f>UnitControlCenter!$B$28</f>
        <v>10^4 tce / yr</v>
      </c>
      <c r="G167" s="28" t="s">
        <v>1484</v>
      </c>
      <c r="H167" s="28" t="s">
        <v>1481</v>
      </c>
      <c r="I167" s="28" t="s">
        <v>1482</v>
      </c>
    </row>
    <row r="168" ht="194.25" spans="1:19">
      <c r="A168" s="28" t="s">
        <v>1449</v>
      </c>
      <c r="B168" s="28" t="s">
        <v>1485</v>
      </c>
      <c r="C168" s="377">
        <v>1</v>
      </c>
      <c r="D168" s="28" t="s">
        <v>1047</v>
      </c>
      <c r="E168" s="28" t="s">
        <v>1048</v>
      </c>
      <c r="F168" s="28" t="str">
        <f>UnitControlCenter!$B$9</f>
        <v>yi (10^8) 2020 RMB</v>
      </c>
      <c r="G168" s="28" t="s">
        <v>1486</v>
      </c>
      <c r="H168" s="28" t="s">
        <v>1487</v>
      </c>
      <c r="I168" s="379" t="s">
        <v>1488</v>
      </c>
    </row>
    <row r="169" ht="221.65" spans="1:19">
      <c r="A169" s="28" t="s">
        <v>1449</v>
      </c>
      <c r="B169" s="28" t="s">
        <v>1489</v>
      </c>
      <c r="C169" s="377">
        <v>1</v>
      </c>
      <c r="D169" s="28" t="s">
        <v>1047</v>
      </c>
      <c r="E169" s="28" t="s">
        <v>1048</v>
      </c>
      <c r="F169" s="28" t="str">
        <f>UnitControlCenter!$B$9</f>
        <v>yi (10^8) 2020 RMB</v>
      </c>
      <c r="G169" s="28" t="s">
        <v>1490</v>
      </c>
      <c r="H169" s="28" t="s">
        <v>1487</v>
      </c>
      <c r="I169" s="379" t="s">
        <v>1491</v>
      </c>
    </row>
    <row r="170" ht="194.25" spans="1:19">
      <c r="A170" s="28" t="s">
        <v>1449</v>
      </c>
      <c r="B170" s="28" t="s">
        <v>1492</v>
      </c>
      <c r="C170" s="377">
        <v>1</v>
      </c>
      <c r="D170" s="28" t="s">
        <v>1047</v>
      </c>
      <c r="E170" s="28" t="s">
        <v>1048</v>
      </c>
      <c r="F170" s="28" t="str">
        <f>UnitControlCenter!$B$9</f>
        <v>yi (10^8) 2020 RMB</v>
      </c>
      <c r="G170" s="28" t="s">
        <v>1493</v>
      </c>
      <c r="H170" s="28" t="s">
        <v>1487</v>
      </c>
      <c r="I170" s="379" t="s">
        <v>1494</v>
      </c>
    </row>
    <row r="171" ht="221.65" spans="1:19">
      <c r="A171" s="28" t="s">
        <v>1449</v>
      </c>
      <c r="B171" s="28" t="s">
        <v>1495</v>
      </c>
      <c r="C171" s="377">
        <v>1</v>
      </c>
      <c r="D171" s="28" t="s">
        <v>1047</v>
      </c>
      <c r="E171" s="28" t="s">
        <v>1048</v>
      </c>
      <c r="F171" s="28" t="str">
        <f>UnitControlCenter!$B$9</f>
        <v>yi (10^8) 2020 RMB</v>
      </c>
      <c r="G171" s="28" t="s">
        <v>1496</v>
      </c>
      <c r="H171" s="28" t="s">
        <v>1487</v>
      </c>
      <c r="I171" s="379" t="s">
        <v>1497</v>
      </c>
    </row>
    <row r="172" ht="194.25" spans="1:19">
      <c r="A172" s="28" t="s">
        <v>1449</v>
      </c>
      <c r="B172" s="28" t="s">
        <v>1498</v>
      </c>
      <c r="C172" s="377">
        <v>1</v>
      </c>
      <c r="D172" s="28" t="s">
        <v>1047</v>
      </c>
      <c r="E172" s="28" t="s">
        <v>1048</v>
      </c>
      <c r="F172" s="28" t="str">
        <f>UnitControlCenter!$B$9</f>
        <v>yi (10^8) 2020 RMB</v>
      </c>
      <c r="G172" s="28" t="s">
        <v>1499</v>
      </c>
      <c r="H172" s="28" t="s">
        <v>1487</v>
      </c>
      <c r="I172" s="379" t="s">
        <v>1500</v>
      </c>
    </row>
    <row r="173" ht="194.25" spans="1:19">
      <c r="A173" s="28" t="s">
        <v>1449</v>
      </c>
      <c r="B173" s="28" t="s">
        <v>1501</v>
      </c>
      <c r="C173" s="377">
        <v>1</v>
      </c>
      <c r="D173" s="28" t="s">
        <v>1047</v>
      </c>
      <c r="E173" s="28" t="s">
        <v>1048</v>
      </c>
      <c r="F173" s="28" t="str">
        <f>UnitControlCenter!$B$9</f>
        <v>yi (10^8) 2020 RMB</v>
      </c>
      <c r="G173" s="28" t="s">
        <v>1502</v>
      </c>
      <c r="H173" s="28" t="s">
        <v>1487</v>
      </c>
      <c r="I173" s="379" t="s">
        <v>1503</v>
      </c>
    </row>
    <row r="174" ht="235.5" spans="1:19">
      <c r="A174" s="28" t="s">
        <v>1449</v>
      </c>
      <c r="B174" s="28" t="s">
        <v>1504</v>
      </c>
      <c r="C174" s="377">
        <v>1</v>
      </c>
      <c r="D174" s="28" t="s">
        <v>1047</v>
      </c>
      <c r="E174" s="28" t="s">
        <v>1048</v>
      </c>
      <c r="F174" s="28" t="str">
        <f>UnitControlCenter!$B$9</f>
        <v>yi (10^8) 2020 RMB</v>
      </c>
      <c r="G174" s="28" t="s">
        <v>1505</v>
      </c>
      <c r="H174" s="28" t="s">
        <v>1487</v>
      </c>
      <c r="I174" s="379" t="s">
        <v>1506</v>
      </c>
    </row>
    <row r="175" ht="264" spans="1:19">
      <c r="A175" s="371" t="s">
        <v>1449</v>
      </c>
      <c r="B175" s="371" t="s">
        <v>1507</v>
      </c>
      <c r="C175" s="378">
        <v>1</v>
      </c>
      <c r="D175" s="371" t="s">
        <v>1047</v>
      </c>
      <c r="E175" s="371" t="s">
        <v>1048</v>
      </c>
      <c r="F175" s="371" t="str">
        <f>UnitControlCenter!$B$9</f>
        <v>yi (10^8) 2020 RMB</v>
      </c>
      <c r="G175" s="371" t="s">
        <v>1508</v>
      </c>
      <c r="H175" s="28" t="s">
        <v>1487</v>
      </c>
      <c r="I175" s="380" t="s">
        <v>1509</v>
      </c>
      <c r="J175" s="371"/>
      <c r="K175" s="371"/>
      <c r="L175" s="371"/>
      <c r="M175" s="371"/>
      <c r="N175" s="371"/>
      <c r="O175" s="371"/>
      <c r="P175" s="371"/>
      <c r="Q175" s="371"/>
      <c r="R175" s="371"/>
      <c r="S175" s="371"/>
    </row>
    <row r="176" ht="69.4" spans="1:19">
      <c r="A176" s="28" t="s">
        <v>1510</v>
      </c>
      <c r="B176" s="28" t="s">
        <v>851</v>
      </c>
      <c r="C176" s="377">
        <v>1</v>
      </c>
      <c r="D176" s="28" t="s">
        <v>1047</v>
      </c>
      <c r="E176" s="28" t="s">
        <v>1293</v>
      </c>
      <c r="F176" s="28" t="str">
        <f>UnitControlCenter!$B$20</f>
        <v>2020 RMB / MWh</v>
      </c>
      <c r="G176" s="28" t="s">
        <v>1511</v>
      </c>
      <c r="H176" s="28" t="s">
        <v>1512</v>
      </c>
      <c r="I176" s="28" t="s">
        <v>1513</v>
      </c>
    </row>
    <row r="177" ht="41.65" spans="1:19">
      <c r="A177" s="28" t="s">
        <v>1510</v>
      </c>
      <c r="B177" s="28" t="s">
        <v>702</v>
      </c>
      <c r="C177" s="377">
        <v>1</v>
      </c>
      <c r="D177" s="28" t="s">
        <v>1047</v>
      </c>
      <c r="E177" s="28" t="s">
        <v>1293</v>
      </c>
      <c r="F177" s="28" t="str">
        <f>UnitControlCenter!$B$35</f>
        <v>2020 RMB / ton</v>
      </c>
      <c r="G177" s="28" t="s">
        <v>1514</v>
      </c>
      <c r="H177" s="28" t="s">
        <v>1515</v>
      </c>
      <c r="I177" s="28" t="s">
        <v>1516</v>
      </c>
    </row>
    <row r="178" ht="13.9" spans="1:19">
      <c r="A178" s="28" t="s">
        <v>1510</v>
      </c>
      <c r="B178" s="28" t="s">
        <v>1517</v>
      </c>
      <c r="C178" s="377">
        <v>1</v>
      </c>
      <c r="D178" s="28" t="s">
        <v>1047</v>
      </c>
      <c r="E178" s="28" t="s">
        <v>1293</v>
      </c>
      <c r="F178" s="28" t="str">
        <f>UnitControlCenter!$B$35</f>
        <v>2020 RMB / ton</v>
      </c>
      <c r="G178" s="28" t="s">
        <v>1518</v>
      </c>
      <c r="H178" s="28" t="s">
        <v>841</v>
      </c>
      <c r="I178" s="28" t="s">
        <v>1519</v>
      </c>
    </row>
    <row r="179" ht="83.25" spans="1:19">
      <c r="A179" s="28" t="s">
        <v>1510</v>
      </c>
      <c r="B179" s="28" t="s">
        <v>825</v>
      </c>
      <c r="C179" s="377">
        <v>1</v>
      </c>
      <c r="D179" s="28" t="s">
        <v>1047</v>
      </c>
      <c r="E179" s="28" t="s">
        <v>1293</v>
      </c>
      <c r="F179" s="28" t="str">
        <f>UnitControlCenter!$B$36</f>
        <v>2020 RMB / 10^3 cubic meters</v>
      </c>
      <c r="G179" s="28" t="s">
        <v>1520</v>
      </c>
      <c r="H179" s="28" t="s">
        <v>1521</v>
      </c>
      <c r="I179" s="28" t="s">
        <v>1522</v>
      </c>
    </row>
    <row r="180" ht="13.9" spans="1:19">
      <c r="A180" s="28" t="s">
        <v>1510</v>
      </c>
      <c r="B180" s="28" t="s">
        <v>827</v>
      </c>
      <c r="C180" s="377">
        <v>1</v>
      </c>
      <c r="D180" s="28" t="s">
        <v>1047</v>
      </c>
      <c r="E180" s="28" t="s">
        <v>1293</v>
      </c>
      <c r="F180" s="28" t="str">
        <f>UnitControlCenter!$B$37</f>
        <v>2020 RMB / ton</v>
      </c>
      <c r="G180" s="28" t="s">
        <v>1523</v>
      </c>
      <c r="H180" s="28" t="s">
        <v>839</v>
      </c>
      <c r="I180" s="377">
        <v>969696</v>
      </c>
    </row>
    <row r="181" ht="69.4" spans="1:19">
      <c r="A181" s="28" t="s">
        <v>1510</v>
      </c>
      <c r="B181" s="28" t="s">
        <v>829</v>
      </c>
      <c r="C181" s="377">
        <v>1</v>
      </c>
      <c r="D181" s="28" t="s">
        <v>1047</v>
      </c>
      <c r="E181" s="28" t="s">
        <v>1293</v>
      </c>
      <c r="F181" s="28" t="str">
        <f>UnitControlCenter!$B$37</f>
        <v>2020 RMB / ton</v>
      </c>
      <c r="G181" s="28" t="s">
        <v>1524</v>
      </c>
      <c r="H181" s="28" t="s">
        <v>1525</v>
      </c>
      <c r="I181" s="28" t="s">
        <v>1522</v>
      </c>
    </row>
    <row r="182" ht="55.5" spans="1:19">
      <c r="A182" s="28" t="s">
        <v>1510</v>
      </c>
      <c r="B182" s="28" t="s">
        <v>716</v>
      </c>
      <c r="C182" s="377">
        <v>1</v>
      </c>
      <c r="D182" s="28" t="s">
        <v>1047</v>
      </c>
      <c r="E182" s="28" t="s">
        <v>1293</v>
      </c>
      <c r="F182" s="28" t="str">
        <f>UnitControlCenter!$B$35</f>
        <v>2020 RMB / ton</v>
      </c>
      <c r="G182" s="28" t="s">
        <v>1526</v>
      </c>
      <c r="H182" s="28" t="s">
        <v>1527</v>
      </c>
      <c r="I182" s="28" t="s">
        <v>1528</v>
      </c>
    </row>
    <row r="183" ht="55.5" spans="1:19">
      <c r="A183" s="28" t="s">
        <v>1510</v>
      </c>
      <c r="B183" s="28" t="s">
        <v>730</v>
      </c>
      <c r="C183" s="377">
        <v>1</v>
      </c>
      <c r="D183" s="28" t="s">
        <v>1047</v>
      </c>
      <c r="E183" s="28" t="s">
        <v>1293</v>
      </c>
      <c r="F183" s="28" t="str">
        <f>UnitControlCenter!$B$38</f>
        <v>2020 RMB / ton</v>
      </c>
      <c r="G183" s="28" t="s">
        <v>1529</v>
      </c>
      <c r="H183" s="28" t="s">
        <v>1530</v>
      </c>
      <c r="I183" s="28" t="s">
        <v>1531</v>
      </c>
    </row>
    <row r="184" ht="55.5" spans="1:19">
      <c r="A184" s="28" t="s">
        <v>1510</v>
      </c>
      <c r="B184" s="28" t="s">
        <v>1532</v>
      </c>
      <c r="C184" s="377">
        <v>1</v>
      </c>
      <c r="D184" s="28" t="s">
        <v>1047</v>
      </c>
      <c r="E184" s="28" t="s">
        <v>1293</v>
      </c>
      <c r="F184" s="28" t="str">
        <f>UnitControlCenter!$B$37</f>
        <v>2020 RMB / ton</v>
      </c>
      <c r="G184" s="28" t="s">
        <v>1533</v>
      </c>
      <c r="H184" s="28" t="s">
        <v>1534</v>
      </c>
      <c r="I184" s="28" t="s">
        <v>1535</v>
      </c>
    </row>
    <row r="185" ht="28.5" spans="1:19">
      <c r="A185" s="371" t="s">
        <v>1510</v>
      </c>
      <c r="B185" s="371" t="s">
        <v>867</v>
      </c>
      <c r="C185" s="378">
        <v>1</v>
      </c>
      <c r="D185" s="371" t="s">
        <v>1047</v>
      </c>
      <c r="E185" s="371" t="s">
        <v>1293</v>
      </c>
      <c r="F185" s="371" t="str">
        <f>UnitControlCenter!$B$39</f>
        <v>2020 RMB / kg</v>
      </c>
      <c r="G185" s="371" t="s">
        <v>1536</v>
      </c>
      <c r="H185" s="371" t="s">
        <v>1537</v>
      </c>
      <c r="I185" s="371" t="s">
        <v>1538</v>
      </c>
      <c r="J185" s="371"/>
      <c r="K185" s="371"/>
      <c r="L185" s="371"/>
      <c r="M185" s="371"/>
      <c r="N185" s="371"/>
      <c r="O185" s="371"/>
      <c r="P185" s="371"/>
      <c r="Q185" s="371"/>
      <c r="R185" s="371"/>
      <c r="S185" s="371"/>
    </row>
    <row r="186" ht="13.9" spans="1:19">
      <c r="A186" s="28" t="s">
        <v>1539</v>
      </c>
      <c r="B186" s="28" t="s">
        <v>1540</v>
      </c>
      <c r="C186" s="377">
        <v>1</v>
      </c>
      <c r="D186" s="28" t="s">
        <v>1041</v>
      </c>
      <c r="E186" s="28" t="s">
        <v>1042</v>
      </c>
      <c r="F186" s="28" t="str">
        <f>UnitControlCenter!$B$40</f>
        <v>2020 RMB / kilowatt-hour (kWh)</v>
      </c>
      <c r="G186" s="28" t="s">
        <v>1541</v>
      </c>
    </row>
    <row r="187" ht="27.75" spans="1:19">
      <c r="A187" s="28" t="s">
        <v>1539</v>
      </c>
      <c r="B187" s="28" t="s">
        <v>1542</v>
      </c>
      <c r="C187" s="377">
        <v>1</v>
      </c>
      <c r="D187" s="28" t="s">
        <v>1047</v>
      </c>
      <c r="E187" s="28" t="s">
        <v>1042</v>
      </c>
      <c r="F187" s="28" t="str">
        <f>UnitControlCenter!$B$41</f>
        <v>cost of eqpt. to capture 1 metric ton CO2e/yr (2020 RMB)</v>
      </c>
      <c r="G187" s="28" t="s">
        <v>1543</v>
      </c>
      <c r="H187" s="28" t="s">
        <v>1544</v>
      </c>
      <c r="I187" s="28" t="s">
        <v>1545</v>
      </c>
    </row>
    <row r="188" ht="13.9" spans="1:19">
      <c r="A188" s="28" t="s">
        <v>1539</v>
      </c>
      <c r="B188" s="28" t="s">
        <v>1546</v>
      </c>
      <c r="C188" s="377">
        <v>1</v>
      </c>
      <c r="D188" s="28" t="s">
        <v>1041</v>
      </c>
      <c r="E188" s="28" t="s">
        <v>1042</v>
      </c>
      <c r="F188" s="28" t="str">
        <f>UnitControlCenter!$B$42</f>
        <v>10^4 2020 RMB / megawatt (MW)</v>
      </c>
      <c r="G188" s="28" t="s">
        <v>1547</v>
      </c>
    </row>
    <row r="189" ht="13.9" spans="1:19">
      <c r="A189" s="28" t="s">
        <v>1539</v>
      </c>
      <c r="B189" s="28" t="s">
        <v>1548</v>
      </c>
      <c r="C189" s="377">
        <v>1</v>
      </c>
      <c r="D189" s="28" t="s">
        <v>1041</v>
      </c>
      <c r="E189" s="28" t="s">
        <v>1042</v>
      </c>
      <c r="F189" s="28" t="str">
        <f>UnitControlCenter!$B$42</f>
        <v>10^4 2020 RMB / megawatt (MW)</v>
      </c>
      <c r="G189" s="28" t="s">
        <v>1549</v>
      </c>
    </row>
    <row r="190" ht="13.9" spans="1:19">
      <c r="A190" s="28" t="s">
        <v>1539</v>
      </c>
      <c r="B190" s="28" t="s">
        <v>1550</v>
      </c>
      <c r="C190" s="377">
        <v>1</v>
      </c>
      <c r="D190" s="28" t="s">
        <v>1041</v>
      </c>
      <c r="E190" s="28" t="s">
        <v>1042</v>
      </c>
      <c r="F190" s="28" t="str">
        <f>UnitControlCenter!$B$42</f>
        <v>10^4 2020 RMB / megawatt (MW)</v>
      </c>
      <c r="G190" s="28" t="s">
        <v>1551</v>
      </c>
    </row>
    <row r="191" ht="28.5" spans="1:19">
      <c r="A191" s="371" t="s">
        <v>1539</v>
      </c>
      <c r="B191" s="371" t="s">
        <v>1552</v>
      </c>
      <c r="C191" s="378">
        <v>1</v>
      </c>
      <c r="D191" s="371" t="s">
        <v>1041</v>
      </c>
      <c r="E191" s="371" t="s">
        <v>1042</v>
      </c>
      <c r="F191" s="371" t="str">
        <f>UnitControlCenter!$B$43</f>
        <v>cost of eqpt. to produce 1 kg H2/yr (2020 RMB)</v>
      </c>
      <c r="G191" s="371" t="s">
        <v>1553</v>
      </c>
      <c r="H191" s="371"/>
      <c r="I191" s="371"/>
      <c r="J191" s="371"/>
      <c r="K191" s="371"/>
      <c r="L191" s="371"/>
      <c r="M191" s="371"/>
      <c r="N191" s="371"/>
      <c r="O191" s="371"/>
      <c r="P191" s="371"/>
      <c r="Q191" s="371"/>
      <c r="R191" s="371"/>
      <c r="S191" s="371"/>
    </row>
  </sheetData>
  <conditionalFormatting sqref="C2:C191">
    <cfRule type="cellIs" dxfId="1" priority="1" operator="equal">
      <formula>0</formula>
    </cfRule>
    <cfRule type="cellIs" dxfId="3" priority="2" operator="equal">
      <formula>1</formula>
    </cfRule>
  </conditionalFormatting>
  <pageMargins left="0.7" right="0.7" top="0.75" bottom="0.75" header="0.3" footer="0.3"/>
  <pageSetup paperSize="1" orientation="portrait" horizontalDpi="1200" verticalDpi="1200"/>
  <headerFooter/>
  <ignoredErrors>
    <ignoredError sqref="F7 F31 F101 F153 F24 F113 F47 F84 F61 F64 F44 F49:F55" 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E276"/>
  <sheetViews>
    <sheetView workbookViewId="0">
      <selection activeCell="A1" sqref="A1"/>
    </sheetView>
  </sheetViews>
  <sheetFormatPr defaultColWidth="8.85840707964602" defaultRowHeight="13.85" outlineLevelCol="4"/>
  <cols>
    <col min="1" max="1" width="13.4247787610619" customWidth="1"/>
    <col min="2" max="2" width="8.85840707964602" style="30"/>
    <col min="4" max="4" width="46" customWidth="1"/>
  </cols>
  <sheetData>
    <row r="1" spans="1:4">
      <c r="A1" s="59" t="s">
        <v>1554</v>
      </c>
      <c r="B1" s="343"/>
      <c r="C1" s="339"/>
      <c r="D1" s="339"/>
    </row>
    <row r="2" spans="1:4">
      <c r="A2" s="18" t="s">
        <v>1555</v>
      </c>
      <c r="B2" s="344" t="s">
        <v>1556</v>
      </c>
      <c r="C2" s="18" t="s">
        <v>1557</v>
      </c>
      <c r="D2" s="18" t="s">
        <v>1558</v>
      </c>
    </row>
    <row r="3" spans="1:4">
      <c r="A3" t="s">
        <v>1559</v>
      </c>
      <c r="B3" s="30" t="s">
        <v>1560</v>
      </c>
      <c r="C3" s="345"/>
      <c r="D3" t="s">
        <v>718</v>
      </c>
    </row>
    <row r="4" spans="1:4">
      <c r="A4" t="s">
        <v>1561</v>
      </c>
      <c r="B4" s="433" t="s">
        <v>1562</v>
      </c>
      <c r="C4" s="346"/>
      <c r="D4" t="s">
        <v>716</v>
      </c>
    </row>
    <row r="5" spans="1:4">
      <c r="A5" t="s">
        <v>1563</v>
      </c>
      <c r="B5" s="30" t="s">
        <v>1564</v>
      </c>
      <c r="C5" s="347"/>
      <c r="D5" t="s">
        <v>714</v>
      </c>
    </row>
    <row r="6" spans="1:4">
      <c r="A6" t="s">
        <v>1565</v>
      </c>
      <c r="B6" s="30" t="s">
        <v>1519</v>
      </c>
      <c r="C6" s="348"/>
      <c r="D6" t="s">
        <v>1566</v>
      </c>
    </row>
    <row r="7" spans="1:4">
      <c r="A7" t="s">
        <v>1567</v>
      </c>
      <c r="B7" s="30" t="s">
        <v>1568</v>
      </c>
      <c r="C7" s="349"/>
      <c r="D7" t="s">
        <v>1569</v>
      </c>
    </row>
    <row r="8" spans="1:4">
      <c r="A8" t="s">
        <v>1570</v>
      </c>
      <c r="B8" s="30" t="s">
        <v>1571</v>
      </c>
      <c r="C8" s="350"/>
      <c r="D8" t="s">
        <v>710</v>
      </c>
    </row>
    <row r="9" spans="1:4">
      <c r="A9" t="s">
        <v>1572</v>
      </c>
      <c r="B9" s="30" t="s">
        <v>1573</v>
      </c>
      <c r="C9" s="351"/>
      <c r="D9" t="s">
        <v>726</v>
      </c>
    </row>
    <row r="10" spans="1:4">
      <c r="A10" t="s">
        <v>1574</v>
      </c>
      <c r="B10" s="434" t="s">
        <v>1575</v>
      </c>
      <c r="C10" s="353"/>
      <c r="D10" t="s">
        <v>708</v>
      </c>
    </row>
    <row r="11" spans="1:4">
      <c r="A11" t="s">
        <v>1576</v>
      </c>
      <c r="B11" s="30" t="s">
        <v>1577</v>
      </c>
      <c r="C11" s="354"/>
      <c r="D11" t="s">
        <v>706</v>
      </c>
    </row>
    <row r="12" spans="1:4">
      <c r="A12" t="s">
        <v>1578</v>
      </c>
      <c r="B12" s="433" t="s">
        <v>1579</v>
      </c>
      <c r="C12" s="355"/>
      <c r="D12" t="s">
        <v>1580</v>
      </c>
    </row>
    <row r="13" spans="1:4">
      <c r="A13" t="s">
        <v>1581</v>
      </c>
      <c r="B13" s="30" t="s">
        <v>1582</v>
      </c>
      <c r="C13" s="356"/>
      <c r="D13" t="s">
        <v>732</v>
      </c>
    </row>
    <row r="14" spans="1:4">
      <c r="A14" t="s">
        <v>1583</v>
      </c>
      <c r="B14" s="433" t="s">
        <v>1584</v>
      </c>
      <c r="C14" s="357"/>
      <c r="D14" t="s">
        <v>720</v>
      </c>
    </row>
    <row r="15" spans="1:4">
      <c r="A15" t="s">
        <v>1585</v>
      </c>
      <c r="B15" s="433" t="s">
        <v>1586</v>
      </c>
      <c r="C15" s="358"/>
      <c r="D15" t="s">
        <v>730</v>
      </c>
    </row>
    <row r="16" spans="1:4">
      <c r="A16" t="s">
        <v>1587</v>
      </c>
      <c r="B16" s="30">
        <v>740000</v>
      </c>
      <c r="C16" s="359"/>
      <c r="D16" t="s">
        <v>728</v>
      </c>
    </row>
    <row r="17" spans="1:4">
      <c r="A17" t="s">
        <v>1588</v>
      </c>
      <c r="B17" s="30" t="s">
        <v>1589</v>
      </c>
      <c r="C17" s="360"/>
      <c r="D17" t="s">
        <v>722</v>
      </c>
    </row>
    <row r="18" spans="1:4">
      <c r="A18" t="s">
        <v>1590</v>
      </c>
      <c r="B18" s="433" t="s">
        <v>1591</v>
      </c>
      <c r="C18" s="361"/>
      <c r="D18" t="s">
        <v>704</v>
      </c>
    </row>
    <row r="19" spans="1:4">
      <c r="A19" t="s">
        <v>1592</v>
      </c>
      <c r="B19" s="30" t="s">
        <v>1593</v>
      </c>
      <c r="C19" s="362"/>
      <c r="D19" t="s">
        <v>724</v>
      </c>
    </row>
    <row r="20" spans="1:4">
      <c r="A20" t="s">
        <v>1594</v>
      </c>
      <c r="B20" s="433" t="s">
        <v>1595</v>
      </c>
      <c r="C20" s="363"/>
      <c r="D20" t="s">
        <v>702</v>
      </c>
    </row>
    <row r="21" spans="1:4">
      <c r="A21" t="s">
        <v>1596</v>
      </c>
      <c r="B21" s="30" t="s">
        <v>1597</v>
      </c>
      <c r="C21" s="364"/>
      <c r="D21" t="s">
        <v>1598</v>
      </c>
    </row>
    <row r="23" spans="1:4">
      <c r="A23" s="59" t="s">
        <v>1599</v>
      </c>
      <c r="B23" s="343"/>
      <c r="C23" s="339"/>
      <c r="D23" s="339"/>
    </row>
    <row r="24" s="18" customFormat="1" spans="1:4">
      <c r="A24" s="18" t="s">
        <v>1555</v>
      </c>
      <c r="B24" s="344" t="s">
        <v>1556</v>
      </c>
      <c r="C24" s="18" t="s">
        <v>1557</v>
      </c>
      <c r="D24" s="18" t="s">
        <v>1600</v>
      </c>
    </row>
    <row r="25" spans="1:4">
      <c r="A25" t="s">
        <v>1572</v>
      </c>
      <c r="B25" s="30" t="s">
        <v>1573</v>
      </c>
      <c r="C25" s="351"/>
      <c r="D25" t="s">
        <v>1601</v>
      </c>
    </row>
    <row r="26" spans="1:4">
      <c r="A26" t="s">
        <v>1574</v>
      </c>
      <c r="B26" s="434" t="s">
        <v>1575</v>
      </c>
      <c r="C26" s="353"/>
      <c r="D26" t="s">
        <v>1602</v>
      </c>
    </row>
    <row r="27" spans="1:4">
      <c r="A27" t="s">
        <v>1590</v>
      </c>
      <c r="B27" s="30" t="s">
        <v>1591</v>
      </c>
      <c r="C27" s="361"/>
      <c r="D27" t="s">
        <v>58</v>
      </c>
    </row>
    <row r="28" spans="1:4">
      <c r="A28" t="s">
        <v>1565</v>
      </c>
      <c r="B28" s="30" t="s">
        <v>1519</v>
      </c>
      <c r="C28" s="348"/>
      <c r="D28" t="s">
        <v>851</v>
      </c>
    </row>
    <row r="29" spans="1:4">
      <c r="A29" t="s">
        <v>1594</v>
      </c>
      <c r="B29" s="30">
        <v>969696</v>
      </c>
      <c r="C29" s="363"/>
      <c r="D29" t="s">
        <v>333</v>
      </c>
    </row>
    <row r="30" spans="1:4">
      <c r="A30" t="s">
        <v>1561</v>
      </c>
      <c r="B30" s="30" t="s">
        <v>1562</v>
      </c>
      <c r="C30" s="346"/>
      <c r="D30" t="s">
        <v>1070</v>
      </c>
    </row>
    <row r="31" spans="1:4">
      <c r="A31" t="s">
        <v>1576</v>
      </c>
      <c r="B31" s="30" t="s">
        <v>1577</v>
      </c>
      <c r="C31" s="354"/>
      <c r="D31" t="s">
        <v>1062</v>
      </c>
    </row>
    <row r="32" spans="1:4">
      <c r="A32" t="s">
        <v>1588</v>
      </c>
      <c r="B32" s="30" t="s">
        <v>1589</v>
      </c>
      <c r="C32" s="360"/>
      <c r="D32" t="s">
        <v>1073</v>
      </c>
    </row>
    <row r="33" spans="1:4">
      <c r="A33" t="s">
        <v>1559</v>
      </c>
      <c r="B33" s="30" t="s">
        <v>1560</v>
      </c>
      <c r="C33" s="365"/>
      <c r="D33" t="s">
        <v>1066</v>
      </c>
    </row>
    <row r="34" spans="1:4">
      <c r="A34" t="s">
        <v>1585</v>
      </c>
      <c r="B34" s="433" t="s">
        <v>1586</v>
      </c>
      <c r="C34" s="358"/>
      <c r="D34" t="s">
        <v>1603</v>
      </c>
    </row>
    <row r="36" spans="1:4">
      <c r="A36" s="59" t="s">
        <v>1604</v>
      </c>
      <c r="B36" s="343"/>
      <c r="C36" s="339"/>
      <c r="D36" s="339"/>
    </row>
    <row r="37" spans="1:4">
      <c r="A37" s="18" t="s">
        <v>1555</v>
      </c>
      <c r="B37" s="344" t="s">
        <v>1556</v>
      </c>
      <c r="C37" s="18" t="s">
        <v>1557</v>
      </c>
      <c r="D37" s="18" t="s">
        <v>1558</v>
      </c>
    </row>
    <row r="38" spans="1:4">
      <c r="A38" t="s">
        <v>1590</v>
      </c>
      <c r="B38" s="433" t="s">
        <v>1591</v>
      </c>
      <c r="C38" s="361"/>
      <c r="D38" t="s">
        <v>1605</v>
      </c>
    </row>
    <row r="39" spans="1:4">
      <c r="A39" t="s">
        <v>1594</v>
      </c>
      <c r="B39" s="30">
        <v>969696</v>
      </c>
      <c r="C39" s="363"/>
      <c r="D39" t="s">
        <v>790</v>
      </c>
    </row>
    <row r="40" spans="1:4">
      <c r="A40" t="s">
        <v>1561</v>
      </c>
      <c r="B40" s="30" t="s">
        <v>1562</v>
      </c>
      <c r="C40" s="346"/>
      <c r="D40" t="s">
        <v>1606</v>
      </c>
    </row>
    <row r="41" spans="1:4">
      <c r="A41" t="s">
        <v>1585</v>
      </c>
      <c r="B41" s="433" t="s">
        <v>1586</v>
      </c>
      <c r="C41" s="358"/>
      <c r="D41" t="s">
        <v>1607</v>
      </c>
    </row>
    <row r="43" spans="1:4">
      <c r="A43" s="59" t="s">
        <v>1608</v>
      </c>
      <c r="B43" s="343"/>
      <c r="C43" s="339"/>
      <c r="D43" s="339"/>
    </row>
    <row r="44" spans="1:4">
      <c r="A44" s="18" t="s">
        <v>1555</v>
      </c>
      <c r="B44" s="344" t="s">
        <v>1556</v>
      </c>
      <c r="C44" s="18" t="s">
        <v>1557</v>
      </c>
      <c r="D44" s="18" t="s">
        <v>1558</v>
      </c>
    </row>
    <row r="45" spans="1:4">
      <c r="A45" t="s">
        <v>1561</v>
      </c>
      <c r="B45" s="30" t="s">
        <v>1562</v>
      </c>
      <c r="C45" s="346"/>
      <c r="D45" t="s">
        <v>659</v>
      </c>
    </row>
    <row r="46" spans="1:4">
      <c r="A46" t="s">
        <v>1583</v>
      </c>
      <c r="B46" s="433" t="s">
        <v>1584</v>
      </c>
      <c r="C46" s="357"/>
      <c r="D46" t="s">
        <v>1609</v>
      </c>
    </row>
    <row r="47" spans="1:4">
      <c r="A47" t="s">
        <v>1590</v>
      </c>
      <c r="B47" s="433" t="s">
        <v>1591</v>
      </c>
      <c r="C47" s="361"/>
      <c r="D47" t="s">
        <v>657</v>
      </c>
    </row>
    <row r="48" spans="1:4">
      <c r="A48" t="s">
        <v>1594</v>
      </c>
      <c r="B48" s="433" t="s">
        <v>1595</v>
      </c>
      <c r="C48" s="363"/>
      <c r="D48" t="s">
        <v>1076</v>
      </c>
    </row>
    <row r="50" spans="1:4">
      <c r="A50" s="59" t="s">
        <v>1610</v>
      </c>
      <c r="B50" s="343"/>
      <c r="C50" s="339"/>
      <c r="D50" s="339"/>
    </row>
    <row r="51" spans="1:4">
      <c r="A51" s="18" t="s">
        <v>1555</v>
      </c>
      <c r="B51" s="344" t="s">
        <v>1556</v>
      </c>
      <c r="C51" s="18" t="s">
        <v>1557</v>
      </c>
      <c r="D51" s="18" t="s">
        <v>1558</v>
      </c>
    </row>
    <row r="52" spans="1:4">
      <c r="A52" t="s">
        <v>1590</v>
      </c>
      <c r="B52" s="433" t="s">
        <v>1591</v>
      </c>
      <c r="C52" s="361"/>
      <c r="D52" t="s">
        <v>1611</v>
      </c>
    </row>
    <row r="53" spans="1:4">
      <c r="A53" t="s">
        <v>1572</v>
      </c>
      <c r="B53" s="30" t="s">
        <v>1573</v>
      </c>
      <c r="C53" s="351"/>
      <c r="D53" t="s">
        <v>1612</v>
      </c>
    </row>
    <row r="54" spans="1:4">
      <c r="A54" t="s">
        <v>1565</v>
      </c>
      <c r="B54" s="30" t="s">
        <v>1519</v>
      </c>
      <c r="C54" s="348"/>
      <c r="D54" t="s">
        <v>1613</v>
      </c>
    </row>
    <row r="55" spans="1:4">
      <c r="A55" t="s">
        <v>1561</v>
      </c>
      <c r="B55" s="433" t="s">
        <v>1562</v>
      </c>
      <c r="C55" s="346"/>
      <c r="D55" t="s">
        <v>1614</v>
      </c>
    </row>
    <row r="56" spans="1:4">
      <c r="A56" t="s">
        <v>1583</v>
      </c>
      <c r="B56" s="433" t="s">
        <v>1584</v>
      </c>
      <c r="C56" s="357"/>
      <c r="D56" t="s">
        <v>1115</v>
      </c>
    </row>
    <row r="58" spans="1:4">
      <c r="A58" s="59" t="s">
        <v>1615</v>
      </c>
      <c r="B58" s="343"/>
      <c r="C58" s="339"/>
      <c r="D58" s="339"/>
    </row>
    <row r="59" spans="1:4">
      <c r="A59" s="18" t="s">
        <v>1555</v>
      </c>
      <c r="B59" s="344" t="s">
        <v>1556</v>
      </c>
      <c r="C59" s="18" t="s">
        <v>1557</v>
      </c>
      <c r="D59" s="18" t="s">
        <v>1558</v>
      </c>
    </row>
    <row r="60" spans="1:4">
      <c r="A60" t="s">
        <v>1572</v>
      </c>
      <c r="B60" s="30" t="s">
        <v>1573</v>
      </c>
      <c r="C60" s="351"/>
      <c r="D60" t="s">
        <v>1616</v>
      </c>
    </row>
    <row r="61" spans="1:4">
      <c r="A61" t="s">
        <v>1590</v>
      </c>
      <c r="B61" s="433" t="s">
        <v>1591</v>
      </c>
      <c r="C61" s="361"/>
      <c r="D61" t="s">
        <v>1617</v>
      </c>
    </row>
    <row r="62" spans="1:4">
      <c r="A62" t="s">
        <v>1559</v>
      </c>
      <c r="B62" s="30" t="s">
        <v>1560</v>
      </c>
      <c r="C62" s="365"/>
      <c r="D62" t="s">
        <v>1618</v>
      </c>
    </row>
    <row r="63" spans="1:4">
      <c r="A63" t="s">
        <v>1596</v>
      </c>
      <c r="B63" s="30" t="s">
        <v>1597</v>
      </c>
      <c r="C63" s="364"/>
      <c r="D63" t="s">
        <v>1619</v>
      </c>
    </row>
    <row r="64" spans="1:4">
      <c r="A64" t="s">
        <v>1588</v>
      </c>
      <c r="B64" s="30" t="s">
        <v>1589</v>
      </c>
      <c r="C64" s="360"/>
      <c r="D64" t="s">
        <v>1620</v>
      </c>
    </row>
    <row r="66" spans="1:4">
      <c r="A66" s="59" t="s">
        <v>1621</v>
      </c>
      <c r="B66" s="343"/>
      <c r="C66" s="339"/>
      <c r="D66" s="339"/>
    </row>
    <row r="67" spans="1:4">
      <c r="A67" s="18" t="s">
        <v>1555</v>
      </c>
      <c r="B67" s="344" t="s">
        <v>1556</v>
      </c>
      <c r="C67" s="18" t="s">
        <v>1557</v>
      </c>
      <c r="D67" s="18" t="s">
        <v>1558</v>
      </c>
    </row>
    <row r="68" spans="1:4">
      <c r="A68" t="s">
        <v>1585</v>
      </c>
      <c r="B68" s="433" t="s">
        <v>1586</v>
      </c>
      <c r="C68" s="358"/>
      <c r="D68" t="s">
        <v>607</v>
      </c>
    </row>
    <row r="69" spans="1:4">
      <c r="A69" t="s">
        <v>1572</v>
      </c>
      <c r="B69" s="30" t="s">
        <v>1573</v>
      </c>
      <c r="C69" s="351"/>
      <c r="D69" t="s">
        <v>613</v>
      </c>
    </row>
    <row r="70" spans="1:4">
      <c r="A70" t="s">
        <v>1588</v>
      </c>
      <c r="B70" s="30" t="s">
        <v>1589</v>
      </c>
      <c r="C70" s="360"/>
      <c r="D70" t="s">
        <v>98</v>
      </c>
    </row>
    <row r="71" spans="1:4">
      <c r="A71" t="s">
        <v>1576</v>
      </c>
      <c r="B71" s="30" t="s">
        <v>1577</v>
      </c>
      <c r="C71" s="354"/>
      <c r="D71" t="s">
        <v>618</v>
      </c>
    </row>
    <row r="72" spans="1:4">
      <c r="A72" t="s">
        <v>1565</v>
      </c>
      <c r="B72" s="30" t="s">
        <v>1519</v>
      </c>
      <c r="C72" s="348"/>
      <c r="D72" t="s">
        <v>621</v>
      </c>
    </row>
    <row r="73" spans="1:4">
      <c r="A73" t="s">
        <v>1594</v>
      </c>
      <c r="B73" s="433" t="s">
        <v>1595</v>
      </c>
      <c r="C73" s="363"/>
      <c r="D73" t="s">
        <v>174</v>
      </c>
    </row>
    <row r="74" spans="1:4">
      <c r="A74" t="s">
        <v>1590</v>
      </c>
      <c r="B74" s="433" t="s">
        <v>1591</v>
      </c>
      <c r="C74" s="361"/>
      <c r="D74" t="s">
        <v>626</v>
      </c>
    </row>
    <row r="75" spans="1:4">
      <c r="A75" t="s">
        <v>1561</v>
      </c>
      <c r="B75" s="433" t="s">
        <v>1562</v>
      </c>
      <c r="C75" s="346"/>
      <c r="D75" t="s">
        <v>629</v>
      </c>
    </row>
    <row r="76" spans="1:4">
      <c r="A76" t="s">
        <v>1559</v>
      </c>
      <c r="B76" s="30" t="s">
        <v>1560</v>
      </c>
      <c r="C76" s="365"/>
      <c r="D76" t="s">
        <v>632</v>
      </c>
    </row>
    <row r="77" spans="1:4">
      <c r="A77" t="s">
        <v>1583</v>
      </c>
      <c r="B77" s="433" t="s">
        <v>1584</v>
      </c>
      <c r="C77" s="357"/>
      <c r="D77" t="s">
        <v>1115</v>
      </c>
    </row>
    <row r="79" spans="1:4">
      <c r="A79" s="59" t="s">
        <v>1622</v>
      </c>
      <c r="B79" s="343"/>
      <c r="C79" s="339"/>
      <c r="D79" s="339"/>
    </row>
    <row r="80" spans="1:4">
      <c r="A80" s="18" t="s">
        <v>1555</v>
      </c>
      <c r="B80" s="344" t="s">
        <v>1556</v>
      </c>
      <c r="C80" s="18" t="s">
        <v>1557</v>
      </c>
      <c r="D80" s="18" t="s">
        <v>1558</v>
      </c>
    </row>
    <row r="81" spans="1:4">
      <c r="A81" t="s">
        <v>1590</v>
      </c>
      <c r="B81" s="433" t="s">
        <v>1591</v>
      </c>
      <c r="C81" s="361"/>
      <c r="D81" t="s">
        <v>1623</v>
      </c>
    </row>
    <row r="82" spans="1:4">
      <c r="A82" t="s">
        <v>1572</v>
      </c>
      <c r="B82" s="30" t="s">
        <v>1573</v>
      </c>
      <c r="C82" s="351"/>
      <c r="D82" t="s">
        <v>1624</v>
      </c>
    </row>
    <row r="83" spans="1:4">
      <c r="A83" t="s">
        <v>1565</v>
      </c>
      <c r="B83" s="30" t="s">
        <v>1519</v>
      </c>
      <c r="C83" s="348"/>
      <c r="D83" t="s">
        <v>1625</v>
      </c>
    </row>
    <row r="84" spans="1:4">
      <c r="A84" t="s">
        <v>1583</v>
      </c>
      <c r="B84" s="433" t="s">
        <v>1584</v>
      </c>
      <c r="C84" s="357"/>
      <c r="D84" t="s">
        <v>1115</v>
      </c>
    </row>
    <row r="86" spans="1:4">
      <c r="A86" s="59" t="s">
        <v>1148</v>
      </c>
      <c r="B86" s="343"/>
      <c r="C86" s="339"/>
      <c r="D86" s="339"/>
    </row>
    <row r="87" spans="1:4">
      <c r="A87" s="18" t="s">
        <v>1555</v>
      </c>
      <c r="B87" s="344" t="s">
        <v>1556</v>
      </c>
      <c r="C87" s="18" t="s">
        <v>1557</v>
      </c>
      <c r="D87" s="18" t="s">
        <v>1558</v>
      </c>
    </row>
    <row r="88" spans="1:4">
      <c r="A88" t="s">
        <v>1563</v>
      </c>
      <c r="B88" s="30" t="s">
        <v>1564</v>
      </c>
      <c r="C88" s="347"/>
      <c r="D88" t="s">
        <v>1626</v>
      </c>
    </row>
    <row r="89" spans="1:4">
      <c r="A89" t="s">
        <v>1561</v>
      </c>
      <c r="B89" s="433" t="s">
        <v>1562</v>
      </c>
      <c r="C89" s="346"/>
      <c r="D89" t="s">
        <v>1627</v>
      </c>
    </row>
    <row r="91" spans="1:4">
      <c r="A91" s="59" t="s">
        <v>1154</v>
      </c>
      <c r="B91" s="343"/>
      <c r="C91" s="339"/>
      <c r="D91" s="339"/>
    </row>
    <row r="92" spans="1:4">
      <c r="A92" s="18" t="s">
        <v>1555</v>
      </c>
      <c r="B92" s="344" t="s">
        <v>1556</v>
      </c>
      <c r="C92" s="18" t="s">
        <v>1557</v>
      </c>
      <c r="D92" s="18" t="s">
        <v>1558</v>
      </c>
    </row>
    <row r="93" spans="1:4">
      <c r="A93" t="s">
        <v>1590</v>
      </c>
      <c r="B93" s="433" t="s">
        <v>1591</v>
      </c>
      <c r="C93" s="361"/>
      <c r="D93" t="s">
        <v>1628</v>
      </c>
    </row>
    <row r="94" spans="1:4">
      <c r="A94" t="s">
        <v>1565</v>
      </c>
      <c r="B94" s="30" t="s">
        <v>1519</v>
      </c>
      <c r="C94" s="348"/>
      <c r="D94" t="s">
        <v>1629</v>
      </c>
    </row>
    <row r="95" spans="1:4">
      <c r="A95" t="s">
        <v>1561</v>
      </c>
      <c r="B95" s="433" t="s">
        <v>1562</v>
      </c>
      <c r="C95" s="346"/>
      <c r="D95" t="s">
        <v>1630</v>
      </c>
    </row>
    <row r="96" spans="1:4">
      <c r="A96" t="s">
        <v>1572</v>
      </c>
      <c r="B96" s="30" t="s">
        <v>1573</v>
      </c>
      <c r="C96" s="351"/>
      <c r="D96" t="s">
        <v>1631</v>
      </c>
    </row>
    <row r="98" spans="1:4">
      <c r="A98" s="59" t="s">
        <v>1160</v>
      </c>
      <c r="B98" s="343"/>
      <c r="C98" s="339"/>
      <c r="D98" s="339"/>
    </row>
    <row r="99" spans="1:4">
      <c r="A99" s="18" t="s">
        <v>1555</v>
      </c>
      <c r="B99" s="344" t="s">
        <v>1556</v>
      </c>
      <c r="C99" s="18" t="s">
        <v>1557</v>
      </c>
      <c r="D99" s="18" t="s">
        <v>1558</v>
      </c>
    </row>
    <row r="100" spans="1:4">
      <c r="A100" t="s">
        <v>1596</v>
      </c>
      <c r="B100" s="30" t="s">
        <v>1597</v>
      </c>
      <c r="C100" s="364"/>
      <c r="D100" t="s">
        <v>1632</v>
      </c>
    </row>
    <row r="101" spans="1:4">
      <c r="A101" t="s">
        <v>1576</v>
      </c>
      <c r="B101" s="30" t="s">
        <v>1577</v>
      </c>
      <c r="C101" s="354"/>
      <c r="D101" t="s">
        <v>1633</v>
      </c>
    </row>
    <row r="103" spans="1:4">
      <c r="A103" s="59" t="s">
        <v>1166</v>
      </c>
      <c r="B103" s="343"/>
      <c r="C103" s="339"/>
      <c r="D103" s="339"/>
    </row>
    <row r="104" spans="1:4">
      <c r="A104" s="18" t="s">
        <v>1555</v>
      </c>
      <c r="B104" s="344" t="s">
        <v>1556</v>
      </c>
      <c r="C104" s="18" t="s">
        <v>1557</v>
      </c>
      <c r="D104" s="18" t="s">
        <v>1558</v>
      </c>
    </row>
    <row r="105" spans="1:4">
      <c r="A105" t="s">
        <v>1563</v>
      </c>
      <c r="B105" s="30" t="s">
        <v>1564</v>
      </c>
      <c r="C105" s="347"/>
      <c r="D105" t="s">
        <v>1634</v>
      </c>
    </row>
    <row r="106" spans="1:4">
      <c r="A106" t="s">
        <v>1572</v>
      </c>
      <c r="B106" s="30" t="s">
        <v>1573</v>
      </c>
      <c r="C106" s="351"/>
      <c r="D106" t="s">
        <v>1635</v>
      </c>
    </row>
    <row r="107" spans="1:4">
      <c r="A107" t="s">
        <v>1588</v>
      </c>
      <c r="B107" s="30" t="s">
        <v>1589</v>
      </c>
      <c r="C107" s="360"/>
      <c r="D107" t="s">
        <v>1636</v>
      </c>
    </row>
    <row r="108" spans="1:4">
      <c r="A108" t="s">
        <v>1561</v>
      </c>
      <c r="B108" s="433" t="s">
        <v>1562</v>
      </c>
      <c r="C108" s="346"/>
      <c r="D108" t="s">
        <v>1637</v>
      </c>
    </row>
    <row r="109" spans="1:4">
      <c r="A109" t="s">
        <v>1565</v>
      </c>
      <c r="B109" s="30" t="s">
        <v>1519</v>
      </c>
      <c r="C109" s="348"/>
      <c r="D109" t="s">
        <v>1638</v>
      </c>
    </row>
    <row r="110" spans="1:4">
      <c r="A110" t="s">
        <v>1594</v>
      </c>
      <c r="B110" s="433" t="s">
        <v>1595</v>
      </c>
      <c r="C110" s="363"/>
      <c r="D110" t="s">
        <v>1639</v>
      </c>
    </row>
    <row r="111" spans="1:4">
      <c r="A111" t="s">
        <v>1590</v>
      </c>
      <c r="B111" s="433" t="s">
        <v>1591</v>
      </c>
      <c r="C111" s="361"/>
      <c r="D111" t="s">
        <v>1640</v>
      </c>
    </row>
    <row r="113" spans="1:4">
      <c r="A113" s="59" t="s">
        <v>1641</v>
      </c>
      <c r="B113" s="343"/>
      <c r="C113" s="339"/>
      <c r="D113" s="339"/>
    </row>
    <row r="114" spans="1:4">
      <c r="A114" s="18" t="s">
        <v>1555</v>
      </c>
      <c r="B114" s="344" t="s">
        <v>1556</v>
      </c>
      <c r="C114" s="18" t="s">
        <v>1557</v>
      </c>
      <c r="D114" s="18" t="s">
        <v>1558</v>
      </c>
    </row>
    <row r="115" spans="1:4">
      <c r="A115" t="s">
        <v>1572</v>
      </c>
      <c r="B115" s="30" t="s">
        <v>1573</v>
      </c>
      <c r="C115" s="351"/>
      <c r="D115" t="s">
        <v>1642</v>
      </c>
    </row>
    <row r="116" spans="1:4">
      <c r="A116" t="s">
        <v>1561</v>
      </c>
      <c r="B116" s="433" t="s">
        <v>1562</v>
      </c>
      <c r="C116" s="346"/>
      <c r="D116" t="s">
        <v>1643</v>
      </c>
    </row>
    <row r="117" spans="1:4">
      <c r="A117" t="s">
        <v>1583</v>
      </c>
      <c r="B117" s="433" t="s">
        <v>1584</v>
      </c>
      <c r="C117" s="357"/>
      <c r="D117" t="s">
        <v>1115</v>
      </c>
    </row>
    <row r="119" spans="1:4">
      <c r="A119" s="59" t="s">
        <v>1644</v>
      </c>
      <c r="B119" s="343"/>
      <c r="C119" s="339"/>
      <c r="D119" s="339"/>
    </row>
    <row r="120" spans="1:4">
      <c r="A120" s="18" t="s">
        <v>1555</v>
      </c>
      <c r="B120" s="344" t="s">
        <v>1556</v>
      </c>
      <c r="C120" s="18" t="s">
        <v>1557</v>
      </c>
      <c r="D120" s="18" t="s">
        <v>1558</v>
      </c>
    </row>
    <row r="121" spans="1:4">
      <c r="A121" t="s">
        <v>1590</v>
      </c>
      <c r="B121" s="433" t="s">
        <v>1591</v>
      </c>
      <c r="C121" s="361"/>
      <c r="D121" t="s">
        <v>1645</v>
      </c>
    </row>
    <row r="122" spans="1:4">
      <c r="A122" t="s">
        <v>1596</v>
      </c>
      <c r="B122" s="30" t="s">
        <v>1597</v>
      </c>
      <c r="C122" s="364"/>
      <c r="D122" t="s">
        <v>1646</v>
      </c>
    </row>
    <row r="123" spans="1:4">
      <c r="A123" t="s">
        <v>1588</v>
      </c>
      <c r="B123" s="30" t="s">
        <v>1589</v>
      </c>
      <c r="C123" s="360"/>
      <c r="D123" t="s">
        <v>1647</v>
      </c>
    </row>
    <row r="124" spans="1:4">
      <c r="A124" t="s">
        <v>1583</v>
      </c>
      <c r="B124" s="433" t="s">
        <v>1584</v>
      </c>
      <c r="C124" s="357"/>
      <c r="D124" t="s">
        <v>1115</v>
      </c>
    </row>
    <row r="126" spans="1:4">
      <c r="A126" s="59" t="s">
        <v>1648</v>
      </c>
      <c r="B126" s="343"/>
      <c r="C126" s="339"/>
      <c r="D126" s="339"/>
    </row>
    <row r="127" spans="1:4">
      <c r="A127" s="18" t="s">
        <v>1555</v>
      </c>
      <c r="B127" s="344" t="s">
        <v>1556</v>
      </c>
      <c r="C127" s="18" t="s">
        <v>1557</v>
      </c>
      <c r="D127" s="18" t="s">
        <v>1558</v>
      </c>
    </row>
    <row r="128" spans="1:4">
      <c r="A128" t="s">
        <v>1583</v>
      </c>
      <c r="B128" s="433" t="s">
        <v>1584</v>
      </c>
      <c r="C128" s="357"/>
      <c r="D128" t="s">
        <v>1649</v>
      </c>
    </row>
    <row r="129" spans="1:4">
      <c r="A129" t="s">
        <v>1572</v>
      </c>
      <c r="B129" s="30" t="s">
        <v>1573</v>
      </c>
      <c r="C129" s="351"/>
      <c r="D129" t="s">
        <v>1650</v>
      </c>
    </row>
    <row r="130" spans="1:4">
      <c r="A130" t="s">
        <v>1588</v>
      </c>
      <c r="B130" s="30" t="s">
        <v>1589</v>
      </c>
      <c r="C130" s="360"/>
      <c r="D130" t="s">
        <v>1651</v>
      </c>
    </row>
    <row r="131" spans="1:4">
      <c r="A131" t="s">
        <v>1576</v>
      </c>
      <c r="B131" s="30" t="s">
        <v>1577</v>
      </c>
      <c r="C131" s="354"/>
      <c r="D131" t="s">
        <v>1652</v>
      </c>
    </row>
    <row r="132" spans="1:4">
      <c r="A132" t="s">
        <v>1565</v>
      </c>
      <c r="B132" s="30" t="s">
        <v>1519</v>
      </c>
      <c r="C132" s="348"/>
      <c r="D132" t="s">
        <v>1653</v>
      </c>
    </row>
    <row r="133" spans="1:4">
      <c r="A133" t="s">
        <v>1594</v>
      </c>
      <c r="B133" s="433" t="s">
        <v>1595</v>
      </c>
      <c r="C133" s="363"/>
      <c r="D133" t="s">
        <v>1654</v>
      </c>
    </row>
    <row r="134" spans="1:4">
      <c r="A134" t="s">
        <v>1590</v>
      </c>
      <c r="B134" s="433" t="s">
        <v>1591</v>
      </c>
      <c r="C134" s="361"/>
      <c r="D134" t="s">
        <v>1655</v>
      </c>
    </row>
    <row r="135" spans="1:4">
      <c r="A135" t="s">
        <v>1561</v>
      </c>
      <c r="B135" s="433" t="s">
        <v>1562</v>
      </c>
      <c r="C135" s="346"/>
      <c r="D135" t="s">
        <v>1656</v>
      </c>
    </row>
    <row r="136" spans="1:4">
      <c r="A136" t="s">
        <v>1559</v>
      </c>
      <c r="B136" s="30" t="s">
        <v>1560</v>
      </c>
      <c r="C136" s="365"/>
      <c r="D136" t="s">
        <v>1657</v>
      </c>
    </row>
    <row r="138" spans="1:4">
      <c r="A138" s="59" t="s">
        <v>1658</v>
      </c>
      <c r="B138" s="343"/>
      <c r="C138" s="339"/>
      <c r="D138" s="339"/>
    </row>
    <row r="139" spans="1:4">
      <c r="A139" s="18" t="s">
        <v>1555</v>
      </c>
      <c r="B139" s="344" t="s">
        <v>1556</v>
      </c>
      <c r="C139" s="18" t="s">
        <v>1557</v>
      </c>
      <c r="D139" s="18" t="s">
        <v>1558</v>
      </c>
    </row>
    <row r="140" spans="1:4">
      <c r="A140" t="s">
        <v>1561</v>
      </c>
      <c r="B140" s="433" t="s">
        <v>1562</v>
      </c>
      <c r="C140" s="346"/>
      <c r="D140" t="s">
        <v>1659</v>
      </c>
    </row>
    <row r="141" spans="1:4">
      <c r="A141" t="s">
        <v>1565</v>
      </c>
      <c r="B141" s="30" t="s">
        <v>1519</v>
      </c>
      <c r="C141" s="348"/>
      <c r="D141" t="s">
        <v>1660</v>
      </c>
    </row>
    <row r="142" spans="1:4">
      <c r="A142" t="s">
        <v>1590</v>
      </c>
      <c r="B142" s="433" t="s">
        <v>1591</v>
      </c>
      <c r="C142" s="361"/>
      <c r="D142" t="s">
        <v>1661</v>
      </c>
    </row>
    <row r="143" spans="1:4">
      <c r="A143" t="s">
        <v>1572</v>
      </c>
      <c r="B143" s="30" t="s">
        <v>1573</v>
      </c>
      <c r="C143" s="351"/>
      <c r="D143" t="s">
        <v>1662</v>
      </c>
    </row>
    <row r="144" spans="1:4">
      <c r="A144" t="s">
        <v>1583</v>
      </c>
      <c r="B144" s="433" t="s">
        <v>1584</v>
      </c>
      <c r="C144" s="357"/>
      <c r="D144" t="s">
        <v>1115</v>
      </c>
    </row>
    <row r="146" spans="1:4">
      <c r="A146" s="59" t="s">
        <v>1663</v>
      </c>
      <c r="B146" s="343"/>
      <c r="C146" s="339"/>
      <c r="D146" s="339"/>
    </row>
    <row r="147" spans="1:4">
      <c r="A147" s="18" t="s">
        <v>1555</v>
      </c>
      <c r="B147" s="344" t="s">
        <v>1556</v>
      </c>
      <c r="C147" s="18" t="s">
        <v>1557</v>
      </c>
      <c r="D147" s="18" t="s">
        <v>1558</v>
      </c>
    </row>
    <row r="148" spans="1:4">
      <c r="A148" t="s">
        <v>1565</v>
      </c>
      <c r="B148" s="30" t="s">
        <v>1519</v>
      </c>
      <c r="C148" s="348"/>
      <c r="D148" t="s">
        <v>911</v>
      </c>
    </row>
    <row r="149" spans="1:4">
      <c r="A149" t="s">
        <v>1594</v>
      </c>
      <c r="B149" s="433" t="s">
        <v>1595</v>
      </c>
      <c r="C149" s="363"/>
      <c r="D149" t="s">
        <v>915</v>
      </c>
    </row>
    <row r="150" spans="1:4">
      <c r="A150" t="s">
        <v>1590</v>
      </c>
      <c r="B150" s="433" t="s">
        <v>1591</v>
      </c>
      <c r="C150" s="361"/>
      <c r="D150" t="s">
        <v>913</v>
      </c>
    </row>
    <row r="151" spans="1:4">
      <c r="A151" t="s">
        <v>1559</v>
      </c>
      <c r="B151" s="30" t="s">
        <v>1560</v>
      </c>
      <c r="C151" s="345"/>
      <c r="D151" t="s">
        <v>923</v>
      </c>
    </row>
    <row r="152" spans="1:4">
      <c r="A152" t="s">
        <v>1572</v>
      </c>
      <c r="B152" s="30" t="s">
        <v>1573</v>
      </c>
      <c r="C152" s="351"/>
      <c r="D152" t="s">
        <v>921</v>
      </c>
    </row>
    <row r="153" spans="1:4">
      <c r="A153" t="s">
        <v>1583</v>
      </c>
      <c r="B153" s="433" t="s">
        <v>1584</v>
      </c>
      <c r="C153" s="357"/>
      <c r="D153" t="s">
        <v>917</v>
      </c>
    </row>
    <row r="154" spans="1:4">
      <c r="A154" t="s">
        <v>1561</v>
      </c>
      <c r="B154" s="433" t="s">
        <v>1562</v>
      </c>
      <c r="C154" s="346"/>
      <c r="D154" t="s">
        <v>1664</v>
      </c>
    </row>
    <row r="156" spans="1:4">
      <c r="A156" s="59" t="s">
        <v>1665</v>
      </c>
      <c r="B156" s="343"/>
      <c r="C156" s="339"/>
      <c r="D156" s="339"/>
    </row>
    <row r="157" spans="1:4">
      <c r="A157" s="18" t="s">
        <v>1555</v>
      </c>
      <c r="B157" s="344" t="s">
        <v>1556</v>
      </c>
      <c r="C157" s="18" t="s">
        <v>1557</v>
      </c>
      <c r="D157" s="18" t="s">
        <v>1558</v>
      </c>
    </row>
    <row r="158" spans="1:4">
      <c r="A158" t="s">
        <v>1590</v>
      </c>
      <c r="B158" s="433" t="s">
        <v>1591</v>
      </c>
      <c r="C158" s="361"/>
      <c r="D158" t="s">
        <v>682</v>
      </c>
    </row>
    <row r="159" spans="1:4">
      <c r="A159" t="s">
        <v>1574</v>
      </c>
      <c r="B159" s="434" t="s">
        <v>1575</v>
      </c>
      <c r="C159" s="353"/>
      <c r="D159" t="s">
        <v>1666</v>
      </c>
    </row>
    <row r="160" spans="1:4">
      <c r="A160" t="s">
        <v>1596</v>
      </c>
      <c r="B160" s="30" t="s">
        <v>1597</v>
      </c>
      <c r="C160" s="364"/>
      <c r="D160" t="s">
        <v>1667</v>
      </c>
    </row>
    <row r="161" spans="1:4">
      <c r="A161" t="s">
        <v>1561</v>
      </c>
      <c r="B161" s="433" t="s">
        <v>1562</v>
      </c>
      <c r="C161" s="346"/>
      <c r="D161" t="s">
        <v>1668</v>
      </c>
    </row>
    <row r="162" spans="1:4">
      <c r="A162" t="s">
        <v>1576</v>
      </c>
      <c r="B162" s="30" t="s">
        <v>1577</v>
      </c>
      <c r="C162" s="354"/>
      <c r="D162" t="s">
        <v>1669</v>
      </c>
    </row>
    <row r="163" spans="1:4">
      <c r="A163" t="s">
        <v>1572</v>
      </c>
      <c r="B163" s="30" t="s">
        <v>1573</v>
      </c>
      <c r="C163" s="351"/>
      <c r="D163" t="s">
        <v>1670</v>
      </c>
    </row>
    <row r="164" spans="1:4">
      <c r="A164" t="s">
        <v>1570</v>
      </c>
      <c r="B164" s="30" t="s">
        <v>1571</v>
      </c>
      <c r="C164" s="350"/>
      <c r="D164" t="s">
        <v>1671</v>
      </c>
    </row>
    <row r="165" spans="1:4">
      <c r="A165" t="s">
        <v>1583</v>
      </c>
      <c r="B165" s="433" t="s">
        <v>1584</v>
      </c>
      <c r="C165" s="357"/>
      <c r="D165" t="s">
        <v>1672</v>
      </c>
    </row>
    <row r="166" spans="1:4">
      <c r="A166" t="s">
        <v>1565</v>
      </c>
      <c r="B166" s="30" t="s">
        <v>1519</v>
      </c>
      <c r="C166" s="348"/>
      <c r="D166" t="s">
        <v>676</v>
      </c>
    </row>
    <row r="167" spans="1:4">
      <c r="A167" t="s">
        <v>1588</v>
      </c>
      <c r="B167" s="30" t="s">
        <v>1589</v>
      </c>
      <c r="C167" s="360"/>
      <c r="D167" t="s">
        <v>1673</v>
      </c>
    </row>
    <row r="168" spans="1:4">
      <c r="A168" t="s">
        <v>1594</v>
      </c>
      <c r="B168" s="433" t="s">
        <v>1595</v>
      </c>
      <c r="C168" s="363"/>
      <c r="D168" t="s">
        <v>1674</v>
      </c>
    </row>
    <row r="170" spans="1:4">
      <c r="A170" s="59" t="s">
        <v>1675</v>
      </c>
      <c r="B170" s="343"/>
      <c r="C170" s="339"/>
      <c r="D170" s="339"/>
    </row>
    <row r="171" spans="1:4">
      <c r="A171" s="18" t="s">
        <v>1555</v>
      </c>
      <c r="B171" s="344" t="s">
        <v>1556</v>
      </c>
      <c r="C171" s="18" t="s">
        <v>1557</v>
      </c>
      <c r="D171" s="18" t="s">
        <v>1558</v>
      </c>
    </row>
    <row r="172" spans="1:4">
      <c r="A172" t="s">
        <v>1594</v>
      </c>
      <c r="B172" s="433" t="s">
        <v>1595</v>
      </c>
      <c r="C172" s="363"/>
      <c r="D172" t="s">
        <v>741</v>
      </c>
    </row>
    <row r="173" spans="1:4">
      <c r="A173" t="s">
        <v>1590</v>
      </c>
      <c r="B173" s="433" t="s">
        <v>1591</v>
      </c>
      <c r="C173" s="361"/>
      <c r="D173" t="s">
        <v>743</v>
      </c>
    </row>
    <row r="174" spans="1:4">
      <c r="A174" t="s">
        <v>1559</v>
      </c>
      <c r="B174" s="30" t="s">
        <v>1560</v>
      </c>
      <c r="C174" s="345"/>
      <c r="D174" t="s">
        <v>745</v>
      </c>
    </row>
    <row r="175" spans="1:4">
      <c r="A175" t="s">
        <v>1563</v>
      </c>
      <c r="B175" s="30" t="s">
        <v>1564</v>
      </c>
      <c r="C175" s="347"/>
      <c r="D175" t="s">
        <v>747</v>
      </c>
    </row>
    <row r="176" spans="1:4">
      <c r="A176" t="s">
        <v>1567</v>
      </c>
      <c r="B176" s="30" t="s">
        <v>1568</v>
      </c>
      <c r="C176" s="349"/>
      <c r="D176" t="s">
        <v>749</v>
      </c>
    </row>
    <row r="177" spans="1:5">
      <c r="A177" t="s">
        <v>1561</v>
      </c>
      <c r="B177" s="433" t="s">
        <v>1562</v>
      </c>
      <c r="C177" s="346"/>
      <c r="D177" s="366" t="s">
        <v>751</v>
      </c>
      <c r="E177" s="366"/>
    </row>
    <row r="178" spans="1:5">
      <c r="A178" t="s">
        <v>1576</v>
      </c>
      <c r="B178" s="30" t="s">
        <v>1577</v>
      </c>
      <c r="C178" s="354"/>
      <c r="D178" t="s">
        <v>753</v>
      </c>
    </row>
    <row r="179" spans="1:5">
      <c r="A179" t="s">
        <v>1583</v>
      </c>
      <c r="B179" s="433" t="s">
        <v>1584</v>
      </c>
      <c r="C179" s="357"/>
      <c r="D179" t="s">
        <v>755</v>
      </c>
    </row>
    <row r="180" spans="1:5">
      <c r="A180" t="s">
        <v>1565</v>
      </c>
      <c r="B180" s="30" t="s">
        <v>1519</v>
      </c>
      <c r="C180" s="348"/>
      <c r="D180" t="s">
        <v>757</v>
      </c>
    </row>
    <row r="181" spans="1:5">
      <c r="A181" t="s">
        <v>1581</v>
      </c>
      <c r="B181" s="30" t="s">
        <v>1582</v>
      </c>
      <c r="C181" s="356"/>
      <c r="D181" t="s">
        <v>759</v>
      </c>
    </row>
    <row r="182" spans="1:5">
      <c r="A182" t="s">
        <v>1585</v>
      </c>
      <c r="B182" s="433" t="s">
        <v>1586</v>
      </c>
      <c r="C182" s="358"/>
      <c r="D182" s="366" t="s">
        <v>761</v>
      </c>
      <c r="E182" s="366"/>
    </row>
    <row r="183" spans="1:5">
      <c r="A183" t="s">
        <v>1570</v>
      </c>
      <c r="B183" s="30" t="s">
        <v>1571</v>
      </c>
      <c r="C183" s="350"/>
      <c r="D183" s="366" t="s">
        <v>1676</v>
      </c>
    </row>
    <row r="184" spans="1:5">
      <c r="A184" t="s">
        <v>1574</v>
      </c>
      <c r="B184" s="434" t="s">
        <v>1575</v>
      </c>
      <c r="C184" s="353"/>
      <c r="D184" t="s">
        <v>765</v>
      </c>
    </row>
    <row r="185" spans="1:5">
      <c r="A185" t="s">
        <v>1572</v>
      </c>
      <c r="B185" s="30" t="s">
        <v>1573</v>
      </c>
      <c r="C185" s="351"/>
      <c r="D185" t="s">
        <v>767</v>
      </c>
    </row>
    <row r="186" spans="1:5">
      <c r="A186" t="s">
        <v>1587</v>
      </c>
      <c r="B186" s="30">
        <v>740000</v>
      </c>
      <c r="C186" s="359"/>
      <c r="D186" t="s">
        <v>769</v>
      </c>
    </row>
    <row r="187" spans="1:5">
      <c r="A187" t="s">
        <v>1588</v>
      </c>
      <c r="B187" s="30" t="s">
        <v>1589</v>
      </c>
      <c r="C187" s="360"/>
      <c r="D187" t="s">
        <v>771</v>
      </c>
    </row>
    <row r="188" spans="1:5">
      <c r="A188" t="s">
        <v>1592</v>
      </c>
      <c r="B188" s="30" t="s">
        <v>1593</v>
      </c>
      <c r="C188" s="362"/>
      <c r="D188" t="s">
        <v>773</v>
      </c>
    </row>
    <row r="189" spans="1:5">
      <c r="A189" t="s">
        <v>1596</v>
      </c>
      <c r="B189" s="30" t="s">
        <v>1597</v>
      </c>
      <c r="C189" s="364"/>
      <c r="D189" t="s">
        <v>775</v>
      </c>
    </row>
    <row r="190" spans="1:5">
      <c r="A190" t="s">
        <v>1578</v>
      </c>
      <c r="B190" s="433" t="s">
        <v>1579</v>
      </c>
      <c r="C190" s="355"/>
      <c r="D190" t="s">
        <v>777</v>
      </c>
    </row>
    <row r="191" spans="1:5">
      <c r="A191" t="s">
        <v>1677</v>
      </c>
      <c r="B191" s="435" t="s">
        <v>1678</v>
      </c>
      <c r="C191" s="367"/>
      <c r="D191" t="s">
        <v>779</v>
      </c>
    </row>
    <row r="192" spans="1:5">
      <c r="A192" t="s">
        <v>1679</v>
      </c>
      <c r="B192" s="433" t="s">
        <v>1680</v>
      </c>
      <c r="C192" s="368"/>
      <c r="D192" t="s">
        <v>781</v>
      </c>
      <c r="E192" s="366"/>
    </row>
    <row r="193" spans="1:4">
      <c r="A193" t="s">
        <v>1681</v>
      </c>
      <c r="B193" t="s">
        <v>1682</v>
      </c>
      <c r="C193" s="369"/>
      <c r="D193" s="366" t="s">
        <v>783</v>
      </c>
    </row>
    <row r="194" spans="1:4">
      <c r="A194" t="s">
        <v>1683</v>
      </c>
      <c r="B194" s="26" t="s">
        <v>1684</v>
      </c>
      <c r="C194" s="370"/>
      <c r="D194" t="s">
        <v>787</v>
      </c>
    </row>
    <row r="196" spans="1:4">
      <c r="A196" s="59" t="s">
        <v>1685</v>
      </c>
      <c r="B196" s="343"/>
      <c r="C196" s="339"/>
      <c r="D196" s="339"/>
    </row>
    <row r="197" spans="1:4">
      <c r="A197" s="18" t="s">
        <v>1555</v>
      </c>
      <c r="B197" s="344" t="s">
        <v>1556</v>
      </c>
      <c r="C197" s="18" t="s">
        <v>1557</v>
      </c>
      <c r="D197" s="18" t="s">
        <v>1558</v>
      </c>
    </row>
    <row r="198" spans="1:4">
      <c r="A198" t="s">
        <v>1583</v>
      </c>
      <c r="B198" s="433" t="s">
        <v>1584</v>
      </c>
      <c r="C198" s="357"/>
      <c r="D198" t="s">
        <v>694</v>
      </c>
    </row>
    <row r="199" spans="1:4">
      <c r="A199" t="s">
        <v>1561</v>
      </c>
      <c r="B199" s="433" t="s">
        <v>1562</v>
      </c>
      <c r="C199" s="346"/>
      <c r="D199" t="s">
        <v>692</v>
      </c>
    </row>
    <row r="200" spans="1:4">
      <c r="A200" t="s">
        <v>1565</v>
      </c>
      <c r="B200" s="30" t="s">
        <v>1519</v>
      </c>
      <c r="C200" s="348"/>
      <c r="D200" t="s">
        <v>690</v>
      </c>
    </row>
    <row r="201" spans="1:4">
      <c r="A201" t="s">
        <v>1572</v>
      </c>
      <c r="B201" s="30" t="s">
        <v>1573</v>
      </c>
      <c r="C201" s="351"/>
      <c r="D201" t="s">
        <v>688</v>
      </c>
    </row>
    <row r="202" spans="1:4">
      <c r="A202" t="s">
        <v>1590</v>
      </c>
      <c r="B202" s="433" t="s">
        <v>1591</v>
      </c>
      <c r="C202" s="361"/>
      <c r="D202" t="s">
        <v>685</v>
      </c>
    </row>
    <row r="204" spans="1:4">
      <c r="A204" s="59" t="s">
        <v>1686</v>
      </c>
      <c r="B204" s="343"/>
      <c r="C204" s="339"/>
      <c r="D204" s="339"/>
    </row>
    <row r="205" spans="1:4">
      <c r="A205" s="18" t="s">
        <v>1555</v>
      </c>
      <c r="B205" s="344" t="s">
        <v>1556</v>
      </c>
      <c r="C205" s="18" t="s">
        <v>1557</v>
      </c>
      <c r="D205" s="18" t="s">
        <v>1558</v>
      </c>
    </row>
    <row r="206" spans="1:4">
      <c r="A206" t="s">
        <v>1574</v>
      </c>
      <c r="B206" s="434" t="s">
        <v>1575</v>
      </c>
      <c r="C206" s="353"/>
      <c r="D206" t="s">
        <v>698</v>
      </c>
    </row>
    <row r="207" spans="1:4">
      <c r="A207" t="s">
        <v>1561</v>
      </c>
      <c r="B207" s="433" t="s">
        <v>1562</v>
      </c>
      <c r="C207" s="346"/>
      <c r="D207" t="s">
        <v>696</v>
      </c>
    </row>
    <row r="208" spans="1:4">
      <c r="A208" t="s">
        <v>1594</v>
      </c>
      <c r="B208" s="433" t="s">
        <v>1595</v>
      </c>
      <c r="C208" s="363"/>
      <c r="D208" t="s">
        <v>686</v>
      </c>
    </row>
    <row r="210" spans="1:4">
      <c r="A210" s="59" t="s">
        <v>1687</v>
      </c>
      <c r="B210" s="343"/>
      <c r="C210" s="339"/>
      <c r="D210" s="339"/>
    </row>
    <row r="211" spans="1:4">
      <c r="A211" s="18" t="s">
        <v>1555</v>
      </c>
      <c r="B211" s="344" t="s">
        <v>1556</v>
      </c>
      <c r="C211" s="18" t="s">
        <v>1557</v>
      </c>
      <c r="D211" s="18" t="s">
        <v>1558</v>
      </c>
    </row>
    <row r="212" spans="1:4">
      <c r="A212" t="s">
        <v>1559</v>
      </c>
      <c r="B212" s="30" t="s">
        <v>1560</v>
      </c>
      <c r="C212" s="345"/>
      <c r="D212" t="s">
        <v>867</v>
      </c>
    </row>
    <row r="213" spans="1:4">
      <c r="A213" t="s">
        <v>1565</v>
      </c>
      <c r="B213" s="30" t="s">
        <v>1519</v>
      </c>
      <c r="C213" s="348"/>
      <c r="D213" t="s">
        <v>851</v>
      </c>
    </row>
    <row r="214" spans="1:4">
      <c r="A214" t="s">
        <v>1590</v>
      </c>
      <c r="B214" s="433" t="s">
        <v>1591</v>
      </c>
      <c r="C214" s="361"/>
      <c r="D214" t="s">
        <v>825</v>
      </c>
    </row>
    <row r="215" spans="1:4">
      <c r="A215" t="s">
        <v>1570</v>
      </c>
      <c r="B215" s="30" t="s">
        <v>1571</v>
      </c>
      <c r="C215" s="350"/>
      <c r="D215" t="s">
        <v>1688</v>
      </c>
    </row>
    <row r="216" spans="1:4">
      <c r="A216" t="s">
        <v>1572</v>
      </c>
      <c r="B216" s="30" t="s">
        <v>1573</v>
      </c>
      <c r="C216" s="351"/>
      <c r="D216" t="s">
        <v>1689</v>
      </c>
    </row>
    <row r="217" spans="1:4">
      <c r="A217" t="s">
        <v>1561</v>
      </c>
      <c r="B217" s="433" t="s">
        <v>1562</v>
      </c>
      <c r="C217" s="346"/>
      <c r="D217" t="s">
        <v>861</v>
      </c>
    </row>
    <row r="218" spans="1:4">
      <c r="A218" t="s">
        <v>1576</v>
      </c>
      <c r="B218" s="30" t="s">
        <v>1577</v>
      </c>
      <c r="C218" s="354"/>
      <c r="D218" t="s">
        <v>859</v>
      </c>
    </row>
    <row r="219" spans="1:4">
      <c r="A219" t="s">
        <v>1583</v>
      </c>
      <c r="B219" s="433" t="s">
        <v>1584</v>
      </c>
      <c r="C219" s="357"/>
      <c r="D219" t="s">
        <v>829</v>
      </c>
    </row>
    <row r="220" spans="1:4">
      <c r="A220" t="s">
        <v>1594</v>
      </c>
      <c r="B220" s="433" t="s">
        <v>1595</v>
      </c>
      <c r="C220" s="363"/>
      <c r="D220" t="s">
        <v>827</v>
      </c>
    </row>
    <row r="222" spans="1:4">
      <c r="A222" s="59" t="s">
        <v>1690</v>
      </c>
      <c r="B222" s="343"/>
      <c r="C222" s="339"/>
      <c r="D222" s="339"/>
    </row>
    <row r="223" spans="1:4">
      <c r="A223" s="18" t="s">
        <v>1555</v>
      </c>
      <c r="B223" s="344" t="s">
        <v>1556</v>
      </c>
      <c r="C223" s="18" t="s">
        <v>1557</v>
      </c>
      <c r="D223" s="18" t="s">
        <v>1558</v>
      </c>
    </row>
    <row r="224" spans="1:4">
      <c r="A224" t="s">
        <v>1559</v>
      </c>
      <c r="B224" s="30" t="s">
        <v>1560</v>
      </c>
      <c r="C224" s="345"/>
      <c r="D224" t="s">
        <v>867</v>
      </c>
    </row>
    <row r="225" spans="1:4">
      <c r="A225" t="s">
        <v>1588</v>
      </c>
      <c r="B225" s="30" t="s">
        <v>1589</v>
      </c>
      <c r="C225" s="360"/>
      <c r="D225" t="s">
        <v>1691</v>
      </c>
    </row>
    <row r="226" spans="1:4">
      <c r="A226" t="s">
        <v>1561</v>
      </c>
      <c r="B226" s="433" t="s">
        <v>1562</v>
      </c>
      <c r="C226" s="346"/>
      <c r="D226" t="s">
        <v>716</v>
      </c>
    </row>
    <row r="227" spans="1:4">
      <c r="A227" t="s">
        <v>1565</v>
      </c>
      <c r="B227" s="30" t="s">
        <v>1519</v>
      </c>
      <c r="C227" s="348"/>
      <c r="D227" t="s">
        <v>851</v>
      </c>
    </row>
    <row r="228" spans="1:4">
      <c r="A228" t="s">
        <v>1590</v>
      </c>
      <c r="B228" s="433" t="s">
        <v>1591</v>
      </c>
      <c r="C228" s="361"/>
      <c r="D228" t="s">
        <v>825</v>
      </c>
    </row>
    <row r="229" spans="1:4">
      <c r="A229" t="s">
        <v>1572</v>
      </c>
      <c r="B229" s="30" t="s">
        <v>1573</v>
      </c>
      <c r="C229" s="351"/>
      <c r="D229" t="s">
        <v>1692</v>
      </c>
    </row>
    <row r="230" spans="1:4">
      <c r="A230" t="s">
        <v>1594</v>
      </c>
      <c r="B230" s="433" t="s">
        <v>1595</v>
      </c>
      <c r="C230" s="363"/>
      <c r="D230" t="s">
        <v>702</v>
      </c>
    </row>
    <row r="231" spans="1:4">
      <c r="A231" t="s">
        <v>1585</v>
      </c>
      <c r="B231" s="433" t="s">
        <v>1586</v>
      </c>
      <c r="C231" s="358"/>
      <c r="D231" t="s">
        <v>730</v>
      </c>
    </row>
    <row r="232" spans="1:4">
      <c r="A232" t="s">
        <v>1587</v>
      </c>
      <c r="B232" s="30">
        <v>740000</v>
      </c>
      <c r="C232" s="359"/>
      <c r="D232" t="s">
        <v>728</v>
      </c>
    </row>
    <row r="233" spans="1:4">
      <c r="A233" t="s">
        <v>1583</v>
      </c>
      <c r="B233" s="433" t="s">
        <v>1584</v>
      </c>
      <c r="C233" s="357"/>
      <c r="D233" t="s">
        <v>1693</v>
      </c>
    </row>
    <row r="235" spans="1:4">
      <c r="A235" s="59" t="s">
        <v>1694</v>
      </c>
      <c r="B235" s="343"/>
      <c r="C235" s="339"/>
      <c r="D235" s="339"/>
    </row>
    <row r="236" spans="1:4">
      <c r="A236" s="18" t="s">
        <v>1555</v>
      </c>
      <c r="B236" s="344" t="s">
        <v>1556</v>
      </c>
      <c r="C236" s="18" t="s">
        <v>1557</v>
      </c>
      <c r="D236" s="18" t="s">
        <v>1558</v>
      </c>
    </row>
    <row r="237" spans="1:4">
      <c r="A237" t="s">
        <v>1559</v>
      </c>
      <c r="B237" s="30" t="s">
        <v>1560</v>
      </c>
      <c r="C237" s="345"/>
      <c r="D237" t="s">
        <v>867</v>
      </c>
    </row>
    <row r="238" spans="1:4">
      <c r="A238" t="s">
        <v>1594</v>
      </c>
      <c r="B238" s="433" t="s">
        <v>1595</v>
      </c>
      <c r="C238" s="363"/>
      <c r="D238" t="s">
        <v>702</v>
      </c>
    </row>
    <row r="239" spans="1:4">
      <c r="A239" t="s">
        <v>1588</v>
      </c>
      <c r="B239" s="30" t="s">
        <v>1589</v>
      </c>
      <c r="C239" s="360"/>
      <c r="D239" t="s">
        <v>1691</v>
      </c>
    </row>
    <row r="240" spans="1:4">
      <c r="A240" t="s">
        <v>1561</v>
      </c>
      <c r="B240" s="433" t="s">
        <v>1562</v>
      </c>
      <c r="C240" s="346"/>
      <c r="D240" t="s">
        <v>716</v>
      </c>
    </row>
    <row r="241" spans="1:4">
      <c r="A241" t="s">
        <v>1570</v>
      </c>
      <c r="B241" s="30" t="s">
        <v>1571</v>
      </c>
      <c r="C241" s="350"/>
      <c r="D241" t="s">
        <v>1695</v>
      </c>
    </row>
    <row r="242" spans="1:4">
      <c r="A242" t="s">
        <v>1585</v>
      </c>
      <c r="B242" s="433" t="s">
        <v>1586</v>
      </c>
      <c r="C242" s="358"/>
      <c r="D242" t="s">
        <v>730</v>
      </c>
    </row>
    <row r="243" spans="1:4">
      <c r="A243" t="s">
        <v>1583</v>
      </c>
      <c r="B243" s="433" t="s">
        <v>1584</v>
      </c>
      <c r="C243" s="357"/>
      <c r="D243" t="s">
        <v>1693</v>
      </c>
    </row>
    <row r="244" spans="1:4">
      <c r="A244" t="s">
        <v>1572</v>
      </c>
      <c r="B244" s="30" t="s">
        <v>1573</v>
      </c>
      <c r="C244" s="351"/>
      <c r="D244" t="s">
        <v>1692</v>
      </c>
    </row>
    <row r="245" spans="1:4">
      <c r="A245" t="s">
        <v>1590</v>
      </c>
      <c r="B245" s="433" t="s">
        <v>1591</v>
      </c>
      <c r="C245" s="361"/>
      <c r="D245" t="s">
        <v>825</v>
      </c>
    </row>
    <row r="246" spans="1:4">
      <c r="A246" t="s">
        <v>1565</v>
      </c>
      <c r="B246" s="30" t="s">
        <v>1519</v>
      </c>
      <c r="C246" s="348"/>
      <c r="D246" t="s">
        <v>851</v>
      </c>
    </row>
    <row r="248" spans="1:4">
      <c r="A248" s="59" t="s">
        <v>1696</v>
      </c>
      <c r="B248" s="343"/>
      <c r="C248" s="339"/>
      <c r="D248" s="339"/>
    </row>
    <row r="249" spans="1:4">
      <c r="A249" s="18" t="s">
        <v>1555</v>
      </c>
      <c r="B249" s="344" t="s">
        <v>1556</v>
      </c>
      <c r="C249" s="18" t="s">
        <v>1557</v>
      </c>
      <c r="D249" s="18" t="s">
        <v>1558</v>
      </c>
    </row>
    <row r="250" spans="1:4">
      <c r="A250" t="s">
        <v>1559</v>
      </c>
      <c r="B250" s="30" t="s">
        <v>1560</v>
      </c>
      <c r="C250" s="345"/>
      <c r="D250" t="s">
        <v>718</v>
      </c>
    </row>
    <row r="251" spans="1:4">
      <c r="A251" t="s">
        <v>1596</v>
      </c>
      <c r="B251" s="30" t="s">
        <v>1597</v>
      </c>
      <c r="C251" s="364"/>
      <c r="D251" t="s">
        <v>1697</v>
      </c>
    </row>
    <row r="252" spans="1:4">
      <c r="A252" t="s">
        <v>1581</v>
      </c>
      <c r="B252" s="30" t="s">
        <v>1582</v>
      </c>
      <c r="C252" s="356"/>
      <c r="D252" t="s">
        <v>732</v>
      </c>
    </row>
    <row r="253" spans="1:4">
      <c r="A253" t="s">
        <v>1561</v>
      </c>
      <c r="B253" s="433" t="s">
        <v>1562</v>
      </c>
      <c r="C253" s="346"/>
      <c r="D253" t="s">
        <v>716</v>
      </c>
    </row>
    <row r="254" spans="1:4">
      <c r="A254" t="s">
        <v>1565</v>
      </c>
      <c r="B254" s="30" t="s">
        <v>1519</v>
      </c>
      <c r="C254" s="348"/>
      <c r="D254" t="s">
        <v>1698</v>
      </c>
    </row>
    <row r="255" spans="1:4">
      <c r="A255" t="s">
        <v>1570</v>
      </c>
      <c r="B255" s="30" t="s">
        <v>1571</v>
      </c>
      <c r="C255" s="350"/>
      <c r="D255" t="s">
        <v>1699</v>
      </c>
    </row>
    <row r="256" spans="1:4">
      <c r="A256" t="s">
        <v>1574</v>
      </c>
      <c r="B256" s="434" t="s">
        <v>1575</v>
      </c>
      <c r="C256" s="353"/>
      <c r="D256" t="s">
        <v>708</v>
      </c>
    </row>
    <row r="257" spans="1:4">
      <c r="A257" t="s">
        <v>1576</v>
      </c>
      <c r="B257" s="30" t="s">
        <v>1577</v>
      </c>
      <c r="C257" s="354"/>
      <c r="D257" t="s">
        <v>706</v>
      </c>
    </row>
    <row r="258" spans="1:4">
      <c r="A258" t="s">
        <v>1583</v>
      </c>
      <c r="B258" s="433" t="s">
        <v>1584</v>
      </c>
      <c r="C258" s="357"/>
      <c r="D258" t="s">
        <v>1700</v>
      </c>
    </row>
    <row r="259" spans="1:4">
      <c r="A259" t="s">
        <v>1590</v>
      </c>
      <c r="B259" s="433" t="s">
        <v>1591</v>
      </c>
      <c r="C259" s="361"/>
      <c r="D259" t="s">
        <v>825</v>
      </c>
    </row>
    <row r="260" spans="1:4">
      <c r="A260" t="s">
        <v>1592</v>
      </c>
      <c r="B260" s="30" t="s">
        <v>1593</v>
      </c>
      <c r="C260" s="362"/>
      <c r="D260" s="366" t="s">
        <v>724</v>
      </c>
    </row>
    <row r="261" spans="1:4">
      <c r="A261" t="s">
        <v>1594</v>
      </c>
      <c r="B261" s="433" t="s">
        <v>1595</v>
      </c>
      <c r="C261" s="363"/>
      <c r="D261" t="s">
        <v>702</v>
      </c>
    </row>
    <row r="262" spans="1:4">
      <c r="A262" t="s">
        <v>1587</v>
      </c>
      <c r="B262" s="30">
        <v>740000</v>
      </c>
      <c r="C262" s="359"/>
      <c r="D262" t="s">
        <v>728</v>
      </c>
    </row>
    <row r="263" spans="1:4">
      <c r="B263"/>
    </row>
    <row r="264" spans="1:4">
      <c r="A264" s="59" t="s">
        <v>1701</v>
      </c>
      <c r="B264" s="343"/>
      <c r="C264" s="339"/>
      <c r="D264" s="339"/>
    </row>
    <row r="265" spans="1:4">
      <c r="A265" s="18" t="s">
        <v>1555</v>
      </c>
      <c r="B265" s="344" t="s">
        <v>1556</v>
      </c>
      <c r="C265" s="18" t="s">
        <v>1557</v>
      </c>
      <c r="D265" s="18" t="s">
        <v>1558</v>
      </c>
    </row>
    <row r="266" spans="1:4">
      <c r="A266" t="s">
        <v>1559</v>
      </c>
      <c r="B266" s="30" t="s">
        <v>1560</v>
      </c>
      <c r="C266" s="345"/>
      <c r="D266" t="s">
        <v>867</v>
      </c>
    </row>
    <row r="267" spans="1:4">
      <c r="A267" t="s">
        <v>1565</v>
      </c>
      <c r="B267" s="30" t="s">
        <v>1519</v>
      </c>
      <c r="C267" s="348"/>
      <c r="D267" t="s">
        <v>851</v>
      </c>
    </row>
    <row r="268" spans="1:4">
      <c r="A268" t="s">
        <v>1588</v>
      </c>
      <c r="B268" s="30" t="s">
        <v>1589</v>
      </c>
      <c r="C268" s="360"/>
      <c r="D268" t="s">
        <v>1691</v>
      </c>
    </row>
    <row r="269" spans="1:4">
      <c r="A269" t="s">
        <v>1581</v>
      </c>
      <c r="B269" s="30" t="s">
        <v>1582</v>
      </c>
      <c r="C269" s="356"/>
      <c r="D269" t="s">
        <v>732</v>
      </c>
    </row>
    <row r="270" spans="1:4">
      <c r="A270" t="s">
        <v>1596</v>
      </c>
      <c r="B270" s="30" t="s">
        <v>1597</v>
      </c>
      <c r="C270" s="364"/>
      <c r="D270" t="s">
        <v>1697</v>
      </c>
    </row>
    <row r="271" spans="1:4">
      <c r="A271" t="s">
        <v>1561</v>
      </c>
      <c r="B271" s="433" t="s">
        <v>1562</v>
      </c>
      <c r="C271" s="346"/>
      <c r="D271" t="s">
        <v>716</v>
      </c>
    </row>
    <row r="272" spans="1:4">
      <c r="A272" t="s">
        <v>1576</v>
      </c>
      <c r="B272" s="30" t="s">
        <v>1577</v>
      </c>
      <c r="C272" s="354"/>
      <c r="D272" t="s">
        <v>1702</v>
      </c>
    </row>
    <row r="273" spans="1:4">
      <c r="A273" t="s">
        <v>1594</v>
      </c>
      <c r="B273" s="433" t="s">
        <v>1595</v>
      </c>
      <c r="C273" s="363"/>
      <c r="D273" t="s">
        <v>1703</v>
      </c>
    </row>
    <row r="274" spans="1:4">
      <c r="A274" t="s">
        <v>1590</v>
      </c>
      <c r="B274" s="433" t="s">
        <v>1591</v>
      </c>
      <c r="C274" s="361"/>
      <c r="D274" t="s">
        <v>825</v>
      </c>
    </row>
    <row r="275" spans="1:4">
      <c r="A275" t="s">
        <v>1583</v>
      </c>
      <c r="B275" s="433" t="s">
        <v>1584</v>
      </c>
      <c r="C275" s="357"/>
      <c r="D275" t="s">
        <v>1700</v>
      </c>
    </row>
    <row r="276" spans="1:4">
      <c r="A276" t="s">
        <v>1587</v>
      </c>
      <c r="B276" s="30">
        <v>740000</v>
      </c>
      <c r="C276" s="359"/>
      <c r="D276" t="s">
        <v>728</v>
      </c>
    </row>
  </sheetData>
  <pageMargins left="0.7" right="0.7" top="0.75" bottom="0.75" header="0.3" footer="0.3"/>
  <pageSetup paperSize="1" orientation="portrait"/>
  <headerFooter/>
  <ignoredErrors>
    <ignoredError sqref="B149:B150 B153 B56 B128:B133 B10:B30 B48 B159:B169 B248:B250 B46 B196:B209 B253:B261 B35:B38 B84 B172 B179:B182 B184:B191"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1" sqref="A1"/>
    </sheetView>
  </sheetViews>
  <sheetFormatPr defaultColWidth="8.85840707964602" defaultRowHeight="13.85" outlineLevelRow="2" outlineLevelCol="2"/>
  <cols>
    <col min="1" max="1" width="31.4247787610619" customWidth="1"/>
    <col min="2" max="2" width="28.141592920354" customWidth="1"/>
    <col min="3" max="3" width="85.5663716814159" customWidth="1"/>
  </cols>
  <sheetData>
    <row r="1" spans="1:3">
      <c r="A1" s="59" t="s">
        <v>1704</v>
      </c>
      <c r="B1" s="59" t="s">
        <v>1705</v>
      </c>
    </row>
    <row r="2" ht="138.75" spans="1:3">
      <c r="A2" t="s">
        <v>1706</v>
      </c>
      <c r="B2" t="s">
        <v>1707</v>
      </c>
      <c r="C2" s="342" t="s">
        <v>1708</v>
      </c>
    </row>
    <row r="3" spans="1:3">
      <c r="A3" t="s">
        <v>1709</v>
      </c>
      <c r="B3" t="s">
        <v>1710</v>
      </c>
    </row>
  </sheetData>
  <pageMargins left="0.7" right="0.7" top="0.75" bottom="0.75" header="0.3" footer="0.3"/>
  <pageSetup paperSize="1" orientation="portrait" horizontalDpi="1200" verticalDpi="12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933"/>
  <sheetViews>
    <sheetView workbookViewId="0">
      <selection activeCell="A1" sqref="A1"/>
    </sheetView>
  </sheetViews>
  <sheetFormatPr defaultColWidth="8.85840707964602" defaultRowHeight="13.85"/>
  <cols>
    <col min="1" max="1" width="49.4247787610619" style="28" customWidth="1"/>
    <col min="2" max="2" width="10.4247787610619" style="28" customWidth="1"/>
    <col min="3" max="3" width="12.858407079646" style="28" customWidth="1"/>
    <col min="4" max="4" width="13.4247787610619" style="28" customWidth="1"/>
    <col min="5" max="5" width="20.4247787610619" style="28" customWidth="1"/>
    <col min="7" max="7" width="14" customWidth="1"/>
    <col min="10" max="10" width="9.42477876106195" customWidth="1"/>
    <col min="14" max="15" width="12.141592920354" customWidth="1"/>
    <col min="16" max="16" width="12.4247787610619" customWidth="1"/>
  </cols>
  <sheetData>
    <row r="1" s="28" customFormat="1" spans="1:8">
      <c r="A1" s="61"/>
      <c r="B1" s="62"/>
      <c r="C1" s="62"/>
      <c r="D1" s="62"/>
      <c r="E1" s="61"/>
    </row>
    <row r="2" ht="15" spans="1:8">
      <c r="A2" s="63" t="s">
        <v>1711</v>
      </c>
      <c r="B2" s="63"/>
      <c r="C2" s="64"/>
      <c r="D2" s="64"/>
      <c r="E2" s="64"/>
      <c r="F2" s="64"/>
      <c r="G2" s="64"/>
      <c r="H2" s="65" t="s">
        <v>1712</v>
      </c>
    </row>
    <row r="3" ht="15" spans="1:8">
      <c r="A3" s="64" t="s">
        <v>1713</v>
      </c>
      <c r="B3" s="64"/>
      <c r="C3" s="64"/>
      <c r="D3" s="64"/>
      <c r="E3" s="64"/>
      <c r="F3" s="64"/>
      <c r="G3" s="64"/>
      <c r="H3" s="65" t="s">
        <v>1714</v>
      </c>
    </row>
    <row r="4" spans="1:8">
      <c r="A4" s="66"/>
      <c r="B4" s="66"/>
      <c r="C4" s="66"/>
      <c r="D4" s="66"/>
      <c r="E4" s="66"/>
      <c r="F4" s="66"/>
      <c r="G4" s="65"/>
      <c r="H4" s="65" t="s">
        <v>1715</v>
      </c>
    </row>
    <row r="5" spans="1:8">
      <c r="A5" s="66"/>
      <c r="B5" s="66"/>
      <c r="C5" s="66"/>
      <c r="D5" s="66"/>
      <c r="E5" s="66"/>
      <c r="F5" s="66"/>
      <c r="G5" s="66"/>
      <c r="H5" s="66"/>
    </row>
    <row r="6" ht="14.65" spans="1:8">
      <c r="A6" s="67" t="s">
        <v>1716</v>
      </c>
      <c r="B6" s="68" t="s">
        <v>1717</v>
      </c>
      <c r="C6" s="68" t="s">
        <v>1718</v>
      </c>
      <c r="D6" s="68" t="s">
        <v>1719</v>
      </c>
      <c r="E6" s="68" t="s">
        <v>1720</v>
      </c>
      <c r="F6" s="68" t="s">
        <v>649</v>
      </c>
      <c r="G6" s="68" t="s">
        <v>1721</v>
      </c>
      <c r="H6" s="68" t="s">
        <v>1722</v>
      </c>
    </row>
    <row r="7" ht="14.6" spans="1:8">
      <c r="A7" s="69"/>
      <c r="B7" s="70" t="s">
        <v>1723</v>
      </c>
      <c r="C7" s="71"/>
      <c r="D7" s="71"/>
      <c r="E7" s="71"/>
      <c r="F7" s="71"/>
      <c r="G7" s="71"/>
      <c r="H7" s="72"/>
    </row>
    <row r="8" ht="14.6" spans="1:8">
      <c r="A8" s="73" t="s">
        <v>1724</v>
      </c>
      <c r="B8" s="74">
        <v>5935361.20488463</v>
      </c>
      <c r="C8" s="74">
        <v>12331.3551676324</v>
      </c>
      <c r="D8" s="74">
        <v>255.418130119937</v>
      </c>
      <c r="E8" s="74">
        <v>16601.736021301</v>
      </c>
      <c r="F8" s="74">
        <v>64984.5113111223</v>
      </c>
      <c r="G8" s="74">
        <v>7345.4310275877</v>
      </c>
      <c r="H8" s="74">
        <v>12364.0910487709</v>
      </c>
    </row>
    <row r="9" spans="1:8">
      <c r="A9" s="75" t="s">
        <v>1725</v>
      </c>
      <c r="B9" s="74">
        <v>5894246.33007946</v>
      </c>
      <c r="C9" s="74">
        <v>474.071414052189</v>
      </c>
      <c r="D9" s="74">
        <v>255.326259835646</v>
      </c>
      <c r="E9" s="74">
        <v>16392.8416995592</v>
      </c>
      <c r="F9" s="74">
        <v>64879.0395065162</v>
      </c>
      <c r="G9" s="74">
        <v>6989.45692056402</v>
      </c>
      <c r="H9" s="74">
        <v>12298.9797572953</v>
      </c>
    </row>
    <row r="10" spans="1:8">
      <c r="A10" s="76" t="s">
        <v>1726</v>
      </c>
      <c r="B10" s="74">
        <v>2540094.53079829</v>
      </c>
      <c r="C10" s="74">
        <v>37.6560500597145</v>
      </c>
      <c r="D10" s="74">
        <v>101.322419524886</v>
      </c>
      <c r="E10" s="74">
        <v>3546.33677203647</v>
      </c>
      <c r="F10" s="74">
        <v>794.665706644434</v>
      </c>
      <c r="G10" s="74">
        <v>197.741099913916</v>
      </c>
      <c r="H10" s="74">
        <v>9554.15073637604</v>
      </c>
    </row>
    <row r="11" spans="1:8">
      <c r="A11" s="77" t="s">
        <v>1727</v>
      </c>
      <c r="B11" s="74">
        <v>2400057.48564065</v>
      </c>
      <c r="C11" s="74">
        <v>34.8234794195705</v>
      </c>
      <c r="D11" s="74">
        <v>100.865385691591</v>
      </c>
      <c r="E11" s="78">
        <v>3434.42909967477</v>
      </c>
      <c r="F11" s="78">
        <v>581.838672350059</v>
      </c>
      <c r="G11" s="78">
        <v>43.7013954200345</v>
      </c>
      <c r="H11" s="78">
        <v>9439.04327466022</v>
      </c>
    </row>
    <row r="12" spans="1:8">
      <c r="A12" s="77" t="s">
        <v>1728</v>
      </c>
      <c r="B12" s="74">
        <v>94253.0620081816</v>
      </c>
      <c r="C12" s="74">
        <v>1.46027512323081</v>
      </c>
      <c r="D12" s="74">
        <v>0.26593010197445</v>
      </c>
      <c r="E12" s="78">
        <v>111.907672361702</v>
      </c>
      <c r="F12" s="78">
        <v>212.827034294375</v>
      </c>
      <c r="G12" s="78">
        <v>154.039704493881</v>
      </c>
      <c r="H12" s="78">
        <v>115.107461715826</v>
      </c>
    </row>
    <row r="13" spans="1:8">
      <c r="A13" s="77" t="s">
        <v>1729</v>
      </c>
      <c r="B13" s="74">
        <v>45783.9831494659</v>
      </c>
      <c r="C13" s="74">
        <v>1.37229551691322</v>
      </c>
      <c r="D13" s="74">
        <v>0.19110373131999</v>
      </c>
      <c r="E13" s="78" t="s">
        <v>1730</v>
      </c>
      <c r="F13" s="78" t="s">
        <v>1730</v>
      </c>
      <c r="G13" s="78" t="s">
        <v>1730</v>
      </c>
      <c r="H13" s="78" t="s">
        <v>1730</v>
      </c>
    </row>
    <row r="14" spans="1:8">
      <c r="A14" s="79" t="s">
        <v>1731</v>
      </c>
      <c r="B14" s="74">
        <v>711227.527460318</v>
      </c>
      <c r="C14" s="74">
        <v>66.6675832893094</v>
      </c>
      <c r="D14" s="74">
        <v>9.36622203695974</v>
      </c>
      <c r="E14" s="74">
        <v>1515.361626675</v>
      </c>
      <c r="F14" s="74">
        <v>1044.8381666781</v>
      </c>
      <c r="G14" s="74">
        <v>120.234138444159</v>
      </c>
      <c r="H14" s="74">
        <v>1574.08711533717</v>
      </c>
    </row>
    <row r="15" spans="1:8">
      <c r="A15" s="77" t="s">
        <v>1732</v>
      </c>
      <c r="B15" s="74">
        <v>14978.5723621559</v>
      </c>
      <c r="C15" s="74">
        <v>0.23835740177008</v>
      </c>
      <c r="D15" s="74">
        <v>0.05081537174613</v>
      </c>
      <c r="E15" s="78" t="s">
        <v>1730</v>
      </c>
      <c r="F15" s="78" t="s">
        <v>1730</v>
      </c>
      <c r="G15" s="78" t="s">
        <v>1730</v>
      </c>
      <c r="H15" s="78" t="s">
        <v>1730</v>
      </c>
    </row>
    <row r="16" spans="1:8">
      <c r="A16" s="77" t="s">
        <v>1733</v>
      </c>
      <c r="B16" s="74">
        <v>5057.27487202544</v>
      </c>
      <c r="C16" s="74">
        <v>0.25516926930848</v>
      </c>
      <c r="D16" s="74">
        <v>0.03800432834628</v>
      </c>
      <c r="E16" s="78" t="s">
        <v>1730</v>
      </c>
      <c r="F16" s="78" t="s">
        <v>1730</v>
      </c>
      <c r="G16" s="78" t="s">
        <v>1730</v>
      </c>
      <c r="H16" s="78" t="s">
        <v>1730</v>
      </c>
    </row>
    <row r="17" spans="1:8">
      <c r="A17" s="77" t="s">
        <v>1734</v>
      </c>
      <c r="B17" s="74">
        <v>67269.9578139837</v>
      </c>
      <c r="C17" s="74">
        <v>1.85662734289529</v>
      </c>
      <c r="D17" s="74">
        <v>0.29458061428601</v>
      </c>
      <c r="E17" s="78" t="s">
        <v>1730</v>
      </c>
      <c r="F17" s="78" t="s">
        <v>1730</v>
      </c>
      <c r="G17" s="78" t="s">
        <v>1730</v>
      </c>
      <c r="H17" s="78" t="s">
        <v>1730</v>
      </c>
    </row>
    <row r="18" spans="1:8">
      <c r="A18" s="77" t="s">
        <v>1735</v>
      </c>
      <c r="B18" s="74">
        <v>45070.5796543341</v>
      </c>
      <c r="C18" s="74">
        <v>3.02832358430539</v>
      </c>
      <c r="D18" s="74">
        <v>0.52839203850652</v>
      </c>
      <c r="E18" s="78" t="s">
        <v>1730</v>
      </c>
      <c r="F18" s="78" t="s">
        <v>1730</v>
      </c>
      <c r="G18" s="78" t="s">
        <v>1730</v>
      </c>
      <c r="H18" s="78" t="s">
        <v>1730</v>
      </c>
    </row>
    <row r="19" spans="1:8">
      <c r="A19" s="77" t="s">
        <v>1736</v>
      </c>
      <c r="B19" s="74">
        <v>46357.76422742</v>
      </c>
      <c r="C19" s="74">
        <v>3.41919088614388</v>
      </c>
      <c r="D19" s="74">
        <v>0.52415757023381</v>
      </c>
      <c r="E19" s="78" t="s">
        <v>1730</v>
      </c>
      <c r="F19" s="78" t="s">
        <v>1730</v>
      </c>
      <c r="G19" s="78" t="s">
        <v>1730</v>
      </c>
      <c r="H19" s="78" t="s">
        <v>1730</v>
      </c>
    </row>
    <row r="20" spans="1:8">
      <c r="A20" s="77" t="s">
        <v>1737</v>
      </c>
      <c r="B20" s="74">
        <v>36302.0337781096</v>
      </c>
      <c r="C20" s="74">
        <v>2.42953826072832</v>
      </c>
      <c r="D20" s="74">
        <v>0.36471649490099</v>
      </c>
      <c r="E20" s="78" t="s">
        <v>1730</v>
      </c>
      <c r="F20" s="78" t="s">
        <v>1730</v>
      </c>
      <c r="G20" s="78" t="s">
        <v>1730</v>
      </c>
      <c r="H20" s="78" t="s">
        <v>1730</v>
      </c>
    </row>
    <row r="21" spans="1:8">
      <c r="A21" s="80" t="s">
        <v>1738</v>
      </c>
      <c r="B21" s="74">
        <v>496191.344752289</v>
      </c>
      <c r="C21" s="74">
        <v>55.4403765441579</v>
      </c>
      <c r="D21" s="74">
        <v>7.56555561894</v>
      </c>
      <c r="E21" s="78">
        <v>1515.361626675</v>
      </c>
      <c r="F21" s="78">
        <v>1044.8381666781</v>
      </c>
      <c r="G21" s="78">
        <v>120.234138444159</v>
      </c>
      <c r="H21" s="78">
        <v>1574.08711533717</v>
      </c>
    </row>
    <row r="22" spans="1:8">
      <c r="A22" s="79" t="s">
        <v>1739</v>
      </c>
      <c r="B22" s="74">
        <v>1830505.60563328</v>
      </c>
      <c r="C22" s="74">
        <v>160.28001983993</v>
      </c>
      <c r="D22" s="74">
        <v>137.977227926617</v>
      </c>
      <c r="E22" s="74">
        <v>10294.630529494</v>
      </c>
      <c r="F22" s="74">
        <v>58614.7978491395</v>
      </c>
      <c r="G22" s="74">
        <v>5723.59803464974</v>
      </c>
      <c r="H22" s="74">
        <v>618.630772033616</v>
      </c>
    </row>
    <row r="23" spans="1:8">
      <c r="A23" s="77" t="s">
        <v>1740</v>
      </c>
      <c r="B23" s="74">
        <v>170713.690360831</v>
      </c>
      <c r="C23" s="74">
        <v>2.0771880881664</v>
      </c>
      <c r="D23" s="74">
        <v>5.26173448056683</v>
      </c>
      <c r="E23" s="78">
        <v>40.811932568813</v>
      </c>
      <c r="F23" s="78">
        <v>207.242710598589</v>
      </c>
      <c r="G23" s="78">
        <v>20.9727824132042</v>
      </c>
      <c r="H23" s="78">
        <v>7.98636981910354</v>
      </c>
    </row>
    <row r="24" spans="1:8">
      <c r="A24" s="77" t="s">
        <v>1741</v>
      </c>
      <c r="B24" s="74">
        <v>1543321.23472409</v>
      </c>
      <c r="C24" s="74">
        <v>95.7223381829737</v>
      </c>
      <c r="D24" s="74">
        <v>108.027441792921</v>
      </c>
      <c r="E24" s="78">
        <v>7564.00390707707</v>
      </c>
      <c r="F24" s="78">
        <v>38851.4880669978</v>
      </c>
      <c r="G24" s="78">
        <v>3123.53359195348</v>
      </c>
      <c r="H24" s="78">
        <v>155.695944840377</v>
      </c>
    </row>
    <row r="25" spans="1:8">
      <c r="A25" s="77" t="s">
        <v>1742</v>
      </c>
      <c r="B25" s="74">
        <v>46055.9128654167</v>
      </c>
      <c r="C25" s="74">
        <v>3.5201759225</v>
      </c>
      <c r="D25" s="74">
        <v>1.1264562952</v>
      </c>
      <c r="E25" s="78">
        <v>504.06504986912</v>
      </c>
      <c r="F25" s="78">
        <v>79.731529299019</v>
      </c>
      <c r="G25" s="78">
        <v>38.6280718015617</v>
      </c>
      <c r="H25" s="78">
        <v>59.5491914714487</v>
      </c>
    </row>
    <row r="26" spans="1:8">
      <c r="A26" s="77" t="s">
        <v>1743</v>
      </c>
      <c r="B26" s="74">
        <v>38024.1360183481</v>
      </c>
      <c r="C26" s="74">
        <v>16.1746927015729</v>
      </c>
      <c r="D26" s="74">
        <v>0.73291389331868</v>
      </c>
      <c r="E26" s="78">
        <v>564.783227148086</v>
      </c>
      <c r="F26" s="78">
        <v>1625.63301478176</v>
      </c>
      <c r="G26" s="78">
        <v>797.790023643346</v>
      </c>
      <c r="H26" s="78">
        <v>168.625036522251</v>
      </c>
    </row>
    <row r="27" ht="14.6" spans="1:8">
      <c r="A27" s="77" t="s">
        <v>1744</v>
      </c>
      <c r="B27" s="74">
        <v>32390.6316645947</v>
      </c>
      <c r="C27" s="74">
        <v>42.7856249447167</v>
      </c>
      <c r="D27" s="74">
        <v>22.8286814646106</v>
      </c>
      <c r="E27" s="78">
        <v>1620.96641283092</v>
      </c>
      <c r="F27" s="78">
        <v>17850.7025274622</v>
      </c>
      <c r="G27" s="78">
        <v>1742.67356483815</v>
      </c>
      <c r="H27" s="78">
        <v>226.774229380435</v>
      </c>
    </row>
    <row r="28" ht="14.6" spans="1:8">
      <c r="A28" s="81" t="s">
        <v>1745</v>
      </c>
      <c r="B28" s="74">
        <v>586285.443470696</v>
      </c>
      <c r="C28" s="74">
        <v>205.348133771596</v>
      </c>
      <c r="D28" s="74">
        <v>4.10020592960264</v>
      </c>
      <c r="E28" s="74">
        <v>908.263731486725</v>
      </c>
      <c r="F28" s="74">
        <v>3021.64543736223</v>
      </c>
      <c r="G28" s="74">
        <v>706.600965242962</v>
      </c>
      <c r="H28" s="74">
        <v>527.575853555532</v>
      </c>
    </row>
    <row r="29" spans="1:8">
      <c r="A29" s="77" t="s">
        <v>1746</v>
      </c>
      <c r="B29" s="74">
        <v>227130.022981521</v>
      </c>
      <c r="C29" s="74">
        <v>43.1270518065731</v>
      </c>
      <c r="D29" s="74">
        <v>1.16099585507677</v>
      </c>
      <c r="E29" s="78">
        <v>490.174655413766</v>
      </c>
      <c r="F29" s="78">
        <v>165.626334353531</v>
      </c>
      <c r="G29" s="78">
        <v>188.277497479489</v>
      </c>
      <c r="H29" s="78">
        <v>369.975780726557</v>
      </c>
    </row>
    <row r="30" spans="1:8">
      <c r="A30" s="77" t="s">
        <v>1747</v>
      </c>
      <c r="B30" s="74">
        <v>358897.51072027</v>
      </c>
      <c r="C30" s="74">
        <v>162.208076971485</v>
      </c>
      <c r="D30" s="74">
        <v>2.93733162203288</v>
      </c>
      <c r="E30" s="78">
        <v>418.089076072959</v>
      </c>
      <c r="F30" s="78">
        <v>2856.0191030087</v>
      </c>
      <c r="G30" s="78">
        <v>518.323467763473</v>
      </c>
      <c r="H30" s="78">
        <v>157.600072828975</v>
      </c>
    </row>
    <row r="31" spans="1:8">
      <c r="A31" s="77" t="s">
        <v>1748</v>
      </c>
      <c r="B31" s="74">
        <v>257.909768904593</v>
      </c>
      <c r="C31" s="74">
        <v>0.01300499353749</v>
      </c>
      <c r="D31" s="74">
        <v>0.00187845249299</v>
      </c>
      <c r="E31" s="78" t="s">
        <v>1730</v>
      </c>
      <c r="F31" s="78" t="s">
        <v>1730</v>
      </c>
      <c r="G31" s="78" t="s">
        <v>1730</v>
      </c>
      <c r="H31" s="78" t="s">
        <v>1730</v>
      </c>
    </row>
    <row r="32" spans="1:8">
      <c r="A32" s="79" t="s">
        <v>1749</v>
      </c>
      <c r="B32" s="74">
        <v>226133.222716876</v>
      </c>
      <c r="C32" s="74">
        <v>4.11962709163943</v>
      </c>
      <c r="D32" s="74">
        <v>2.56018441758074</v>
      </c>
      <c r="E32" s="74">
        <v>128.249039866967</v>
      </c>
      <c r="F32" s="74">
        <v>1403.092346692</v>
      </c>
      <c r="G32" s="74">
        <v>241.282682313243</v>
      </c>
      <c r="H32" s="74">
        <v>24.5352799929295</v>
      </c>
    </row>
    <row r="33" spans="1:8">
      <c r="A33" s="77" t="s">
        <v>1750</v>
      </c>
      <c r="B33" s="74">
        <v>198086.658979246</v>
      </c>
      <c r="C33" s="74">
        <v>3.63136031306943</v>
      </c>
      <c r="D33" s="74">
        <v>1.77857478358242</v>
      </c>
      <c r="E33" s="78">
        <v>128.249039866967</v>
      </c>
      <c r="F33" s="78">
        <v>1403.092346692</v>
      </c>
      <c r="G33" s="78">
        <v>241.282682313243</v>
      </c>
      <c r="H33" s="78">
        <v>24.5352799929295</v>
      </c>
    </row>
    <row r="34" spans="1:8">
      <c r="A34" s="77" t="s">
        <v>1751</v>
      </c>
      <c r="B34" s="74">
        <v>28046.5637376296</v>
      </c>
      <c r="C34" s="74">
        <v>0.48826677857</v>
      </c>
      <c r="D34" s="74">
        <v>0.78160963399832</v>
      </c>
      <c r="E34" s="78" t="s">
        <v>1752</v>
      </c>
      <c r="F34" s="78" t="s">
        <v>1752</v>
      </c>
      <c r="G34" s="78" t="s">
        <v>1752</v>
      </c>
      <c r="H34" s="78" t="s">
        <v>1752</v>
      </c>
    </row>
    <row r="35" spans="1:8">
      <c r="A35" s="82" t="s">
        <v>1753</v>
      </c>
      <c r="B35" s="74">
        <v>41114.8748051699</v>
      </c>
      <c r="C35" s="74">
        <v>11857.2837535802</v>
      </c>
      <c r="D35" s="74">
        <v>0.09187028429135</v>
      </c>
      <c r="E35" s="74">
        <v>208.894321741844</v>
      </c>
      <c r="F35" s="74">
        <v>105.471804606062</v>
      </c>
      <c r="G35" s="74">
        <v>355.974107023675</v>
      </c>
      <c r="H35" s="74">
        <v>65.1112914756188</v>
      </c>
    </row>
    <row r="36" spans="1:8">
      <c r="A36" s="79" t="s">
        <v>1754</v>
      </c>
      <c r="B36" s="74">
        <v>4169.71412378571</v>
      </c>
      <c r="C36" s="74">
        <v>2828.71933061073</v>
      </c>
      <c r="D36" s="74" t="s">
        <v>1752</v>
      </c>
      <c r="E36" s="74" t="s">
        <v>1752</v>
      </c>
      <c r="F36" s="74" t="s">
        <v>1752</v>
      </c>
      <c r="G36" s="74" t="s">
        <v>1752</v>
      </c>
      <c r="H36" s="74" t="s">
        <v>1752</v>
      </c>
    </row>
    <row r="37" spans="1:8">
      <c r="A37" s="77" t="s">
        <v>1755</v>
      </c>
      <c r="B37" s="74">
        <v>4169.71412378571</v>
      </c>
      <c r="C37" s="74">
        <v>2828.71933061073</v>
      </c>
      <c r="D37" s="78" t="s">
        <v>1752</v>
      </c>
      <c r="E37" s="78" t="s">
        <v>1752</v>
      </c>
      <c r="F37" s="78" t="s">
        <v>1752</v>
      </c>
      <c r="G37" s="78" t="s">
        <v>1752</v>
      </c>
      <c r="H37" s="83" t="s">
        <v>1756</v>
      </c>
    </row>
    <row r="38" spans="1:8">
      <c r="A38" s="77" t="s">
        <v>1757</v>
      </c>
      <c r="B38" s="74" t="s">
        <v>1730</v>
      </c>
      <c r="C38" s="74" t="s">
        <v>1730</v>
      </c>
      <c r="D38" s="78" t="s">
        <v>1752</v>
      </c>
      <c r="E38" s="78" t="s">
        <v>1752</v>
      </c>
      <c r="F38" s="78" t="s">
        <v>1752</v>
      </c>
      <c r="G38" s="78" t="s">
        <v>1752</v>
      </c>
      <c r="H38" s="78" t="s">
        <v>1752</v>
      </c>
    </row>
    <row r="39" spans="1:8">
      <c r="A39" s="77" t="s">
        <v>1758</v>
      </c>
      <c r="B39" s="74" t="s">
        <v>1759</v>
      </c>
      <c r="C39" s="74" t="s">
        <v>1759</v>
      </c>
      <c r="D39" s="78" t="s">
        <v>1752</v>
      </c>
      <c r="E39" s="74" t="s">
        <v>1752</v>
      </c>
      <c r="F39" s="74" t="s">
        <v>1752</v>
      </c>
      <c r="G39" s="74" t="s">
        <v>1752</v>
      </c>
      <c r="H39" s="74" t="s">
        <v>1752</v>
      </c>
    </row>
    <row r="40" spans="1:8">
      <c r="A40" s="79" t="s">
        <v>1760</v>
      </c>
      <c r="B40" s="74">
        <v>36945.1606813842</v>
      </c>
      <c r="C40" s="74">
        <v>9028.56442296947</v>
      </c>
      <c r="D40" s="74">
        <v>0.09187028429135</v>
      </c>
      <c r="E40" s="74">
        <v>208.894321741844</v>
      </c>
      <c r="F40" s="74">
        <v>105.471804606062</v>
      </c>
      <c r="G40" s="74">
        <v>355.974107023675</v>
      </c>
      <c r="H40" s="74">
        <v>65.1112914756188</v>
      </c>
    </row>
    <row r="41" spans="1:8">
      <c r="A41" s="77" t="s">
        <v>1761</v>
      </c>
      <c r="B41" s="74">
        <v>11998.3333792748</v>
      </c>
      <c r="C41" s="74">
        <v>1877.11940914938</v>
      </c>
      <c r="D41" s="74">
        <v>0.03542416519809</v>
      </c>
      <c r="E41" s="78" t="s">
        <v>1730</v>
      </c>
      <c r="F41" s="78" t="s">
        <v>1730</v>
      </c>
      <c r="G41" s="78" t="s">
        <v>1730</v>
      </c>
      <c r="H41" s="78" t="s">
        <v>1730</v>
      </c>
    </row>
    <row r="42" spans="1:8">
      <c r="A42" s="77" t="s">
        <v>1762</v>
      </c>
      <c r="B42" s="74">
        <v>24946.8273021094</v>
      </c>
      <c r="C42" s="74">
        <v>7151.44501382009</v>
      </c>
      <c r="D42" s="83" t="s">
        <v>1756</v>
      </c>
      <c r="E42" s="83" t="s">
        <v>1756</v>
      </c>
      <c r="F42" s="83" t="s">
        <v>1756</v>
      </c>
      <c r="G42" s="78" t="s">
        <v>1730</v>
      </c>
      <c r="H42" s="78" t="s">
        <v>1730</v>
      </c>
    </row>
    <row r="43" spans="1:8">
      <c r="A43" s="77" t="s">
        <v>1763</v>
      </c>
      <c r="B43" s="74" t="s">
        <v>1730</v>
      </c>
      <c r="C43" s="74" t="s">
        <v>1730</v>
      </c>
      <c r="D43" s="74">
        <v>0.05644611909326</v>
      </c>
      <c r="E43" s="78" t="s">
        <v>1730</v>
      </c>
      <c r="F43" s="78" t="s">
        <v>1730</v>
      </c>
      <c r="G43" s="78" t="s">
        <v>1730</v>
      </c>
      <c r="H43" s="78" t="s">
        <v>1730</v>
      </c>
    </row>
    <row r="44" spans="1:8">
      <c r="A44" s="77" t="s">
        <v>1764</v>
      </c>
      <c r="B44" s="74" t="s">
        <v>1759</v>
      </c>
      <c r="C44" s="74" t="s">
        <v>1759</v>
      </c>
      <c r="D44" s="74" t="s">
        <v>1759</v>
      </c>
      <c r="E44" s="74">
        <v>208.894321741844</v>
      </c>
      <c r="F44" s="74">
        <v>105.471804606062</v>
      </c>
      <c r="G44" s="74">
        <v>355.974107023675</v>
      </c>
      <c r="H44" s="74">
        <v>65.1112914756188</v>
      </c>
    </row>
    <row r="45" spans="1:8">
      <c r="A45" s="84" t="s">
        <v>1765</v>
      </c>
      <c r="B45" s="74" t="s">
        <v>1766</v>
      </c>
      <c r="C45" s="83" t="s">
        <v>1756</v>
      </c>
      <c r="D45" s="83" t="s">
        <v>1756</v>
      </c>
      <c r="E45" s="83" t="s">
        <v>1756</v>
      </c>
      <c r="F45" s="83" t="s">
        <v>1756</v>
      </c>
      <c r="G45" s="83" t="s">
        <v>1756</v>
      </c>
      <c r="H45" s="83" t="s">
        <v>1756</v>
      </c>
    </row>
    <row r="46" spans="1:8">
      <c r="A46" s="79" t="s">
        <v>1767</v>
      </c>
      <c r="B46" s="74" t="s">
        <v>1730</v>
      </c>
      <c r="C46" s="83" t="s">
        <v>1756</v>
      </c>
      <c r="D46" s="83" t="s">
        <v>1756</v>
      </c>
      <c r="E46" s="83" t="s">
        <v>1756</v>
      </c>
      <c r="F46" s="83" t="s">
        <v>1756</v>
      </c>
      <c r="G46" s="83" t="s">
        <v>1756</v>
      </c>
      <c r="H46" s="83" t="s">
        <v>1756</v>
      </c>
    </row>
    <row r="47" spans="1:8">
      <c r="A47" s="79" t="s">
        <v>1768</v>
      </c>
      <c r="B47" s="74" t="s">
        <v>1730</v>
      </c>
      <c r="C47" s="83" t="s">
        <v>1756</v>
      </c>
      <c r="D47" s="83" t="s">
        <v>1756</v>
      </c>
      <c r="E47" s="83" t="s">
        <v>1756</v>
      </c>
      <c r="F47" s="83" t="s">
        <v>1756</v>
      </c>
      <c r="G47" s="83" t="s">
        <v>1756</v>
      </c>
      <c r="H47" s="83" t="s">
        <v>1756</v>
      </c>
    </row>
    <row r="48" spans="1:8">
      <c r="A48" s="76" t="s">
        <v>1769</v>
      </c>
      <c r="B48" s="74" t="s">
        <v>1766</v>
      </c>
      <c r="C48" s="83" t="s">
        <v>1756</v>
      </c>
      <c r="D48" s="83" t="s">
        <v>1756</v>
      </c>
      <c r="E48" s="83" t="s">
        <v>1756</v>
      </c>
      <c r="F48" s="83" t="s">
        <v>1756</v>
      </c>
      <c r="G48" s="83" t="s">
        <v>1756</v>
      </c>
      <c r="H48" s="83" t="s">
        <v>1756</v>
      </c>
    </row>
    <row r="49" spans="1:8">
      <c r="A49" s="84" t="s">
        <v>1770</v>
      </c>
      <c r="B49" s="83" t="s">
        <v>1756</v>
      </c>
      <c r="C49" s="83" t="s">
        <v>1756</v>
      </c>
      <c r="D49" s="83" t="s">
        <v>1756</v>
      </c>
      <c r="E49" s="83" t="s">
        <v>1756</v>
      </c>
      <c r="F49" s="83" t="s">
        <v>1756</v>
      </c>
      <c r="G49" s="83" t="s">
        <v>1756</v>
      </c>
      <c r="H49" s="83" t="s">
        <v>1756</v>
      </c>
    </row>
    <row r="50" spans="1:8">
      <c r="A50" s="76" t="s">
        <v>1771</v>
      </c>
      <c r="B50" s="74">
        <v>113327.836586543</v>
      </c>
      <c r="C50" s="74">
        <v>5.29289301873301</v>
      </c>
      <c r="D50" s="74">
        <v>3.24415507999054</v>
      </c>
      <c r="E50" s="74">
        <v>1699.33767846689</v>
      </c>
      <c r="F50" s="74">
        <v>130.721657104472</v>
      </c>
      <c r="G50" s="74">
        <v>53.656498765612</v>
      </c>
      <c r="H50" s="74" t="s">
        <v>1772</v>
      </c>
    </row>
    <row r="51" spans="1:8">
      <c r="A51" s="85" t="s">
        <v>1773</v>
      </c>
      <c r="B51" s="74">
        <v>60220.9803767714</v>
      </c>
      <c r="C51" s="74" t="s">
        <v>1774</v>
      </c>
      <c r="D51" s="74">
        <v>1.89992828158216</v>
      </c>
      <c r="E51" s="78">
        <v>237.49103519777</v>
      </c>
      <c r="F51" s="78">
        <v>98.7962706422725</v>
      </c>
      <c r="G51" s="78">
        <v>14.8194405963409</v>
      </c>
      <c r="H51" s="78" t="s">
        <v>1772</v>
      </c>
    </row>
    <row r="52" spans="1:8">
      <c r="A52" s="85" t="s">
        <v>1775</v>
      </c>
      <c r="B52" s="74">
        <v>53106.8562097716</v>
      </c>
      <c r="C52" s="74">
        <v>5.29289301873301</v>
      </c>
      <c r="D52" s="74">
        <v>1.34422679840838</v>
      </c>
      <c r="E52" s="78">
        <v>1461.84664326912</v>
      </c>
      <c r="F52" s="78">
        <v>31.9253864621991</v>
      </c>
      <c r="G52" s="78">
        <v>38.8370581692711</v>
      </c>
      <c r="H52" s="78" t="s">
        <v>1772</v>
      </c>
    </row>
    <row r="53" spans="1:8">
      <c r="A53" s="76" t="s">
        <v>1776</v>
      </c>
      <c r="B53" s="74" t="s">
        <v>1730</v>
      </c>
      <c r="C53" s="74" t="s">
        <v>1730</v>
      </c>
      <c r="D53" s="74" t="s">
        <v>1730</v>
      </c>
      <c r="E53" s="78" t="s">
        <v>1730</v>
      </c>
      <c r="F53" s="78" t="s">
        <v>1730</v>
      </c>
      <c r="G53" s="78" t="s">
        <v>1730</v>
      </c>
      <c r="H53" s="78" t="s">
        <v>1772</v>
      </c>
    </row>
    <row r="54" spans="1:8">
      <c r="A54" s="86" t="s">
        <v>1777</v>
      </c>
      <c r="B54" s="74">
        <v>230699.510367406</v>
      </c>
      <c r="C54" s="83" t="s">
        <v>1756</v>
      </c>
      <c r="D54" s="83" t="s">
        <v>1756</v>
      </c>
      <c r="E54" s="83" t="s">
        <v>1756</v>
      </c>
      <c r="F54" s="83" t="s">
        <v>1756</v>
      </c>
      <c r="G54" s="83" t="s">
        <v>1756</v>
      </c>
      <c r="H54" s="83" t="s">
        <v>1756</v>
      </c>
    </row>
    <row r="55" spans="1:8">
      <c r="A55" s="87" t="s">
        <v>1778</v>
      </c>
      <c r="B55" s="74" t="s">
        <v>1774</v>
      </c>
      <c r="C55" s="83" t="s">
        <v>1756</v>
      </c>
      <c r="D55" s="83" t="s">
        <v>1756</v>
      </c>
      <c r="E55" s="83" t="s">
        <v>1756</v>
      </c>
      <c r="F55" s="83" t="s">
        <v>1756</v>
      </c>
      <c r="G55" s="83" t="s">
        <v>1756</v>
      </c>
      <c r="H55" s="83" t="s">
        <v>1756</v>
      </c>
    </row>
    <row r="56" spans="1:8">
      <c r="A56" s="88" t="s">
        <v>1779</v>
      </c>
      <c r="B56" s="78" t="s">
        <v>1752</v>
      </c>
      <c r="C56" s="83" t="s">
        <v>1756</v>
      </c>
      <c r="D56" s="83" t="s">
        <v>1756</v>
      </c>
      <c r="E56" s="83" t="s">
        <v>1756</v>
      </c>
      <c r="F56" s="83" t="s">
        <v>1756</v>
      </c>
      <c r="G56" s="83" t="s">
        <v>1756</v>
      </c>
      <c r="H56" s="83" t="s">
        <v>1756</v>
      </c>
    </row>
    <row r="57" spans="1:8">
      <c r="A57" s="88" t="s">
        <v>1780</v>
      </c>
      <c r="B57" s="78" t="s">
        <v>1752</v>
      </c>
      <c r="C57" s="83" t="s">
        <v>1756</v>
      </c>
      <c r="D57" s="83" t="s">
        <v>1756</v>
      </c>
      <c r="E57" s="83" t="s">
        <v>1756</v>
      </c>
      <c r="F57" s="83" t="s">
        <v>1756</v>
      </c>
      <c r="G57" s="83" t="s">
        <v>1756</v>
      </c>
      <c r="H57" s="83" t="s">
        <v>1756</v>
      </c>
    </row>
    <row r="58" spans="1:8">
      <c r="C58" s="89"/>
      <c r="D58" s="89"/>
    </row>
    <row r="59" ht="13.9" spans="1:8">
      <c r="A59" s="90" t="s">
        <v>1781</v>
      </c>
      <c r="B59" s="91">
        <f>B8+B50</f>
        <v>6048689.04147117</v>
      </c>
      <c r="C59" s="91">
        <f t="shared" ref="C59:G59" si="0">C8+C50</f>
        <v>12336.6480606511</v>
      </c>
      <c r="D59" s="91">
        <f t="shared" si="0"/>
        <v>258.662285199928</v>
      </c>
      <c r="E59" s="91">
        <f t="shared" si="0"/>
        <v>18301.0736997679</v>
      </c>
      <c r="F59" s="91">
        <f t="shared" si="0"/>
        <v>65115.2329682268</v>
      </c>
      <c r="G59" s="91">
        <f t="shared" si="0"/>
        <v>7399.08752635331</v>
      </c>
      <c r="H59" s="91">
        <f>H8</f>
        <v>12364.0910487709</v>
      </c>
    </row>
    <row r="60" ht="13.9" spans="1:8">
      <c r="A60" s="90" t="s">
        <v>851</v>
      </c>
      <c r="B60" s="91">
        <f>B11</f>
        <v>2400057.48564065</v>
      </c>
      <c r="C60" s="91">
        <f t="shared" ref="C60:H60" si="1">C11</f>
        <v>34.8234794195705</v>
      </c>
      <c r="D60" s="91">
        <f t="shared" si="1"/>
        <v>100.865385691591</v>
      </c>
      <c r="E60" s="91">
        <f t="shared" si="1"/>
        <v>3434.42909967477</v>
      </c>
      <c r="F60" s="91">
        <f t="shared" si="1"/>
        <v>581.838672350059</v>
      </c>
      <c r="G60" s="91">
        <f t="shared" si="1"/>
        <v>43.7013954200345</v>
      </c>
      <c r="H60" s="91">
        <f t="shared" si="1"/>
        <v>9439.04327466022</v>
      </c>
    </row>
    <row r="61" ht="13.9" spans="1:8">
      <c r="A61" s="90" t="s">
        <v>58</v>
      </c>
      <c r="B61" s="91">
        <f>SUM(B22,B50)-G293</f>
        <v>1911442.81055523</v>
      </c>
      <c r="C61" s="91">
        <f t="shared" ref="C61:H61" si="2">SUM(C22,C50)</f>
        <v>165.572912858663</v>
      </c>
      <c r="D61" s="91">
        <f t="shared" si="2"/>
        <v>141.221383006607</v>
      </c>
      <c r="E61" s="91">
        <f t="shared" si="2"/>
        <v>11993.9682079609</v>
      </c>
      <c r="F61" s="91">
        <f t="shared" si="2"/>
        <v>58745.5195062439</v>
      </c>
      <c r="G61" s="91">
        <f t="shared" si="2"/>
        <v>5777.25453341535</v>
      </c>
      <c r="H61" s="91">
        <f t="shared" si="2"/>
        <v>618.630772033616</v>
      </c>
    </row>
    <row r="62" ht="13.9" spans="1:8">
      <c r="A62" s="90" t="s">
        <v>1064</v>
      </c>
      <c r="B62" s="91">
        <f>SUM(B29:B30)</f>
        <v>586027.533701791</v>
      </c>
      <c r="C62" s="91">
        <f t="shared" ref="C62:H62" si="3">SUM(C29:C30)</f>
        <v>205.335128778058</v>
      </c>
      <c r="D62" s="91">
        <f t="shared" si="3"/>
        <v>4.09832747710965</v>
      </c>
      <c r="E62" s="91">
        <f t="shared" si="3"/>
        <v>908.263731486725</v>
      </c>
      <c r="F62" s="91">
        <f t="shared" si="3"/>
        <v>3021.64543736223</v>
      </c>
      <c r="G62" s="91">
        <f t="shared" si="3"/>
        <v>706.600965242962</v>
      </c>
      <c r="H62" s="91">
        <f t="shared" si="3"/>
        <v>527.575853555532</v>
      </c>
    </row>
    <row r="63" ht="13.9" spans="1:8">
      <c r="A63" s="90" t="s">
        <v>333</v>
      </c>
      <c r="B63" s="91">
        <f>SUM(B12:B14,B35,B45,B32)+G293-G374</f>
        <v>1137620.38588515</v>
      </c>
      <c r="C63" s="91">
        <f>SUM(C12:C14,C35,C45,C32)-H374</f>
        <v>11930.8983397828</v>
      </c>
      <c r="D63" s="91">
        <f>SUM(D12:D14,D35,D45,D32)-I374</f>
        <v>11.1766345907889</v>
      </c>
      <c r="E63" s="91">
        <f t="shared" ref="E63:H63" si="4">SUM(E12:E14,E35,E45,E32)</f>
        <v>1964.41266064552</v>
      </c>
      <c r="F63" s="91">
        <f t="shared" si="4"/>
        <v>2766.22935227054</v>
      </c>
      <c r="G63" s="91">
        <f t="shared" si="4"/>
        <v>871.530632274958</v>
      </c>
      <c r="H63" s="91">
        <f t="shared" si="4"/>
        <v>1778.84114852154</v>
      </c>
    </row>
    <row r="64" ht="13.9" spans="1:8">
      <c r="A64" s="90" t="s">
        <v>1062</v>
      </c>
      <c r="B64" s="91">
        <f>B31</f>
        <v>257.909768904593</v>
      </c>
      <c r="C64" s="91">
        <f t="shared" ref="C64:H64" si="5">C31</f>
        <v>0.01300499353749</v>
      </c>
      <c r="D64" s="91">
        <f t="shared" si="5"/>
        <v>0.00187845249299</v>
      </c>
      <c r="E64" s="91" t="str">
        <f t="shared" si="5"/>
        <v>IE</v>
      </c>
      <c r="F64" s="91" t="str">
        <f t="shared" si="5"/>
        <v>IE</v>
      </c>
      <c r="G64" s="91" t="str">
        <f t="shared" si="5"/>
        <v>IE</v>
      </c>
      <c r="H64" s="91" t="str">
        <f t="shared" si="5"/>
        <v>IE</v>
      </c>
    </row>
    <row r="65" ht="13.9" spans="1:10">
      <c r="A65" s="90" t="s">
        <v>1782</v>
      </c>
      <c r="B65" s="91">
        <f>G374</f>
        <v>13282.9159194568</v>
      </c>
      <c r="C65" s="91">
        <f t="shared" ref="C65:D65" si="6">H374</f>
        <v>0.00519481844957</v>
      </c>
      <c r="D65" s="91">
        <f t="shared" si="6"/>
        <v>1.29867598133739</v>
      </c>
      <c r="E65" s="91"/>
      <c r="F65" s="91"/>
      <c r="G65" s="91"/>
      <c r="H65" s="91"/>
    </row>
    <row r="66" ht="41.65" spans="1:10">
      <c r="A66" s="28" t="s">
        <v>1783</v>
      </c>
      <c r="B66" s="89"/>
      <c r="C66" s="89"/>
      <c r="D66" s="89"/>
      <c r="E66" s="89"/>
      <c r="F66" s="89"/>
      <c r="G66" s="89"/>
      <c r="H66" s="89"/>
    </row>
    <row r="67" ht="14.6" spans="1:10">
      <c r="B67" s="92"/>
      <c r="C67" s="92"/>
      <c r="D67" s="92"/>
      <c r="E67" s="92"/>
      <c r="F67" s="92"/>
      <c r="G67" s="92"/>
      <c r="H67" s="92"/>
    </row>
    <row r="68" ht="15" spans="1:10">
      <c r="A68" s="93" t="s">
        <v>1784</v>
      </c>
      <c r="B68" s="94"/>
      <c r="C68" s="95"/>
      <c r="D68" s="95"/>
      <c r="E68" s="95"/>
      <c r="F68" s="95"/>
      <c r="G68" s="95"/>
      <c r="H68" s="95"/>
      <c r="I68" s="96"/>
      <c r="J68" s="65" t="s">
        <v>1712</v>
      </c>
    </row>
    <row r="69" ht="15.35" spans="1:10">
      <c r="A69" s="97" t="s">
        <v>1785</v>
      </c>
      <c r="B69" s="98"/>
      <c r="C69" s="99"/>
      <c r="D69" s="99"/>
      <c r="E69" s="99"/>
      <c r="F69" s="99"/>
      <c r="G69" s="99"/>
      <c r="H69" s="99"/>
      <c r="I69" s="96"/>
      <c r="J69" s="65" t="s">
        <v>1714</v>
      </c>
    </row>
    <row r="70" ht="15.35" spans="1:10">
      <c r="A70" s="97"/>
      <c r="B70" s="98"/>
      <c r="C70" s="99"/>
      <c r="D70" s="99"/>
      <c r="E70" s="99"/>
      <c r="F70" s="99"/>
      <c r="G70" s="99"/>
      <c r="H70" s="65"/>
      <c r="I70" s="96"/>
      <c r="J70" s="65" t="s">
        <v>1715</v>
      </c>
    </row>
    <row r="71" spans="1:10">
      <c r="A71" s="100" t="s">
        <v>1716</v>
      </c>
      <c r="B71" s="101" t="s">
        <v>1786</v>
      </c>
      <c r="C71" s="102"/>
      <c r="D71" s="101" t="s">
        <v>1787</v>
      </c>
      <c r="E71" s="103"/>
      <c r="F71" s="104"/>
      <c r="G71" s="101" t="s">
        <v>1788</v>
      </c>
      <c r="H71" s="105"/>
      <c r="I71" s="105"/>
      <c r="J71" s="102"/>
    </row>
    <row r="72" ht="14.65" spans="1:10">
      <c r="A72" s="106"/>
      <c r="B72" s="107" t="s">
        <v>1789</v>
      </c>
      <c r="C72" s="108"/>
      <c r="D72" s="109" t="s">
        <v>1790</v>
      </c>
      <c r="E72" s="107" t="s">
        <v>1718</v>
      </c>
      <c r="F72" s="108" t="s">
        <v>1719</v>
      </c>
      <c r="G72" s="109" t="s">
        <v>1791</v>
      </c>
      <c r="H72" s="109" t="s">
        <v>1718</v>
      </c>
      <c r="I72" s="109" t="s">
        <v>1719</v>
      </c>
      <c r="J72" s="104" t="s">
        <v>1717</v>
      </c>
    </row>
    <row r="73" spans="1:10">
      <c r="A73" s="106"/>
      <c r="B73" s="110"/>
      <c r="C73" s="111"/>
      <c r="D73" s="112"/>
      <c r="E73" s="110"/>
      <c r="F73" s="111"/>
      <c r="G73" s="113"/>
      <c r="H73" s="112"/>
      <c r="I73" s="112"/>
      <c r="J73" s="104" t="s">
        <v>1792</v>
      </c>
    </row>
    <row r="74" ht="14.6" spans="1:10">
      <c r="A74" s="114"/>
      <c r="B74" s="115" t="s">
        <v>1793</v>
      </c>
      <c r="C74" s="116" t="s">
        <v>1794</v>
      </c>
      <c r="D74" s="116" t="s">
        <v>1795</v>
      </c>
      <c r="E74" s="117" t="s">
        <v>1796</v>
      </c>
      <c r="F74" s="115"/>
      <c r="G74" s="117" t="s">
        <v>1723</v>
      </c>
      <c r="H74" s="118"/>
      <c r="I74" s="118"/>
      <c r="J74" s="119"/>
    </row>
    <row r="75" ht="14.6" spans="1:10">
      <c r="A75" s="120" t="s">
        <v>1797</v>
      </c>
      <c r="B75" s="121">
        <v>91119552.1104689</v>
      </c>
      <c r="C75" s="121" t="s">
        <v>1798</v>
      </c>
      <c r="D75" s="122" t="s">
        <v>1756</v>
      </c>
      <c r="E75" s="122" t="s">
        <v>1756</v>
      </c>
      <c r="F75" s="122" t="s">
        <v>1756</v>
      </c>
      <c r="G75" s="121">
        <v>5894246.33007946</v>
      </c>
      <c r="H75" s="121">
        <v>474.071414052189</v>
      </c>
      <c r="I75" s="121">
        <v>255.326259835646</v>
      </c>
      <c r="J75" s="121" t="s">
        <v>1774</v>
      </c>
    </row>
    <row r="76" spans="1:10">
      <c r="A76" s="123" t="s">
        <v>1799</v>
      </c>
      <c r="B76" s="121">
        <v>39518350.4492212</v>
      </c>
      <c r="C76" s="121" t="s">
        <v>1798</v>
      </c>
      <c r="D76" s="121">
        <v>62.818550609275</v>
      </c>
      <c r="E76" s="121">
        <v>4.71081601067928</v>
      </c>
      <c r="F76" s="121">
        <v>3.60437749314215</v>
      </c>
      <c r="G76" s="121">
        <v>2482485.49768947</v>
      </c>
      <c r="H76" s="121">
        <v>186.163678011826</v>
      </c>
      <c r="I76" s="121">
        <v>142.439052925277</v>
      </c>
      <c r="J76" s="121" t="s">
        <v>1752</v>
      </c>
    </row>
    <row r="77" spans="1:10">
      <c r="A77" s="123" t="s">
        <v>1800</v>
      </c>
      <c r="B77" s="121">
        <v>23547856.4601376</v>
      </c>
      <c r="C77" s="121" t="s">
        <v>1798</v>
      </c>
      <c r="D77" s="121">
        <v>90.3902220076087</v>
      </c>
      <c r="E77" s="121">
        <v>1.3293847084141</v>
      </c>
      <c r="F77" s="121">
        <v>4.08389432755436</v>
      </c>
      <c r="G77" s="121">
        <v>2128495.97323514</v>
      </c>
      <c r="H77" s="121">
        <v>31.3041602940372</v>
      </c>
      <c r="I77" s="121">
        <v>96.1669574236201</v>
      </c>
      <c r="J77" s="121" t="s">
        <v>1752</v>
      </c>
    </row>
    <row r="78" spans="1:10">
      <c r="A78" s="123" t="s">
        <v>1801</v>
      </c>
      <c r="B78" s="121">
        <v>25079732.2939688</v>
      </c>
      <c r="C78" s="121" t="s">
        <v>1798</v>
      </c>
      <c r="D78" s="121">
        <v>50.6193969954761</v>
      </c>
      <c r="E78" s="121">
        <v>2.90257475428631</v>
      </c>
      <c r="F78" s="121">
        <v>0.31864834210841</v>
      </c>
      <c r="G78" s="121">
        <v>1269520.92552867</v>
      </c>
      <c r="H78" s="121">
        <v>72.7957978007329</v>
      </c>
      <c r="I78" s="121">
        <v>7.99161511599593</v>
      </c>
      <c r="J78" s="121" t="s">
        <v>1752</v>
      </c>
    </row>
    <row r="79" spans="1:10">
      <c r="A79" s="123" t="s">
        <v>1802</v>
      </c>
      <c r="B79" s="121">
        <v>353451.33084586</v>
      </c>
      <c r="C79" s="121" t="s">
        <v>1798</v>
      </c>
      <c r="D79" s="121">
        <v>38.8849395284403</v>
      </c>
      <c r="E79" s="121">
        <v>0.01469740809049</v>
      </c>
      <c r="F79" s="121">
        <v>3.67427101838737</v>
      </c>
      <c r="G79" s="121">
        <v>13743.933626188</v>
      </c>
      <c r="H79" s="121">
        <v>0.00519481844957</v>
      </c>
      <c r="I79" s="121">
        <v>1.29867598133739</v>
      </c>
      <c r="J79" s="121" t="s">
        <v>1774</v>
      </c>
    </row>
    <row r="80" spans="1:10">
      <c r="A80" s="123" t="s">
        <v>1803</v>
      </c>
      <c r="B80" s="121" t="s">
        <v>1759</v>
      </c>
      <c r="C80" s="121" t="s">
        <v>1798</v>
      </c>
      <c r="D80" s="121" t="s">
        <v>1759</v>
      </c>
      <c r="E80" s="121" t="s">
        <v>1759</v>
      </c>
      <c r="F80" s="121" t="s">
        <v>1759</v>
      </c>
      <c r="G80" s="121" t="s">
        <v>1759</v>
      </c>
      <c r="H80" s="121" t="s">
        <v>1759</v>
      </c>
      <c r="I80" s="121" t="s">
        <v>1759</v>
      </c>
      <c r="J80" s="121" t="s">
        <v>1759</v>
      </c>
    </row>
    <row r="81" spans="1:10">
      <c r="A81" s="123" t="s">
        <v>1804</v>
      </c>
      <c r="B81" s="121">
        <v>2620161.5762955</v>
      </c>
      <c r="C81" s="121" t="s">
        <v>1798</v>
      </c>
      <c r="D81" s="121">
        <v>88.047818292786</v>
      </c>
      <c r="E81" s="121">
        <v>70.1493315488626</v>
      </c>
      <c r="F81" s="121">
        <v>2.83568710289998</v>
      </c>
      <c r="G81" s="122" t="s">
        <v>1756</v>
      </c>
      <c r="H81" s="121">
        <v>183.802583127143</v>
      </c>
      <c r="I81" s="121">
        <v>7.42995838941523</v>
      </c>
      <c r="J81" s="121" t="s">
        <v>1752</v>
      </c>
    </row>
    <row r="82" spans="1:10">
      <c r="A82" s="124" t="s">
        <v>1805</v>
      </c>
      <c r="B82" s="121">
        <v>32351773.4095631</v>
      </c>
      <c r="C82" s="121" t="s">
        <v>1798</v>
      </c>
      <c r="D82" s="122" t="s">
        <v>1756</v>
      </c>
      <c r="E82" s="122" t="s">
        <v>1756</v>
      </c>
      <c r="F82" s="122" t="s">
        <v>1756</v>
      </c>
      <c r="G82" s="121">
        <v>2540094.53079829</v>
      </c>
      <c r="H82" s="121">
        <v>37.6560500597145</v>
      </c>
      <c r="I82" s="121">
        <v>101.322419524886</v>
      </c>
      <c r="J82" s="121" t="s">
        <v>1774</v>
      </c>
    </row>
    <row r="83" spans="1:10">
      <c r="A83" s="125" t="s">
        <v>1799</v>
      </c>
      <c r="B83" s="121">
        <v>1343810.03845838</v>
      </c>
      <c r="C83" s="121" t="s">
        <v>1798</v>
      </c>
      <c r="D83" s="121">
        <v>75.9281410510218</v>
      </c>
      <c r="E83" s="121">
        <v>0.76379847184557</v>
      </c>
      <c r="F83" s="121">
        <v>0.35425092693756</v>
      </c>
      <c r="G83" s="121">
        <v>102032.998145847</v>
      </c>
      <c r="H83" s="121">
        <v>1.02640005382524</v>
      </c>
      <c r="I83" s="121">
        <v>0.47604595175188</v>
      </c>
      <c r="J83" s="121" t="s">
        <v>1752</v>
      </c>
    </row>
    <row r="84" spans="1:10">
      <c r="A84" s="125" t="s">
        <v>1800</v>
      </c>
      <c r="B84" s="121">
        <v>21964918.190438</v>
      </c>
      <c r="C84" s="121" t="s">
        <v>1798</v>
      </c>
      <c r="D84" s="121">
        <v>90.6207896810033</v>
      </c>
      <c r="E84" s="121">
        <v>0.73257570335638</v>
      </c>
      <c r="F84" s="121">
        <v>4.2890443345528</v>
      </c>
      <c r="G84" s="121">
        <v>1990478.23169613</v>
      </c>
      <c r="H84" s="121">
        <v>16.0909653925254</v>
      </c>
      <c r="I84" s="121">
        <v>94.208507923614</v>
      </c>
      <c r="J84" s="121" t="s">
        <v>1752</v>
      </c>
    </row>
    <row r="85" spans="1:10">
      <c r="A85" s="125" t="s">
        <v>1801</v>
      </c>
      <c r="B85" s="121">
        <v>8795000.24711653</v>
      </c>
      <c r="C85" s="121" t="s">
        <v>1798</v>
      </c>
      <c r="D85" s="121">
        <v>50.8382343020604</v>
      </c>
      <c r="E85" s="121">
        <v>2.33389415292247</v>
      </c>
      <c r="F85" s="121">
        <v>0.75335764658167</v>
      </c>
      <c r="G85" s="121">
        <v>447122.283249589</v>
      </c>
      <c r="H85" s="121">
        <v>20.5265996516969</v>
      </c>
      <c r="I85" s="121">
        <v>6.6257806878529</v>
      </c>
      <c r="J85" s="121" t="s">
        <v>1752</v>
      </c>
    </row>
    <row r="86" spans="1:10">
      <c r="A86" s="125" t="s">
        <v>1802</v>
      </c>
      <c r="B86" s="121">
        <v>52888.0873234715</v>
      </c>
      <c r="C86" s="121" t="s">
        <v>1798</v>
      </c>
      <c r="D86" s="121">
        <v>8.71685345532735</v>
      </c>
      <c r="E86" s="121" t="s">
        <v>1806</v>
      </c>
      <c r="F86" s="121" t="s">
        <v>1806</v>
      </c>
      <c r="G86" s="121">
        <v>461.017706731257</v>
      </c>
      <c r="H86" s="121" t="s">
        <v>1806</v>
      </c>
      <c r="I86" s="121" t="s">
        <v>1806</v>
      </c>
      <c r="J86" s="121" t="s">
        <v>1774</v>
      </c>
    </row>
    <row r="87" spans="1:10">
      <c r="A87" s="125" t="s">
        <v>1803</v>
      </c>
      <c r="B87" s="121" t="s">
        <v>1759</v>
      </c>
      <c r="C87" s="121" t="s">
        <v>1798</v>
      </c>
      <c r="D87" s="121" t="s">
        <v>1759</v>
      </c>
      <c r="E87" s="121" t="s">
        <v>1759</v>
      </c>
      <c r="F87" s="121" t="s">
        <v>1759</v>
      </c>
      <c r="G87" s="121" t="s">
        <v>1759</v>
      </c>
      <c r="H87" s="121" t="s">
        <v>1759</v>
      </c>
      <c r="I87" s="121" t="s">
        <v>1759</v>
      </c>
      <c r="J87" s="121" t="s">
        <v>1759</v>
      </c>
    </row>
    <row r="88" spans="1:10">
      <c r="A88" s="125" t="s">
        <v>1804</v>
      </c>
      <c r="B88" s="121">
        <v>195156.846226679</v>
      </c>
      <c r="C88" s="121" t="s">
        <v>1798</v>
      </c>
      <c r="D88" s="121">
        <v>97.7357368020399</v>
      </c>
      <c r="E88" s="121">
        <v>0.06192435418265</v>
      </c>
      <c r="F88" s="121">
        <v>0.06192435418265</v>
      </c>
      <c r="G88" s="121">
        <v>19073.7981579269</v>
      </c>
      <c r="H88" s="121">
        <v>0.01208496166691</v>
      </c>
      <c r="I88" s="121">
        <v>0.01208496166691</v>
      </c>
      <c r="J88" s="121" t="s">
        <v>1752</v>
      </c>
    </row>
    <row r="89" spans="1:10">
      <c r="A89" s="126" t="s">
        <v>1807</v>
      </c>
      <c r="B89" s="121">
        <v>29762022.2615317</v>
      </c>
      <c r="C89" s="121" t="s">
        <v>1798</v>
      </c>
      <c r="D89" s="122" t="s">
        <v>1756</v>
      </c>
      <c r="E89" s="122" t="s">
        <v>1756</v>
      </c>
      <c r="F89" s="122" t="s">
        <v>1756</v>
      </c>
      <c r="G89" s="121">
        <v>2400057.48564065</v>
      </c>
      <c r="H89" s="121">
        <v>34.8234794195705</v>
      </c>
      <c r="I89" s="121">
        <v>100.865385691591</v>
      </c>
      <c r="J89" s="121" t="s">
        <v>1774</v>
      </c>
    </row>
    <row r="90" spans="1:10">
      <c r="A90" s="125" t="s">
        <v>1799</v>
      </c>
      <c r="B90" s="121">
        <v>1289345.77547621</v>
      </c>
      <c r="C90" s="121" t="s">
        <v>1798</v>
      </c>
      <c r="D90" s="121">
        <v>75.9817106956444</v>
      </c>
      <c r="E90" s="121">
        <v>0.66331306705497</v>
      </c>
      <c r="F90" s="121">
        <v>0.25283307148143</v>
      </c>
      <c r="G90" s="121">
        <v>97966.6976988845</v>
      </c>
      <c r="H90" s="121">
        <v>0.85523990082549</v>
      </c>
      <c r="I90" s="121">
        <v>0.32598925261525</v>
      </c>
      <c r="J90" s="121" t="s">
        <v>1752</v>
      </c>
    </row>
    <row r="91" spans="1:10">
      <c r="A91" s="125" t="s">
        <v>1800</v>
      </c>
      <c r="B91" s="121">
        <v>21878947.4842414</v>
      </c>
      <c r="C91" s="121" t="s">
        <v>1798</v>
      </c>
      <c r="D91" s="121">
        <v>90.6246230107016</v>
      </c>
      <c r="E91" s="121">
        <v>0.69812515865579</v>
      </c>
      <c r="F91" s="121">
        <v>4.30029825406594</v>
      </c>
      <c r="G91" s="121">
        <v>1982771.36763032</v>
      </c>
      <c r="H91" s="121">
        <v>15.2742436836578</v>
      </c>
      <c r="I91" s="121">
        <v>94.0859996672838</v>
      </c>
      <c r="J91" s="121" t="s">
        <v>1752</v>
      </c>
    </row>
    <row r="92" spans="1:10">
      <c r="A92" s="125" t="s">
        <v>1801</v>
      </c>
      <c r="B92" s="121">
        <v>6345684.06826392</v>
      </c>
      <c r="C92" s="121" t="s">
        <v>1798</v>
      </c>
      <c r="D92" s="121">
        <v>50.2480739940065</v>
      </c>
      <c r="E92" s="121">
        <v>2.94403419275982</v>
      </c>
      <c r="F92" s="121">
        <v>1.01506972939916</v>
      </c>
      <c r="G92" s="121">
        <v>318858.402604714</v>
      </c>
      <c r="H92" s="121">
        <v>18.6819108734202</v>
      </c>
      <c r="I92" s="121">
        <v>6.44131181002523</v>
      </c>
      <c r="J92" s="121" t="s">
        <v>1752</v>
      </c>
    </row>
    <row r="93" spans="1:10">
      <c r="A93" s="125" t="s">
        <v>1802</v>
      </c>
      <c r="B93" s="121">
        <v>52888.0873234715</v>
      </c>
      <c r="C93" s="121" t="s">
        <v>1798</v>
      </c>
      <c r="D93" s="121">
        <v>8.71685345532735</v>
      </c>
      <c r="E93" s="121" t="s">
        <v>1766</v>
      </c>
      <c r="F93" s="121" t="s">
        <v>1766</v>
      </c>
      <c r="G93" s="121">
        <v>461.017706731257</v>
      </c>
      <c r="H93" s="121" t="s">
        <v>1766</v>
      </c>
      <c r="I93" s="121" t="s">
        <v>1766</v>
      </c>
      <c r="J93" s="121" t="s">
        <v>1752</v>
      </c>
    </row>
    <row r="94" spans="1:10">
      <c r="A94" s="125" t="s">
        <v>1803</v>
      </c>
      <c r="B94" s="121" t="s">
        <v>1759</v>
      </c>
      <c r="C94" s="121" t="s">
        <v>1798</v>
      </c>
      <c r="D94" s="121" t="s">
        <v>1759</v>
      </c>
      <c r="E94" s="121" t="s">
        <v>1759</v>
      </c>
      <c r="F94" s="121" t="s">
        <v>1759</v>
      </c>
      <c r="G94" s="121" t="s">
        <v>1759</v>
      </c>
      <c r="H94" s="121" t="s">
        <v>1759</v>
      </c>
      <c r="I94" s="121" t="s">
        <v>1759</v>
      </c>
      <c r="J94" s="121" t="s">
        <v>1759</v>
      </c>
    </row>
    <row r="95" spans="1:10">
      <c r="A95" s="125" t="s">
        <v>1804</v>
      </c>
      <c r="B95" s="121">
        <v>195156.846226679</v>
      </c>
      <c r="C95" s="121" t="s">
        <v>1798</v>
      </c>
      <c r="D95" s="121">
        <v>97.7357368020399</v>
      </c>
      <c r="E95" s="121">
        <v>0.06192435418265</v>
      </c>
      <c r="F95" s="121">
        <v>0.06192435418265</v>
      </c>
      <c r="G95" s="121">
        <v>19073.7981579269</v>
      </c>
      <c r="H95" s="121">
        <v>0.01208496166691</v>
      </c>
      <c r="I95" s="121">
        <v>0.01208496166691</v>
      </c>
      <c r="J95" s="121" t="s">
        <v>1752</v>
      </c>
    </row>
    <row r="96" spans="1:10">
      <c r="A96" s="127" t="s">
        <v>1808</v>
      </c>
      <c r="B96" s="121">
        <v>29762022.2615317</v>
      </c>
      <c r="C96" s="121" t="s">
        <v>1798</v>
      </c>
      <c r="D96" s="122" t="s">
        <v>1756</v>
      </c>
      <c r="E96" s="122" t="s">
        <v>1756</v>
      </c>
      <c r="F96" s="122" t="s">
        <v>1756</v>
      </c>
      <c r="G96" s="121">
        <v>2400057.48564065</v>
      </c>
      <c r="H96" s="121">
        <v>34.8234794195705</v>
      </c>
      <c r="I96" s="121">
        <v>100.865385691591</v>
      </c>
      <c r="J96" s="121" t="s">
        <v>1774</v>
      </c>
    </row>
    <row r="97" spans="1:10">
      <c r="A97" s="128" t="s">
        <v>1809</v>
      </c>
      <c r="B97" s="129">
        <v>1289345.77547621</v>
      </c>
      <c r="C97" s="121" t="s">
        <v>1798</v>
      </c>
      <c r="D97" s="121">
        <v>75.9817106956444</v>
      </c>
      <c r="E97" s="121">
        <v>0.66331306705497</v>
      </c>
      <c r="F97" s="121">
        <v>0.25283307148143</v>
      </c>
      <c r="G97" s="129">
        <v>97966.6976988845</v>
      </c>
      <c r="H97" s="129">
        <v>0.85523990082549</v>
      </c>
      <c r="I97" s="129">
        <v>0.32598925261525</v>
      </c>
      <c r="J97" s="129" t="s">
        <v>1752</v>
      </c>
    </row>
    <row r="98" spans="1:10">
      <c r="A98" s="128" t="s">
        <v>1810</v>
      </c>
      <c r="B98" s="129">
        <v>21878947.4842414</v>
      </c>
      <c r="C98" s="121" t="s">
        <v>1798</v>
      </c>
      <c r="D98" s="121">
        <v>90.6246230107016</v>
      </c>
      <c r="E98" s="121">
        <v>0.69812515865579</v>
      </c>
      <c r="F98" s="121">
        <v>4.30029825406594</v>
      </c>
      <c r="G98" s="129">
        <v>1982771.36763032</v>
      </c>
      <c r="H98" s="129">
        <v>15.2742436836578</v>
      </c>
      <c r="I98" s="129">
        <v>94.0859996672838</v>
      </c>
      <c r="J98" s="129" t="s">
        <v>1752</v>
      </c>
    </row>
    <row r="99" spans="1:10">
      <c r="A99" s="128" t="s">
        <v>1811</v>
      </c>
      <c r="B99" s="129">
        <v>6345684.06826392</v>
      </c>
      <c r="C99" s="121" t="s">
        <v>1798</v>
      </c>
      <c r="D99" s="121">
        <v>50.2480739940065</v>
      </c>
      <c r="E99" s="121">
        <v>2.94403419275982</v>
      </c>
      <c r="F99" s="121">
        <v>1.01506972939916</v>
      </c>
      <c r="G99" s="129">
        <v>318858.402604714</v>
      </c>
      <c r="H99" s="129">
        <v>18.6819108734202</v>
      </c>
      <c r="I99" s="129">
        <v>6.44131181002523</v>
      </c>
      <c r="J99" s="129" t="s">
        <v>1752</v>
      </c>
    </row>
    <row r="100" spans="1:10">
      <c r="A100" s="128" t="s">
        <v>1812</v>
      </c>
      <c r="B100" s="129">
        <v>52888.0873234715</v>
      </c>
      <c r="C100" s="121" t="s">
        <v>1798</v>
      </c>
      <c r="D100" s="121">
        <v>8.71685345532735</v>
      </c>
      <c r="E100" s="121" t="s">
        <v>1752</v>
      </c>
      <c r="F100" s="121" t="s">
        <v>1752</v>
      </c>
      <c r="G100" s="129">
        <v>461.017706731257</v>
      </c>
      <c r="H100" s="129" t="s">
        <v>1752</v>
      </c>
      <c r="I100" s="129" t="s">
        <v>1752</v>
      </c>
      <c r="J100" s="129" t="s">
        <v>1752</v>
      </c>
    </row>
    <row r="101" spans="1:10">
      <c r="A101" s="128" t="s">
        <v>1813</v>
      </c>
      <c r="B101" s="129" t="s">
        <v>1759</v>
      </c>
      <c r="C101" s="121" t="s">
        <v>1798</v>
      </c>
      <c r="D101" s="121" t="s">
        <v>1759</v>
      </c>
      <c r="E101" s="121" t="s">
        <v>1759</v>
      </c>
      <c r="F101" s="121" t="s">
        <v>1759</v>
      </c>
      <c r="G101" s="129" t="s">
        <v>1759</v>
      </c>
      <c r="H101" s="129" t="s">
        <v>1759</v>
      </c>
      <c r="I101" s="129" t="s">
        <v>1759</v>
      </c>
      <c r="J101" s="129" t="s">
        <v>1759</v>
      </c>
    </row>
    <row r="102" spans="1:10">
      <c r="A102" s="128" t="s">
        <v>716</v>
      </c>
      <c r="B102" s="129">
        <v>195156.846226679</v>
      </c>
      <c r="C102" s="121" t="s">
        <v>1798</v>
      </c>
      <c r="D102" s="121">
        <v>97.7357368020399</v>
      </c>
      <c r="E102" s="121">
        <v>0.06192435418265</v>
      </c>
      <c r="F102" s="121">
        <v>0.06192435418265</v>
      </c>
      <c r="G102" s="129">
        <v>19073.7981579269</v>
      </c>
      <c r="H102" s="129">
        <v>0.01208496166691</v>
      </c>
      <c r="I102" s="129">
        <v>0.01208496166691</v>
      </c>
      <c r="J102" s="129" t="s">
        <v>1752</v>
      </c>
    </row>
    <row r="103" spans="1:10">
      <c r="A103" s="127" t="s">
        <v>1814</v>
      </c>
      <c r="B103" s="121" t="s">
        <v>1815</v>
      </c>
      <c r="C103" s="121" t="s">
        <v>1798</v>
      </c>
      <c r="D103" s="122" t="s">
        <v>1756</v>
      </c>
      <c r="E103" s="122" t="s">
        <v>1756</v>
      </c>
      <c r="F103" s="122" t="s">
        <v>1756</v>
      </c>
      <c r="G103" s="121" t="s">
        <v>1815</v>
      </c>
      <c r="H103" s="121" t="s">
        <v>1816</v>
      </c>
      <c r="I103" s="121" t="s">
        <v>1816</v>
      </c>
      <c r="J103" s="121" t="s">
        <v>1774</v>
      </c>
    </row>
    <row r="104" spans="1:10">
      <c r="A104" s="128" t="s">
        <v>1809</v>
      </c>
      <c r="B104" s="129" t="s">
        <v>1730</v>
      </c>
      <c r="C104" s="121" t="s">
        <v>1798</v>
      </c>
      <c r="D104" s="121" t="s">
        <v>1766</v>
      </c>
      <c r="E104" s="121" t="s">
        <v>1730</v>
      </c>
      <c r="F104" s="121" t="s">
        <v>1730</v>
      </c>
      <c r="G104" s="129" t="s">
        <v>1730</v>
      </c>
      <c r="H104" s="129" t="s">
        <v>1730</v>
      </c>
      <c r="I104" s="129" t="s">
        <v>1730</v>
      </c>
      <c r="J104" s="129" t="s">
        <v>1752</v>
      </c>
    </row>
    <row r="105" spans="1:10">
      <c r="A105" s="128" t="s">
        <v>1810</v>
      </c>
      <c r="B105" s="129" t="s">
        <v>1730</v>
      </c>
      <c r="C105" s="121" t="s">
        <v>1798</v>
      </c>
      <c r="D105" s="121" t="s">
        <v>1766</v>
      </c>
      <c r="E105" s="121" t="s">
        <v>1730</v>
      </c>
      <c r="F105" s="121" t="s">
        <v>1730</v>
      </c>
      <c r="G105" s="129" t="s">
        <v>1730</v>
      </c>
      <c r="H105" s="129" t="s">
        <v>1730</v>
      </c>
      <c r="I105" s="129" t="s">
        <v>1730</v>
      </c>
      <c r="J105" s="129" t="s">
        <v>1752</v>
      </c>
    </row>
    <row r="106" spans="1:10">
      <c r="A106" s="128" t="s">
        <v>1811</v>
      </c>
      <c r="B106" s="129" t="s">
        <v>1730</v>
      </c>
      <c r="C106" s="121" t="s">
        <v>1798</v>
      </c>
      <c r="D106" s="121" t="s">
        <v>1766</v>
      </c>
      <c r="E106" s="121" t="s">
        <v>1730</v>
      </c>
      <c r="F106" s="121" t="s">
        <v>1730</v>
      </c>
      <c r="G106" s="129" t="s">
        <v>1730</v>
      </c>
      <c r="H106" s="129" t="s">
        <v>1730</v>
      </c>
      <c r="I106" s="129" t="s">
        <v>1730</v>
      </c>
      <c r="J106" s="129" t="s">
        <v>1752</v>
      </c>
    </row>
    <row r="107" spans="1:10">
      <c r="A107" s="128" t="s">
        <v>1812</v>
      </c>
      <c r="B107" s="129" t="s">
        <v>1730</v>
      </c>
      <c r="C107" s="121" t="s">
        <v>1798</v>
      </c>
      <c r="D107" s="121" t="s">
        <v>1766</v>
      </c>
      <c r="E107" s="121" t="s">
        <v>1730</v>
      </c>
      <c r="F107" s="121" t="s">
        <v>1730</v>
      </c>
      <c r="G107" s="129" t="s">
        <v>1730</v>
      </c>
      <c r="H107" s="129" t="s">
        <v>1730</v>
      </c>
      <c r="I107" s="129" t="s">
        <v>1730</v>
      </c>
      <c r="J107" s="129" t="s">
        <v>1752</v>
      </c>
    </row>
    <row r="108" spans="1:10">
      <c r="A108" s="128" t="s">
        <v>1813</v>
      </c>
      <c r="B108" s="129" t="s">
        <v>1759</v>
      </c>
      <c r="C108" s="121" t="s">
        <v>1798</v>
      </c>
      <c r="D108" s="121" t="s">
        <v>1759</v>
      </c>
      <c r="E108" s="121" t="s">
        <v>1759</v>
      </c>
      <c r="F108" s="121" t="s">
        <v>1759</v>
      </c>
      <c r="G108" s="129" t="s">
        <v>1759</v>
      </c>
      <c r="H108" s="129" t="s">
        <v>1759</v>
      </c>
      <c r="I108" s="129" t="s">
        <v>1759</v>
      </c>
      <c r="J108" s="129" t="s">
        <v>1759</v>
      </c>
    </row>
    <row r="109" spans="1:10">
      <c r="A109" s="128" t="s">
        <v>716</v>
      </c>
      <c r="B109" s="129" t="s">
        <v>1730</v>
      </c>
      <c r="C109" s="121" t="s">
        <v>1798</v>
      </c>
      <c r="D109" s="121" t="s">
        <v>1766</v>
      </c>
      <c r="E109" s="121" t="s">
        <v>1730</v>
      </c>
      <c r="F109" s="121" t="s">
        <v>1730</v>
      </c>
      <c r="G109" s="129" t="s">
        <v>1730</v>
      </c>
      <c r="H109" s="129" t="s">
        <v>1730</v>
      </c>
      <c r="I109" s="129" t="s">
        <v>1730</v>
      </c>
      <c r="J109" s="129" t="s">
        <v>1752</v>
      </c>
    </row>
    <row r="110" spans="1:10">
      <c r="A110" s="127" t="s">
        <v>1817</v>
      </c>
      <c r="B110" s="121" t="s">
        <v>1815</v>
      </c>
      <c r="C110" s="121" t="s">
        <v>1798</v>
      </c>
      <c r="D110" s="122" t="s">
        <v>1756</v>
      </c>
      <c r="E110" s="122" t="s">
        <v>1756</v>
      </c>
      <c r="F110" s="122" t="s">
        <v>1756</v>
      </c>
      <c r="G110" s="121" t="s">
        <v>1816</v>
      </c>
      <c r="H110" s="121" t="s">
        <v>1815</v>
      </c>
      <c r="I110" s="121" t="s">
        <v>1816</v>
      </c>
      <c r="J110" s="121" t="s">
        <v>1774</v>
      </c>
    </row>
    <row r="111" spans="1:10">
      <c r="A111" s="128" t="s">
        <v>1809</v>
      </c>
      <c r="B111" s="129" t="s">
        <v>1730</v>
      </c>
      <c r="C111" s="121" t="s">
        <v>1798</v>
      </c>
      <c r="D111" s="121" t="s">
        <v>1766</v>
      </c>
      <c r="E111" s="121" t="s">
        <v>1730</v>
      </c>
      <c r="F111" s="121" t="s">
        <v>1730</v>
      </c>
      <c r="G111" s="129" t="s">
        <v>1730</v>
      </c>
      <c r="H111" s="129" t="s">
        <v>1730</v>
      </c>
      <c r="I111" s="129" t="s">
        <v>1730</v>
      </c>
      <c r="J111" s="129" t="s">
        <v>1752</v>
      </c>
    </row>
    <row r="112" spans="1:10">
      <c r="A112" s="128" t="s">
        <v>1810</v>
      </c>
      <c r="B112" s="129" t="s">
        <v>1730</v>
      </c>
      <c r="C112" s="121" t="s">
        <v>1798</v>
      </c>
      <c r="D112" s="121" t="s">
        <v>1766</v>
      </c>
      <c r="E112" s="121" t="s">
        <v>1730</v>
      </c>
      <c r="F112" s="121" t="s">
        <v>1730</v>
      </c>
      <c r="G112" s="129" t="s">
        <v>1730</v>
      </c>
      <c r="H112" s="129" t="s">
        <v>1730</v>
      </c>
      <c r="I112" s="129" t="s">
        <v>1730</v>
      </c>
      <c r="J112" s="129" t="s">
        <v>1752</v>
      </c>
    </row>
    <row r="113" spans="1:10">
      <c r="A113" s="128" t="s">
        <v>1811</v>
      </c>
      <c r="B113" s="129" t="s">
        <v>1730</v>
      </c>
      <c r="C113" s="121" t="s">
        <v>1798</v>
      </c>
      <c r="D113" s="121" t="s">
        <v>1766</v>
      </c>
      <c r="E113" s="121" t="s">
        <v>1730</v>
      </c>
      <c r="F113" s="121" t="s">
        <v>1730</v>
      </c>
      <c r="G113" s="129" t="s">
        <v>1730</v>
      </c>
      <c r="H113" s="129" t="s">
        <v>1730</v>
      </c>
      <c r="I113" s="129" t="s">
        <v>1730</v>
      </c>
      <c r="J113" s="129" t="s">
        <v>1752</v>
      </c>
    </row>
    <row r="114" spans="1:10">
      <c r="A114" s="128" t="s">
        <v>1812</v>
      </c>
      <c r="B114" s="129" t="s">
        <v>1730</v>
      </c>
      <c r="C114" s="121" t="s">
        <v>1798</v>
      </c>
      <c r="D114" s="121" t="s">
        <v>1766</v>
      </c>
      <c r="E114" s="121" t="s">
        <v>1730</v>
      </c>
      <c r="F114" s="121" t="s">
        <v>1730</v>
      </c>
      <c r="G114" s="129" t="s">
        <v>1730</v>
      </c>
      <c r="H114" s="129" t="s">
        <v>1730</v>
      </c>
      <c r="I114" s="129" t="s">
        <v>1730</v>
      </c>
      <c r="J114" s="129" t="s">
        <v>1752</v>
      </c>
    </row>
    <row r="115" spans="1:10">
      <c r="A115" s="128" t="s">
        <v>1813</v>
      </c>
      <c r="B115" s="129" t="s">
        <v>1759</v>
      </c>
      <c r="C115" s="121" t="s">
        <v>1798</v>
      </c>
      <c r="D115" s="121" t="s">
        <v>1759</v>
      </c>
      <c r="E115" s="121" t="s">
        <v>1759</v>
      </c>
      <c r="F115" s="121" t="s">
        <v>1759</v>
      </c>
      <c r="G115" s="129" t="s">
        <v>1759</v>
      </c>
      <c r="H115" s="129" t="s">
        <v>1759</v>
      </c>
      <c r="I115" s="129" t="s">
        <v>1759</v>
      </c>
      <c r="J115" s="129" t="s">
        <v>1759</v>
      </c>
    </row>
    <row r="116" spans="1:10">
      <c r="A116" s="128" t="s">
        <v>716</v>
      </c>
      <c r="B116" s="129" t="s">
        <v>1730</v>
      </c>
      <c r="C116" s="121" t="s">
        <v>1798</v>
      </c>
      <c r="D116" s="121" t="s">
        <v>1766</v>
      </c>
      <c r="E116" s="121" t="s">
        <v>1730</v>
      </c>
      <c r="F116" s="121" t="s">
        <v>1730</v>
      </c>
      <c r="G116" s="129" t="s">
        <v>1730</v>
      </c>
      <c r="H116" s="129" t="s">
        <v>1730</v>
      </c>
      <c r="I116" s="129" t="s">
        <v>1730</v>
      </c>
      <c r="J116" s="129" t="s">
        <v>1752</v>
      </c>
    </row>
    <row r="117" spans="1:10">
      <c r="A117" s="130" t="s">
        <v>1728</v>
      </c>
      <c r="B117" s="121">
        <v>1778687.05433798</v>
      </c>
      <c r="C117" s="121" t="s">
        <v>1798</v>
      </c>
      <c r="D117" s="122" t="s">
        <v>1756</v>
      </c>
      <c r="E117" s="122" t="s">
        <v>1756</v>
      </c>
      <c r="F117" s="122" t="s">
        <v>1756</v>
      </c>
      <c r="G117" s="121">
        <v>94253.0620081816</v>
      </c>
      <c r="H117" s="121">
        <v>1.46027512323081</v>
      </c>
      <c r="I117" s="121">
        <v>0.26593010197445</v>
      </c>
      <c r="J117" s="121" t="s">
        <v>1774</v>
      </c>
    </row>
    <row r="118" spans="1:10">
      <c r="A118" s="125" t="s">
        <v>1799</v>
      </c>
      <c r="B118" s="129">
        <v>49045.4068513922</v>
      </c>
      <c r="C118" s="121" t="s">
        <v>1798</v>
      </c>
      <c r="D118" s="121">
        <v>74.659973794072</v>
      </c>
      <c r="E118" s="121">
        <v>3.14261395689482</v>
      </c>
      <c r="F118" s="121">
        <v>2.75514054391506</v>
      </c>
      <c r="G118" s="129">
        <v>3661.72879024454</v>
      </c>
      <c r="H118" s="129">
        <v>0.15413078009277</v>
      </c>
      <c r="I118" s="129">
        <v>0.13512698890908</v>
      </c>
      <c r="J118" s="129" t="s">
        <v>1752</v>
      </c>
    </row>
    <row r="119" spans="1:10">
      <c r="A119" s="125" t="s">
        <v>1800</v>
      </c>
      <c r="B119" s="129">
        <v>397.218424345889</v>
      </c>
      <c r="C119" s="121" t="s">
        <v>1798</v>
      </c>
      <c r="D119" s="121">
        <v>89.6452339031187</v>
      </c>
      <c r="E119" s="121">
        <v>9.50000000001021</v>
      </c>
      <c r="F119" s="121">
        <v>1.42499999999272</v>
      </c>
      <c r="G119" s="129">
        <v>35.6087385611155</v>
      </c>
      <c r="H119" s="129">
        <v>0.00377357503129</v>
      </c>
      <c r="I119" s="129">
        <v>0.00056603625469</v>
      </c>
      <c r="J119" s="129" t="s">
        <v>1752</v>
      </c>
    </row>
    <row r="120" spans="1:10">
      <c r="A120" s="125" t="s">
        <v>1801</v>
      </c>
      <c r="B120" s="129">
        <v>1729244.42906224</v>
      </c>
      <c r="C120" s="121" t="s">
        <v>1798</v>
      </c>
      <c r="D120" s="121">
        <v>52.3672205949994</v>
      </c>
      <c r="E120" s="121">
        <v>0.75314440585651</v>
      </c>
      <c r="F120" s="121">
        <v>0.07531444058565</v>
      </c>
      <c r="G120" s="129">
        <v>90555.7244793759</v>
      </c>
      <c r="H120" s="129">
        <v>1.30237076810675</v>
      </c>
      <c r="I120" s="129">
        <v>0.13023707681068</v>
      </c>
      <c r="J120" s="129" t="s">
        <v>1752</v>
      </c>
    </row>
    <row r="121" spans="1:10">
      <c r="A121" s="125" t="s">
        <v>1802</v>
      </c>
      <c r="B121" s="129" t="s">
        <v>1759</v>
      </c>
      <c r="C121" s="121" t="s">
        <v>1798</v>
      </c>
      <c r="D121" s="121" t="s">
        <v>1759</v>
      </c>
      <c r="E121" s="121" t="s">
        <v>1759</v>
      </c>
      <c r="F121" s="121" t="s">
        <v>1759</v>
      </c>
      <c r="G121" s="129" t="s">
        <v>1759</v>
      </c>
      <c r="H121" s="129" t="s">
        <v>1759</v>
      </c>
      <c r="I121" s="129" t="s">
        <v>1759</v>
      </c>
      <c r="J121" s="129" t="s">
        <v>1759</v>
      </c>
    </row>
    <row r="122" spans="1:10">
      <c r="A122" s="125" t="s">
        <v>1803</v>
      </c>
      <c r="B122" s="129" t="s">
        <v>1759</v>
      </c>
      <c r="C122" s="121" t="s">
        <v>1798</v>
      </c>
      <c r="D122" s="121" t="s">
        <v>1759</v>
      </c>
      <c r="E122" s="121" t="s">
        <v>1759</v>
      </c>
      <c r="F122" s="121" t="s">
        <v>1759</v>
      </c>
      <c r="G122" s="129" t="s">
        <v>1759</v>
      </c>
      <c r="H122" s="129" t="s">
        <v>1759</v>
      </c>
      <c r="I122" s="129" t="s">
        <v>1759</v>
      </c>
      <c r="J122" s="129" t="s">
        <v>1759</v>
      </c>
    </row>
    <row r="123" spans="1:10">
      <c r="A123" s="125" t="s">
        <v>1804</v>
      </c>
      <c r="B123" s="129" t="s">
        <v>1730</v>
      </c>
      <c r="C123" s="121" t="s">
        <v>1798</v>
      </c>
      <c r="D123" s="121" t="s">
        <v>1766</v>
      </c>
      <c r="E123" s="121" t="s">
        <v>1730</v>
      </c>
      <c r="F123" s="121" t="s">
        <v>1730</v>
      </c>
      <c r="G123" s="129" t="s">
        <v>1730</v>
      </c>
      <c r="H123" s="129" t="s">
        <v>1730</v>
      </c>
      <c r="I123" s="129" t="s">
        <v>1730</v>
      </c>
      <c r="J123" s="129" t="s">
        <v>1752</v>
      </c>
    </row>
    <row r="124" spans="1:10">
      <c r="A124" s="131" t="s">
        <v>1818</v>
      </c>
      <c r="B124" s="121">
        <v>811064.093693397</v>
      </c>
      <c r="C124" s="121" t="s">
        <v>1798</v>
      </c>
      <c r="D124" s="122" t="s">
        <v>1756</v>
      </c>
      <c r="E124" s="122" t="s">
        <v>1756</v>
      </c>
      <c r="F124" s="122" t="s">
        <v>1756</v>
      </c>
      <c r="G124" s="121">
        <v>45783.9831494659</v>
      </c>
      <c r="H124" s="121">
        <v>1.37229551691322</v>
      </c>
      <c r="I124" s="121">
        <v>0.19110373131999</v>
      </c>
      <c r="J124" s="121" t="s">
        <v>1774</v>
      </c>
    </row>
    <row r="125" spans="1:10">
      <c r="A125" s="123" t="s">
        <v>1799</v>
      </c>
      <c r="B125" s="121">
        <v>5418.856130777</v>
      </c>
      <c r="C125" s="121" t="s">
        <v>1798</v>
      </c>
      <c r="D125" s="121">
        <v>74.659973794072</v>
      </c>
      <c r="E125" s="121">
        <v>3.14261395689392</v>
      </c>
      <c r="F125" s="121">
        <v>2.75514054391572</v>
      </c>
      <c r="G125" s="121">
        <v>404.571656717657</v>
      </c>
      <c r="H125" s="121">
        <v>0.01702937290698</v>
      </c>
      <c r="I125" s="121">
        <v>0.01492971022755</v>
      </c>
      <c r="J125" s="121" t="s">
        <v>1752</v>
      </c>
    </row>
    <row r="126" spans="1:10">
      <c r="A126" s="123" t="s">
        <v>1800</v>
      </c>
      <c r="B126" s="121">
        <v>85573.4877722427</v>
      </c>
      <c r="C126" s="121" t="s">
        <v>1798</v>
      </c>
      <c r="D126" s="121">
        <v>89.6452339031187</v>
      </c>
      <c r="E126" s="121">
        <v>9.50000000000006</v>
      </c>
      <c r="F126" s="121">
        <v>1.42500000000005</v>
      </c>
      <c r="G126" s="121">
        <v>7671.25532724836</v>
      </c>
      <c r="H126" s="121">
        <v>0.81294813383631</v>
      </c>
      <c r="I126" s="121">
        <v>0.12194222007545</v>
      </c>
      <c r="J126" s="121" t="s">
        <v>1752</v>
      </c>
    </row>
    <row r="127" spans="1:10">
      <c r="A127" s="123" t="s">
        <v>1801</v>
      </c>
      <c r="B127" s="121">
        <v>720071.749790378</v>
      </c>
      <c r="C127" s="121" t="s">
        <v>1798</v>
      </c>
      <c r="D127" s="121">
        <v>52.3672205949994</v>
      </c>
      <c r="E127" s="121">
        <v>0.75314440585651</v>
      </c>
      <c r="F127" s="121">
        <v>0.07531444058565</v>
      </c>
      <c r="G127" s="121">
        <v>37708.1561654999</v>
      </c>
      <c r="H127" s="121">
        <v>0.54231801016993</v>
      </c>
      <c r="I127" s="121">
        <v>0.05423180101699</v>
      </c>
      <c r="J127" s="121" t="s">
        <v>1752</v>
      </c>
    </row>
    <row r="128" spans="1:10">
      <c r="A128" s="123" t="s">
        <v>1802</v>
      </c>
      <c r="B128" s="121" t="s">
        <v>1759</v>
      </c>
      <c r="C128" s="121" t="s">
        <v>1798</v>
      </c>
      <c r="D128" s="121" t="s">
        <v>1759</v>
      </c>
      <c r="E128" s="121" t="s">
        <v>1759</v>
      </c>
      <c r="F128" s="121" t="s">
        <v>1759</v>
      </c>
      <c r="G128" s="121" t="s">
        <v>1759</v>
      </c>
      <c r="H128" s="121" t="s">
        <v>1759</v>
      </c>
      <c r="I128" s="121" t="s">
        <v>1759</v>
      </c>
      <c r="J128" s="121" t="s">
        <v>1759</v>
      </c>
    </row>
    <row r="129" spans="1:10">
      <c r="A129" s="123" t="s">
        <v>1803</v>
      </c>
      <c r="B129" s="121" t="s">
        <v>1759</v>
      </c>
      <c r="C129" s="121" t="s">
        <v>1798</v>
      </c>
      <c r="D129" s="121" t="s">
        <v>1759</v>
      </c>
      <c r="E129" s="121" t="s">
        <v>1759</v>
      </c>
      <c r="F129" s="121" t="s">
        <v>1759</v>
      </c>
      <c r="G129" s="121" t="s">
        <v>1759</v>
      </c>
      <c r="H129" s="121" t="s">
        <v>1759</v>
      </c>
      <c r="I129" s="121" t="s">
        <v>1759</v>
      </c>
      <c r="J129" s="121" t="s">
        <v>1759</v>
      </c>
    </row>
    <row r="130" spans="1:10">
      <c r="A130" s="123" t="s">
        <v>1804</v>
      </c>
      <c r="B130" s="121" t="s">
        <v>1730</v>
      </c>
      <c r="C130" s="121" t="s">
        <v>1798</v>
      </c>
      <c r="D130" s="121" t="s">
        <v>1766</v>
      </c>
      <c r="E130" s="121" t="s">
        <v>1730</v>
      </c>
      <c r="F130" s="121" t="s">
        <v>1730</v>
      </c>
      <c r="G130" s="121" t="s">
        <v>1730</v>
      </c>
      <c r="H130" s="121" t="s">
        <v>1730</v>
      </c>
      <c r="I130" s="121" t="s">
        <v>1730</v>
      </c>
      <c r="J130" s="121" t="s">
        <v>1752</v>
      </c>
    </row>
    <row r="131" spans="1:10">
      <c r="A131" s="127" t="s">
        <v>1819</v>
      </c>
      <c r="B131" s="121">
        <v>811064.093693397</v>
      </c>
      <c r="C131" s="121" t="s">
        <v>1798</v>
      </c>
      <c r="D131" s="122" t="s">
        <v>1756</v>
      </c>
      <c r="E131" s="122" t="s">
        <v>1756</v>
      </c>
      <c r="F131" s="122" t="s">
        <v>1756</v>
      </c>
      <c r="G131" s="121">
        <v>45783.9831494659</v>
      </c>
      <c r="H131" s="121">
        <v>1.37229551691322</v>
      </c>
      <c r="I131" s="121">
        <v>0.19110373131999</v>
      </c>
      <c r="J131" s="121" t="s">
        <v>1774</v>
      </c>
    </row>
    <row r="132" spans="1:10">
      <c r="A132" s="128" t="s">
        <v>1809</v>
      </c>
      <c r="B132" s="129">
        <v>5418.856130777</v>
      </c>
      <c r="C132" s="121" t="s">
        <v>1798</v>
      </c>
      <c r="D132" s="121">
        <v>74.659973794072</v>
      </c>
      <c r="E132" s="121">
        <v>3.14261395689392</v>
      </c>
      <c r="F132" s="121">
        <v>2.75514054391572</v>
      </c>
      <c r="G132" s="129">
        <v>404.571656717657</v>
      </c>
      <c r="H132" s="129">
        <v>0.01702937290698</v>
      </c>
      <c r="I132" s="129">
        <v>0.01492971022755</v>
      </c>
      <c r="J132" s="129" t="s">
        <v>1752</v>
      </c>
    </row>
    <row r="133" spans="1:10">
      <c r="A133" s="128" t="s">
        <v>1810</v>
      </c>
      <c r="B133" s="129">
        <v>85573.4877722427</v>
      </c>
      <c r="C133" s="121" t="s">
        <v>1798</v>
      </c>
      <c r="D133" s="121">
        <v>89.6452339031187</v>
      </c>
      <c r="E133" s="121">
        <v>9.50000000000006</v>
      </c>
      <c r="F133" s="121">
        <v>1.42500000000005</v>
      </c>
      <c r="G133" s="129">
        <v>7671.25532724836</v>
      </c>
      <c r="H133" s="129">
        <v>0.81294813383631</v>
      </c>
      <c r="I133" s="129">
        <v>0.12194222007545</v>
      </c>
      <c r="J133" s="129" t="s">
        <v>1752</v>
      </c>
    </row>
    <row r="134" spans="1:10">
      <c r="A134" s="128" t="s">
        <v>1811</v>
      </c>
      <c r="B134" s="129">
        <v>720071.749790378</v>
      </c>
      <c r="C134" s="121" t="s">
        <v>1798</v>
      </c>
      <c r="D134" s="121">
        <v>52.3672205949994</v>
      </c>
      <c r="E134" s="121">
        <v>0.75314440585651</v>
      </c>
      <c r="F134" s="121">
        <v>0.07531444058565</v>
      </c>
      <c r="G134" s="129">
        <v>37708.1561654999</v>
      </c>
      <c r="H134" s="129">
        <v>0.54231801016993</v>
      </c>
      <c r="I134" s="129">
        <v>0.05423180101699</v>
      </c>
      <c r="J134" s="129" t="s">
        <v>1752</v>
      </c>
    </row>
    <row r="135" spans="1:10">
      <c r="A135" s="128" t="s">
        <v>1812</v>
      </c>
      <c r="B135" s="129" t="s">
        <v>1759</v>
      </c>
      <c r="C135" s="121" t="s">
        <v>1798</v>
      </c>
      <c r="D135" s="121" t="s">
        <v>1759</v>
      </c>
      <c r="E135" s="121" t="s">
        <v>1759</v>
      </c>
      <c r="F135" s="121" t="s">
        <v>1759</v>
      </c>
      <c r="G135" s="129" t="s">
        <v>1759</v>
      </c>
      <c r="H135" s="129" t="s">
        <v>1759</v>
      </c>
      <c r="I135" s="129" t="s">
        <v>1759</v>
      </c>
      <c r="J135" s="129" t="s">
        <v>1759</v>
      </c>
    </row>
    <row r="136" spans="1:10">
      <c r="A136" s="128" t="s">
        <v>1813</v>
      </c>
      <c r="B136" s="129" t="s">
        <v>1759</v>
      </c>
      <c r="C136" s="121" t="s">
        <v>1798</v>
      </c>
      <c r="D136" s="121" t="s">
        <v>1759</v>
      </c>
      <c r="E136" s="121" t="s">
        <v>1759</v>
      </c>
      <c r="F136" s="121" t="s">
        <v>1759</v>
      </c>
      <c r="G136" s="129" t="s">
        <v>1759</v>
      </c>
      <c r="H136" s="129" t="s">
        <v>1759</v>
      </c>
      <c r="I136" s="129" t="s">
        <v>1759</v>
      </c>
      <c r="J136" s="129" t="s">
        <v>1759</v>
      </c>
    </row>
    <row r="137" spans="1:10">
      <c r="A137" s="128" t="s">
        <v>716</v>
      </c>
      <c r="B137" s="129" t="s">
        <v>1730</v>
      </c>
      <c r="C137" s="121" t="s">
        <v>1798</v>
      </c>
      <c r="D137" s="121" t="s">
        <v>1766</v>
      </c>
      <c r="E137" s="121" t="s">
        <v>1730</v>
      </c>
      <c r="F137" s="121" t="s">
        <v>1730</v>
      </c>
      <c r="G137" s="129" t="s">
        <v>1730</v>
      </c>
      <c r="H137" s="129" t="s">
        <v>1730</v>
      </c>
      <c r="I137" s="129" t="s">
        <v>1730</v>
      </c>
      <c r="J137" s="129" t="s">
        <v>1752</v>
      </c>
    </row>
    <row r="138" spans="1:10">
      <c r="A138" s="127" t="s">
        <v>1820</v>
      </c>
      <c r="B138" s="121" t="s">
        <v>1816</v>
      </c>
      <c r="C138" s="121" t="s">
        <v>1798</v>
      </c>
      <c r="D138" s="122" t="s">
        <v>1756</v>
      </c>
      <c r="E138" s="122" t="s">
        <v>1756</v>
      </c>
      <c r="F138" s="122" t="s">
        <v>1756</v>
      </c>
      <c r="G138" s="121" t="s">
        <v>1816</v>
      </c>
      <c r="H138" s="121" t="s">
        <v>1816</v>
      </c>
      <c r="I138" s="121" t="s">
        <v>1816</v>
      </c>
      <c r="J138" s="121" t="s">
        <v>1774</v>
      </c>
    </row>
    <row r="139" spans="1:10">
      <c r="A139" s="128" t="s">
        <v>1809</v>
      </c>
      <c r="B139" s="129" t="s">
        <v>1730</v>
      </c>
      <c r="C139" s="121" t="s">
        <v>1798</v>
      </c>
      <c r="D139" s="121" t="s">
        <v>1766</v>
      </c>
      <c r="E139" s="121" t="s">
        <v>1730</v>
      </c>
      <c r="F139" s="121" t="s">
        <v>1730</v>
      </c>
      <c r="G139" s="129" t="s">
        <v>1730</v>
      </c>
      <c r="H139" s="129" t="s">
        <v>1730</v>
      </c>
      <c r="I139" s="129" t="s">
        <v>1730</v>
      </c>
      <c r="J139" s="129" t="s">
        <v>1752</v>
      </c>
    </row>
    <row r="140" spans="1:10">
      <c r="A140" s="128" t="s">
        <v>1810</v>
      </c>
      <c r="B140" s="129" t="s">
        <v>1730</v>
      </c>
      <c r="C140" s="121" t="s">
        <v>1798</v>
      </c>
      <c r="D140" s="121" t="s">
        <v>1766</v>
      </c>
      <c r="E140" s="121" t="s">
        <v>1730</v>
      </c>
      <c r="F140" s="121" t="s">
        <v>1730</v>
      </c>
      <c r="G140" s="129" t="s">
        <v>1730</v>
      </c>
      <c r="H140" s="129" t="s">
        <v>1730</v>
      </c>
      <c r="I140" s="129" t="s">
        <v>1730</v>
      </c>
      <c r="J140" s="129" t="s">
        <v>1752</v>
      </c>
    </row>
    <row r="141" spans="1:10">
      <c r="A141" s="128" t="s">
        <v>1811</v>
      </c>
      <c r="B141" s="129" t="s">
        <v>1730</v>
      </c>
      <c r="C141" s="121" t="s">
        <v>1798</v>
      </c>
      <c r="D141" s="121" t="s">
        <v>1766</v>
      </c>
      <c r="E141" s="121" t="s">
        <v>1730</v>
      </c>
      <c r="F141" s="121" t="s">
        <v>1730</v>
      </c>
      <c r="G141" s="129" t="s">
        <v>1730</v>
      </c>
      <c r="H141" s="129" t="s">
        <v>1730</v>
      </c>
      <c r="I141" s="129" t="s">
        <v>1730</v>
      </c>
      <c r="J141" s="129" t="s">
        <v>1752</v>
      </c>
    </row>
    <row r="142" spans="1:10">
      <c r="A142" s="128" t="s">
        <v>1812</v>
      </c>
      <c r="B142" s="129" t="s">
        <v>1759</v>
      </c>
      <c r="C142" s="121" t="s">
        <v>1798</v>
      </c>
      <c r="D142" s="121" t="s">
        <v>1759</v>
      </c>
      <c r="E142" s="121" t="s">
        <v>1759</v>
      </c>
      <c r="F142" s="121" t="s">
        <v>1759</v>
      </c>
      <c r="G142" s="129" t="s">
        <v>1759</v>
      </c>
      <c r="H142" s="129" t="s">
        <v>1759</v>
      </c>
      <c r="I142" s="129" t="s">
        <v>1759</v>
      </c>
      <c r="J142" s="129" t="s">
        <v>1759</v>
      </c>
    </row>
    <row r="143" spans="1:10">
      <c r="A143" s="128" t="s">
        <v>1813</v>
      </c>
      <c r="B143" s="129" t="s">
        <v>1759</v>
      </c>
      <c r="C143" s="121" t="s">
        <v>1798</v>
      </c>
      <c r="D143" s="121" t="s">
        <v>1759</v>
      </c>
      <c r="E143" s="121" t="s">
        <v>1759</v>
      </c>
      <c r="F143" s="121" t="s">
        <v>1759</v>
      </c>
      <c r="G143" s="129" t="s">
        <v>1759</v>
      </c>
      <c r="H143" s="129" t="s">
        <v>1759</v>
      </c>
      <c r="I143" s="129" t="s">
        <v>1759</v>
      </c>
      <c r="J143" s="129" t="s">
        <v>1759</v>
      </c>
    </row>
    <row r="144" spans="1:10">
      <c r="A144" s="128" t="s">
        <v>716</v>
      </c>
      <c r="B144" s="129" t="s">
        <v>1730</v>
      </c>
      <c r="C144" s="121" t="s">
        <v>1798</v>
      </c>
      <c r="D144" s="121" t="s">
        <v>1766</v>
      </c>
      <c r="E144" s="121" t="s">
        <v>1730</v>
      </c>
      <c r="F144" s="121" t="s">
        <v>1730</v>
      </c>
      <c r="G144" s="129" t="s">
        <v>1730</v>
      </c>
      <c r="H144" s="129" t="s">
        <v>1730</v>
      </c>
      <c r="I144" s="129" t="s">
        <v>1730</v>
      </c>
      <c r="J144" s="129" t="s">
        <v>1752</v>
      </c>
    </row>
    <row r="145" spans="1:10">
      <c r="A145" s="127" t="s">
        <v>1821</v>
      </c>
      <c r="B145" s="121" t="s">
        <v>1816</v>
      </c>
      <c r="C145" s="121" t="s">
        <v>1798</v>
      </c>
      <c r="D145" s="122" t="s">
        <v>1756</v>
      </c>
      <c r="E145" s="122" t="s">
        <v>1756</v>
      </c>
      <c r="F145" s="122" t="s">
        <v>1756</v>
      </c>
      <c r="G145" s="121" t="s">
        <v>1816</v>
      </c>
      <c r="H145" s="121" t="s">
        <v>1816</v>
      </c>
      <c r="I145" s="121" t="s">
        <v>1816</v>
      </c>
      <c r="J145" s="121" t="s">
        <v>1774</v>
      </c>
    </row>
    <row r="146" spans="1:10">
      <c r="A146" s="128" t="s">
        <v>1809</v>
      </c>
      <c r="B146" s="129" t="s">
        <v>1730</v>
      </c>
      <c r="C146" s="121" t="s">
        <v>1798</v>
      </c>
      <c r="D146" s="121" t="s">
        <v>1766</v>
      </c>
      <c r="E146" s="121" t="s">
        <v>1730</v>
      </c>
      <c r="F146" s="121" t="s">
        <v>1730</v>
      </c>
      <c r="G146" s="129" t="s">
        <v>1730</v>
      </c>
      <c r="H146" s="129" t="s">
        <v>1730</v>
      </c>
      <c r="I146" s="129" t="s">
        <v>1730</v>
      </c>
      <c r="J146" s="129" t="s">
        <v>1752</v>
      </c>
    </row>
    <row r="147" spans="1:10">
      <c r="A147" s="128" t="s">
        <v>1810</v>
      </c>
      <c r="B147" s="129" t="s">
        <v>1730</v>
      </c>
      <c r="C147" s="121" t="s">
        <v>1798</v>
      </c>
      <c r="D147" s="121" t="s">
        <v>1766</v>
      </c>
      <c r="E147" s="121" t="s">
        <v>1730</v>
      </c>
      <c r="F147" s="121" t="s">
        <v>1730</v>
      </c>
      <c r="G147" s="129" t="s">
        <v>1730</v>
      </c>
      <c r="H147" s="129" t="s">
        <v>1730</v>
      </c>
      <c r="I147" s="129" t="s">
        <v>1730</v>
      </c>
      <c r="J147" s="129" t="s">
        <v>1752</v>
      </c>
    </row>
    <row r="148" spans="1:10">
      <c r="A148" s="128" t="s">
        <v>1811</v>
      </c>
      <c r="B148" s="129" t="s">
        <v>1730</v>
      </c>
      <c r="C148" s="121" t="s">
        <v>1798</v>
      </c>
      <c r="D148" s="121" t="s">
        <v>1766</v>
      </c>
      <c r="E148" s="121" t="s">
        <v>1730</v>
      </c>
      <c r="F148" s="121" t="s">
        <v>1730</v>
      </c>
      <c r="G148" s="129" t="s">
        <v>1730</v>
      </c>
      <c r="H148" s="129" t="s">
        <v>1730</v>
      </c>
      <c r="I148" s="129" t="s">
        <v>1730</v>
      </c>
      <c r="J148" s="129" t="s">
        <v>1752</v>
      </c>
    </row>
    <row r="149" spans="1:10">
      <c r="A149" s="128" t="s">
        <v>1812</v>
      </c>
      <c r="B149" s="129" t="s">
        <v>1759</v>
      </c>
      <c r="C149" s="121" t="s">
        <v>1798</v>
      </c>
      <c r="D149" s="121" t="s">
        <v>1759</v>
      </c>
      <c r="E149" s="121" t="s">
        <v>1759</v>
      </c>
      <c r="F149" s="121" t="s">
        <v>1759</v>
      </c>
      <c r="G149" s="129" t="s">
        <v>1759</v>
      </c>
      <c r="H149" s="129" t="s">
        <v>1759</v>
      </c>
      <c r="I149" s="129" t="s">
        <v>1759</v>
      </c>
      <c r="J149" s="129" t="s">
        <v>1759</v>
      </c>
    </row>
    <row r="150" spans="1:10">
      <c r="A150" s="128" t="s">
        <v>1813</v>
      </c>
      <c r="B150" s="129" t="s">
        <v>1759</v>
      </c>
      <c r="C150" s="121" t="s">
        <v>1798</v>
      </c>
      <c r="D150" s="121" t="s">
        <v>1759</v>
      </c>
      <c r="E150" s="121" t="s">
        <v>1759</v>
      </c>
      <c r="F150" s="121" t="s">
        <v>1759</v>
      </c>
      <c r="G150" s="129" t="s">
        <v>1759</v>
      </c>
      <c r="H150" s="129" t="s">
        <v>1759</v>
      </c>
      <c r="I150" s="129" t="s">
        <v>1759</v>
      </c>
      <c r="J150" s="129" t="s">
        <v>1759</v>
      </c>
    </row>
    <row r="151" spans="1:10">
      <c r="A151" s="128" t="s">
        <v>716</v>
      </c>
      <c r="B151" s="129" t="s">
        <v>1730</v>
      </c>
      <c r="C151" s="121" t="s">
        <v>1798</v>
      </c>
      <c r="D151" s="121" t="s">
        <v>1766</v>
      </c>
      <c r="E151" s="121" t="s">
        <v>1730</v>
      </c>
      <c r="F151" s="121" t="s">
        <v>1730</v>
      </c>
      <c r="G151" s="129" t="s">
        <v>1730</v>
      </c>
      <c r="H151" s="129" t="s">
        <v>1730</v>
      </c>
      <c r="I151" s="129" t="s">
        <v>1730</v>
      </c>
      <c r="J151" s="129" t="s">
        <v>1752</v>
      </c>
    </row>
    <row r="152" spans="1:10">
      <c r="A152" s="132" t="s">
        <v>1822</v>
      </c>
      <c r="B152" s="121">
        <v>12857095.5782201</v>
      </c>
      <c r="C152" s="121" t="s">
        <v>1798</v>
      </c>
      <c r="D152" s="122" t="s">
        <v>1756</v>
      </c>
      <c r="E152" s="122" t="s">
        <v>1756</v>
      </c>
      <c r="F152" s="122" t="s">
        <v>1756</v>
      </c>
      <c r="G152" s="121">
        <v>711227.527460318</v>
      </c>
      <c r="H152" s="121">
        <v>66.6675832893094</v>
      </c>
      <c r="I152" s="121">
        <v>9.36622203695974</v>
      </c>
      <c r="J152" s="121" t="s">
        <v>1774</v>
      </c>
    </row>
    <row r="153" spans="1:10">
      <c r="A153" s="133" t="s">
        <v>1799</v>
      </c>
      <c r="B153" s="121">
        <v>3289687.04029686</v>
      </c>
      <c r="C153" s="121" t="s">
        <v>1798</v>
      </c>
      <c r="D153" s="121">
        <v>74.659973794072</v>
      </c>
      <c r="E153" s="121">
        <v>2.59531530814673</v>
      </c>
      <c r="F153" s="121">
        <v>0.48384345490726</v>
      </c>
      <c r="G153" s="121">
        <v>245607.948219262</v>
      </c>
      <c r="H153" s="121">
        <v>8.53777513469435</v>
      </c>
      <c r="I153" s="121">
        <v>1.59169354314086</v>
      </c>
      <c r="J153" s="121" t="s">
        <v>1752</v>
      </c>
    </row>
    <row r="154" spans="1:10">
      <c r="A154" s="133" t="s">
        <v>1800</v>
      </c>
      <c r="B154" s="121">
        <v>1227490.56479163</v>
      </c>
      <c r="C154" s="121" t="s">
        <v>1798</v>
      </c>
      <c r="D154" s="121">
        <v>89.6452339031188</v>
      </c>
      <c r="E154" s="121">
        <v>9.5</v>
      </c>
      <c r="F154" s="121">
        <v>1.42499999999999</v>
      </c>
      <c r="G154" s="121">
        <v>110038.678794617</v>
      </c>
      <c r="H154" s="121">
        <v>11.6611603655205</v>
      </c>
      <c r="I154" s="121">
        <v>1.74917405482806</v>
      </c>
      <c r="J154" s="121" t="s">
        <v>1752</v>
      </c>
    </row>
    <row r="155" spans="1:10">
      <c r="A155" s="133" t="s">
        <v>1801</v>
      </c>
      <c r="B155" s="121">
        <v>6790142.69625748</v>
      </c>
      <c r="C155" s="121" t="s">
        <v>1798</v>
      </c>
      <c r="D155" s="121">
        <v>52.3672205949994</v>
      </c>
      <c r="E155" s="121">
        <v>0.75314440585651</v>
      </c>
      <c r="F155" s="121">
        <v>0.07531444058565</v>
      </c>
      <c r="G155" s="121">
        <v>355580.90044644</v>
      </c>
      <c r="H155" s="121">
        <v>5.11395798665373</v>
      </c>
      <c r="I155" s="121">
        <v>0.51139579866537</v>
      </c>
      <c r="J155" s="121" t="s">
        <v>1752</v>
      </c>
    </row>
    <row r="156" spans="1:10">
      <c r="A156" s="133" t="s">
        <v>1823</v>
      </c>
      <c r="B156" s="121" t="s">
        <v>1759</v>
      </c>
      <c r="C156" s="121" t="s">
        <v>1798</v>
      </c>
      <c r="D156" s="121" t="s">
        <v>1759</v>
      </c>
      <c r="E156" s="121" t="s">
        <v>1759</v>
      </c>
      <c r="F156" s="121" t="s">
        <v>1759</v>
      </c>
      <c r="G156" s="121" t="s">
        <v>1759</v>
      </c>
      <c r="H156" s="121" t="s">
        <v>1759</v>
      </c>
      <c r="I156" s="121" t="s">
        <v>1759</v>
      </c>
      <c r="J156" s="121" t="s">
        <v>1759</v>
      </c>
    </row>
    <row r="157" spans="1:10">
      <c r="A157" s="133" t="s">
        <v>1824</v>
      </c>
      <c r="B157" s="121" t="s">
        <v>1759</v>
      </c>
      <c r="C157" s="121" t="s">
        <v>1798</v>
      </c>
      <c r="D157" s="121" t="s">
        <v>1759</v>
      </c>
      <c r="E157" s="121" t="s">
        <v>1759</v>
      </c>
      <c r="F157" s="121" t="s">
        <v>1759</v>
      </c>
      <c r="G157" s="121" t="s">
        <v>1759</v>
      </c>
      <c r="H157" s="121" t="s">
        <v>1759</v>
      </c>
      <c r="I157" s="121" t="s">
        <v>1759</v>
      </c>
      <c r="J157" s="121" t="s">
        <v>1759</v>
      </c>
    </row>
    <row r="158" spans="1:10">
      <c r="A158" s="133" t="s">
        <v>1825</v>
      </c>
      <c r="B158" s="121">
        <v>1549775.27687413</v>
      </c>
      <c r="C158" s="121" t="s">
        <v>1798</v>
      </c>
      <c r="D158" s="121">
        <v>88.6868982659615</v>
      </c>
      <c r="E158" s="121">
        <v>26.6843137966767</v>
      </c>
      <c r="F158" s="121">
        <v>3.55790850622357</v>
      </c>
      <c r="G158" s="121">
        <v>137444.762315238</v>
      </c>
      <c r="H158" s="121">
        <v>41.3546898024409</v>
      </c>
      <c r="I158" s="121">
        <v>5.51395864032545</v>
      </c>
      <c r="J158" s="121" t="s">
        <v>1752</v>
      </c>
    </row>
    <row r="159" spans="1:10">
      <c r="A159" s="134" t="s">
        <v>1732</v>
      </c>
      <c r="B159" s="121">
        <v>281318.674108231</v>
      </c>
      <c r="C159" s="121" t="s">
        <v>1798</v>
      </c>
      <c r="D159" s="122" t="s">
        <v>1756</v>
      </c>
      <c r="E159" s="122" t="s">
        <v>1756</v>
      </c>
      <c r="F159" s="122" t="s">
        <v>1756</v>
      </c>
      <c r="G159" s="121">
        <v>14978.5723621559</v>
      </c>
      <c r="H159" s="121">
        <v>0.23835740177008</v>
      </c>
      <c r="I159" s="121">
        <v>0.05081537174613</v>
      </c>
      <c r="J159" s="121" t="s">
        <v>1774</v>
      </c>
    </row>
    <row r="160" spans="1:10">
      <c r="A160" s="133" t="s">
        <v>1799</v>
      </c>
      <c r="B160" s="129">
        <v>11051.541643287</v>
      </c>
      <c r="C160" s="121" t="s">
        <v>1798</v>
      </c>
      <c r="D160" s="121">
        <v>74.659973794072</v>
      </c>
      <c r="E160" s="121">
        <v>3.14261395689501</v>
      </c>
      <c r="F160" s="121">
        <v>2.75514054391455</v>
      </c>
      <c r="G160" s="129">
        <v>825.1078094719</v>
      </c>
      <c r="H160" s="129">
        <v>0.0347307290134</v>
      </c>
      <c r="I160" s="129">
        <v>0.03044855045418</v>
      </c>
      <c r="J160" s="129" t="s">
        <v>1752</v>
      </c>
    </row>
    <row r="161" spans="1:10">
      <c r="A161" s="133" t="s">
        <v>1800</v>
      </c>
      <c r="B161" s="129">
        <v>8.74529743853189</v>
      </c>
      <c r="C161" s="121" t="s">
        <v>1798</v>
      </c>
      <c r="D161" s="121">
        <v>89.6452339031191</v>
      </c>
      <c r="E161" s="121">
        <v>9.50000000045133</v>
      </c>
      <c r="F161" s="121">
        <v>1.42500000001053</v>
      </c>
      <c r="G161" s="129">
        <v>0.78397423442954</v>
      </c>
      <c r="H161" s="129">
        <v>8.308032567e-5</v>
      </c>
      <c r="I161" s="129">
        <v>1.246204885e-5</v>
      </c>
      <c r="J161" s="129" t="s">
        <v>1752</v>
      </c>
    </row>
    <row r="162" spans="1:10">
      <c r="A162" s="133" t="s">
        <v>1801</v>
      </c>
      <c r="B162" s="129">
        <v>270258.387167506</v>
      </c>
      <c r="C162" s="121" t="s">
        <v>1798</v>
      </c>
      <c r="D162" s="121">
        <v>52.3672205949994</v>
      </c>
      <c r="E162" s="121">
        <v>0.75314440585651</v>
      </c>
      <c r="F162" s="121">
        <v>0.07531444058565</v>
      </c>
      <c r="G162" s="129">
        <v>14152.6805784495</v>
      </c>
      <c r="H162" s="129">
        <v>0.20354359243101</v>
      </c>
      <c r="I162" s="129">
        <v>0.0203543592431</v>
      </c>
      <c r="J162" s="129" t="s">
        <v>1752</v>
      </c>
    </row>
    <row r="163" spans="1:10">
      <c r="A163" s="133" t="s">
        <v>1823</v>
      </c>
      <c r="B163" s="129" t="s">
        <v>1759</v>
      </c>
      <c r="C163" s="121" t="s">
        <v>1798</v>
      </c>
      <c r="D163" s="121" t="s">
        <v>1759</v>
      </c>
      <c r="E163" s="121" t="s">
        <v>1759</v>
      </c>
      <c r="F163" s="121" t="s">
        <v>1759</v>
      </c>
      <c r="G163" s="129" t="s">
        <v>1759</v>
      </c>
      <c r="H163" s="129" t="s">
        <v>1759</v>
      </c>
      <c r="I163" s="129" t="s">
        <v>1759</v>
      </c>
      <c r="J163" s="129" t="s">
        <v>1759</v>
      </c>
    </row>
    <row r="164" spans="1:10">
      <c r="A164" s="133" t="s">
        <v>1824</v>
      </c>
      <c r="B164" s="129" t="s">
        <v>1759</v>
      </c>
      <c r="C164" s="121" t="s">
        <v>1798</v>
      </c>
      <c r="D164" s="121" t="s">
        <v>1759</v>
      </c>
      <c r="E164" s="121" t="s">
        <v>1759</v>
      </c>
      <c r="F164" s="121" t="s">
        <v>1759</v>
      </c>
      <c r="G164" s="129" t="s">
        <v>1759</v>
      </c>
      <c r="H164" s="129" t="s">
        <v>1759</v>
      </c>
      <c r="I164" s="129" t="s">
        <v>1759</v>
      </c>
      <c r="J164" s="129" t="s">
        <v>1759</v>
      </c>
    </row>
    <row r="165" spans="1:10">
      <c r="A165" s="133" t="s">
        <v>1825</v>
      </c>
      <c r="B165" s="129" t="s">
        <v>1730</v>
      </c>
      <c r="C165" s="121" t="s">
        <v>1798</v>
      </c>
      <c r="D165" s="121" t="s">
        <v>1766</v>
      </c>
      <c r="E165" s="121" t="s">
        <v>1730</v>
      </c>
      <c r="F165" s="121" t="s">
        <v>1730</v>
      </c>
      <c r="G165" s="129" t="s">
        <v>1730</v>
      </c>
      <c r="H165" s="129" t="s">
        <v>1730</v>
      </c>
      <c r="I165" s="129" t="s">
        <v>1730</v>
      </c>
      <c r="J165" s="129" t="s">
        <v>1752</v>
      </c>
    </row>
    <row r="166" spans="1:10">
      <c r="A166" s="134" t="s">
        <v>1733</v>
      </c>
      <c r="B166" s="121">
        <v>80551.2208633867</v>
      </c>
      <c r="C166" s="121" t="s">
        <v>1798</v>
      </c>
      <c r="D166" s="122" t="s">
        <v>1756</v>
      </c>
      <c r="E166" s="122" t="s">
        <v>1756</v>
      </c>
      <c r="F166" s="122" t="s">
        <v>1756</v>
      </c>
      <c r="G166" s="121">
        <v>5057.27487202544</v>
      </c>
      <c r="H166" s="121">
        <v>0.25516926930848</v>
      </c>
      <c r="I166" s="121">
        <v>0.03800432834628</v>
      </c>
      <c r="J166" s="121" t="s">
        <v>1774</v>
      </c>
    </row>
    <row r="167" spans="1:10">
      <c r="A167" s="133" t="s">
        <v>1799</v>
      </c>
      <c r="B167" s="129">
        <v>832.884541467251</v>
      </c>
      <c r="C167" s="121" t="s">
        <v>1798</v>
      </c>
      <c r="D167" s="121">
        <v>74.659973794072</v>
      </c>
      <c r="E167" s="121">
        <v>3.14261395689851</v>
      </c>
      <c r="F167" s="121">
        <v>2.75514054391923</v>
      </c>
      <c r="G167" s="129">
        <v>62.1831380394326</v>
      </c>
      <c r="H167" s="129">
        <v>0.0026174345845</v>
      </c>
      <c r="I167" s="129">
        <v>0.0022947139686</v>
      </c>
      <c r="J167" s="129" t="s">
        <v>1752</v>
      </c>
    </row>
    <row r="168" spans="1:10">
      <c r="A168" s="133" t="s">
        <v>1800</v>
      </c>
      <c r="B168" s="129">
        <v>22009.3282216573</v>
      </c>
      <c r="C168" s="121" t="s">
        <v>1798</v>
      </c>
      <c r="D168" s="121">
        <v>89.6452339031187</v>
      </c>
      <c r="E168" s="121">
        <v>9.49999999999982</v>
      </c>
      <c r="F168" s="121">
        <v>1.42499999999993</v>
      </c>
      <c r="G168" s="129">
        <v>1973.03137648098</v>
      </c>
      <c r="H168" s="129">
        <v>0.20908861810574</v>
      </c>
      <c r="I168" s="129">
        <v>0.03136329271586</v>
      </c>
      <c r="J168" s="129" t="s">
        <v>1752</v>
      </c>
    </row>
    <row r="169" spans="1:10">
      <c r="A169" s="133" t="s">
        <v>1801</v>
      </c>
      <c r="B169" s="129">
        <v>57709.0081002622</v>
      </c>
      <c r="C169" s="121" t="s">
        <v>1798</v>
      </c>
      <c r="D169" s="121">
        <v>52.3672205949994</v>
      </c>
      <c r="E169" s="121">
        <v>0.7531444058565</v>
      </c>
      <c r="F169" s="121">
        <v>0.07531444058558</v>
      </c>
      <c r="G169" s="129">
        <v>3022.06035750503</v>
      </c>
      <c r="H169" s="129">
        <v>0.04346321661824</v>
      </c>
      <c r="I169" s="129">
        <v>0.00434632166182</v>
      </c>
      <c r="J169" s="129" t="s">
        <v>1752</v>
      </c>
    </row>
    <row r="170" spans="1:10">
      <c r="A170" s="133" t="s">
        <v>1823</v>
      </c>
      <c r="B170" s="129" t="s">
        <v>1759</v>
      </c>
      <c r="C170" s="121" t="s">
        <v>1798</v>
      </c>
      <c r="D170" s="121" t="s">
        <v>1759</v>
      </c>
      <c r="E170" s="121" t="s">
        <v>1759</v>
      </c>
      <c r="F170" s="121" t="s">
        <v>1759</v>
      </c>
      <c r="G170" s="129" t="s">
        <v>1759</v>
      </c>
      <c r="H170" s="129" t="s">
        <v>1759</v>
      </c>
      <c r="I170" s="129" t="s">
        <v>1759</v>
      </c>
      <c r="J170" s="129" t="s">
        <v>1759</v>
      </c>
    </row>
    <row r="171" spans="1:10">
      <c r="A171" s="133" t="s">
        <v>1824</v>
      </c>
      <c r="B171" s="129" t="s">
        <v>1759</v>
      </c>
      <c r="C171" s="121" t="s">
        <v>1798</v>
      </c>
      <c r="D171" s="121" t="s">
        <v>1759</v>
      </c>
      <c r="E171" s="121" t="s">
        <v>1759</v>
      </c>
      <c r="F171" s="121" t="s">
        <v>1759</v>
      </c>
      <c r="G171" s="129" t="s">
        <v>1759</v>
      </c>
      <c r="H171" s="129" t="s">
        <v>1759</v>
      </c>
      <c r="I171" s="129" t="s">
        <v>1759</v>
      </c>
      <c r="J171" s="129" t="s">
        <v>1759</v>
      </c>
    </row>
    <row r="172" spans="1:10">
      <c r="A172" s="133" t="s">
        <v>1825</v>
      </c>
      <c r="B172" s="129" t="s">
        <v>1730</v>
      </c>
      <c r="C172" s="121" t="s">
        <v>1798</v>
      </c>
      <c r="D172" s="121" t="s">
        <v>1766</v>
      </c>
      <c r="E172" s="121" t="s">
        <v>1730</v>
      </c>
      <c r="F172" s="121" t="s">
        <v>1730</v>
      </c>
      <c r="G172" s="129" t="s">
        <v>1730</v>
      </c>
      <c r="H172" s="129" t="s">
        <v>1730</v>
      </c>
      <c r="I172" s="129" t="s">
        <v>1730</v>
      </c>
      <c r="J172" s="129" t="s">
        <v>1752</v>
      </c>
    </row>
    <row r="173" spans="1:10">
      <c r="A173" s="134" t="s">
        <v>1734</v>
      </c>
      <c r="B173" s="121">
        <v>1201393.29163263</v>
      </c>
      <c r="C173" s="121" t="s">
        <v>1798</v>
      </c>
      <c r="D173" s="122" t="s">
        <v>1756</v>
      </c>
      <c r="E173" s="122" t="s">
        <v>1756</v>
      </c>
      <c r="F173" s="122" t="s">
        <v>1756</v>
      </c>
      <c r="G173" s="121">
        <v>67269.9578139837</v>
      </c>
      <c r="H173" s="121">
        <v>1.85662734289529</v>
      </c>
      <c r="I173" s="121">
        <v>0.29458061428601</v>
      </c>
      <c r="J173" s="121" t="s">
        <v>1774</v>
      </c>
    </row>
    <row r="174" spans="1:10">
      <c r="A174" s="133" t="s">
        <v>1799</v>
      </c>
      <c r="B174" s="129">
        <v>24762.8618490081</v>
      </c>
      <c r="C174" s="121" t="s">
        <v>1798</v>
      </c>
      <c r="D174" s="121">
        <v>74.659973794072</v>
      </c>
      <c r="E174" s="121">
        <v>3.14261395689477</v>
      </c>
      <c r="F174" s="121">
        <v>2.75514054391507</v>
      </c>
      <c r="G174" s="129">
        <v>1848.79461671317</v>
      </c>
      <c r="H174" s="129">
        <v>0.07782011525935</v>
      </c>
      <c r="I174" s="129">
        <v>0.06822516466357</v>
      </c>
      <c r="J174" s="129" t="s">
        <v>1752</v>
      </c>
    </row>
    <row r="175" spans="1:10">
      <c r="A175" s="133" t="s">
        <v>1800</v>
      </c>
      <c r="B175" s="129">
        <v>102052.056544931</v>
      </c>
      <c r="C175" s="121" t="s">
        <v>1798</v>
      </c>
      <c r="D175" s="121">
        <v>89.6452339031187</v>
      </c>
      <c r="E175" s="121">
        <v>9.5</v>
      </c>
      <c r="F175" s="121">
        <v>1.42500000000004</v>
      </c>
      <c r="G175" s="129">
        <v>9148.4804792646</v>
      </c>
      <c r="H175" s="129">
        <v>0.96949453717684</v>
      </c>
      <c r="I175" s="129">
        <v>0.14542418057653</v>
      </c>
      <c r="J175" s="129" t="s">
        <v>1752</v>
      </c>
    </row>
    <row r="176" spans="1:10">
      <c r="A176" s="133" t="s">
        <v>1801</v>
      </c>
      <c r="B176" s="129">
        <v>1074578.37323869</v>
      </c>
      <c r="C176" s="121" t="s">
        <v>1798</v>
      </c>
      <c r="D176" s="121">
        <v>52.3672205949994</v>
      </c>
      <c r="E176" s="121">
        <v>0.7531444058565</v>
      </c>
      <c r="F176" s="121">
        <v>0.07531444058565</v>
      </c>
      <c r="G176" s="129">
        <v>56272.682718006</v>
      </c>
      <c r="H176" s="129">
        <v>0.8093126904591</v>
      </c>
      <c r="I176" s="129">
        <v>0.08093126904591</v>
      </c>
      <c r="J176" s="129" t="s">
        <v>1752</v>
      </c>
    </row>
    <row r="177" spans="1:10">
      <c r="A177" s="133" t="s">
        <v>1823</v>
      </c>
      <c r="B177" s="129" t="s">
        <v>1759</v>
      </c>
      <c r="C177" s="121" t="s">
        <v>1798</v>
      </c>
      <c r="D177" s="121" t="s">
        <v>1759</v>
      </c>
      <c r="E177" s="121" t="s">
        <v>1759</v>
      </c>
      <c r="F177" s="121" t="s">
        <v>1759</v>
      </c>
      <c r="G177" s="129" t="s">
        <v>1759</v>
      </c>
      <c r="H177" s="129" t="s">
        <v>1759</v>
      </c>
      <c r="I177" s="129" t="s">
        <v>1759</v>
      </c>
      <c r="J177" s="129" t="s">
        <v>1759</v>
      </c>
    </row>
    <row r="178" spans="1:10">
      <c r="A178" s="133" t="s">
        <v>1824</v>
      </c>
      <c r="B178" s="129" t="s">
        <v>1759</v>
      </c>
      <c r="C178" s="121" t="s">
        <v>1798</v>
      </c>
      <c r="D178" s="121" t="s">
        <v>1759</v>
      </c>
      <c r="E178" s="121" t="s">
        <v>1759</v>
      </c>
      <c r="F178" s="121" t="s">
        <v>1759</v>
      </c>
      <c r="G178" s="129" t="s">
        <v>1759</v>
      </c>
      <c r="H178" s="129" t="s">
        <v>1759</v>
      </c>
      <c r="I178" s="129" t="s">
        <v>1759</v>
      </c>
      <c r="J178" s="129" t="s">
        <v>1759</v>
      </c>
    </row>
    <row r="179" spans="1:10">
      <c r="A179" s="133" t="s">
        <v>1825</v>
      </c>
      <c r="B179" s="129" t="s">
        <v>1730</v>
      </c>
      <c r="C179" s="121" t="s">
        <v>1798</v>
      </c>
      <c r="D179" s="121" t="s">
        <v>1766</v>
      </c>
      <c r="E179" s="121" t="s">
        <v>1730</v>
      </c>
      <c r="F179" s="121" t="s">
        <v>1730</v>
      </c>
      <c r="G179" s="129" t="s">
        <v>1730</v>
      </c>
      <c r="H179" s="129" t="s">
        <v>1730</v>
      </c>
      <c r="I179" s="129" t="s">
        <v>1730</v>
      </c>
      <c r="J179" s="129" t="s">
        <v>1752</v>
      </c>
    </row>
    <row r="180" spans="1:10">
      <c r="A180" s="134" t="s">
        <v>1735</v>
      </c>
      <c r="B180" s="121">
        <v>644986.316561252</v>
      </c>
      <c r="C180" s="121" t="s">
        <v>1798</v>
      </c>
      <c r="D180" s="122" t="s">
        <v>1756</v>
      </c>
      <c r="E180" s="122" t="s">
        <v>1756</v>
      </c>
      <c r="F180" s="122" t="s">
        <v>1756</v>
      </c>
      <c r="G180" s="121">
        <v>45070.5796543341</v>
      </c>
      <c r="H180" s="121">
        <v>3.02832358430539</v>
      </c>
      <c r="I180" s="121">
        <v>0.52839203850652</v>
      </c>
      <c r="J180" s="121" t="s">
        <v>1774</v>
      </c>
    </row>
    <row r="181" spans="1:10">
      <c r="A181" s="133" t="s">
        <v>1799</v>
      </c>
      <c r="B181" s="129">
        <v>37854.2287865067</v>
      </c>
      <c r="C181" s="121" t="s">
        <v>1798</v>
      </c>
      <c r="D181" s="121">
        <v>74.659973794072</v>
      </c>
      <c r="E181" s="121">
        <v>3.14261395689494</v>
      </c>
      <c r="F181" s="121">
        <v>2.75514054391503</v>
      </c>
      <c r="G181" s="129">
        <v>2826.19572919539</v>
      </c>
      <c r="H181" s="129">
        <v>0.11896122771197</v>
      </c>
      <c r="I181" s="129">
        <v>0.10429372048834</v>
      </c>
      <c r="J181" s="129" t="s">
        <v>1752</v>
      </c>
    </row>
    <row r="182" spans="1:10">
      <c r="A182" s="133" t="s">
        <v>1800</v>
      </c>
      <c r="B182" s="129">
        <v>280341.226018607</v>
      </c>
      <c r="C182" s="121" t="s">
        <v>1798</v>
      </c>
      <c r="D182" s="121">
        <v>89.6452339031187</v>
      </c>
      <c r="E182" s="121">
        <v>9.49999999999999</v>
      </c>
      <c r="F182" s="121">
        <v>1.42499999999998</v>
      </c>
      <c r="G182" s="129">
        <v>25131.2547791251</v>
      </c>
      <c r="H182" s="129">
        <v>2.66324164717676</v>
      </c>
      <c r="I182" s="129">
        <v>0.39948624707651</v>
      </c>
      <c r="J182" s="129" t="s">
        <v>1752</v>
      </c>
    </row>
    <row r="183" spans="1:10">
      <c r="A183" s="133" t="s">
        <v>1801</v>
      </c>
      <c r="B183" s="129">
        <v>326790.861756139</v>
      </c>
      <c r="C183" s="121" t="s">
        <v>1798</v>
      </c>
      <c r="D183" s="121">
        <v>52.3672205949994</v>
      </c>
      <c r="E183" s="121">
        <v>0.7531444058565</v>
      </c>
      <c r="F183" s="121">
        <v>0.07531444058566</v>
      </c>
      <c r="G183" s="129">
        <v>17113.1291460137</v>
      </c>
      <c r="H183" s="129">
        <v>0.24612070941666</v>
      </c>
      <c r="I183" s="129">
        <v>0.02461207094167</v>
      </c>
      <c r="J183" s="129" t="s">
        <v>1752</v>
      </c>
    </row>
    <row r="184" spans="1:10">
      <c r="A184" s="133" t="s">
        <v>1823</v>
      </c>
      <c r="B184" s="129" t="s">
        <v>1759</v>
      </c>
      <c r="C184" s="121" t="s">
        <v>1798</v>
      </c>
      <c r="D184" s="121" t="s">
        <v>1759</v>
      </c>
      <c r="E184" s="121" t="s">
        <v>1759</v>
      </c>
      <c r="F184" s="121" t="s">
        <v>1759</v>
      </c>
      <c r="G184" s="129" t="s">
        <v>1759</v>
      </c>
      <c r="H184" s="129" t="s">
        <v>1759</v>
      </c>
      <c r="I184" s="129" t="s">
        <v>1759</v>
      </c>
      <c r="J184" s="129" t="s">
        <v>1759</v>
      </c>
    </row>
    <row r="185" spans="1:10">
      <c r="A185" s="133" t="s">
        <v>1824</v>
      </c>
      <c r="B185" s="129" t="s">
        <v>1759</v>
      </c>
      <c r="C185" s="121" t="s">
        <v>1798</v>
      </c>
      <c r="D185" s="121" t="s">
        <v>1759</v>
      </c>
      <c r="E185" s="121" t="s">
        <v>1759</v>
      </c>
      <c r="F185" s="121" t="s">
        <v>1759</v>
      </c>
      <c r="G185" s="129" t="s">
        <v>1759</v>
      </c>
      <c r="H185" s="129" t="s">
        <v>1759</v>
      </c>
      <c r="I185" s="129" t="s">
        <v>1759</v>
      </c>
      <c r="J185" s="129" t="s">
        <v>1759</v>
      </c>
    </row>
    <row r="186" spans="1:10">
      <c r="A186" s="133" t="s">
        <v>1825</v>
      </c>
      <c r="B186" s="129" t="s">
        <v>1730</v>
      </c>
      <c r="C186" s="121" t="s">
        <v>1798</v>
      </c>
      <c r="D186" s="121" t="s">
        <v>1766</v>
      </c>
      <c r="E186" s="121" t="s">
        <v>1730</v>
      </c>
      <c r="F186" s="121" t="s">
        <v>1730</v>
      </c>
      <c r="G186" s="129" t="s">
        <v>1730</v>
      </c>
      <c r="H186" s="129" t="s">
        <v>1730</v>
      </c>
      <c r="I186" s="129" t="s">
        <v>1730</v>
      </c>
      <c r="J186" s="129" t="s">
        <v>1752</v>
      </c>
    </row>
    <row r="187" spans="1:10">
      <c r="A187" s="134" t="s">
        <v>1736</v>
      </c>
      <c r="B187" s="121">
        <v>644167.084329371</v>
      </c>
      <c r="C187" s="121" t="s">
        <v>1798</v>
      </c>
      <c r="D187" s="122" t="s">
        <v>1756</v>
      </c>
      <c r="E187" s="122" t="s">
        <v>1756</v>
      </c>
      <c r="F187" s="122" t="s">
        <v>1756</v>
      </c>
      <c r="G187" s="121">
        <v>46357.76422742</v>
      </c>
      <c r="H187" s="121">
        <v>3.41919088614388</v>
      </c>
      <c r="I187" s="121">
        <v>0.52415757023381</v>
      </c>
      <c r="J187" s="121" t="s">
        <v>1774</v>
      </c>
    </row>
    <row r="188" spans="1:10">
      <c r="A188" s="133" t="s">
        <v>1799</v>
      </c>
      <c r="B188" s="129">
        <v>9910.68347165336</v>
      </c>
      <c r="C188" s="121" t="s">
        <v>1798</v>
      </c>
      <c r="D188" s="121">
        <v>74.659973794072</v>
      </c>
      <c r="E188" s="121">
        <v>3.14261395689435</v>
      </c>
      <c r="F188" s="121">
        <v>2.75514054391495</v>
      </c>
      <c r="G188" s="129">
        <v>739.931368274982</v>
      </c>
      <c r="H188" s="129">
        <v>0.03114545220038</v>
      </c>
      <c r="I188" s="129">
        <v>0.02730532585066</v>
      </c>
      <c r="J188" s="129" t="s">
        <v>1752</v>
      </c>
    </row>
    <row r="189" spans="1:10">
      <c r="A189" s="133" t="s">
        <v>1800</v>
      </c>
      <c r="B189" s="129">
        <v>332732.002081693</v>
      </c>
      <c r="C189" s="121" t="s">
        <v>1798</v>
      </c>
      <c r="D189" s="121">
        <v>89.6452339031187</v>
      </c>
      <c r="E189" s="121">
        <v>9.50000000000001</v>
      </c>
      <c r="F189" s="121">
        <v>1.42499999999999</v>
      </c>
      <c r="G189" s="129">
        <v>29827.8381536664</v>
      </c>
      <c r="H189" s="129">
        <v>3.16095401977609</v>
      </c>
      <c r="I189" s="129">
        <v>0.47414310296641</v>
      </c>
      <c r="J189" s="129" t="s">
        <v>1752</v>
      </c>
    </row>
    <row r="190" spans="1:10">
      <c r="A190" s="133" t="s">
        <v>1801</v>
      </c>
      <c r="B190" s="129">
        <v>301524.398776024</v>
      </c>
      <c r="C190" s="121" t="s">
        <v>1798</v>
      </c>
      <c r="D190" s="121">
        <v>52.3672205949994</v>
      </c>
      <c r="E190" s="121">
        <v>0.75314440585651</v>
      </c>
      <c r="F190" s="121">
        <v>0.07531444058565</v>
      </c>
      <c r="G190" s="129">
        <v>15789.9947054786</v>
      </c>
      <c r="H190" s="129">
        <v>0.22709141416741</v>
      </c>
      <c r="I190" s="129">
        <v>0.02270914141674</v>
      </c>
      <c r="J190" s="129" t="s">
        <v>1752</v>
      </c>
    </row>
    <row r="191" spans="1:10">
      <c r="A191" s="133" t="s">
        <v>1823</v>
      </c>
      <c r="B191" s="129" t="s">
        <v>1759</v>
      </c>
      <c r="C191" s="121" t="s">
        <v>1798</v>
      </c>
      <c r="D191" s="121" t="s">
        <v>1759</v>
      </c>
      <c r="E191" s="121" t="s">
        <v>1759</v>
      </c>
      <c r="F191" s="121" t="s">
        <v>1759</v>
      </c>
      <c r="G191" s="129" t="s">
        <v>1759</v>
      </c>
      <c r="H191" s="129" t="s">
        <v>1759</v>
      </c>
      <c r="I191" s="129" t="s">
        <v>1759</v>
      </c>
      <c r="J191" s="129" t="s">
        <v>1759</v>
      </c>
    </row>
    <row r="192" spans="1:10">
      <c r="A192" s="133" t="s">
        <v>1824</v>
      </c>
      <c r="B192" s="129" t="s">
        <v>1759</v>
      </c>
      <c r="C192" s="121" t="s">
        <v>1798</v>
      </c>
      <c r="D192" s="121" t="s">
        <v>1759</v>
      </c>
      <c r="E192" s="121" t="s">
        <v>1759</v>
      </c>
      <c r="F192" s="121" t="s">
        <v>1759</v>
      </c>
      <c r="G192" s="129" t="s">
        <v>1759</v>
      </c>
      <c r="H192" s="129" t="s">
        <v>1759</v>
      </c>
      <c r="I192" s="129" t="s">
        <v>1759</v>
      </c>
      <c r="J192" s="129" t="s">
        <v>1759</v>
      </c>
    </row>
    <row r="193" spans="1:10">
      <c r="A193" s="133" t="s">
        <v>1825</v>
      </c>
      <c r="B193" s="129" t="s">
        <v>1730</v>
      </c>
      <c r="C193" s="121" t="s">
        <v>1798</v>
      </c>
      <c r="D193" s="121" t="s">
        <v>1766</v>
      </c>
      <c r="E193" s="121" t="s">
        <v>1730</v>
      </c>
      <c r="F193" s="121" t="s">
        <v>1730</v>
      </c>
      <c r="G193" s="129" t="s">
        <v>1730</v>
      </c>
      <c r="H193" s="129" t="s">
        <v>1730</v>
      </c>
      <c r="I193" s="129" t="s">
        <v>1730</v>
      </c>
      <c r="J193" s="129" t="s">
        <v>1752</v>
      </c>
    </row>
    <row r="194" spans="1:10">
      <c r="A194" s="134" t="s">
        <v>1737</v>
      </c>
      <c r="B194" s="121">
        <v>526636.638153831</v>
      </c>
      <c r="C194" s="121" t="s">
        <v>1798</v>
      </c>
      <c r="D194" s="122" t="s">
        <v>1756</v>
      </c>
      <c r="E194" s="122" t="s">
        <v>1756</v>
      </c>
      <c r="F194" s="122" t="s">
        <v>1756</v>
      </c>
      <c r="G194" s="121">
        <v>36302.0337781096</v>
      </c>
      <c r="H194" s="121">
        <v>2.42953826072832</v>
      </c>
      <c r="I194" s="121">
        <v>0.36471649490099</v>
      </c>
      <c r="J194" s="121" t="s">
        <v>1774</v>
      </c>
    </row>
    <row r="195" spans="1:10">
      <c r="A195" s="133" t="s">
        <v>1799</v>
      </c>
      <c r="B195" s="129">
        <v>4917.66484266335</v>
      </c>
      <c r="C195" s="121" t="s">
        <v>1798</v>
      </c>
      <c r="D195" s="121">
        <v>74.659973794072</v>
      </c>
      <c r="E195" s="121">
        <v>3.14261395689384</v>
      </c>
      <c r="F195" s="121">
        <v>2.75514054391557</v>
      </c>
      <c r="G195" s="129">
        <v>367.152728281275</v>
      </c>
      <c r="H195" s="129">
        <v>0.01545432216988</v>
      </c>
      <c r="I195" s="129">
        <v>0.01354885778941</v>
      </c>
      <c r="J195" s="129" t="s">
        <v>1752</v>
      </c>
    </row>
    <row r="196" spans="1:10">
      <c r="A196" s="133" t="s">
        <v>1800</v>
      </c>
      <c r="B196" s="129">
        <v>231072.091064726</v>
      </c>
      <c r="C196" s="121" t="s">
        <v>1798</v>
      </c>
      <c r="D196" s="121">
        <v>89.6452339031187</v>
      </c>
      <c r="E196" s="121">
        <v>9.50000000000001</v>
      </c>
      <c r="F196" s="121">
        <v>1.42499999999998</v>
      </c>
      <c r="G196" s="129">
        <v>20714.5116519801</v>
      </c>
      <c r="H196" s="129">
        <v>2.1951848651149</v>
      </c>
      <c r="I196" s="129">
        <v>0.32927772976723</v>
      </c>
      <c r="J196" s="129" t="s">
        <v>1752</v>
      </c>
    </row>
    <row r="197" spans="1:10">
      <c r="A197" s="133" t="s">
        <v>1801</v>
      </c>
      <c r="B197" s="129">
        <v>290646.882246442</v>
      </c>
      <c r="C197" s="121" t="s">
        <v>1798</v>
      </c>
      <c r="D197" s="121">
        <v>52.3672205949994</v>
      </c>
      <c r="E197" s="121">
        <v>0.7531444058565</v>
      </c>
      <c r="F197" s="121">
        <v>0.07531444058564</v>
      </c>
      <c r="G197" s="129">
        <v>15220.3693978482</v>
      </c>
      <c r="H197" s="129">
        <v>0.21889907344354</v>
      </c>
      <c r="I197" s="129">
        <v>0.02188990734435</v>
      </c>
      <c r="J197" s="129" t="s">
        <v>1752</v>
      </c>
    </row>
    <row r="198" spans="1:10">
      <c r="A198" s="133" t="s">
        <v>1823</v>
      </c>
      <c r="B198" s="129" t="s">
        <v>1759</v>
      </c>
      <c r="C198" s="121" t="s">
        <v>1798</v>
      </c>
      <c r="D198" s="121" t="s">
        <v>1759</v>
      </c>
      <c r="E198" s="121" t="s">
        <v>1759</v>
      </c>
      <c r="F198" s="121" t="s">
        <v>1759</v>
      </c>
      <c r="G198" s="129" t="s">
        <v>1759</v>
      </c>
      <c r="H198" s="129" t="s">
        <v>1759</v>
      </c>
      <c r="I198" s="129" t="s">
        <v>1759</v>
      </c>
      <c r="J198" s="129" t="s">
        <v>1759</v>
      </c>
    </row>
    <row r="199" spans="1:10">
      <c r="A199" s="135" t="s">
        <v>1824</v>
      </c>
      <c r="B199" s="129" t="s">
        <v>1759</v>
      </c>
      <c r="C199" s="121" t="s">
        <v>1798</v>
      </c>
      <c r="D199" s="121" t="s">
        <v>1759</v>
      </c>
      <c r="E199" s="121" t="s">
        <v>1759</v>
      </c>
      <c r="F199" s="121" t="s">
        <v>1759</v>
      </c>
      <c r="G199" s="129" t="s">
        <v>1759</v>
      </c>
      <c r="H199" s="129" t="s">
        <v>1759</v>
      </c>
      <c r="I199" s="129" t="s">
        <v>1759</v>
      </c>
      <c r="J199" s="129" t="s">
        <v>1759</v>
      </c>
    </row>
    <row r="200" spans="1:10">
      <c r="A200" s="133" t="s">
        <v>1825</v>
      </c>
      <c r="B200" s="129" t="s">
        <v>1730</v>
      </c>
      <c r="C200" s="121" t="s">
        <v>1798</v>
      </c>
      <c r="D200" s="121" t="s">
        <v>1766</v>
      </c>
      <c r="E200" s="121" t="s">
        <v>1730</v>
      </c>
      <c r="F200" s="121" t="s">
        <v>1730</v>
      </c>
      <c r="G200" s="129" t="s">
        <v>1730</v>
      </c>
      <c r="H200" s="129" t="s">
        <v>1730</v>
      </c>
      <c r="I200" s="129" t="s">
        <v>1730</v>
      </c>
      <c r="J200" s="129" t="s">
        <v>1752</v>
      </c>
    </row>
    <row r="201" spans="1:10">
      <c r="A201" s="134" t="s">
        <v>1826</v>
      </c>
      <c r="B201" s="121">
        <v>9478042.35257141</v>
      </c>
      <c r="C201" s="121" t="s">
        <v>1798</v>
      </c>
      <c r="D201" s="122" t="s">
        <v>1756</v>
      </c>
      <c r="E201" s="122" t="s">
        <v>1756</v>
      </c>
      <c r="F201" s="122" t="s">
        <v>1756</v>
      </c>
      <c r="G201" s="121">
        <v>496191.344752289</v>
      </c>
      <c r="H201" s="121">
        <v>55.4403765441579</v>
      </c>
      <c r="I201" s="121">
        <v>7.56555561894</v>
      </c>
      <c r="J201" s="121" t="s">
        <v>1774</v>
      </c>
    </row>
    <row r="202" spans="1:10">
      <c r="A202" s="127" t="s">
        <v>1827</v>
      </c>
      <c r="B202" s="121">
        <v>9478042.35257141</v>
      </c>
      <c r="C202" s="121" t="s">
        <v>1798</v>
      </c>
      <c r="D202" s="122" t="s">
        <v>1756</v>
      </c>
      <c r="E202" s="122" t="s">
        <v>1756</v>
      </c>
      <c r="F202" s="122" t="s">
        <v>1756</v>
      </c>
      <c r="G202" s="121">
        <v>496191.344752289</v>
      </c>
      <c r="H202" s="121">
        <v>55.4403765441579</v>
      </c>
      <c r="I202" s="121">
        <v>7.56555561894</v>
      </c>
      <c r="J202" s="121" t="s">
        <v>1774</v>
      </c>
    </row>
    <row r="203" spans="1:10">
      <c r="A203" s="128" t="s">
        <v>1828</v>
      </c>
      <c r="B203" s="121">
        <v>9478042.35257141</v>
      </c>
      <c r="C203" s="121" t="s">
        <v>1798</v>
      </c>
      <c r="D203" s="122" t="s">
        <v>1756</v>
      </c>
      <c r="E203" s="122" t="s">
        <v>1756</v>
      </c>
      <c r="F203" s="122" t="s">
        <v>1756</v>
      </c>
      <c r="G203" s="121">
        <v>496191.344752289</v>
      </c>
      <c r="H203" s="121">
        <v>55.4403765441579</v>
      </c>
      <c r="I203" s="121">
        <v>7.56555561894</v>
      </c>
      <c r="J203" s="121" t="s">
        <v>1774</v>
      </c>
    </row>
    <row r="204" spans="1:10">
      <c r="A204" s="136" t="s">
        <v>1809</v>
      </c>
      <c r="B204" s="129">
        <v>3200357.17516228</v>
      </c>
      <c r="C204" s="121" t="s">
        <v>1798</v>
      </c>
      <c r="D204" s="121">
        <v>74.659973794072</v>
      </c>
      <c r="E204" s="121">
        <v>2.5800388524872</v>
      </c>
      <c r="F204" s="121">
        <v>0.42044594908625</v>
      </c>
      <c r="G204" s="129">
        <v>238938.582829286</v>
      </c>
      <c r="H204" s="129">
        <v>8.25704585375487</v>
      </c>
      <c r="I204" s="129">
        <v>1.3455772099261</v>
      </c>
      <c r="J204" s="129" t="s">
        <v>1752</v>
      </c>
    </row>
    <row r="205" spans="1:10">
      <c r="A205" s="136" t="s">
        <v>1810</v>
      </c>
      <c r="B205" s="129">
        <v>259275.115562574</v>
      </c>
      <c r="C205" s="121" t="s">
        <v>1798</v>
      </c>
      <c r="D205" s="121">
        <v>89.6452339031188</v>
      </c>
      <c r="E205" s="121">
        <v>9.50000000000001</v>
      </c>
      <c r="F205" s="121">
        <v>1.42500000000001</v>
      </c>
      <c r="G205" s="129">
        <v>23242.7783798651</v>
      </c>
      <c r="H205" s="129">
        <v>2.46311359784445</v>
      </c>
      <c r="I205" s="129">
        <v>0.36946703967667</v>
      </c>
      <c r="J205" s="129" t="s">
        <v>1752</v>
      </c>
    </row>
    <row r="206" spans="1:10">
      <c r="A206" s="136" t="s">
        <v>1811</v>
      </c>
      <c r="B206" s="129">
        <v>4468634.78497242</v>
      </c>
      <c r="C206" s="121" t="s">
        <v>1798</v>
      </c>
      <c r="D206" s="121">
        <v>52.3672205949994</v>
      </c>
      <c r="E206" s="121">
        <v>0.75314440585651</v>
      </c>
      <c r="F206" s="121">
        <v>0.07531444058565</v>
      </c>
      <c r="G206" s="129">
        <v>234009.983543138</v>
      </c>
      <c r="H206" s="129">
        <v>3.36552729011777</v>
      </c>
      <c r="I206" s="129">
        <v>0.33655272901178</v>
      </c>
      <c r="J206" s="129" t="s">
        <v>1752</v>
      </c>
    </row>
    <row r="207" spans="1:10">
      <c r="A207" s="136" t="s">
        <v>1812</v>
      </c>
      <c r="B207" s="129" t="s">
        <v>1759</v>
      </c>
      <c r="C207" s="121" t="s">
        <v>1798</v>
      </c>
      <c r="D207" s="121" t="s">
        <v>1759</v>
      </c>
      <c r="E207" s="121" t="s">
        <v>1759</v>
      </c>
      <c r="F207" s="121" t="s">
        <v>1759</v>
      </c>
      <c r="G207" s="129" t="s">
        <v>1759</v>
      </c>
      <c r="H207" s="129" t="s">
        <v>1759</v>
      </c>
      <c r="I207" s="129" t="s">
        <v>1759</v>
      </c>
      <c r="J207" s="129" t="s">
        <v>1759</v>
      </c>
    </row>
    <row r="208" spans="1:10">
      <c r="A208" s="136" t="s">
        <v>1813</v>
      </c>
      <c r="B208" s="129" t="s">
        <v>1759</v>
      </c>
      <c r="C208" s="121" t="s">
        <v>1798</v>
      </c>
      <c r="D208" s="121" t="s">
        <v>1759</v>
      </c>
      <c r="E208" s="121" t="s">
        <v>1759</v>
      </c>
      <c r="F208" s="121" t="s">
        <v>1759</v>
      </c>
      <c r="G208" s="129" t="s">
        <v>1759</v>
      </c>
      <c r="H208" s="129" t="s">
        <v>1759</v>
      </c>
      <c r="I208" s="129" t="s">
        <v>1759</v>
      </c>
      <c r="J208" s="129" t="s">
        <v>1759</v>
      </c>
    </row>
    <row r="209" spans="1:10">
      <c r="A209" s="136" t="s">
        <v>716</v>
      </c>
      <c r="B209" s="129">
        <v>1549775.27687413</v>
      </c>
      <c r="C209" s="121" t="s">
        <v>1798</v>
      </c>
      <c r="D209" s="121">
        <v>88.6868982659615</v>
      </c>
      <c r="E209" s="121">
        <v>26.6843137966767</v>
      </c>
      <c r="F209" s="121">
        <v>3.55790850622357</v>
      </c>
      <c r="G209" s="129">
        <v>137444.762315238</v>
      </c>
      <c r="H209" s="129">
        <v>41.3546898024409</v>
      </c>
      <c r="I209" s="129">
        <v>5.51395864032545</v>
      </c>
      <c r="J209" s="129" t="s">
        <v>1752</v>
      </c>
    </row>
    <row r="210" spans="1:10">
      <c r="A210" s="137" t="s">
        <v>1829</v>
      </c>
      <c r="B210" s="121">
        <v>27381911.119104</v>
      </c>
      <c r="C210" s="121" t="s">
        <v>1798</v>
      </c>
      <c r="D210" s="122" t="s">
        <v>1756</v>
      </c>
      <c r="E210" s="122" t="s">
        <v>1756</v>
      </c>
      <c r="F210" s="122" t="s">
        <v>1756</v>
      </c>
      <c r="G210" s="121">
        <v>1830505.60563328</v>
      </c>
      <c r="H210" s="121">
        <v>160.28001983993</v>
      </c>
      <c r="I210" s="121">
        <v>137.977227926617</v>
      </c>
    </row>
    <row r="211" spans="1:10">
      <c r="A211" s="123" t="s">
        <v>1799</v>
      </c>
      <c r="B211" s="121">
        <v>26378279.6908563</v>
      </c>
      <c r="C211" s="121" t="s">
        <v>1798</v>
      </c>
      <c r="D211" s="121">
        <v>68.1405196164424</v>
      </c>
      <c r="E211" s="121">
        <v>5.73275991213911</v>
      </c>
      <c r="F211" s="121">
        <v>5.22710311139797</v>
      </c>
      <c r="G211" s="121">
        <v>1797429.6847228</v>
      </c>
      <c r="H211" s="121">
        <v>151.220344362934</v>
      </c>
      <c r="I211" s="121">
        <v>137.881987845401</v>
      </c>
    </row>
    <row r="212" spans="1:10">
      <c r="A212" s="123" t="s">
        <v>1800</v>
      </c>
      <c r="B212" s="121" t="s">
        <v>1759</v>
      </c>
      <c r="C212" s="121" t="s">
        <v>1798</v>
      </c>
      <c r="D212" s="121" t="s">
        <v>1759</v>
      </c>
      <c r="E212" s="121" t="s">
        <v>1759</v>
      </c>
      <c r="F212" s="121" t="s">
        <v>1759</v>
      </c>
      <c r="G212" s="121" t="s">
        <v>1759</v>
      </c>
      <c r="H212" s="121" t="s">
        <v>1759</v>
      </c>
      <c r="I212" s="121" t="s">
        <v>1759</v>
      </c>
    </row>
    <row r="213" spans="1:10">
      <c r="A213" s="123" t="s">
        <v>1801</v>
      </c>
      <c r="B213" s="121">
        <v>658252.511617176</v>
      </c>
      <c r="C213" s="121" t="s">
        <v>1798</v>
      </c>
      <c r="D213" s="121">
        <v>50.2480739940065</v>
      </c>
      <c r="E213" s="121">
        <v>13.7560931898501</v>
      </c>
      <c r="F213" s="121">
        <v>0.13734370307478</v>
      </c>
      <c r="G213" s="121">
        <v>33075.9209104805</v>
      </c>
      <c r="H213" s="121">
        <v>9.05498289225875</v>
      </c>
      <c r="I213" s="121">
        <v>0.09040683750378</v>
      </c>
    </row>
    <row r="214" spans="1:10">
      <c r="A214" s="123" t="s">
        <v>1802</v>
      </c>
      <c r="B214" s="121" t="s">
        <v>1816</v>
      </c>
      <c r="C214" s="121" t="s">
        <v>1798</v>
      </c>
      <c r="D214" s="121" t="s">
        <v>1816</v>
      </c>
      <c r="E214" s="121" t="s">
        <v>1806</v>
      </c>
      <c r="F214" s="121" t="s">
        <v>1806</v>
      </c>
      <c r="G214" s="121" t="s">
        <v>1816</v>
      </c>
      <c r="H214" s="121" t="s">
        <v>1806</v>
      </c>
      <c r="I214" s="121" t="s">
        <v>1806</v>
      </c>
    </row>
    <row r="215" spans="1:10">
      <c r="A215" s="123" t="s">
        <v>1804</v>
      </c>
      <c r="B215" s="121">
        <v>345378.916630542</v>
      </c>
      <c r="C215" s="121" t="s">
        <v>1798</v>
      </c>
      <c r="D215" s="121">
        <v>65.0650354618194</v>
      </c>
      <c r="E215" s="121">
        <v>0.01358677241335</v>
      </c>
      <c r="F215" s="121">
        <v>0.01399403229176</v>
      </c>
      <c r="G215" s="121">
        <v>22472.091458331</v>
      </c>
      <c r="H215" s="121">
        <v>0.00469258473663</v>
      </c>
      <c r="I215" s="121">
        <v>0.00483324371222</v>
      </c>
    </row>
    <row r="216" spans="1:10">
      <c r="A216" s="138" t="s">
        <v>1830</v>
      </c>
      <c r="B216" s="121">
        <v>2513561.92071057</v>
      </c>
      <c r="C216" s="121" t="s">
        <v>1798</v>
      </c>
      <c r="D216" s="122" t="s">
        <v>1756</v>
      </c>
      <c r="E216" s="122" t="s">
        <v>1756</v>
      </c>
      <c r="F216" s="122" t="s">
        <v>1756</v>
      </c>
      <c r="G216" s="121">
        <v>170713.690360831</v>
      </c>
      <c r="H216" s="121">
        <v>2.0771880881664</v>
      </c>
      <c r="I216" s="121">
        <v>5.26173448056683</v>
      </c>
    </row>
    <row r="217" spans="1:10">
      <c r="A217" s="123" t="s">
        <v>1831</v>
      </c>
      <c r="B217" s="129">
        <v>37296.1933258563</v>
      </c>
      <c r="C217" s="121" t="s">
        <v>1798</v>
      </c>
      <c r="D217" s="121">
        <v>65.5285608140546</v>
      </c>
      <c r="E217" s="121">
        <v>55.6943726137956</v>
      </c>
      <c r="F217" s="121">
        <v>0.84385413051206</v>
      </c>
      <c r="G217" s="129">
        <v>2443.96587248611</v>
      </c>
      <c r="H217" s="129">
        <v>2.0771880881664</v>
      </c>
      <c r="I217" s="129">
        <v>0.0314725467904</v>
      </c>
    </row>
    <row r="218" spans="1:10">
      <c r="A218" s="123" t="s">
        <v>1832</v>
      </c>
      <c r="B218" s="129">
        <v>2476265.72738472</v>
      </c>
      <c r="C218" s="121" t="s">
        <v>1798</v>
      </c>
      <c r="D218" s="121">
        <v>67.9530159576456</v>
      </c>
      <c r="E218" s="121" t="s">
        <v>1759</v>
      </c>
      <c r="F218" s="121">
        <v>2.1121569773129</v>
      </c>
      <c r="G218" s="129">
        <v>168269.724488345</v>
      </c>
      <c r="H218" s="129" t="s">
        <v>1759</v>
      </c>
      <c r="I218" s="129">
        <v>5.23026193377643</v>
      </c>
    </row>
    <row r="219" spans="1:10">
      <c r="A219" s="123" t="s">
        <v>716</v>
      </c>
      <c r="B219" s="129" t="s">
        <v>1759</v>
      </c>
      <c r="C219" s="121" t="s">
        <v>1798</v>
      </c>
      <c r="D219" s="121" t="s">
        <v>1759</v>
      </c>
      <c r="E219" s="121" t="s">
        <v>1759</v>
      </c>
      <c r="F219" s="121" t="s">
        <v>1759</v>
      </c>
      <c r="G219" s="129" t="s">
        <v>1759</v>
      </c>
      <c r="H219" s="129" t="s">
        <v>1759</v>
      </c>
      <c r="I219" s="129" t="s">
        <v>1759</v>
      </c>
    </row>
    <row r="220" spans="1:10">
      <c r="A220" s="139" t="s">
        <v>1833</v>
      </c>
      <c r="B220" s="121">
        <v>23026953.4142246</v>
      </c>
      <c r="C220" s="121" t="s">
        <v>1798</v>
      </c>
      <c r="D220" s="122" t="s">
        <v>1756</v>
      </c>
      <c r="E220" s="122" t="s">
        <v>1756</v>
      </c>
      <c r="F220" s="122" t="s">
        <v>1756</v>
      </c>
      <c r="G220" s="121">
        <v>1543321.23472409</v>
      </c>
      <c r="H220" s="121">
        <v>95.7223381829737</v>
      </c>
      <c r="I220" s="121">
        <v>108.027441792921</v>
      </c>
    </row>
    <row r="221" spans="1:10">
      <c r="A221" s="123" t="s">
        <v>1834</v>
      </c>
      <c r="B221" s="121">
        <v>16921811.2767266</v>
      </c>
      <c r="C221" s="121" t="s">
        <v>1798</v>
      </c>
      <c r="D221" s="121">
        <v>67.1433648029954</v>
      </c>
      <c r="E221" s="121">
        <v>5.10507215357139</v>
      </c>
      <c r="F221" s="121">
        <v>6.31935486670162</v>
      </c>
      <c r="G221" s="121">
        <v>1136187.3476807</v>
      </c>
      <c r="H221" s="121">
        <v>86.3870675368075</v>
      </c>
      <c r="I221" s="121">
        <v>106.934930444989</v>
      </c>
    </row>
    <row r="222" spans="1:10">
      <c r="A222" s="123" t="s">
        <v>1835</v>
      </c>
      <c r="B222" s="121">
        <v>5716335.59920725</v>
      </c>
      <c r="C222" s="121" t="s">
        <v>1798</v>
      </c>
      <c r="D222" s="121">
        <v>70.7924607162017</v>
      </c>
      <c r="E222" s="121">
        <v>0.18688644136496</v>
      </c>
      <c r="F222" s="121">
        <v>0.1856620167534</v>
      </c>
      <c r="G222" s="121">
        <v>404673.463347505</v>
      </c>
      <c r="H222" s="121">
        <v>1.0683056177837</v>
      </c>
      <c r="I222" s="121">
        <v>1.0613063957881</v>
      </c>
    </row>
    <row r="223" spans="1:10">
      <c r="A223" s="123" t="s">
        <v>1836</v>
      </c>
      <c r="B223" s="121">
        <v>29789.5019987257</v>
      </c>
      <c r="C223" s="121" t="s">
        <v>1798</v>
      </c>
      <c r="D223" s="121">
        <v>59.5892623540982</v>
      </c>
      <c r="E223" s="121">
        <v>0.32721071521897</v>
      </c>
      <c r="F223" s="121">
        <v>0.67984698987101</v>
      </c>
      <c r="G223" s="121">
        <v>1775.13445</v>
      </c>
      <c r="H223" s="121">
        <v>0.00974744425502</v>
      </c>
      <c r="I223" s="121">
        <v>0.02025230326359</v>
      </c>
    </row>
    <row r="224" spans="1:10">
      <c r="A224" s="123" t="s">
        <v>1837</v>
      </c>
      <c r="B224" s="121" t="s">
        <v>1816</v>
      </c>
      <c r="C224" s="121" t="s">
        <v>1798</v>
      </c>
      <c r="D224" s="122" t="s">
        <v>1756</v>
      </c>
      <c r="E224" s="122" t="s">
        <v>1756</v>
      </c>
      <c r="F224" s="122" t="s">
        <v>1756</v>
      </c>
      <c r="G224" s="121" t="s">
        <v>1816</v>
      </c>
      <c r="H224" s="121">
        <v>1.05278679567487</v>
      </c>
      <c r="I224" s="121">
        <v>0.00014965547714</v>
      </c>
    </row>
    <row r="225" spans="1:9">
      <c r="A225" s="123" t="s">
        <v>1801</v>
      </c>
      <c r="B225" s="121">
        <v>13638.1196614135</v>
      </c>
      <c r="C225" s="121" t="s">
        <v>1798</v>
      </c>
      <c r="D225" s="121">
        <v>50.2480739940065</v>
      </c>
      <c r="E225" s="121">
        <v>527.912819542591</v>
      </c>
      <c r="F225" s="121">
        <v>0.43772527586265</v>
      </c>
      <c r="G225" s="121">
        <v>685.28924588582</v>
      </c>
      <c r="H225" s="121">
        <v>7.19973820371604</v>
      </c>
      <c r="I225" s="121">
        <v>0.00596974969104</v>
      </c>
    </row>
    <row r="226" spans="1:9">
      <c r="A226" s="123" t="s">
        <v>1804</v>
      </c>
      <c r="B226" s="121">
        <v>345378.916630542</v>
      </c>
      <c r="C226" s="121" t="s">
        <v>1798</v>
      </c>
      <c r="D226" s="121">
        <v>65.0650354618194</v>
      </c>
      <c r="E226" s="121">
        <v>0.01358677241335</v>
      </c>
      <c r="F226" s="121">
        <v>0.01399403229176</v>
      </c>
      <c r="G226" s="121">
        <v>22472.091458331</v>
      </c>
      <c r="H226" s="121">
        <v>0.00469258473663</v>
      </c>
      <c r="I226" s="121">
        <v>0.00483324371222</v>
      </c>
    </row>
    <row r="227" spans="1:9">
      <c r="A227" s="123" t="s">
        <v>1838</v>
      </c>
      <c r="B227" s="121" t="s">
        <v>1816</v>
      </c>
      <c r="C227" s="121" t="s">
        <v>1798</v>
      </c>
      <c r="D227" s="122" t="s">
        <v>1756</v>
      </c>
      <c r="E227" s="122" t="s">
        <v>1756</v>
      </c>
      <c r="F227" s="122" t="s">
        <v>1756</v>
      </c>
      <c r="G227" s="121" t="s">
        <v>1816</v>
      </c>
      <c r="H227" s="121" t="s">
        <v>1806</v>
      </c>
      <c r="I227" s="121" t="s">
        <v>1806</v>
      </c>
    </row>
    <row r="228" spans="1:9">
      <c r="A228" s="140" t="s">
        <v>1839</v>
      </c>
      <c r="B228" s="121">
        <v>9895321.64939151</v>
      </c>
      <c r="C228" s="121" t="s">
        <v>1798</v>
      </c>
      <c r="D228" s="122" t="s">
        <v>1756</v>
      </c>
      <c r="E228" s="122" t="s">
        <v>1756</v>
      </c>
      <c r="F228" s="122" t="s">
        <v>1756</v>
      </c>
      <c r="G228" s="121">
        <v>641430.120359755</v>
      </c>
      <c r="H228" s="121">
        <v>50.3435139862788</v>
      </c>
      <c r="I228" s="121">
        <v>58.0260074523447</v>
      </c>
    </row>
    <row r="229" spans="1:9">
      <c r="A229" s="123" t="s">
        <v>1834</v>
      </c>
      <c r="B229" s="129">
        <v>9488919.22317815</v>
      </c>
      <c r="C229" s="121" t="s">
        <v>1798</v>
      </c>
      <c r="D229" s="121">
        <v>67.1433648029954</v>
      </c>
      <c r="E229" s="121">
        <v>5.30428829302407</v>
      </c>
      <c r="F229" s="121">
        <v>6.11422652963519</v>
      </c>
      <c r="G229" s="129">
        <v>637117.964988006</v>
      </c>
      <c r="H229" s="129">
        <v>50.3319631489549</v>
      </c>
      <c r="I229" s="129">
        <v>58.0174016519212</v>
      </c>
    </row>
    <row r="230" spans="1:9">
      <c r="A230" s="123" t="s">
        <v>1835</v>
      </c>
      <c r="B230" s="129">
        <v>60577.3552024582</v>
      </c>
      <c r="C230" s="121" t="s">
        <v>1798</v>
      </c>
      <c r="D230" s="121">
        <v>70.7924607162017</v>
      </c>
      <c r="E230" s="121">
        <v>0.05053192154031</v>
      </c>
      <c r="F230" s="121">
        <v>0.11107027591734</v>
      </c>
      <c r="G230" s="129">
        <v>4288.42003846142</v>
      </c>
      <c r="H230" s="129">
        <v>0.00306109016021</v>
      </c>
      <c r="I230" s="129">
        <v>0.00672834355668</v>
      </c>
    </row>
    <row r="231" spans="1:9">
      <c r="A231" s="123" t="s">
        <v>1836</v>
      </c>
      <c r="B231" s="129">
        <v>140.981523888215</v>
      </c>
      <c r="C231" s="121" t="s">
        <v>1798</v>
      </c>
      <c r="D231" s="121">
        <v>59.5892623540983</v>
      </c>
      <c r="E231" s="121">
        <v>0.33296282083899</v>
      </c>
      <c r="F231" s="121">
        <v>0.40322366046401</v>
      </c>
      <c r="G231" s="129">
        <v>8.40098501405544</v>
      </c>
      <c r="H231" s="129">
        <v>4.694160588e-5</v>
      </c>
      <c r="I231" s="129">
        <v>5.684708612e-5</v>
      </c>
    </row>
    <row r="232" spans="1:9">
      <c r="A232" s="123" t="s">
        <v>1837</v>
      </c>
      <c r="B232" s="121" t="s">
        <v>1730</v>
      </c>
      <c r="C232" s="121" t="s">
        <v>1798</v>
      </c>
      <c r="D232" s="122" t="s">
        <v>1756</v>
      </c>
      <c r="E232" s="122" t="s">
        <v>1756</v>
      </c>
      <c r="F232" s="122" t="s">
        <v>1756</v>
      </c>
      <c r="G232" s="121" t="s">
        <v>1730</v>
      </c>
      <c r="H232" s="121" t="s">
        <v>1759</v>
      </c>
      <c r="I232" s="121" t="s">
        <v>1759</v>
      </c>
    </row>
    <row r="233" spans="1:9">
      <c r="A233" s="136" t="s">
        <v>1840</v>
      </c>
      <c r="B233" s="129" t="s">
        <v>1730</v>
      </c>
      <c r="C233" s="121" t="s">
        <v>1798</v>
      </c>
      <c r="D233" s="121" t="s">
        <v>1730</v>
      </c>
      <c r="E233" s="121" t="s">
        <v>1759</v>
      </c>
      <c r="F233" s="121" t="s">
        <v>1759</v>
      </c>
      <c r="G233" s="129" t="s">
        <v>1730</v>
      </c>
      <c r="H233" s="129" t="s">
        <v>1759</v>
      </c>
      <c r="I233" s="129" t="s">
        <v>1759</v>
      </c>
    </row>
    <row r="234" spans="1:9">
      <c r="A234" s="123" t="s">
        <v>1801</v>
      </c>
      <c r="B234" s="129">
        <v>305.172856475528</v>
      </c>
      <c r="C234" s="121" t="s">
        <v>1798</v>
      </c>
      <c r="D234" s="121">
        <v>50.2480739940065</v>
      </c>
      <c r="E234" s="121">
        <v>25.747848141927</v>
      </c>
      <c r="F234" s="121">
        <v>3.11810836713882</v>
      </c>
      <c r="G234" s="129">
        <v>15.3343482731447</v>
      </c>
      <c r="H234" s="129">
        <v>0.00785754436557</v>
      </c>
      <c r="I234" s="129">
        <v>0.0009515620372</v>
      </c>
    </row>
    <row r="235" spans="1:9">
      <c r="A235" s="123" t="s">
        <v>1804</v>
      </c>
      <c r="B235" s="129">
        <v>345378.916630542</v>
      </c>
      <c r="C235" s="121" t="s">
        <v>1798</v>
      </c>
      <c r="D235" s="121">
        <v>65.0650354618194</v>
      </c>
      <c r="E235" s="121">
        <v>0.0016945481153</v>
      </c>
      <c r="F235" s="121">
        <v>0.00251621538451</v>
      </c>
      <c r="G235" s="129">
        <v>22472.091458331</v>
      </c>
      <c r="H235" s="129">
        <v>0.00058526119224</v>
      </c>
      <c r="I235" s="129">
        <v>0.00086904774351</v>
      </c>
    </row>
    <row r="236" spans="1:9">
      <c r="A236" s="123" t="s">
        <v>1838</v>
      </c>
      <c r="B236" s="121" t="s">
        <v>1730</v>
      </c>
      <c r="C236" s="121" t="s">
        <v>1798</v>
      </c>
      <c r="D236" s="122" t="s">
        <v>1756</v>
      </c>
      <c r="E236" s="122" t="s">
        <v>1756</v>
      </c>
      <c r="F236" s="122" t="s">
        <v>1756</v>
      </c>
      <c r="G236" s="121" t="s">
        <v>1730</v>
      </c>
      <c r="H236" s="121" t="s">
        <v>1730</v>
      </c>
      <c r="I236" s="121" t="s">
        <v>1730</v>
      </c>
    </row>
    <row r="237" spans="1:9">
      <c r="A237" s="136" t="s">
        <v>825</v>
      </c>
      <c r="B237" s="129" t="s">
        <v>1730</v>
      </c>
      <c r="C237" s="121" t="s">
        <v>1798</v>
      </c>
      <c r="D237" s="121" t="s">
        <v>1730</v>
      </c>
      <c r="E237" s="121" t="s">
        <v>1730</v>
      </c>
      <c r="F237" s="121" t="s">
        <v>1730</v>
      </c>
      <c r="G237" s="129" t="s">
        <v>1730</v>
      </c>
      <c r="H237" s="129" t="s">
        <v>1730</v>
      </c>
      <c r="I237" s="129" t="s">
        <v>1730</v>
      </c>
    </row>
    <row r="238" spans="1:9">
      <c r="A238" s="140" t="s">
        <v>1841</v>
      </c>
      <c r="B238" s="121">
        <v>7275346.9410187</v>
      </c>
      <c r="C238" s="121" t="s">
        <v>1798</v>
      </c>
      <c r="D238" s="122" t="s">
        <v>1756</v>
      </c>
      <c r="E238" s="122" t="s">
        <v>1756</v>
      </c>
      <c r="F238" s="122" t="s">
        <v>1756</v>
      </c>
      <c r="G238" s="121">
        <v>489781.064995359</v>
      </c>
      <c r="H238" s="121">
        <v>32.0892442346447</v>
      </c>
      <c r="I238" s="121">
        <v>45.78771124539</v>
      </c>
    </row>
    <row r="239" spans="1:9">
      <c r="A239" s="123" t="s">
        <v>1834</v>
      </c>
      <c r="B239" s="129">
        <v>6900391.80264016</v>
      </c>
      <c r="C239" s="121" t="s">
        <v>1798</v>
      </c>
      <c r="D239" s="121">
        <v>67.1433648029954</v>
      </c>
      <c r="E239" s="121">
        <v>4.63938526736572</v>
      </c>
      <c r="F239" s="121">
        <v>6.6251876256971</v>
      </c>
      <c r="G239" s="129">
        <v>463315.524088267</v>
      </c>
      <c r="H239" s="129">
        <v>32.0135760682199</v>
      </c>
      <c r="I239" s="129">
        <v>45.7163903833133</v>
      </c>
    </row>
    <row r="240" spans="1:9">
      <c r="A240" s="123" t="s">
        <v>1835</v>
      </c>
      <c r="B240" s="129">
        <v>368504.732005504</v>
      </c>
      <c r="C240" s="121" t="s">
        <v>1798</v>
      </c>
      <c r="D240" s="121">
        <v>70.7924607162017</v>
      </c>
      <c r="E240" s="121">
        <v>0.10430192094477</v>
      </c>
      <c r="F240" s="121">
        <v>0.16232031354685</v>
      </c>
      <c r="G240" s="129">
        <v>26087.3567642341</v>
      </c>
      <c r="H240" s="129">
        <v>0.03843575142541</v>
      </c>
      <c r="I240" s="129">
        <v>0.05981580364263</v>
      </c>
    </row>
    <row r="241" spans="1:9">
      <c r="A241" s="123" t="s">
        <v>1836</v>
      </c>
      <c r="B241" s="129">
        <v>5787.66255962148</v>
      </c>
      <c r="C241" s="121" t="s">
        <v>1798</v>
      </c>
      <c r="D241" s="121">
        <v>59.5892623540983</v>
      </c>
      <c r="E241" s="121">
        <v>0.62659220241706</v>
      </c>
      <c r="F241" s="121">
        <v>0.80766557619864</v>
      </c>
      <c r="G241" s="129">
        <v>344.882542682276</v>
      </c>
      <c r="H241" s="129">
        <v>0.00362650423008</v>
      </c>
      <c r="I241" s="129">
        <v>0.00467449581606</v>
      </c>
    </row>
    <row r="242" spans="1:9">
      <c r="A242" s="123" t="s">
        <v>1837</v>
      </c>
      <c r="B242" s="121" t="s">
        <v>1730</v>
      </c>
      <c r="C242" s="121" t="s">
        <v>1798</v>
      </c>
      <c r="D242" s="122" t="s">
        <v>1756</v>
      </c>
      <c r="E242" s="122" t="s">
        <v>1756</v>
      </c>
      <c r="F242" s="122" t="s">
        <v>1756</v>
      </c>
      <c r="G242" s="121" t="s">
        <v>1730</v>
      </c>
      <c r="H242" s="121">
        <v>9.745551619e-5</v>
      </c>
      <c r="I242" s="121">
        <v>1.256183293e-5</v>
      </c>
    </row>
    <row r="243" spans="1:9">
      <c r="A243" s="136" t="s">
        <v>1840</v>
      </c>
      <c r="B243" s="129" t="s">
        <v>1730</v>
      </c>
      <c r="C243" s="121" t="s">
        <v>1798</v>
      </c>
      <c r="D243" s="121" t="s">
        <v>1730</v>
      </c>
      <c r="E243" s="121" t="s">
        <v>1730</v>
      </c>
      <c r="F243" s="121" t="s">
        <v>1730</v>
      </c>
      <c r="G243" s="129" t="s">
        <v>1730</v>
      </c>
      <c r="H243" s="129">
        <v>9.745551619e-5</v>
      </c>
      <c r="I243" s="129">
        <v>1.256183293e-5</v>
      </c>
    </row>
    <row r="244" spans="1:9">
      <c r="A244" s="123" t="s">
        <v>1801</v>
      </c>
      <c r="B244" s="129">
        <v>662.743813415794</v>
      </c>
      <c r="C244" s="121" t="s">
        <v>1798</v>
      </c>
      <c r="D244" s="121">
        <v>50.2480739940065</v>
      </c>
      <c r="E244" s="121">
        <v>47.6051361157046</v>
      </c>
      <c r="F244" s="121">
        <v>6.13621260248355</v>
      </c>
      <c r="G244" s="129">
        <v>33.3016001755869</v>
      </c>
      <c r="H244" s="129">
        <v>0.0315500094475</v>
      </c>
      <c r="I244" s="129">
        <v>0.0040667369401</v>
      </c>
    </row>
    <row r="245" spans="1:9">
      <c r="A245" s="123" t="s">
        <v>1804</v>
      </c>
      <c r="B245" s="129" t="s">
        <v>1730</v>
      </c>
      <c r="C245" s="121" t="s">
        <v>1798</v>
      </c>
      <c r="D245" s="121" t="s">
        <v>1730</v>
      </c>
      <c r="E245" s="121" t="s">
        <v>1730</v>
      </c>
      <c r="F245" s="121" t="s">
        <v>1730</v>
      </c>
      <c r="G245" s="129" t="s">
        <v>1730</v>
      </c>
      <c r="H245" s="129">
        <v>0.00195844580559</v>
      </c>
      <c r="I245" s="129">
        <v>0.00275126384502</v>
      </c>
    </row>
    <row r="246" spans="1:9">
      <c r="A246" s="123" t="s">
        <v>1838</v>
      </c>
      <c r="B246" s="121" t="s">
        <v>1759</v>
      </c>
      <c r="C246" s="121" t="s">
        <v>1798</v>
      </c>
      <c r="D246" s="122" t="s">
        <v>1756</v>
      </c>
      <c r="E246" s="122" t="s">
        <v>1756</v>
      </c>
      <c r="F246" s="122" t="s">
        <v>1756</v>
      </c>
      <c r="G246" s="121" t="s">
        <v>1759</v>
      </c>
      <c r="H246" s="121" t="s">
        <v>1759</v>
      </c>
      <c r="I246" s="121" t="s">
        <v>1759</v>
      </c>
    </row>
    <row r="247" spans="1:9">
      <c r="A247" s="140" t="s">
        <v>1842</v>
      </c>
      <c r="B247" s="121">
        <v>5832942.34836517</v>
      </c>
      <c r="C247" s="121" t="s">
        <v>1798</v>
      </c>
      <c r="D247" s="122" t="s">
        <v>1756</v>
      </c>
      <c r="E247" s="122" t="s">
        <v>1756</v>
      </c>
      <c r="F247" s="122" t="s">
        <v>1756</v>
      </c>
      <c r="G247" s="121">
        <v>410542.757024485</v>
      </c>
      <c r="H247" s="121">
        <v>12.5561443793917</v>
      </c>
      <c r="I247" s="121">
        <v>4.13954362886174</v>
      </c>
    </row>
    <row r="248" spans="1:9">
      <c r="A248" s="123" t="s">
        <v>1834</v>
      </c>
      <c r="B248" s="129">
        <v>509157.775459141</v>
      </c>
      <c r="C248" s="121" t="s">
        <v>1798</v>
      </c>
      <c r="D248" s="121">
        <v>67.1433648029954</v>
      </c>
      <c r="E248" s="121">
        <v>6.49718593414573</v>
      </c>
      <c r="F248" s="121">
        <v>6.14143413720849</v>
      </c>
      <c r="G248" s="129">
        <v>34186.5662599347</v>
      </c>
      <c r="H248" s="129">
        <v>3.30809273697406</v>
      </c>
      <c r="I248" s="129">
        <v>3.1269589434299</v>
      </c>
    </row>
    <row r="249" spans="1:9">
      <c r="A249" s="123" t="s">
        <v>1835</v>
      </c>
      <c r="B249" s="129">
        <v>5287253.51199929</v>
      </c>
      <c r="C249" s="121" t="s">
        <v>1798</v>
      </c>
      <c r="D249" s="121">
        <v>70.7924607162017</v>
      </c>
      <c r="E249" s="121">
        <v>0.19420456648575</v>
      </c>
      <c r="F249" s="121">
        <v>0.18814347493102</v>
      </c>
      <c r="G249" s="129">
        <v>374297.686544809</v>
      </c>
      <c r="H249" s="129">
        <v>1.02680877619808</v>
      </c>
      <c r="I249" s="129">
        <v>0.99476224858879</v>
      </c>
    </row>
    <row r="250" spans="1:9">
      <c r="A250" s="123" t="s">
        <v>1836</v>
      </c>
      <c r="B250" s="129">
        <v>23860.857915216</v>
      </c>
      <c r="C250" s="121" t="s">
        <v>1798</v>
      </c>
      <c r="D250" s="121">
        <v>59.5892623540982</v>
      </c>
      <c r="E250" s="121">
        <v>0.25455909593203</v>
      </c>
      <c r="F250" s="121">
        <v>0.65047788376093</v>
      </c>
      <c r="G250" s="129">
        <v>1421.85092230367</v>
      </c>
      <c r="H250" s="129">
        <v>0.00607399841906</v>
      </c>
      <c r="I250" s="129">
        <v>0.01552096036141</v>
      </c>
    </row>
    <row r="251" spans="1:9">
      <c r="A251" s="123" t="s">
        <v>1843</v>
      </c>
      <c r="B251" s="121" t="s">
        <v>1730</v>
      </c>
      <c r="C251" s="121" t="s">
        <v>1798</v>
      </c>
      <c r="D251" s="122" t="s">
        <v>1756</v>
      </c>
      <c r="E251" s="122" t="s">
        <v>1756</v>
      </c>
      <c r="F251" s="122" t="s">
        <v>1756</v>
      </c>
      <c r="G251" s="121" t="s">
        <v>1730</v>
      </c>
      <c r="H251" s="121">
        <v>1.05268934015868</v>
      </c>
      <c r="I251" s="121">
        <v>0.00013709364421</v>
      </c>
    </row>
    <row r="252" spans="1:9">
      <c r="A252" s="136" t="s">
        <v>1840</v>
      </c>
      <c r="B252" s="129" t="s">
        <v>1730</v>
      </c>
      <c r="C252" s="121" t="s">
        <v>1798</v>
      </c>
      <c r="D252" s="121" t="s">
        <v>1730</v>
      </c>
      <c r="E252" s="121" t="s">
        <v>1730</v>
      </c>
      <c r="F252" s="121" t="s">
        <v>1730</v>
      </c>
      <c r="G252" s="129" t="s">
        <v>1730</v>
      </c>
      <c r="H252" s="129">
        <v>1.05268934015868</v>
      </c>
      <c r="I252" s="129">
        <v>0.00013709364421</v>
      </c>
    </row>
    <row r="253" spans="1:9">
      <c r="A253" s="123" t="s">
        <v>1801</v>
      </c>
      <c r="B253" s="129">
        <v>12670.2029915222</v>
      </c>
      <c r="C253" s="121" t="s">
        <v>1798</v>
      </c>
      <c r="D253" s="121">
        <v>50.2480739940065</v>
      </c>
      <c r="E253" s="121">
        <v>565.131486424808</v>
      </c>
      <c r="F253" s="121">
        <v>0.07509356514467</v>
      </c>
      <c r="G253" s="129">
        <v>636.653297437089</v>
      </c>
      <c r="H253" s="129">
        <v>7.16033064990297</v>
      </c>
      <c r="I253" s="129">
        <v>0.00095145071374</v>
      </c>
    </row>
    <row r="254" spans="1:9">
      <c r="A254" s="123" t="s">
        <v>1804</v>
      </c>
      <c r="B254" s="129" t="s">
        <v>1730</v>
      </c>
      <c r="C254" s="121" t="s">
        <v>1798</v>
      </c>
      <c r="D254" s="121" t="s">
        <v>1730</v>
      </c>
      <c r="E254" s="121" t="s">
        <v>1730</v>
      </c>
      <c r="F254" s="121" t="s">
        <v>1730</v>
      </c>
      <c r="G254" s="129" t="s">
        <v>1730</v>
      </c>
      <c r="H254" s="129">
        <v>0.0021488777388</v>
      </c>
      <c r="I254" s="129">
        <v>0.00121293212369</v>
      </c>
    </row>
    <row r="255" spans="1:9">
      <c r="A255" s="123" t="s">
        <v>1838</v>
      </c>
      <c r="B255" s="121" t="s">
        <v>1759</v>
      </c>
      <c r="C255" s="121" t="s">
        <v>1798</v>
      </c>
      <c r="D255" s="122" t="s">
        <v>1756</v>
      </c>
      <c r="E255" s="122" t="s">
        <v>1756</v>
      </c>
      <c r="F255" s="122" t="s">
        <v>1756</v>
      </c>
      <c r="G255" s="121" t="s">
        <v>1759</v>
      </c>
      <c r="H255" s="121" t="s">
        <v>1759</v>
      </c>
      <c r="I255" s="121" t="s">
        <v>1759</v>
      </c>
    </row>
    <row r="256" spans="1:9">
      <c r="A256" s="140" t="s">
        <v>1844</v>
      </c>
      <c r="B256" s="121">
        <v>23342.4754491764</v>
      </c>
      <c r="C256" s="121" t="s">
        <v>1798</v>
      </c>
      <c r="D256" s="122" t="s">
        <v>1756</v>
      </c>
      <c r="E256" s="122" t="s">
        <v>1756</v>
      </c>
      <c r="F256" s="122" t="s">
        <v>1756</v>
      </c>
      <c r="G256" s="121">
        <v>1567.29234448901</v>
      </c>
      <c r="H256" s="121">
        <v>0.73343558265861</v>
      </c>
      <c r="I256" s="121">
        <v>0.07417946632432</v>
      </c>
    </row>
    <row r="257" spans="1:9">
      <c r="A257" s="123" t="s">
        <v>1834</v>
      </c>
      <c r="B257" s="129">
        <v>23342.4754491764</v>
      </c>
      <c r="C257" s="121" t="s">
        <v>1798</v>
      </c>
      <c r="D257" s="121">
        <v>67.1433648029954</v>
      </c>
      <c r="E257" s="121">
        <v>31.4206427786771</v>
      </c>
      <c r="F257" s="121">
        <v>3.17787487817353</v>
      </c>
      <c r="G257" s="129">
        <v>1567.29234448901</v>
      </c>
      <c r="H257" s="129">
        <v>0.73343558265861</v>
      </c>
      <c r="I257" s="129">
        <v>0.07417946632432</v>
      </c>
    </row>
    <row r="258" spans="1:9">
      <c r="A258" s="123" t="s">
        <v>1835</v>
      </c>
      <c r="B258" s="129" t="s">
        <v>1759</v>
      </c>
      <c r="C258" s="121" t="s">
        <v>1798</v>
      </c>
      <c r="D258" s="121" t="s">
        <v>1759</v>
      </c>
      <c r="E258" s="121" t="s">
        <v>1759</v>
      </c>
      <c r="F258" s="121" t="s">
        <v>1759</v>
      </c>
      <c r="G258" s="129" t="s">
        <v>1759</v>
      </c>
      <c r="H258" s="129" t="s">
        <v>1759</v>
      </c>
      <c r="I258" s="129" t="s">
        <v>1759</v>
      </c>
    </row>
    <row r="259" spans="1:9">
      <c r="A259" s="123" t="s">
        <v>1836</v>
      </c>
      <c r="B259" s="129" t="s">
        <v>1759</v>
      </c>
      <c r="C259" s="121" t="s">
        <v>1798</v>
      </c>
      <c r="D259" s="121" t="s">
        <v>1759</v>
      </c>
      <c r="E259" s="121" t="s">
        <v>1759</v>
      </c>
      <c r="F259" s="121" t="s">
        <v>1759</v>
      </c>
      <c r="G259" s="129" t="s">
        <v>1759</v>
      </c>
      <c r="H259" s="129" t="s">
        <v>1759</v>
      </c>
      <c r="I259" s="129" t="s">
        <v>1759</v>
      </c>
    </row>
    <row r="260" spans="1:9">
      <c r="A260" s="123" t="s">
        <v>1837</v>
      </c>
      <c r="B260" s="121" t="s">
        <v>1759</v>
      </c>
      <c r="C260" s="121" t="s">
        <v>1798</v>
      </c>
      <c r="D260" s="122" t="s">
        <v>1756</v>
      </c>
      <c r="E260" s="122" t="s">
        <v>1756</v>
      </c>
      <c r="F260" s="122" t="s">
        <v>1756</v>
      </c>
      <c r="G260" s="121" t="s">
        <v>1759</v>
      </c>
      <c r="H260" s="121" t="s">
        <v>1759</v>
      </c>
      <c r="I260" s="121" t="s">
        <v>1759</v>
      </c>
    </row>
    <row r="261" spans="1:9">
      <c r="A261" s="123" t="s">
        <v>1801</v>
      </c>
      <c r="B261" s="129" t="s">
        <v>1759</v>
      </c>
      <c r="C261" s="121" t="s">
        <v>1798</v>
      </c>
      <c r="D261" s="121" t="s">
        <v>1759</v>
      </c>
      <c r="E261" s="121" t="s">
        <v>1759</v>
      </c>
      <c r="F261" s="121" t="s">
        <v>1759</v>
      </c>
      <c r="G261" s="129" t="s">
        <v>1759</v>
      </c>
      <c r="H261" s="129" t="s">
        <v>1759</v>
      </c>
      <c r="I261" s="129" t="s">
        <v>1759</v>
      </c>
    </row>
    <row r="262" spans="1:9">
      <c r="A262" s="123" t="s">
        <v>1804</v>
      </c>
      <c r="B262" s="129" t="s">
        <v>1730</v>
      </c>
      <c r="C262" s="121" t="s">
        <v>1798</v>
      </c>
      <c r="D262" s="121" t="s">
        <v>1730</v>
      </c>
      <c r="E262" s="121" t="s">
        <v>1772</v>
      </c>
      <c r="F262" s="121" t="s">
        <v>1772</v>
      </c>
      <c r="G262" s="129" t="s">
        <v>1730</v>
      </c>
      <c r="H262" s="129" t="s">
        <v>1772</v>
      </c>
      <c r="I262" s="129" t="s">
        <v>1772</v>
      </c>
    </row>
    <row r="263" spans="1:9">
      <c r="A263" s="123" t="s">
        <v>1838</v>
      </c>
      <c r="B263" s="121" t="s">
        <v>1759</v>
      </c>
      <c r="C263" s="121" t="s">
        <v>1798</v>
      </c>
      <c r="D263" s="122" t="s">
        <v>1756</v>
      </c>
      <c r="E263" s="122" t="s">
        <v>1756</v>
      </c>
      <c r="F263" s="122" t="s">
        <v>1756</v>
      </c>
      <c r="G263" s="121" t="s">
        <v>1759</v>
      </c>
      <c r="H263" s="121" t="s">
        <v>1759</v>
      </c>
      <c r="I263" s="121" t="s">
        <v>1759</v>
      </c>
    </row>
    <row r="264" spans="1:9">
      <c r="A264" s="140" t="s">
        <v>1845</v>
      </c>
      <c r="B264" s="121" t="s">
        <v>1759</v>
      </c>
      <c r="C264" s="121" t="s">
        <v>1798</v>
      </c>
      <c r="D264" s="122" t="s">
        <v>1756</v>
      </c>
      <c r="E264" s="122" t="s">
        <v>1756</v>
      </c>
      <c r="F264" s="122" t="s">
        <v>1756</v>
      </c>
      <c r="G264" s="121" t="s">
        <v>1759</v>
      </c>
      <c r="H264" s="121" t="s">
        <v>1766</v>
      </c>
      <c r="I264" s="121" t="s">
        <v>1766</v>
      </c>
    </row>
    <row r="265" spans="1:9">
      <c r="A265" s="128" t="s">
        <v>1846</v>
      </c>
      <c r="B265" s="121" t="s">
        <v>1759</v>
      </c>
      <c r="C265" s="121" t="s">
        <v>1798</v>
      </c>
      <c r="D265" s="122" t="s">
        <v>1756</v>
      </c>
      <c r="E265" s="122" t="s">
        <v>1756</v>
      </c>
      <c r="F265" s="122" t="s">
        <v>1756</v>
      </c>
      <c r="G265" s="121" t="s">
        <v>1759</v>
      </c>
      <c r="H265" s="121" t="s">
        <v>1766</v>
      </c>
      <c r="I265" s="121" t="s">
        <v>1766</v>
      </c>
    </row>
    <row r="266" spans="1:9">
      <c r="A266" s="136" t="s">
        <v>1834</v>
      </c>
      <c r="B266" s="129" t="s">
        <v>1759</v>
      </c>
      <c r="C266" s="121" t="s">
        <v>1798</v>
      </c>
      <c r="D266" s="121" t="s">
        <v>1759</v>
      </c>
      <c r="E266" s="121" t="s">
        <v>1730</v>
      </c>
      <c r="F266" s="121" t="s">
        <v>1730</v>
      </c>
      <c r="G266" s="129" t="s">
        <v>1759</v>
      </c>
      <c r="H266" s="129" t="s">
        <v>1730</v>
      </c>
      <c r="I266" s="129" t="s">
        <v>1730</v>
      </c>
    </row>
    <row r="267" spans="1:9">
      <c r="A267" s="136" t="s">
        <v>1847</v>
      </c>
      <c r="B267" s="129" t="s">
        <v>1759</v>
      </c>
      <c r="C267" s="121" t="s">
        <v>1798</v>
      </c>
      <c r="D267" s="121" t="s">
        <v>1759</v>
      </c>
      <c r="E267" s="121" t="s">
        <v>1730</v>
      </c>
      <c r="F267" s="121" t="s">
        <v>1730</v>
      </c>
      <c r="G267" s="129" t="s">
        <v>1759</v>
      </c>
      <c r="H267" s="129" t="s">
        <v>1730</v>
      </c>
      <c r="I267" s="129" t="s">
        <v>1730</v>
      </c>
    </row>
    <row r="268" spans="1:9">
      <c r="A268" s="136" t="s">
        <v>1848</v>
      </c>
      <c r="B268" s="129" t="s">
        <v>1759</v>
      </c>
      <c r="C268" s="121" t="s">
        <v>1798</v>
      </c>
      <c r="D268" s="121" t="s">
        <v>1759</v>
      </c>
      <c r="E268" s="121" t="s">
        <v>1730</v>
      </c>
      <c r="F268" s="121" t="s">
        <v>1730</v>
      </c>
      <c r="G268" s="129" t="s">
        <v>1759</v>
      </c>
      <c r="H268" s="129" t="s">
        <v>1730</v>
      </c>
      <c r="I268" s="129" t="s">
        <v>1730</v>
      </c>
    </row>
    <row r="269" spans="1:9">
      <c r="A269" s="136" t="s">
        <v>1849</v>
      </c>
      <c r="B269" s="121" t="s">
        <v>1759</v>
      </c>
      <c r="C269" s="121" t="s">
        <v>1798</v>
      </c>
      <c r="D269" s="122" t="s">
        <v>1756</v>
      </c>
      <c r="E269" s="122" t="s">
        <v>1756</v>
      </c>
      <c r="F269" s="122" t="s">
        <v>1756</v>
      </c>
      <c r="G269" s="121" t="s">
        <v>1759</v>
      </c>
      <c r="H269" s="121" t="s">
        <v>1730</v>
      </c>
      <c r="I269" s="121" t="s">
        <v>1730</v>
      </c>
    </row>
    <row r="270" spans="1:9">
      <c r="A270" s="136" t="s">
        <v>1811</v>
      </c>
      <c r="B270" s="129" t="s">
        <v>1759</v>
      </c>
      <c r="C270" s="121" t="s">
        <v>1798</v>
      </c>
      <c r="D270" s="121" t="s">
        <v>1759</v>
      </c>
      <c r="E270" s="121" t="s">
        <v>1730</v>
      </c>
      <c r="F270" s="121" t="s">
        <v>1730</v>
      </c>
      <c r="G270" s="129" t="s">
        <v>1759</v>
      </c>
      <c r="H270" s="129" t="s">
        <v>1730</v>
      </c>
      <c r="I270" s="129" t="s">
        <v>1730</v>
      </c>
    </row>
    <row r="271" spans="1:9">
      <c r="A271" s="136" t="s">
        <v>716</v>
      </c>
      <c r="B271" s="129" t="s">
        <v>1759</v>
      </c>
      <c r="C271" s="121" t="s">
        <v>1798</v>
      </c>
      <c r="D271" s="121" t="s">
        <v>1759</v>
      </c>
      <c r="E271" s="121" t="s">
        <v>1730</v>
      </c>
      <c r="F271" s="121" t="s">
        <v>1730</v>
      </c>
      <c r="G271" s="129" t="s">
        <v>1759</v>
      </c>
      <c r="H271" s="129" t="s">
        <v>1730</v>
      </c>
      <c r="I271" s="129" t="s">
        <v>1730</v>
      </c>
    </row>
    <row r="272" spans="1:9">
      <c r="A272" s="136" t="s">
        <v>1850</v>
      </c>
      <c r="B272" s="121" t="s">
        <v>1759</v>
      </c>
      <c r="C272" s="121" t="s">
        <v>1798</v>
      </c>
      <c r="D272" s="122" t="s">
        <v>1756</v>
      </c>
      <c r="E272" s="122" t="s">
        <v>1756</v>
      </c>
      <c r="F272" s="122" t="s">
        <v>1756</v>
      </c>
      <c r="G272" s="121" t="s">
        <v>1759</v>
      </c>
      <c r="H272" s="121" t="s">
        <v>1752</v>
      </c>
      <c r="I272" s="121" t="s">
        <v>1752</v>
      </c>
    </row>
    <row r="273" spans="1:10">
      <c r="A273" s="138" t="s">
        <v>1742</v>
      </c>
      <c r="B273" s="121">
        <v>650576.521842477</v>
      </c>
      <c r="C273" s="121" t="s">
        <v>1798</v>
      </c>
      <c r="D273" s="122" t="s">
        <v>1756</v>
      </c>
      <c r="E273" s="122" t="s">
        <v>1756</v>
      </c>
      <c r="F273" s="122" t="s">
        <v>1756</v>
      </c>
      <c r="G273" s="121">
        <v>46055.9128654167</v>
      </c>
      <c r="H273" s="121">
        <v>3.5201759225</v>
      </c>
      <c r="I273" s="121">
        <v>1.1264562952</v>
      </c>
    </row>
    <row r="274" spans="1:10">
      <c r="A274" s="123" t="s">
        <v>1799</v>
      </c>
      <c r="B274" s="129">
        <v>650576.521842477</v>
      </c>
      <c r="C274" s="121" t="s">
        <v>1798</v>
      </c>
      <c r="D274" s="121">
        <v>70.7924607162017</v>
      </c>
      <c r="E274" s="121">
        <v>5.41085607044444</v>
      </c>
      <c r="F274" s="121">
        <v>1.73147394254222</v>
      </c>
      <c r="G274" s="129">
        <v>46055.9128654167</v>
      </c>
      <c r="H274" s="129">
        <v>3.5201759225</v>
      </c>
      <c r="I274" s="129">
        <v>1.1264562952</v>
      </c>
    </row>
    <row r="275" spans="1:10">
      <c r="A275" s="123" t="s">
        <v>1800</v>
      </c>
      <c r="B275" s="129" t="s">
        <v>1759</v>
      </c>
      <c r="C275" s="121" t="s">
        <v>1798</v>
      </c>
      <c r="D275" s="121" t="s">
        <v>1759</v>
      </c>
      <c r="E275" s="121" t="s">
        <v>1759</v>
      </c>
      <c r="F275" s="121" t="s">
        <v>1759</v>
      </c>
      <c r="G275" s="129" t="s">
        <v>1759</v>
      </c>
      <c r="H275" s="129" t="s">
        <v>1759</v>
      </c>
      <c r="I275" s="129" t="s">
        <v>1759</v>
      </c>
    </row>
    <row r="276" spans="1:10">
      <c r="A276" s="123" t="s">
        <v>1801</v>
      </c>
      <c r="B276" s="129" t="s">
        <v>1730</v>
      </c>
      <c r="C276" s="121" t="s">
        <v>1798</v>
      </c>
      <c r="D276" s="121" t="s">
        <v>1730</v>
      </c>
      <c r="E276" s="121" t="s">
        <v>1730</v>
      </c>
      <c r="F276" s="121" t="s">
        <v>1730</v>
      </c>
      <c r="G276" s="129" t="s">
        <v>1730</v>
      </c>
      <c r="H276" s="129" t="s">
        <v>1730</v>
      </c>
      <c r="I276" s="129" t="s">
        <v>1730</v>
      </c>
    </row>
    <row r="277" spans="1:10">
      <c r="A277" s="123" t="s">
        <v>1804</v>
      </c>
      <c r="B277" s="129" t="s">
        <v>1730</v>
      </c>
      <c r="C277" s="121" t="s">
        <v>1798</v>
      </c>
      <c r="D277" s="121" t="s">
        <v>1730</v>
      </c>
      <c r="E277" s="121" t="s">
        <v>1772</v>
      </c>
      <c r="F277" s="121" t="s">
        <v>1772</v>
      </c>
      <c r="G277" s="129" t="s">
        <v>1730</v>
      </c>
      <c r="H277" s="129" t="s">
        <v>1772</v>
      </c>
      <c r="I277" s="129" t="s">
        <v>1772</v>
      </c>
    </row>
    <row r="278" spans="1:10">
      <c r="A278" s="123" t="s">
        <v>1851</v>
      </c>
      <c r="B278" s="121" t="s">
        <v>1730</v>
      </c>
      <c r="C278" s="121" t="s">
        <v>1798</v>
      </c>
      <c r="D278" s="122" t="s">
        <v>1756</v>
      </c>
      <c r="E278" s="122" t="s">
        <v>1756</v>
      </c>
      <c r="F278" s="122" t="s">
        <v>1756</v>
      </c>
      <c r="G278" s="121" t="s">
        <v>1730</v>
      </c>
      <c r="H278" s="121" t="s">
        <v>1752</v>
      </c>
      <c r="I278" s="121" t="s">
        <v>1752</v>
      </c>
    </row>
    <row r="279" spans="1:10">
      <c r="A279" s="138" t="s">
        <v>1852</v>
      </c>
      <c r="B279" s="121">
        <v>546204.870370644</v>
      </c>
      <c r="C279" s="121" t="s">
        <v>1798</v>
      </c>
      <c r="D279" s="122" t="s">
        <v>1756</v>
      </c>
      <c r="E279" s="122" t="s">
        <v>1756</v>
      </c>
      <c r="F279" s="122" t="s">
        <v>1756</v>
      </c>
      <c r="G279" s="121">
        <v>38024.1360183481</v>
      </c>
      <c r="H279" s="121">
        <v>16.1746927015729</v>
      </c>
      <c r="I279" s="121">
        <v>0.73291389331868</v>
      </c>
    </row>
    <row r="280" spans="1:10">
      <c r="A280" s="123" t="s">
        <v>1853</v>
      </c>
      <c r="B280" s="129">
        <v>270555.529024661</v>
      </c>
      <c r="C280" s="121" t="s">
        <v>1798</v>
      </c>
      <c r="D280" s="121">
        <v>71.174746954728</v>
      </c>
      <c r="E280" s="121">
        <v>7.27474378966378</v>
      </c>
      <c r="F280" s="121">
        <v>2.07984266172793</v>
      </c>
      <c r="G280" s="129">
        <v>19256.7213155328</v>
      </c>
      <c r="H280" s="129">
        <v>1.96822215453135</v>
      </c>
      <c r="I280" s="129">
        <v>0.56271293163186</v>
      </c>
    </row>
    <row r="281" spans="1:10">
      <c r="A281" s="123" t="s">
        <v>1854</v>
      </c>
      <c r="B281" s="129">
        <v>275649.341345984</v>
      </c>
      <c r="C281" s="121" t="s">
        <v>1798</v>
      </c>
      <c r="D281" s="121">
        <v>68.084380725072</v>
      </c>
      <c r="E281" s="121">
        <v>51.5381987770111</v>
      </c>
      <c r="F281" s="121">
        <v>0.61745462860799</v>
      </c>
      <c r="G281" s="129">
        <v>18767.4147028153</v>
      </c>
      <c r="H281" s="129">
        <v>14.2064705470415</v>
      </c>
      <c r="I281" s="129">
        <v>0.17020096168682</v>
      </c>
    </row>
    <row r="282" spans="1:10">
      <c r="A282" s="123" t="s">
        <v>1834</v>
      </c>
      <c r="B282" s="129" t="s">
        <v>1730</v>
      </c>
      <c r="C282" s="121" t="s">
        <v>1798</v>
      </c>
      <c r="D282" s="121" t="s">
        <v>1730</v>
      </c>
      <c r="E282" s="121" t="s">
        <v>1730</v>
      </c>
      <c r="F282" s="121" t="s">
        <v>1730</v>
      </c>
      <c r="G282" s="129" t="s">
        <v>1730</v>
      </c>
      <c r="H282" s="129" t="s">
        <v>1730</v>
      </c>
      <c r="I282" s="129" t="s">
        <v>1730</v>
      </c>
    </row>
    <row r="283" spans="1:10">
      <c r="A283" s="123" t="s">
        <v>1855</v>
      </c>
      <c r="B283" s="121" t="s">
        <v>1759</v>
      </c>
      <c r="C283" s="121" t="s">
        <v>1798</v>
      </c>
      <c r="D283" s="122" t="s">
        <v>1756</v>
      </c>
      <c r="E283" s="122" t="s">
        <v>1756</v>
      </c>
      <c r="F283" s="122" t="s">
        <v>1756</v>
      </c>
      <c r="G283" s="121" t="s">
        <v>1759</v>
      </c>
      <c r="H283" s="121" t="s">
        <v>1752</v>
      </c>
      <c r="I283" s="121" t="s">
        <v>1752</v>
      </c>
    </row>
    <row r="284" spans="1:10">
      <c r="A284" s="123" t="s">
        <v>1801</v>
      </c>
      <c r="B284" s="129" t="s">
        <v>1772</v>
      </c>
      <c r="C284" s="121" t="s">
        <v>1798</v>
      </c>
      <c r="D284" s="121" t="s">
        <v>1772</v>
      </c>
      <c r="E284" s="121" t="s">
        <v>1730</v>
      </c>
      <c r="F284" s="121" t="s">
        <v>1730</v>
      </c>
      <c r="G284" s="129" t="s">
        <v>1772</v>
      </c>
      <c r="H284" s="129" t="s">
        <v>1730</v>
      </c>
      <c r="I284" s="129" t="s">
        <v>1730</v>
      </c>
      <c r="J284" s="121" t="s">
        <v>1752</v>
      </c>
    </row>
    <row r="285" spans="1:10">
      <c r="A285" s="123" t="s">
        <v>1804</v>
      </c>
      <c r="B285" s="129" t="s">
        <v>1730</v>
      </c>
      <c r="C285" s="121" t="s">
        <v>1798</v>
      </c>
      <c r="D285" s="121" t="s">
        <v>1730</v>
      </c>
      <c r="E285" s="121" t="s">
        <v>1772</v>
      </c>
      <c r="F285" s="121" t="s">
        <v>1772</v>
      </c>
      <c r="G285" s="129" t="s">
        <v>1730</v>
      </c>
      <c r="H285" s="129" t="s">
        <v>1772</v>
      </c>
      <c r="I285" s="129" t="s">
        <v>1772</v>
      </c>
      <c r="J285" s="121" t="s">
        <v>1752</v>
      </c>
    </row>
    <row r="286" spans="1:10">
      <c r="A286" s="123" t="s">
        <v>1856</v>
      </c>
      <c r="B286" s="121" t="s">
        <v>1759</v>
      </c>
      <c r="C286" s="121" t="s">
        <v>1798</v>
      </c>
      <c r="D286" s="122" t="s">
        <v>1756</v>
      </c>
      <c r="E286" s="122" t="s">
        <v>1756</v>
      </c>
      <c r="F286" s="122" t="s">
        <v>1756</v>
      </c>
      <c r="G286" s="121" t="s">
        <v>1759</v>
      </c>
      <c r="H286" s="121" t="s">
        <v>1752</v>
      </c>
      <c r="I286" s="121" t="s">
        <v>1752</v>
      </c>
      <c r="J286" s="121" t="s">
        <v>1752</v>
      </c>
    </row>
    <row r="287" spans="1:10">
      <c r="A287" s="138" t="s">
        <v>1857</v>
      </c>
      <c r="B287" s="121">
        <v>644614.391955762</v>
      </c>
      <c r="C287" s="121" t="s">
        <v>1798</v>
      </c>
      <c r="D287" s="122" t="s">
        <v>1756</v>
      </c>
      <c r="E287" s="122" t="s">
        <v>1756</v>
      </c>
      <c r="F287" s="122" t="s">
        <v>1756</v>
      </c>
      <c r="G287" s="121">
        <v>32390.6316645947</v>
      </c>
      <c r="H287" s="121">
        <v>42.7856249447167</v>
      </c>
      <c r="I287" s="121">
        <v>22.8286814646106</v>
      </c>
      <c r="J287" s="121" t="s">
        <v>1752</v>
      </c>
    </row>
    <row r="288" spans="1:10">
      <c r="A288" s="133" t="s">
        <v>1799</v>
      </c>
      <c r="B288" s="121" t="s">
        <v>1858</v>
      </c>
      <c r="C288" s="121" t="s">
        <v>1798</v>
      </c>
      <c r="D288" s="121" t="s">
        <v>1858</v>
      </c>
      <c r="E288" s="121" t="s">
        <v>1858</v>
      </c>
      <c r="F288" s="121" t="s">
        <v>1858</v>
      </c>
      <c r="G288" s="121" t="s">
        <v>1858</v>
      </c>
      <c r="H288" s="121">
        <v>40.930380256174</v>
      </c>
      <c r="I288" s="121">
        <v>22.7442443767979</v>
      </c>
      <c r="J288" s="121" t="s">
        <v>1752</v>
      </c>
    </row>
    <row r="289" spans="1:10">
      <c r="A289" s="133" t="s">
        <v>1800</v>
      </c>
      <c r="B289" s="121" t="s">
        <v>1759</v>
      </c>
      <c r="C289" s="121" t="s">
        <v>1798</v>
      </c>
      <c r="D289" s="121" t="s">
        <v>1759</v>
      </c>
      <c r="E289" s="121" t="s">
        <v>1759</v>
      </c>
      <c r="F289" s="121" t="s">
        <v>1759</v>
      </c>
      <c r="G289" s="121" t="s">
        <v>1759</v>
      </c>
      <c r="H289" s="121" t="s">
        <v>1759</v>
      </c>
      <c r="I289" s="121" t="s">
        <v>1759</v>
      </c>
      <c r="J289" s="121" t="s">
        <v>1752</v>
      </c>
    </row>
    <row r="290" spans="1:10">
      <c r="A290" s="133" t="s">
        <v>1801</v>
      </c>
      <c r="B290" s="121">
        <v>644614.391955762</v>
      </c>
      <c r="C290" s="121" t="s">
        <v>1798</v>
      </c>
      <c r="D290" s="121">
        <v>50.2480739940065</v>
      </c>
      <c r="E290" s="121">
        <v>2.8780689846435</v>
      </c>
      <c r="F290" s="121">
        <v>0.13098852409509</v>
      </c>
      <c r="G290" s="121">
        <v>32390.6316645947</v>
      </c>
      <c r="H290" s="121">
        <v>1.85524468854271</v>
      </c>
      <c r="I290" s="121">
        <v>0.08443708781274</v>
      </c>
      <c r="J290" s="121" t="s">
        <v>1752</v>
      </c>
    </row>
    <row r="291" spans="1:10">
      <c r="A291" s="133" t="s">
        <v>1823</v>
      </c>
      <c r="B291" s="121" t="s">
        <v>1816</v>
      </c>
      <c r="C291" s="121" t="s">
        <v>1798</v>
      </c>
      <c r="D291" s="121" t="s">
        <v>1816</v>
      </c>
      <c r="E291" s="121" t="s">
        <v>1759</v>
      </c>
      <c r="F291" s="121" t="s">
        <v>1759</v>
      </c>
      <c r="G291" s="121" t="s">
        <v>1816</v>
      </c>
      <c r="H291" s="121" t="s">
        <v>1759</v>
      </c>
      <c r="I291" s="121" t="s">
        <v>1759</v>
      </c>
      <c r="J291" s="121" t="s">
        <v>1752</v>
      </c>
    </row>
    <row r="292" spans="1:10">
      <c r="A292" s="133" t="s">
        <v>1825</v>
      </c>
      <c r="B292" s="121" t="s">
        <v>1730</v>
      </c>
      <c r="C292" s="121" t="s">
        <v>1798</v>
      </c>
      <c r="D292" s="121" t="s">
        <v>1730</v>
      </c>
      <c r="E292" s="121" t="s">
        <v>1859</v>
      </c>
      <c r="F292" s="121" t="s">
        <v>1859</v>
      </c>
      <c r="G292" s="121" t="s">
        <v>1730</v>
      </c>
      <c r="H292" s="121" t="s">
        <v>1859</v>
      </c>
      <c r="I292" s="121" t="s">
        <v>1859</v>
      </c>
      <c r="J292" s="121" t="s">
        <v>1752</v>
      </c>
    </row>
    <row r="293" spans="1:10">
      <c r="A293" s="141" t="s">
        <v>1860</v>
      </c>
      <c r="B293" s="121">
        <v>644614.391955762</v>
      </c>
      <c r="C293" s="121" t="s">
        <v>1798</v>
      </c>
      <c r="D293" s="122" t="s">
        <v>1756</v>
      </c>
      <c r="E293" s="122" t="s">
        <v>1756</v>
      </c>
      <c r="F293" s="122" t="s">
        <v>1756</v>
      </c>
      <c r="G293" s="121">
        <v>32390.6316645947</v>
      </c>
      <c r="H293" s="121" t="s">
        <v>1859</v>
      </c>
      <c r="I293" s="121" t="s">
        <v>1859</v>
      </c>
      <c r="J293" s="121" t="s">
        <v>1752</v>
      </c>
    </row>
    <row r="294" spans="1:10">
      <c r="A294" s="133" t="s">
        <v>1799</v>
      </c>
      <c r="B294" s="129" t="s">
        <v>1772</v>
      </c>
      <c r="C294" s="121" t="s">
        <v>1798</v>
      </c>
      <c r="D294" s="121" t="s">
        <v>1772</v>
      </c>
      <c r="E294" s="121" t="s">
        <v>1772</v>
      </c>
      <c r="F294" s="121" t="s">
        <v>1772</v>
      </c>
      <c r="G294" s="129" t="s">
        <v>1772</v>
      </c>
      <c r="H294" s="129" t="s">
        <v>1772</v>
      </c>
      <c r="I294" s="129" t="s">
        <v>1772</v>
      </c>
      <c r="J294" s="121" t="s">
        <v>1752</v>
      </c>
    </row>
    <row r="295" spans="1:10">
      <c r="A295" s="133" t="s">
        <v>1800</v>
      </c>
      <c r="B295" s="129" t="s">
        <v>1759</v>
      </c>
      <c r="C295" s="121" t="s">
        <v>1798</v>
      </c>
      <c r="D295" s="121" t="s">
        <v>1759</v>
      </c>
      <c r="E295" s="121" t="s">
        <v>1759</v>
      </c>
      <c r="F295" s="121" t="s">
        <v>1759</v>
      </c>
      <c r="G295" s="129" t="s">
        <v>1759</v>
      </c>
      <c r="H295" s="129" t="s">
        <v>1759</v>
      </c>
      <c r="I295" s="129" t="s">
        <v>1759</v>
      </c>
      <c r="J295" s="121" t="s">
        <v>1752</v>
      </c>
    </row>
    <row r="296" spans="1:10">
      <c r="A296" s="133" t="s">
        <v>1801</v>
      </c>
      <c r="B296" s="129">
        <v>644614.391955762</v>
      </c>
      <c r="C296" s="121" t="s">
        <v>1798</v>
      </c>
      <c r="D296" s="121">
        <v>50.2480739940065</v>
      </c>
      <c r="E296" s="121" t="s">
        <v>1772</v>
      </c>
      <c r="F296" s="121" t="s">
        <v>1772</v>
      </c>
      <c r="G296" s="129">
        <v>32390.6316645947</v>
      </c>
      <c r="H296" s="129" t="s">
        <v>1772</v>
      </c>
      <c r="I296" s="129" t="s">
        <v>1772</v>
      </c>
      <c r="J296" s="121" t="s">
        <v>1752</v>
      </c>
    </row>
    <row r="297" spans="1:10">
      <c r="A297" s="133" t="s">
        <v>1823</v>
      </c>
      <c r="B297" s="129" t="s">
        <v>1730</v>
      </c>
      <c r="C297" s="121" t="s">
        <v>1798</v>
      </c>
      <c r="D297" s="121" t="s">
        <v>1730</v>
      </c>
      <c r="E297" s="121" t="s">
        <v>1759</v>
      </c>
      <c r="F297" s="121" t="s">
        <v>1759</v>
      </c>
      <c r="G297" s="129" t="s">
        <v>1730</v>
      </c>
      <c r="H297" s="129" t="s">
        <v>1759</v>
      </c>
      <c r="I297" s="129" t="s">
        <v>1759</v>
      </c>
      <c r="J297" s="121" t="s">
        <v>1752</v>
      </c>
    </row>
    <row r="298" spans="1:10">
      <c r="A298" s="133" t="s">
        <v>1825</v>
      </c>
      <c r="B298" s="129" t="s">
        <v>1730</v>
      </c>
      <c r="C298" s="121" t="s">
        <v>1798</v>
      </c>
      <c r="D298" s="121" t="s">
        <v>1730</v>
      </c>
      <c r="E298" s="121" t="s">
        <v>1759</v>
      </c>
      <c r="F298" s="121" t="s">
        <v>1759</v>
      </c>
      <c r="G298" s="129" t="s">
        <v>1730</v>
      </c>
      <c r="H298" s="129" t="s">
        <v>1759</v>
      </c>
      <c r="I298" s="129" t="s">
        <v>1759</v>
      </c>
      <c r="J298" s="121" t="s">
        <v>1752</v>
      </c>
    </row>
    <row r="299" spans="1:10">
      <c r="A299" s="141" t="s">
        <v>1861</v>
      </c>
      <c r="B299" s="121" t="s">
        <v>1816</v>
      </c>
      <c r="C299" s="121" t="s">
        <v>1798</v>
      </c>
      <c r="D299" s="122" t="s">
        <v>1756</v>
      </c>
      <c r="E299" s="122" t="s">
        <v>1756</v>
      </c>
      <c r="F299" s="122" t="s">
        <v>1756</v>
      </c>
      <c r="G299" s="121" t="s">
        <v>1816</v>
      </c>
      <c r="H299" s="121">
        <v>42.7856249447167</v>
      </c>
      <c r="I299" s="121">
        <v>22.8286814646106</v>
      </c>
      <c r="J299" s="121" t="s">
        <v>1752</v>
      </c>
    </row>
    <row r="300" spans="1:10">
      <c r="A300" s="127" t="s">
        <v>1862</v>
      </c>
      <c r="B300" s="121" t="s">
        <v>1816</v>
      </c>
      <c r="C300" s="121" t="s">
        <v>1798</v>
      </c>
      <c r="D300" s="122" t="s">
        <v>1756</v>
      </c>
      <c r="E300" s="122" t="s">
        <v>1756</v>
      </c>
      <c r="F300" s="122" t="s">
        <v>1756</v>
      </c>
      <c r="G300" s="121" t="s">
        <v>1816</v>
      </c>
      <c r="H300" s="121">
        <v>42.7856249447167</v>
      </c>
      <c r="I300" s="121">
        <v>22.8286814646106</v>
      </c>
      <c r="J300" s="121" t="s">
        <v>1752</v>
      </c>
    </row>
    <row r="301" spans="1:10">
      <c r="A301" s="128" t="s">
        <v>1809</v>
      </c>
      <c r="B301" s="129" t="s">
        <v>1730</v>
      </c>
      <c r="C301" s="121" t="s">
        <v>1798</v>
      </c>
      <c r="D301" s="121" t="s">
        <v>1730</v>
      </c>
      <c r="E301" s="121" t="s">
        <v>1730</v>
      </c>
      <c r="F301" s="121" t="s">
        <v>1730</v>
      </c>
      <c r="G301" s="129" t="s">
        <v>1730</v>
      </c>
      <c r="H301" s="129">
        <v>40.930380256174</v>
      </c>
      <c r="I301" s="129">
        <v>22.7442443767979</v>
      </c>
      <c r="J301" s="121" t="s">
        <v>1752</v>
      </c>
    </row>
    <row r="302" spans="1:10">
      <c r="A302" s="128" t="s">
        <v>1810</v>
      </c>
      <c r="B302" s="129" t="s">
        <v>1759</v>
      </c>
      <c r="C302" s="121" t="s">
        <v>1798</v>
      </c>
      <c r="D302" s="121" t="s">
        <v>1759</v>
      </c>
      <c r="E302" s="121" t="s">
        <v>1759</v>
      </c>
      <c r="F302" s="121" t="s">
        <v>1759</v>
      </c>
      <c r="G302" s="129" t="s">
        <v>1759</v>
      </c>
      <c r="H302" s="129" t="s">
        <v>1759</v>
      </c>
      <c r="I302" s="129" t="s">
        <v>1759</v>
      </c>
      <c r="J302" s="121" t="s">
        <v>1752</v>
      </c>
    </row>
    <row r="303" spans="1:10">
      <c r="A303" s="128" t="s">
        <v>1811</v>
      </c>
      <c r="B303" s="129" t="s">
        <v>1730</v>
      </c>
      <c r="C303" s="121" t="s">
        <v>1798</v>
      </c>
      <c r="D303" s="121" t="s">
        <v>1730</v>
      </c>
      <c r="E303" s="121" t="s">
        <v>1730</v>
      </c>
      <c r="F303" s="121" t="s">
        <v>1730</v>
      </c>
      <c r="G303" s="129" t="s">
        <v>1730</v>
      </c>
      <c r="H303" s="129">
        <v>1.85524468854271</v>
      </c>
      <c r="I303" s="129">
        <v>0.08443708781274</v>
      </c>
      <c r="J303" s="121" t="s">
        <v>1752</v>
      </c>
    </row>
    <row r="304" spans="1:10">
      <c r="A304" s="128" t="s">
        <v>1812</v>
      </c>
      <c r="B304" s="129" t="s">
        <v>1759</v>
      </c>
      <c r="C304" s="121" t="s">
        <v>1798</v>
      </c>
      <c r="D304" s="121" t="s">
        <v>1759</v>
      </c>
      <c r="E304" s="121" t="s">
        <v>1759</v>
      </c>
      <c r="F304" s="121" t="s">
        <v>1759</v>
      </c>
      <c r="G304" s="129" t="s">
        <v>1759</v>
      </c>
      <c r="H304" s="129" t="s">
        <v>1759</v>
      </c>
      <c r="I304" s="129" t="s">
        <v>1759</v>
      </c>
      <c r="J304" s="121" t="s">
        <v>1752</v>
      </c>
    </row>
    <row r="305" spans="1:10">
      <c r="A305" s="128" t="s">
        <v>716</v>
      </c>
      <c r="B305" s="129" t="s">
        <v>1730</v>
      </c>
      <c r="C305" s="121" t="s">
        <v>1798</v>
      </c>
      <c r="D305" s="121" t="s">
        <v>1730</v>
      </c>
      <c r="E305" s="121" t="s">
        <v>1772</v>
      </c>
      <c r="F305" s="121" t="s">
        <v>1772</v>
      </c>
      <c r="G305" s="129" t="s">
        <v>1730</v>
      </c>
      <c r="H305" s="129" t="s">
        <v>1772</v>
      </c>
      <c r="I305" s="129" t="s">
        <v>1772</v>
      </c>
      <c r="J305" s="121" t="s">
        <v>1752</v>
      </c>
    </row>
    <row r="306" spans="1:10">
      <c r="A306" s="124" t="s">
        <v>1863</v>
      </c>
      <c r="B306" s="121">
        <v>11350565.4406729</v>
      </c>
      <c r="C306" s="121" t="s">
        <v>1798</v>
      </c>
      <c r="D306" s="122" t="s">
        <v>1756</v>
      </c>
      <c r="E306" s="122" t="s">
        <v>1756</v>
      </c>
      <c r="F306" s="122" t="s">
        <v>1756</v>
      </c>
      <c r="G306" s="121">
        <v>586285.443470696</v>
      </c>
      <c r="H306" s="121">
        <v>205.348133771596</v>
      </c>
      <c r="I306" s="121">
        <v>4.10020592960264</v>
      </c>
      <c r="J306" s="121" t="s">
        <v>1774</v>
      </c>
    </row>
    <row r="307" spans="1:10">
      <c r="A307" s="123" t="s">
        <v>1799</v>
      </c>
      <c r="B307" s="121">
        <v>2244284.36147249</v>
      </c>
      <c r="C307" s="121" t="s">
        <v>1798</v>
      </c>
      <c r="D307" s="121">
        <v>67.1972681266142</v>
      </c>
      <c r="E307" s="121">
        <v>9.49995096127684</v>
      </c>
      <c r="F307" s="121">
        <v>0.57001685543421</v>
      </c>
      <c r="G307" s="121">
        <v>150809.777990234</v>
      </c>
      <c r="H307" s="121">
        <v>21.3205913771492</v>
      </c>
      <c r="I307" s="121">
        <v>1.27927991442673</v>
      </c>
      <c r="J307" s="121" t="s">
        <v>1752</v>
      </c>
    </row>
    <row r="308" spans="1:10">
      <c r="A308" s="123" t="s">
        <v>1800</v>
      </c>
      <c r="B308" s="121">
        <v>112366.542964578</v>
      </c>
      <c r="C308" s="121" t="s">
        <v>1798</v>
      </c>
      <c r="D308" s="121">
        <v>90.475845936581</v>
      </c>
      <c r="E308" s="121">
        <v>31.3195164281683</v>
      </c>
      <c r="F308" s="121">
        <v>1.42499999999997</v>
      </c>
      <c r="G308" s="121">
        <v>10166.4580296894</v>
      </c>
      <c r="H308" s="121">
        <v>3.51926578835558</v>
      </c>
      <c r="I308" s="121">
        <v>0.16012232372452</v>
      </c>
      <c r="J308" s="121" t="s">
        <v>1752</v>
      </c>
    </row>
    <row r="309" spans="1:10">
      <c r="A309" s="123" t="s">
        <v>1801</v>
      </c>
      <c r="B309" s="121">
        <v>8464063.99967167</v>
      </c>
      <c r="C309" s="121" t="s">
        <v>1798</v>
      </c>
      <c r="D309" s="121">
        <v>50.2488175263408</v>
      </c>
      <c r="E309" s="121">
        <v>4.49868536311507</v>
      </c>
      <c r="F309" s="121">
        <v>0.08999484736532</v>
      </c>
      <c r="G309" s="121">
        <v>425309.207450772</v>
      </c>
      <c r="H309" s="121">
        <v>38.0771608277922</v>
      </c>
      <c r="I309" s="121">
        <v>0.76172214774074</v>
      </c>
      <c r="J309" s="121" t="s">
        <v>1752</v>
      </c>
    </row>
    <row r="310" spans="1:10">
      <c r="A310" s="123" t="s">
        <v>1802</v>
      </c>
      <c r="B310" s="121" t="s">
        <v>1759</v>
      </c>
      <c r="C310" s="121" t="s">
        <v>1798</v>
      </c>
      <c r="D310" s="121" t="s">
        <v>1759</v>
      </c>
      <c r="E310" s="121" t="s">
        <v>1759</v>
      </c>
      <c r="F310" s="121" t="s">
        <v>1759</v>
      </c>
      <c r="G310" s="121" t="s">
        <v>1759</v>
      </c>
      <c r="H310" s="121" t="s">
        <v>1759</v>
      </c>
      <c r="I310" s="121" t="s">
        <v>1759</v>
      </c>
      <c r="J310" s="121" t="s">
        <v>1759</v>
      </c>
    </row>
    <row r="311" spans="1:10">
      <c r="A311" s="123" t="s">
        <v>1803</v>
      </c>
      <c r="B311" s="121" t="s">
        <v>1759</v>
      </c>
      <c r="C311" s="121" t="s">
        <v>1798</v>
      </c>
      <c r="D311" s="121" t="s">
        <v>1759</v>
      </c>
      <c r="E311" s="121" t="s">
        <v>1759</v>
      </c>
      <c r="F311" s="121" t="s">
        <v>1759</v>
      </c>
      <c r="G311" s="121" t="s">
        <v>1759</v>
      </c>
      <c r="H311" s="121" t="s">
        <v>1759</v>
      </c>
      <c r="I311" s="121" t="s">
        <v>1759</v>
      </c>
      <c r="J311" s="121" t="s">
        <v>1759</v>
      </c>
    </row>
    <row r="312" spans="1:10">
      <c r="A312" s="123" t="s">
        <v>1804</v>
      </c>
      <c r="B312" s="121">
        <v>529850.536564146</v>
      </c>
      <c r="C312" s="121" t="s">
        <v>1798</v>
      </c>
      <c r="D312" s="121">
        <v>97.591405250279</v>
      </c>
      <c r="E312" s="121">
        <v>268.813761522077</v>
      </c>
      <c r="F312" s="121">
        <v>3.58418348696102</v>
      </c>
      <c r="G312" s="121">
        <v>51708.8584359093</v>
      </c>
      <c r="H312" s="121">
        <v>142.431115778299</v>
      </c>
      <c r="I312" s="121">
        <v>1.89908154371065</v>
      </c>
      <c r="J312" s="121" t="s">
        <v>1752</v>
      </c>
    </row>
    <row r="313" spans="1:10">
      <c r="A313" s="139" t="s">
        <v>1864</v>
      </c>
      <c r="B313" s="121">
        <v>4223544.22028315</v>
      </c>
      <c r="C313" s="121" t="s">
        <v>1798</v>
      </c>
      <c r="D313" s="122" t="s">
        <v>1756</v>
      </c>
      <c r="E313" s="122" t="s">
        <v>1756</v>
      </c>
      <c r="F313" s="122" t="s">
        <v>1756</v>
      </c>
      <c r="G313" s="121">
        <v>227130.022981521</v>
      </c>
      <c r="H313" s="121">
        <v>43.1270518065731</v>
      </c>
      <c r="I313" s="121">
        <v>1.16099585507677</v>
      </c>
      <c r="J313" s="121" t="s">
        <v>1774</v>
      </c>
    </row>
    <row r="314" spans="1:10">
      <c r="A314" s="123" t="s">
        <v>1799</v>
      </c>
      <c r="B314" s="121">
        <v>802613.810531888</v>
      </c>
      <c r="C314" s="121" t="s">
        <v>1798</v>
      </c>
      <c r="D314" s="121">
        <v>68.4573763415508</v>
      </c>
      <c r="E314" s="121">
        <v>9.5</v>
      </c>
      <c r="F314" s="121">
        <v>0.57</v>
      </c>
      <c r="G314" s="121">
        <v>54944.8356845076</v>
      </c>
      <c r="H314" s="121">
        <v>7.62483120005294</v>
      </c>
      <c r="I314" s="121">
        <v>0.45748987200318</v>
      </c>
      <c r="J314" s="121" t="s">
        <v>1752</v>
      </c>
    </row>
    <row r="315" spans="1:10">
      <c r="A315" s="123" t="s">
        <v>1800</v>
      </c>
      <c r="B315" s="121">
        <v>102339.362648287</v>
      </c>
      <c r="C315" s="121" t="s">
        <v>1798</v>
      </c>
      <c r="D315" s="121">
        <v>90.4842670223393</v>
      </c>
      <c r="E315" s="121">
        <v>9.5</v>
      </c>
      <c r="F315" s="121">
        <v>1.425</v>
      </c>
      <c r="G315" s="121">
        <v>9260.10221676365</v>
      </c>
      <c r="H315" s="121">
        <v>0.97222394515873</v>
      </c>
      <c r="I315" s="121">
        <v>0.14583359177381</v>
      </c>
      <c r="J315" s="121" t="s">
        <v>1752</v>
      </c>
    </row>
    <row r="316" spans="1:10">
      <c r="A316" s="123" t="s">
        <v>1801</v>
      </c>
      <c r="B316" s="121">
        <v>3242414.52716543</v>
      </c>
      <c r="C316" s="121" t="s">
        <v>1798</v>
      </c>
      <c r="D316" s="121">
        <v>50.2480739940065</v>
      </c>
      <c r="E316" s="121">
        <v>4.5</v>
      </c>
      <c r="F316" s="121">
        <v>0.09</v>
      </c>
      <c r="G316" s="121">
        <v>162925.08508025</v>
      </c>
      <c r="H316" s="121">
        <v>14.5908653722444</v>
      </c>
      <c r="I316" s="121">
        <v>0.29181730744489</v>
      </c>
      <c r="J316" s="121" t="s">
        <v>1752</v>
      </c>
    </row>
    <row r="317" spans="1:10">
      <c r="A317" s="123" t="s">
        <v>1802</v>
      </c>
      <c r="B317" s="121" t="s">
        <v>1759</v>
      </c>
      <c r="C317" s="121" t="s">
        <v>1798</v>
      </c>
      <c r="D317" s="121" t="s">
        <v>1759</v>
      </c>
      <c r="E317" s="121" t="s">
        <v>1759</v>
      </c>
      <c r="F317" s="121" t="s">
        <v>1759</v>
      </c>
      <c r="G317" s="121" t="s">
        <v>1759</v>
      </c>
      <c r="H317" s="121" t="s">
        <v>1759</v>
      </c>
      <c r="I317" s="121" t="s">
        <v>1759</v>
      </c>
      <c r="J317" s="121" t="s">
        <v>1759</v>
      </c>
    </row>
    <row r="318" spans="1:10">
      <c r="A318" s="123" t="s">
        <v>1803</v>
      </c>
      <c r="B318" s="121" t="s">
        <v>1759</v>
      </c>
      <c r="C318" s="121" t="s">
        <v>1798</v>
      </c>
      <c r="D318" s="121" t="s">
        <v>1759</v>
      </c>
      <c r="E318" s="121" t="s">
        <v>1759</v>
      </c>
      <c r="F318" s="121" t="s">
        <v>1759</v>
      </c>
      <c r="G318" s="121" t="s">
        <v>1759</v>
      </c>
      <c r="H318" s="121" t="s">
        <v>1759</v>
      </c>
      <c r="I318" s="121" t="s">
        <v>1759</v>
      </c>
      <c r="J318" s="121" t="s">
        <v>1759</v>
      </c>
    </row>
    <row r="319" spans="1:10">
      <c r="A319" s="123" t="s">
        <v>1804</v>
      </c>
      <c r="B319" s="121">
        <v>76176.5199375458</v>
      </c>
      <c r="C319" s="121" t="s">
        <v>1798</v>
      </c>
      <c r="D319" s="121">
        <v>96.7318296898962</v>
      </c>
      <c r="E319" s="121">
        <v>261.749044265402</v>
      </c>
      <c r="F319" s="121">
        <v>3.48998725687199</v>
      </c>
      <c r="G319" s="121">
        <v>7368.69415296766</v>
      </c>
      <c r="H319" s="121">
        <v>19.939131289117</v>
      </c>
      <c r="I319" s="121">
        <v>0.26585508385489</v>
      </c>
      <c r="J319" s="121" t="s">
        <v>1752</v>
      </c>
    </row>
    <row r="320" spans="1:10">
      <c r="A320" s="128" t="s">
        <v>1865</v>
      </c>
      <c r="B320" s="121">
        <v>4223544.22028315</v>
      </c>
      <c r="C320" s="121" t="s">
        <v>1798</v>
      </c>
      <c r="D320" s="122" t="s">
        <v>1756</v>
      </c>
      <c r="E320" s="122" t="s">
        <v>1756</v>
      </c>
      <c r="F320" s="122" t="s">
        <v>1756</v>
      </c>
      <c r="G320" s="121">
        <v>227130.022981521</v>
      </c>
      <c r="H320" s="121">
        <v>43.1270518065731</v>
      </c>
      <c r="I320" s="121">
        <v>1.16099585507677</v>
      </c>
      <c r="J320" s="121" t="s">
        <v>1774</v>
      </c>
    </row>
    <row r="321" spans="1:10">
      <c r="A321" s="136" t="s">
        <v>1809</v>
      </c>
      <c r="B321" s="129">
        <v>802613.810531888</v>
      </c>
      <c r="C321" s="121" t="s">
        <v>1798</v>
      </c>
      <c r="D321" s="121">
        <v>68.4573763415508</v>
      </c>
      <c r="E321" s="121">
        <v>9.5</v>
      </c>
      <c r="F321" s="121">
        <v>0.57</v>
      </c>
      <c r="G321" s="129">
        <v>54944.8356845076</v>
      </c>
      <c r="H321" s="129">
        <v>7.62483120005294</v>
      </c>
      <c r="I321" s="129">
        <v>0.45748987200318</v>
      </c>
      <c r="J321" s="129" t="s">
        <v>1752</v>
      </c>
    </row>
    <row r="322" spans="1:10">
      <c r="A322" s="136" t="s">
        <v>1810</v>
      </c>
      <c r="B322" s="129">
        <v>102339.362648287</v>
      </c>
      <c r="C322" s="121" t="s">
        <v>1798</v>
      </c>
      <c r="D322" s="121">
        <v>90.4842670223393</v>
      </c>
      <c r="E322" s="121">
        <v>9.5</v>
      </c>
      <c r="F322" s="121">
        <v>1.425</v>
      </c>
      <c r="G322" s="129">
        <v>9260.10221676365</v>
      </c>
      <c r="H322" s="129">
        <v>0.97222394515873</v>
      </c>
      <c r="I322" s="129">
        <v>0.14583359177381</v>
      </c>
      <c r="J322" s="129" t="s">
        <v>1752</v>
      </c>
    </row>
    <row r="323" spans="1:10">
      <c r="A323" s="136" t="s">
        <v>1811</v>
      </c>
      <c r="B323" s="129">
        <v>3242414.52716543</v>
      </c>
      <c r="C323" s="121" t="s">
        <v>1798</v>
      </c>
      <c r="D323" s="121">
        <v>50.2480739940065</v>
      </c>
      <c r="E323" s="121">
        <v>4.5</v>
      </c>
      <c r="F323" s="121">
        <v>0.09</v>
      </c>
      <c r="G323" s="129">
        <v>162925.08508025</v>
      </c>
      <c r="H323" s="129">
        <v>14.5908653722444</v>
      </c>
      <c r="I323" s="129">
        <v>0.29181730744489</v>
      </c>
      <c r="J323" s="129" t="s">
        <v>1752</v>
      </c>
    </row>
    <row r="324" spans="1:10">
      <c r="A324" s="136" t="s">
        <v>1812</v>
      </c>
      <c r="B324" s="129" t="s">
        <v>1759</v>
      </c>
      <c r="C324" s="121" t="s">
        <v>1798</v>
      </c>
      <c r="D324" s="121" t="s">
        <v>1759</v>
      </c>
      <c r="E324" s="121" t="s">
        <v>1759</v>
      </c>
      <c r="F324" s="121" t="s">
        <v>1759</v>
      </c>
      <c r="G324" s="129" t="s">
        <v>1759</v>
      </c>
      <c r="H324" s="129" t="s">
        <v>1759</v>
      </c>
      <c r="I324" s="129" t="s">
        <v>1759</v>
      </c>
      <c r="J324" s="129" t="s">
        <v>1759</v>
      </c>
    </row>
    <row r="325" spans="1:10">
      <c r="A325" s="136" t="s">
        <v>1813</v>
      </c>
      <c r="B325" s="129" t="s">
        <v>1759</v>
      </c>
      <c r="C325" s="121" t="s">
        <v>1798</v>
      </c>
      <c r="D325" s="121" t="s">
        <v>1759</v>
      </c>
      <c r="E325" s="121" t="s">
        <v>1759</v>
      </c>
      <c r="F325" s="121" t="s">
        <v>1759</v>
      </c>
      <c r="G325" s="129" t="s">
        <v>1759</v>
      </c>
      <c r="H325" s="129" t="s">
        <v>1759</v>
      </c>
      <c r="I325" s="129" t="s">
        <v>1759</v>
      </c>
      <c r="J325" s="129" t="s">
        <v>1759</v>
      </c>
    </row>
    <row r="326" spans="1:10">
      <c r="A326" s="136" t="s">
        <v>716</v>
      </c>
      <c r="B326" s="129">
        <v>76176.5199375458</v>
      </c>
      <c r="C326" s="121" t="s">
        <v>1798</v>
      </c>
      <c r="D326" s="121">
        <v>96.7318296898962</v>
      </c>
      <c r="E326" s="121">
        <v>261.749044265402</v>
      </c>
      <c r="F326" s="121">
        <v>3.48998725687199</v>
      </c>
      <c r="G326" s="129">
        <v>7368.69415296766</v>
      </c>
      <c r="H326" s="129">
        <v>19.939131289117</v>
      </c>
      <c r="I326" s="129">
        <v>0.26585508385489</v>
      </c>
      <c r="J326" s="129" t="s">
        <v>1752</v>
      </c>
    </row>
    <row r="327" spans="1:10">
      <c r="A327" s="139" t="s">
        <v>1866</v>
      </c>
      <c r="B327" s="121">
        <v>7122906.38886481</v>
      </c>
      <c r="C327" s="121" t="s">
        <v>1798</v>
      </c>
      <c r="D327" s="122" t="s">
        <v>1756</v>
      </c>
      <c r="E327" s="122" t="s">
        <v>1756</v>
      </c>
      <c r="F327" s="122" t="s">
        <v>1756</v>
      </c>
      <c r="G327" s="121">
        <v>358897.51072027</v>
      </c>
      <c r="H327" s="121">
        <v>162.208076971485</v>
      </c>
      <c r="I327" s="121">
        <v>2.93733162203288</v>
      </c>
      <c r="J327" s="121" t="s">
        <v>1774</v>
      </c>
    </row>
    <row r="328" spans="1:10">
      <c r="A328" s="123" t="s">
        <v>1799</v>
      </c>
      <c r="B328" s="121">
        <v>1441653.23929101</v>
      </c>
      <c r="C328" s="121" t="s">
        <v>1798</v>
      </c>
      <c r="D328" s="121">
        <v>66.4956365412576</v>
      </c>
      <c r="E328" s="121">
        <v>9.5</v>
      </c>
      <c r="F328" s="121">
        <v>0.57</v>
      </c>
      <c r="G328" s="121">
        <v>95863.6498184218</v>
      </c>
      <c r="H328" s="121">
        <v>13.6957057732646</v>
      </c>
      <c r="I328" s="121">
        <v>0.82174234639588</v>
      </c>
      <c r="J328" s="121" t="s">
        <v>1752</v>
      </c>
    </row>
    <row r="329" spans="1:10">
      <c r="A329" s="123" t="s">
        <v>1800</v>
      </c>
      <c r="B329" s="121">
        <v>8899.3961168497</v>
      </c>
      <c r="C329" s="121" t="s">
        <v>1798</v>
      </c>
      <c r="D329" s="121">
        <v>90.4842670223393</v>
      </c>
      <c r="E329" s="121">
        <v>284.999999999999</v>
      </c>
      <c r="F329" s="121">
        <v>1.42499999999991</v>
      </c>
      <c r="G329" s="121">
        <v>805.255334574598</v>
      </c>
      <c r="H329" s="121">
        <v>2.53632789330216</v>
      </c>
      <c r="I329" s="121">
        <v>0.01268163946651</v>
      </c>
      <c r="J329" s="121" t="s">
        <v>1752</v>
      </c>
    </row>
    <row r="330" spans="1:10">
      <c r="A330" s="123" t="s">
        <v>1801</v>
      </c>
      <c r="B330" s="121">
        <v>5218679.73683035</v>
      </c>
      <c r="C330" s="121" t="s">
        <v>1798</v>
      </c>
      <c r="D330" s="121">
        <v>50.2480739940065</v>
      </c>
      <c r="E330" s="121">
        <v>4.5</v>
      </c>
      <c r="F330" s="121">
        <v>0.09</v>
      </c>
      <c r="G330" s="121">
        <v>262228.605567274</v>
      </c>
      <c r="H330" s="121">
        <v>23.4840588157366</v>
      </c>
      <c r="I330" s="121">
        <v>0.46968117631473</v>
      </c>
      <c r="J330" s="121" t="s">
        <v>1752</v>
      </c>
    </row>
    <row r="331" spans="1:10">
      <c r="A331" s="123" t="s">
        <v>1802</v>
      </c>
      <c r="B331" s="121" t="s">
        <v>1759</v>
      </c>
      <c r="C331" s="121" t="s">
        <v>1798</v>
      </c>
      <c r="D331" s="121" t="s">
        <v>1759</v>
      </c>
      <c r="E331" s="121" t="s">
        <v>1759</v>
      </c>
      <c r="F331" s="121" t="s">
        <v>1759</v>
      </c>
      <c r="G331" s="121" t="s">
        <v>1759</v>
      </c>
      <c r="H331" s="121" t="s">
        <v>1759</v>
      </c>
      <c r="I331" s="121" t="s">
        <v>1759</v>
      </c>
      <c r="J331" s="121" t="s">
        <v>1759</v>
      </c>
    </row>
    <row r="332" spans="1:10">
      <c r="A332" s="123" t="s">
        <v>1803</v>
      </c>
      <c r="B332" s="121" t="s">
        <v>1759</v>
      </c>
      <c r="C332" s="121" t="s">
        <v>1798</v>
      </c>
      <c r="D332" s="121" t="s">
        <v>1759</v>
      </c>
      <c r="E332" s="121" t="s">
        <v>1759</v>
      </c>
      <c r="F332" s="121" t="s">
        <v>1759</v>
      </c>
      <c r="G332" s="121" t="s">
        <v>1759</v>
      </c>
      <c r="H332" s="121" t="s">
        <v>1759</v>
      </c>
      <c r="I332" s="121" t="s">
        <v>1759</v>
      </c>
      <c r="J332" s="121" t="s">
        <v>1759</v>
      </c>
    </row>
    <row r="333" spans="1:10">
      <c r="A333" s="123" t="s">
        <v>1804</v>
      </c>
      <c r="B333" s="121">
        <v>453674.0166266</v>
      </c>
      <c r="C333" s="121" t="s">
        <v>1798</v>
      </c>
      <c r="D333" s="121">
        <v>97.7357368020399</v>
      </c>
      <c r="E333" s="121">
        <v>270</v>
      </c>
      <c r="F333" s="121">
        <v>3.6</v>
      </c>
      <c r="G333" s="121">
        <v>44340.1642829417</v>
      </c>
      <c r="H333" s="121">
        <v>122.491984489182</v>
      </c>
      <c r="I333" s="121">
        <v>1.63322645985576</v>
      </c>
      <c r="J333" s="121" t="s">
        <v>1752</v>
      </c>
    </row>
    <row r="334" spans="1:10">
      <c r="A334" s="127" t="s">
        <v>1867</v>
      </c>
      <c r="B334" s="121">
        <v>7122906.38886481</v>
      </c>
      <c r="C334" s="121" t="s">
        <v>1798</v>
      </c>
      <c r="D334" s="122" t="s">
        <v>1756</v>
      </c>
      <c r="E334" s="122" t="s">
        <v>1756</v>
      </c>
      <c r="F334" s="122" t="s">
        <v>1756</v>
      </c>
      <c r="G334" s="121">
        <v>358897.51072027</v>
      </c>
      <c r="H334" s="121">
        <v>162.208076971485</v>
      </c>
      <c r="I334" s="121">
        <v>2.93733162203288</v>
      </c>
      <c r="J334" s="121" t="s">
        <v>1774</v>
      </c>
    </row>
    <row r="335" spans="1:10">
      <c r="A335" s="128" t="s">
        <v>1868</v>
      </c>
      <c r="B335" s="121">
        <v>7122906.38886481</v>
      </c>
      <c r="C335" s="121" t="s">
        <v>1798</v>
      </c>
      <c r="D335" s="122" t="s">
        <v>1756</v>
      </c>
      <c r="E335" s="122" t="s">
        <v>1756</v>
      </c>
      <c r="F335" s="122" t="s">
        <v>1756</v>
      </c>
      <c r="G335" s="121">
        <v>358897.51072027</v>
      </c>
      <c r="H335" s="121">
        <v>162.208076971485</v>
      </c>
      <c r="I335" s="121">
        <v>2.93733162203288</v>
      </c>
      <c r="J335" s="121" t="s">
        <v>1774</v>
      </c>
    </row>
    <row r="336" spans="1:10">
      <c r="A336" s="136" t="s">
        <v>1809</v>
      </c>
      <c r="B336" s="129">
        <v>1441653.23929101</v>
      </c>
      <c r="C336" s="121" t="s">
        <v>1798</v>
      </c>
      <c r="D336" s="121">
        <v>66.4956365412576</v>
      </c>
      <c r="E336" s="121">
        <v>9.5</v>
      </c>
      <c r="F336" s="121">
        <v>0.57</v>
      </c>
      <c r="G336" s="129">
        <v>95863.6498184218</v>
      </c>
      <c r="H336" s="129">
        <v>13.6957057732646</v>
      </c>
      <c r="I336" s="129">
        <v>0.82174234639588</v>
      </c>
      <c r="J336" s="129" t="s">
        <v>1752</v>
      </c>
    </row>
    <row r="337" spans="1:10">
      <c r="A337" s="136" t="s">
        <v>1810</v>
      </c>
      <c r="B337" s="129">
        <v>8899.3961168497</v>
      </c>
      <c r="C337" s="121" t="s">
        <v>1798</v>
      </c>
      <c r="D337" s="121">
        <v>90.4842670223393</v>
      </c>
      <c r="E337" s="121">
        <v>284.999999999999</v>
      </c>
      <c r="F337" s="121">
        <v>1.42499999999991</v>
      </c>
      <c r="G337" s="129">
        <v>805.255334574598</v>
      </c>
      <c r="H337" s="129">
        <v>2.53632789330216</v>
      </c>
      <c r="I337" s="129">
        <v>0.01268163946651</v>
      </c>
      <c r="J337" s="129" t="s">
        <v>1752</v>
      </c>
    </row>
    <row r="338" spans="1:10">
      <c r="A338" s="136" t="s">
        <v>1811</v>
      </c>
      <c r="B338" s="129">
        <v>5218679.73683035</v>
      </c>
      <c r="C338" s="121" t="s">
        <v>1798</v>
      </c>
      <c r="D338" s="121">
        <v>50.2480739940065</v>
      </c>
      <c r="E338" s="121">
        <v>4.5</v>
      </c>
      <c r="F338" s="121">
        <v>0.09</v>
      </c>
      <c r="G338" s="129">
        <v>262228.605567274</v>
      </c>
      <c r="H338" s="129">
        <v>23.4840588157366</v>
      </c>
      <c r="I338" s="129">
        <v>0.46968117631473</v>
      </c>
      <c r="J338" s="129" t="s">
        <v>1752</v>
      </c>
    </row>
    <row r="339" spans="1:10">
      <c r="A339" s="136" t="s">
        <v>1812</v>
      </c>
      <c r="B339" s="129" t="s">
        <v>1759</v>
      </c>
      <c r="C339" s="121" t="s">
        <v>1798</v>
      </c>
      <c r="D339" s="121" t="s">
        <v>1759</v>
      </c>
      <c r="E339" s="121" t="s">
        <v>1759</v>
      </c>
      <c r="F339" s="121" t="s">
        <v>1759</v>
      </c>
      <c r="G339" s="129" t="s">
        <v>1759</v>
      </c>
      <c r="H339" s="129" t="s">
        <v>1759</v>
      </c>
      <c r="I339" s="129" t="s">
        <v>1759</v>
      </c>
      <c r="J339" s="129" t="s">
        <v>1759</v>
      </c>
    </row>
    <row r="340" spans="1:10">
      <c r="A340" s="136" t="s">
        <v>1813</v>
      </c>
      <c r="B340" s="129" t="s">
        <v>1759</v>
      </c>
      <c r="C340" s="121" t="s">
        <v>1798</v>
      </c>
      <c r="D340" s="121" t="s">
        <v>1759</v>
      </c>
      <c r="E340" s="121" t="s">
        <v>1759</v>
      </c>
      <c r="F340" s="121" t="s">
        <v>1759</v>
      </c>
      <c r="G340" s="129" t="s">
        <v>1759</v>
      </c>
      <c r="H340" s="129" t="s">
        <v>1759</v>
      </c>
      <c r="I340" s="129" t="s">
        <v>1759</v>
      </c>
      <c r="J340" s="129" t="s">
        <v>1759</v>
      </c>
    </row>
    <row r="341" spans="1:10">
      <c r="A341" s="136" t="s">
        <v>716</v>
      </c>
      <c r="B341" s="129">
        <v>453674.0166266</v>
      </c>
      <c r="C341" s="121" t="s">
        <v>1798</v>
      </c>
      <c r="D341" s="121">
        <v>97.7357368020399</v>
      </c>
      <c r="E341" s="121">
        <v>270</v>
      </c>
      <c r="F341" s="121">
        <v>3.6</v>
      </c>
      <c r="G341" s="129">
        <v>44340.1642829417</v>
      </c>
      <c r="H341" s="129">
        <v>122.491984489182</v>
      </c>
      <c r="I341" s="129">
        <v>1.63322645985576</v>
      </c>
      <c r="J341" s="129" t="s">
        <v>1752</v>
      </c>
    </row>
    <row r="342" spans="1:10">
      <c r="A342" s="139" t="s">
        <v>1748</v>
      </c>
      <c r="B342" s="121">
        <v>4114.8315249317</v>
      </c>
      <c r="C342" s="121" t="s">
        <v>1798</v>
      </c>
      <c r="D342" s="122" t="s">
        <v>1756</v>
      </c>
      <c r="E342" s="122" t="s">
        <v>1756</v>
      </c>
      <c r="F342" s="122" t="s">
        <v>1756</v>
      </c>
      <c r="G342" s="121">
        <v>257.909768904593</v>
      </c>
      <c r="H342" s="121">
        <v>0.01300499353749</v>
      </c>
      <c r="I342" s="121">
        <v>0.00187845249299</v>
      </c>
      <c r="J342" s="121" t="s">
        <v>1774</v>
      </c>
    </row>
    <row r="343" spans="1:10">
      <c r="A343" s="123" t="s">
        <v>1799</v>
      </c>
      <c r="B343" s="121">
        <v>17.3116495903528</v>
      </c>
      <c r="C343" s="121" t="s">
        <v>1798</v>
      </c>
      <c r="D343" s="121">
        <v>74.6599737940721</v>
      </c>
      <c r="E343" s="121">
        <v>3.14261395692282</v>
      </c>
      <c r="F343" s="121">
        <v>2.75514054400566</v>
      </c>
      <c r="G343" s="121">
        <v>1.2924873047479</v>
      </c>
      <c r="H343" s="121">
        <v>5.440383162e-5</v>
      </c>
      <c r="I343" s="121">
        <v>4.769602767e-5</v>
      </c>
      <c r="J343" s="121" t="s">
        <v>1752</v>
      </c>
    </row>
    <row r="344" spans="1:10">
      <c r="A344" s="123" t="s">
        <v>1800</v>
      </c>
      <c r="B344" s="121">
        <v>1127.78419944105</v>
      </c>
      <c r="C344" s="121" t="s">
        <v>1798</v>
      </c>
      <c r="D344" s="121">
        <v>89.6452339031187</v>
      </c>
      <c r="E344" s="121">
        <v>9.49999999999999</v>
      </c>
      <c r="F344" s="121">
        <v>1.4249999999969</v>
      </c>
      <c r="G344" s="121">
        <v>101.100478351135</v>
      </c>
      <c r="H344" s="121">
        <v>0.01071394989469</v>
      </c>
      <c r="I344" s="121">
        <v>0.0016070924842</v>
      </c>
      <c r="J344" s="121" t="s">
        <v>1752</v>
      </c>
    </row>
    <row r="345" spans="1:10">
      <c r="A345" s="123" t="s">
        <v>1801</v>
      </c>
      <c r="B345" s="121">
        <v>2969.73567590029</v>
      </c>
      <c r="C345" s="121" t="s">
        <v>1798</v>
      </c>
      <c r="D345" s="121">
        <v>52.3672205949994</v>
      </c>
      <c r="E345" s="121">
        <v>0.75314440585758</v>
      </c>
      <c r="F345" s="121">
        <v>0.07531444058643</v>
      </c>
      <c r="G345" s="121">
        <v>155.51680324871</v>
      </c>
      <c r="H345" s="121">
        <v>0.00223663981118</v>
      </c>
      <c r="I345" s="121">
        <v>0.00022366398112</v>
      </c>
      <c r="J345" s="121" t="s">
        <v>1752</v>
      </c>
    </row>
    <row r="346" spans="1:10">
      <c r="A346" s="123" t="s">
        <v>1802</v>
      </c>
      <c r="B346" s="121" t="s">
        <v>1759</v>
      </c>
      <c r="C346" s="121" t="s">
        <v>1798</v>
      </c>
      <c r="D346" s="121" t="s">
        <v>1759</v>
      </c>
      <c r="E346" s="121" t="s">
        <v>1759</v>
      </c>
      <c r="F346" s="121" t="s">
        <v>1759</v>
      </c>
      <c r="G346" s="121" t="s">
        <v>1759</v>
      </c>
      <c r="H346" s="121" t="s">
        <v>1759</v>
      </c>
      <c r="I346" s="121" t="s">
        <v>1759</v>
      </c>
      <c r="J346" s="121" t="s">
        <v>1759</v>
      </c>
    </row>
    <row r="347" spans="1:10">
      <c r="A347" s="123" t="s">
        <v>1803</v>
      </c>
      <c r="B347" s="121" t="s">
        <v>1759</v>
      </c>
      <c r="C347" s="121" t="s">
        <v>1798</v>
      </c>
      <c r="D347" s="121" t="s">
        <v>1759</v>
      </c>
      <c r="E347" s="121" t="s">
        <v>1759</v>
      </c>
      <c r="F347" s="121" t="s">
        <v>1759</v>
      </c>
      <c r="G347" s="121" t="s">
        <v>1759</v>
      </c>
      <c r="H347" s="121" t="s">
        <v>1759</v>
      </c>
      <c r="I347" s="121" t="s">
        <v>1759</v>
      </c>
      <c r="J347" s="121" t="s">
        <v>1759</v>
      </c>
    </row>
    <row r="348" spans="1:10">
      <c r="A348" s="123" t="s">
        <v>1804</v>
      </c>
      <c r="B348" s="121" t="s">
        <v>1730</v>
      </c>
      <c r="C348" s="121" t="s">
        <v>1798</v>
      </c>
      <c r="D348" s="121" t="s">
        <v>1766</v>
      </c>
      <c r="E348" s="121" t="s">
        <v>1752</v>
      </c>
      <c r="F348" s="121" t="s">
        <v>1752</v>
      </c>
      <c r="G348" s="121" t="s">
        <v>1730</v>
      </c>
      <c r="H348" s="121" t="s">
        <v>1752</v>
      </c>
      <c r="I348" s="121" t="s">
        <v>1752</v>
      </c>
      <c r="J348" s="121" t="s">
        <v>1752</v>
      </c>
    </row>
    <row r="349" spans="1:10">
      <c r="A349" s="131" t="s">
        <v>1869</v>
      </c>
      <c r="B349" s="121">
        <v>4114.8315249317</v>
      </c>
      <c r="C349" s="121" t="s">
        <v>1798</v>
      </c>
      <c r="D349" s="122" t="s">
        <v>1756</v>
      </c>
      <c r="E349" s="122" t="s">
        <v>1756</v>
      </c>
      <c r="F349" s="122" t="s">
        <v>1756</v>
      </c>
      <c r="G349" s="121">
        <v>257.909768904593</v>
      </c>
      <c r="H349" s="121">
        <v>0.01300499353749</v>
      </c>
      <c r="I349" s="121">
        <v>0.00187845249299</v>
      </c>
      <c r="J349" s="121" t="s">
        <v>1774</v>
      </c>
    </row>
    <row r="350" spans="1:10">
      <c r="A350" s="123" t="s">
        <v>1799</v>
      </c>
      <c r="B350" s="129">
        <v>17.3116495903528</v>
      </c>
      <c r="C350" s="121" t="s">
        <v>1798</v>
      </c>
      <c r="D350" s="121">
        <v>74.6599737940721</v>
      </c>
      <c r="E350" s="121">
        <v>3.14261395692282</v>
      </c>
      <c r="F350" s="121">
        <v>2.75514054400566</v>
      </c>
      <c r="G350" s="129">
        <v>1.2924873047479</v>
      </c>
      <c r="H350" s="129">
        <v>5.440383162e-5</v>
      </c>
      <c r="I350" s="129">
        <v>4.769602767e-5</v>
      </c>
      <c r="J350" s="129" t="s">
        <v>1752</v>
      </c>
    </row>
    <row r="351" spans="1:10">
      <c r="A351" s="123" t="s">
        <v>1800</v>
      </c>
      <c r="B351" s="129">
        <v>1127.78419944105</v>
      </c>
      <c r="C351" s="121" t="s">
        <v>1798</v>
      </c>
      <c r="D351" s="121">
        <v>89.6452339031187</v>
      </c>
      <c r="E351" s="121">
        <v>9.49999999999999</v>
      </c>
      <c r="F351" s="121">
        <v>1.4249999999969</v>
      </c>
      <c r="G351" s="129">
        <v>101.100478351135</v>
      </c>
      <c r="H351" s="129">
        <v>0.01071394989469</v>
      </c>
      <c r="I351" s="129">
        <v>0.0016070924842</v>
      </c>
      <c r="J351" s="129" t="s">
        <v>1752</v>
      </c>
    </row>
    <row r="352" spans="1:10">
      <c r="A352" s="123" t="s">
        <v>1801</v>
      </c>
      <c r="B352" s="129">
        <v>2969.73567590029</v>
      </c>
      <c r="C352" s="121" t="s">
        <v>1798</v>
      </c>
      <c r="D352" s="121">
        <v>52.3672205949994</v>
      </c>
      <c r="E352" s="121">
        <v>0.75314440585758</v>
      </c>
      <c r="F352" s="121">
        <v>0.07531444058643</v>
      </c>
      <c r="G352" s="129">
        <v>155.51680324871</v>
      </c>
      <c r="H352" s="129">
        <v>0.00223663981118</v>
      </c>
      <c r="I352" s="129">
        <v>0.00022366398112</v>
      </c>
      <c r="J352" s="129" t="s">
        <v>1752</v>
      </c>
    </row>
    <row r="353" spans="1:10">
      <c r="A353" s="123" t="s">
        <v>1802</v>
      </c>
      <c r="B353" s="129" t="s">
        <v>1759</v>
      </c>
      <c r="C353" s="121" t="s">
        <v>1798</v>
      </c>
      <c r="D353" s="121" t="s">
        <v>1759</v>
      </c>
      <c r="E353" s="121" t="s">
        <v>1759</v>
      </c>
      <c r="F353" s="121" t="s">
        <v>1759</v>
      </c>
      <c r="G353" s="129" t="s">
        <v>1759</v>
      </c>
      <c r="H353" s="129" t="s">
        <v>1759</v>
      </c>
      <c r="I353" s="129" t="s">
        <v>1759</v>
      </c>
      <c r="J353" s="129" t="s">
        <v>1759</v>
      </c>
    </row>
    <row r="354" spans="1:10">
      <c r="A354" s="123" t="s">
        <v>1803</v>
      </c>
      <c r="B354" s="129" t="s">
        <v>1759</v>
      </c>
      <c r="C354" s="121" t="s">
        <v>1798</v>
      </c>
      <c r="D354" s="121" t="s">
        <v>1759</v>
      </c>
      <c r="E354" s="121" t="s">
        <v>1759</v>
      </c>
      <c r="F354" s="121" t="s">
        <v>1759</v>
      </c>
      <c r="G354" s="129" t="s">
        <v>1759</v>
      </c>
      <c r="H354" s="129" t="s">
        <v>1759</v>
      </c>
      <c r="I354" s="129" t="s">
        <v>1759</v>
      </c>
      <c r="J354" s="129" t="s">
        <v>1759</v>
      </c>
    </row>
    <row r="355" spans="1:10">
      <c r="A355" s="123" t="s">
        <v>1804</v>
      </c>
      <c r="B355" s="129" t="s">
        <v>1730</v>
      </c>
      <c r="C355" s="121" t="s">
        <v>1798</v>
      </c>
      <c r="D355" s="121" t="s">
        <v>1766</v>
      </c>
      <c r="E355" s="121" t="s">
        <v>1752</v>
      </c>
      <c r="F355" s="121" t="s">
        <v>1752</v>
      </c>
      <c r="G355" s="129" t="s">
        <v>1730</v>
      </c>
      <c r="H355" s="129" t="s">
        <v>1752</v>
      </c>
      <c r="I355" s="129" t="s">
        <v>1752</v>
      </c>
      <c r="J355" s="129" t="s">
        <v>1752</v>
      </c>
    </row>
    <row r="356" spans="1:10">
      <c r="A356" s="131" t="s">
        <v>1870</v>
      </c>
      <c r="B356" s="121" t="s">
        <v>1816</v>
      </c>
      <c r="C356" s="121" t="s">
        <v>1798</v>
      </c>
      <c r="D356" s="122" t="s">
        <v>1756</v>
      </c>
      <c r="E356" s="122" t="s">
        <v>1756</v>
      </c>
      <c r="F356" s="122" t="s">
        <v>1756</v>
      </c>
      <c r="G356" s="121" t="s">
        <v>1816</v>
      </c>
      <c r="H356" s="121" t="s">
        <v>1806</v>
      </c>
      <c r="I356" s="121" t="s">
        <v>1806</v>
      </c>
      <c r="J356" s="122" t="s">
        <v>1756</v>
      </c>
    </row>
    <row r="357" spans="1:10">
      <c r="A357" s="123" t="s">
        <v>1834</v>
      </c>
      <c r="B357" s="129" t="s">
        <v>1730</v>
      </c>
      <c r="C357" s="121" t="s">
        <v>1798</v>
      </c>
      <c r="D357" s="121" t="s">
        <v>1730</v>
      </c>
      <c r="E357" s="121" t="s">
        <v>1730</v>
      </c>
      <c r="F357" s="121" t="s">
        <v>1730</v>
      </c>
      <c r="G357" s="129" t="s">
        <v>1730</v>
      </c>
      <c r="H357" s="129" t="s">
        <v>1730</v>
      </c>
      <c r="I357" s="129" t="s">
        <v>1730</v>
      </c>
      <c r="J357" s="122" t="s">
        <v>1756</v>
      </c>
    </row>
    <row r="358" spans="1:10">
      <c r="A358" s="123" t="s">
        <v>1835</v>
      </c>
      <c r="B358" s="129" t="s">
        <v>1730</v>
      </c>
      <c r="C358" s="121" t="s">
        <v>1798</v>
      </c>
      <c r="D358" s="121" t="s">
        <v>1730</v>
      </c>
      <c r="E358" s="121" t="s">
        <v>1730</v>
      </c>
      <c r="F358" s="121" t="s">
        <v>1730</v>
      </c>
      <c r="G358" s="129" t="s">
        <v>1730</v>
      </c>
      <c r="H358" s="129" t="s">
        <v>1730</v>
      </c>
      <c r="I358" s="129" t="s">
        <v>1730</v>
      </c>
      <c r="J358" s="122" t="s">
        <v>1756</v>
      </c>
    </row>
    <row r="359" spans="1:10">
      <c r="A359" s="123" t="s">
        <v>1836</v>
      </c>
      <c r="B359" s="129" t="s">
        <v>1730</v>
      </c>
      <c r="C359" s="121" t="s">
        <v>1798</v>
      </c>
      <c r="D359" s="121" t="s">
        <v>1730</v>
      </c>
      <c r="E359" s="121" t="s">
        <v>1730</v>
      </c>
      <c r="F359" s="121" t="s">
        <v>1730</v>
      </c>
      <c r="G359" s="129" t="s">
        <v>1730</v>
      </c>
      <c r="H359" s="129" t="s">
        <v>1730</v>
      </c>
      <c r="I359" s="129" t="s">
        <v>1730</v>
      </c>
      <c r="J359" s="122" t="s">
        <v>1756</v>
      </c>
    </row>
    <row r="360" spans="1:10">
      <c r="A360" s="123" t="s">
        <v>1837</v>
      </c>
      <c r="B360" s="121" t="s">
        <v>1730</v>
      </c>
      <c r="C360" s="121" t="s">
        <v>1798</v>
      </c>
      <c r="D360" s="122" t="s">
        <v>1756</v>
      </c>
      <c r="E360" s="122" t="s">
        <v>1756</v>
      </c>
      <c r="F360" s="122" t="s">
        <v>1756</v>
      </c>
      <c r="G360" s="121" t="s">
        <v>1730</v>
      </c>
      <c r="H360" s="121" t="s">
        <v>1759</v>
      </c>
      <c r="I360" s="121" t="s">
        <v>1759</v>
      </c>
      <c r="J360" s="122" t="s">
        <v>1756</v>
      </c>
    </row>
    <row r="361" spans="1:10">
      <c r="A361" s="123" t="s">
        <v>1801</v>
      </c>
      <c r="B361" s="129" t="s">
        <v>1730</v>
      </c>
      <c r="C361" s="121" t="s">
        <v>1798</v>
      </c>
      <c r="D361" s="121" t="s">
        <v>1730</v>
      </c>
      <c r="E361" s="121" t="s">
        <v>1730</v>
      </c>
      <c r="F361" s="121" t="s">
        <v>1730</v>
      </c>
      <c r="G361" s="129" t="s">
        <v>1730</v>
      </c>
      <c r="H361" s="129" t="s">
        <v>1730</v>
      </c>
      <c r="I361" s="129" t="s">
        <v>1730</v>
      </c>
      <c r="J361" s="122" t="s">
        <v>1756</v>
      </c>
    </row>
    <row r="362" spans="1:10">
      <c r="A362" s="123" t="s">
        <v>1804</v>
      </c>
      <c r="B362" s="129" t="s">
        <v>1730</v>
      </c>
      <c r="C362" s="121" t="s">
        <v>1798</v>
      </c>
      <c r="D362" s="121" t="s">
        <v>1730</v>
      </c>
      <c r="E362" s="121" t="s">
        <v>1752</v>
      </c>
      <c r="F362" s="121" t="s">
        <v>1752</v>
      </c>
      <c r="G362" s="129" t="s">
        <v>1730</v>
      </c>
      <c r="H362" s="129" t="s">
        <v>1752</v>
      </c>
      <c r="I362" s="129" t="s">
        <v>1752</v>
      </c>
      <c r="J362" s="122" t="s">
        <v>1756</v>
      </c>
    </row>
    <row r="363" spans="1:10">
      <c r="A363" s="123" t="s">
        <v>1838</v>
      </c>
      <c r="B363" s="121" t="s">
        <v>1759</v>
      </c>
      <c r="C363" s="121" t="s">
        <v>1798</v>
      </c>
      <c r="D363" s="122" t="s">
        <v>1756</v>
      </c>
      <c r="E363" s="122" t="s">
        <v>1756</v>
      </c>
      <c r="F363" s="122" t="s">
        <v>1756</v>
      </c>
      <c r="G363" s="121" t="s">
        <v>1759</v>
      </c>
      <c r="H363" s="121" t="s">
        <v>1759</v>
      </c>
      <c r="I363" s="121" t="s">
        <v>1759</v>
      </c>
      <c r="J363" s="122" t="s">
        <v>1756</v>
      </c>
    </row>
    <row r="364" spans="1:10">
      <c r="A364" s="131" t="s">
        <v>1871</v>
      </c>
      <c r="B364" s="121" t="s">
        <v>1816</v>
      </c>
      <c r="C364" s="121" t="s">
        <v>1798</v>
      </c>
      <c r="D364" s="122" t="s">
        <v>1756</v>
      </c>
      <c r="E364" s="122" t="s">
        <v>1756</v>
      </c>
      <c r="F364" s="122" t="s">
        <v>1756</v>
      </c>
      <c r="G364" s="121" t="s">
        <v>1816</v>
      </c>
      <c r="H364" s="121" t="s">
        <v>1806</v>
      </c>
      <c r="I364" s="121" t="s">
        <v>1806</v>
      </c>
      <c r="J364" s="122" t="s">
        <v>1756</v>
      </c>
    </row>
    <row r="365" spans="1:10">
      <c r="A365" s="123" t="s">
        <v>1853</v>
      </c>
      <c r="B365" s="129" t="s">
        <v>1730</v>
      </c>
      <c r="C365" s="121" t="s">
        <v>1798</v>
      </c>
      <c r="D365" s="121" t="s">
        <v>1730</v>
      </c>
      <c r="E365" s="121" t="s">
        <v>1730</v>
      </c>
      <c r="F365" s="121" t="s">
        <v>1730</v>
      </c>
      <c r="G365" s="129" t="s">
        <v>1730</v>
      </c>
      <c r="H365" s="129" t="s">
        <v>1730</v>
      </c>
      <c r="I365" s="129" t="s">
        <v>1730</v>
      </c>
      <c r="J365" s="122" t="s">
        <v>1756</v>
      </c>
    </row>
    <row r="366" spans="1:10">
      <c r="A366" s="123" t="s">
        <v>1854</v>
      </c>
      <c r="B366" s="129" t="s">
        <v>1730</v>
      </c>
      <c r="C366" s="121" t="s">
        <v>1798</v>
      </c>
      <c r="D366" s="121" t="s">
        <v>1730</v>
      </c>
      <c r="E366" s="121" t="s">
        <v>1730</v>
      </c>
      <c r="F366" s="121" t="s">
        <v>1730</v>
      </c>
      <c r="G366" s="129" t="s">
        <v>1730</v>
      </c>
      <c r="H366" s="129" t="s">
        <v>1730</v>
      </c>
      <c r="I366" s="129" t="s">
        <v>1730</v>
      </c>
      <c r="J366" s="122" t="s">
        <v>1756</v>
      </c>
    </row>
    <row r="367" spans="1:10">
      <c r="A367" s="123" t="s">
        <v>1834</v>
      </c>
      <c r="B367" s="129" t="s">
        <v>1730</v>
      </c>
      <c r="C367" s="121" t="s">
        <v>1798</v>
      </c>
      <c r="D367" s="121" t="s">
        <v>1730</v>
      </c>
      <c r="E367" s="121" t="s">
        <v>1730</v>
      </c>
      <c r="F367" s="121" t="s">
        <v>1730</v>
      </c>
      <c r="G367" s="129" t="s">
        <v>1730</v>
      </c>
      <c r="H367" s="129" t="s">
        <v>1730</v>
      </c>
      <c r="I367" s="129" t="s">
        <v>1730</v>
      </c>
      <c r="J367" s="122" t="s">
        <v>1756</v>
      </c>
    </row>
    <row r="368" spans="1:10">
      <c r="A368" s="123" t="s">
        <v>1855</v>
      </c>
      <c r="B368" s="121" t="s">
        <v>1730</v>
      </c>
      <c r="C368" s="121" t="s">
        <v>1798</v>
      </c>
      <c r="D368" s="122" t="s">
        <v>1756</v>
      </c>
      <c r="E368" s="122" t="s">
        <v>1756</v>
      </c>
      <c r="F368" s="122" t="s">
        <v>1756</v>
      </c>
      <c r="G368" s="121" t="s">
        <v>1730</v>
      </c>
      <c r="H368" s="121" t="s">
        <v>1730</v>
      </c>
      <c r="I368" s="121" t="s">
        <v>1730</v>
      </c>
      <c r="J368" s="122" t="s">
        <v>1756</v>
      </c>
    </row>
    <row r="369" spans="1:10">
      <c r="A369" s="123" t="s">
        <v>1801</v>
      </c>
      <c r="B369" s="129" t="s">
        <v>1730</v>
      </c>
      <c r="C369" s="121" t="s">
        <v>1798</v>
      </c>
      <c r="D369" s="121" t="s">
        <v>1730</v>
      </c>
      <c r="E369" s="121" t="s">
        <v>1730</v>
      </c>
      <c r="F369" s="121" t="s">
        <v>1730</v>
      </c>
      <c r="G369" s="129" t="s">
        <v>1730</v>
      </c>
      <c r="H369" s="129" t="s">
        <v>1730</v>
      </c>
      <c r="I369" s="129" t="s">
        <v>1730</v>
      </c>
      <c r="J369" s="122" t="s">
        <v>1756</v>
      </c>
    </row>
    <row r="370" spans="1:10">
      <c r="A370" s="123" t="s">
        <v>1804</v>
      </c>
      <c r="B370" s="129" t="s">
        <v>1730</v>
      </c>
      <c r="C370" s="121" t="s">
        <v>1798</v>
      </c>
      <c r="D370" s="121" t="s">
        <v>1730</v>
      </c>
      <c r="E370" s="121" t="s">
        <v>1752</v>
      </c>
      <c r="F370" s="121" t="s">
        <v>1752</v>
      </c>
      <c r="G370" s="129" t="s">
        <v>1730</v>
      </c>
      <c r="H370" s="129" t="s">
        <v>1752</v>
      </c>
      <c r="I370" s="129" t="s">
        <v>1752</v>
      </c>
      <c r="J370" s="122" t="s">
        <v>1756</v>
      </c>
    </row>
    <row r="371" spans="1:10">
      <c r="A371" s="123" t="s">
        <v>1856</v>
      </c>
      <c r="B371" s="121" t="s">
        <v>1759</v>
      </c>
      <c r="C371" s="121" t="s">
        <v>1798</v>
      </c>
      <c r="D371" s="122" t="s">
        <v>1756</v>
      </c>
      <c r="E371" s="122" t="s">
        <v>1756</v>
      </c>
      <c r="F371" s="122" t="s">
        <v>1756</v>
      </c>
      <c r="G371" s="121" t="s">
        <v>1759</v>
      </c>
      <c r="H371" s="121" t="s">
        <v>1759</v>
      </c>
      <c r="I371" s="121" t="s">
        <v>1759</v>
      </c>
      <c r="J371" s="122" t="s">
        <v>1756</v>
      </c>
    </row>
    <row r="372" spans="1:10">
      <c r="A372" s="142" t="s">
        <v>1872</v>
      </c>
      <c r="B372" s="121">
        <v>7178206.56290884</v>
      </c>
      <c r="C372" s="121" t="s">
        <v>1798</v>
      </c>
      <c r="D372" s="122" t="s">
        <v>1756</v>
      </c>
      <c r="E372" s="122" t="s">
        <v>1756</v>
      </c>
      <c r="F372" s="122" t="s">
        <v>1756</v>
      </c>
      <c r="G372" s="121">
        <v>226133.222716876</v>
      </c>
      <c r="H372" s="121">
        <v>4.11962709163943</v>
      </c>
      <c r="I372" s="121">
        <v>2.56018441758074</v>
      </c>
      <c r="J372" s="121" t="s">
        <v>1774</v>
      </c>
    </row>
    <row r="373" spans="1:10">
      <c r="A373" s="138" t="s">
        <v>1873</v>
      </c>
      <c r="B373" s="121">
        <v>6789839.40545501</v>
      </c>
      <c r="C373" s="121" t="s">
        <v>1798</v>
      </c>
      <c r="D373" s="122" t="s">
        <v>1756</v>
      </c>
      <c r="E373" s="122" t="s">
        <v>1756</v>
      </c>
      <c r="F373" s="122" t="s">
        <v>1756</v>
      </c>
      <c r="G373" s="121">
        <v>198086.658979246</v>
      </c>
      <c r="H373" s="121">
        <v>3.63136031306943</v>
      </c>
      <c r="I373" s="121">
        <v>1.77857478358242</v>
      </c>
      <c r="J373" s="121" t="s">
        <v>1774</v>
      </c>
    </row>
    <row r="374" spans="1:10">
      <c r="A374" s="127" t="s">
        <v>1874</v>
      </c>
      <c r="B374" s="121">
        <v>300563.243522389</v>
      </c>
      <c r="C374" s="121" t="s">
        <v>1798</v>
      </c>
      <c r="D374" s="122" t="s">
        <v>1756</v>
      </c>
      <c r="E374" s="122" t="s">
        <v>1756</v>
      </c>
      <c r="F374" s="122" t="s">
        <v>1756</v>
      </c>
      <c r="G374" s="121">
        <v>13282.9159194568</v>
      </c>
      <c r="H374" s="121">
        <v>0.00519481844957</v>
      </c>
      <c r="I374" s="121">
        <v>1.29867598133739</v>
      </c>
      <c r="J374" s="121" t="s">
        <v>1774</v>
      </c>
    </row>
    <row r="375" spans="1:10">
      <c r="A375" s="128" t="s">
        <v>1809</v>
      </c>
      <c r="B375" s="129" t="s">
        <v>1752</v>
      </c>
      <c r="C375" s="121" t="s">
        <v>1798</v>
      </c>
      <c r="D375" s="121" t="s">
        <v>1752</v>
      </c>
      <c r="E375" s="121" t="s">
        <v>1752</v>
      </c>
      <c r="F375" s="121" t="s">
        <v>1752</v>
      </c>
      <c r="G375" s="129" t="s">
        <v>1752</v>
      </c>
      <c r="H375" s="129" t="s">
        <v>1752</v>
      </c>
      <c r="I375" s="129" t="s">
        <v>1752</v>
      </c>
      <c r="J375" s="129" t="s">
        <v>1752</v>
      </c>
    </row>
    <row r="376" spans="1:10">
      <c r="A376" s="128" t="s">
        <v>1810</v>
      </c>
      <c r="B376" s="129" t="s">
        <v>1752</v>
      </c>
      <c r="C376" s="121" t="s">
        <v>1798</v>
      </c>
      <c r="D376" s="121" t="s">
        <v>1752</v>
      </c>
      <c r="E376" s="121" t="s">
        <v>1752</v>
      </c>
      <c r="F376" s="121" t="s">
        <v>1752</v>
      </c>
      <c r="G376" s="129" t="s">
        <v>1752</v>
      </c>
      <c r="H376" s="129" t="s">
        <v>1752</v>
      </c>
      <c r="I376" s="129" t="s">
        <v>1752</v>
      </c>
      <c r="J376" s="129" t="s">
        <v>1752</v>
      </c>
    </row>
    <row r="377" spans="1:10">
      <c r="A377" s="128" t="s">
        <v>1811</v>
      </c>
      <c r="B377" s="129" t="s">
        <v>1752</v>
      </c>
      <c r="C377" s="121" t="s">
        <v>1798</v>
      </c>
      <c r="D377" s="121" t="s">
        <v>1752</v>
      </c>
      <c r="E377" s="121" t="s">
        <v>1752</v>
      </c>
      <c r="F377" s="121" t="s">
        <v>1752</v>
      </c>
      <c r="G377" s="129" t="s">
        <v>1752</v>
      </c>
      <c r="H377" s="129" t="s">
        <v>1752</v>
      </c>
      <c r="I377" s="129" t="s">
        <v>1752</v>
      </c>
      <c r="J377" s="129" t="s">
        <v>1752</v>
      </c>
    </row>
    <row r="378" spans="1:10">
      <c r="A378" s="128" t="s">
        <v>1812</v>
      </c>
      <c r="B378" s="129">
        <v>300563.243522389</v>
      </c>
      <c r="C378" s="121" t="s">
        <v>1798</v>
      </c>
      <c r="D378" s="121">
        <v>44.1934142172223</v>
      </c>
      <c r="E378" s="121">
        <v>0.01728361189043</v>
      </c>
      <c r="F378" s="121">
        <v>4.32080771460218</v>
      </c>
      <c r="G378" s="129">
        <v>13282.9159194568</v>
      </c>
      <c r="H378" s="129">
        <v>0.00519481844957</v>
      </c>
      <c r="I378" s="129">
        <v>1.29867598133739</v>
      </c>
      <c r="J378" s="129" t="s">
        <v>1752</v>
      </c>
    </row>
    <row r="379" spans="1:10">
      <c r="A379" s="128" t="s">
        <v>1813</v>
      </c>
      <c r="B379" s="129" t="s">
        <v>1759</v>
      </c>
      <c r="C379" s="121" t="s">
        <v>1798</v>
      </c>
      <c r="D379" s="121" t="s">
        <v>1759</v>
      </c>
      <c r="E379" s="121" t="s">
        <v>1759</v>
      </c>
      <c r="F379" s="121" t="s">
        <v>1759</v>
      </c>
      <c r="G379" s="129" t="s">
        <v>1759</v>
      </c>
      <c r="H379" s="129" t="s">
        <v>1759</v>
      </c>
      <c r="I379" s="129" t="s">
        <v>1759</v>
      </c>
      <c r="J379" s="129" t="s">
        <v>1759</v>
      </c>
    </row>
    <row r="380" spans="1:10">
      <c r="A380" s="128" t="s">
        <v>716</v>
      </c>
      <c r="B380" s="129" t="s">
        <v>1752</v>
      </c>
      <c r="C380" s="121" t="s">
        <v>1798</v>
      </c>
      <c r="D380" s="121" t="s">
        <v>1752</v>
      </c>
      <c r="E380" s="121" t="s">
        <v>1752</v>
      </c>
      <c r="F380" s="121" t="s">
        <v>1752</v>
      </c>
      <c r="G380" s="129" t="s">
        <v>1752</v>
      </c>
      <c r="H380" s="129" t="s">
        <v>1752</v>
      </c>
      <c r="I380" s="129" t="s">
        <v>1752</v>
      </c>
      <c r="J380" s="129" t="s">
        <v>1752</v>
      </c>
    </row>
    <row r="381" spans="1:10">
      <c r="A381" s="127" t="s">
        <v>1875</v>
      </c>
      <c r="B381" s="121">
        <v>811798.301666007</v>
      </c>
      <c r="C381" s="121" t="s">
        <v>1798</v>
      </c>
      <c r="D381" s="122" t="s">
        <v>1756</v>
      </c>
      <c r="E381" s="122" t="s">
        <v>1756</v>
      </c>
      <c r="F381" s="122" t="s">
        <v>1756</v>
      </c>
      <c r="G381" s="121">
        <v>63474.4624142604</v>
      </c>
      <c r="H381" s="121">
        <v>3.62616549461986</v>
      </c>
      <c r="I381" s="121">
        <v>0.47989880224503</v>
      </c>
      <c r="J381" s="121" t="s">
        <v>1774</v>
      </c>
    </row>
    <row r="382" spans="1:10">
      <c r="A382" s="128" t="s">
        <v>1809</v>
      </c>
      <c r="B382" s="129">
        <v>751642.169400585</v>
      </c>
      <c r="C382" s="121" t="s">
        <v>1798</v>
      </c>
      <c r="D382" s="121">
        <v>78.7226694038913</v>
      </c>
      <c r="E382" s="121">
        <v>4.75</v>
      </c>
      <c r="F382" s="121">
        <v>0.57</v>
      </c>
      <c r="G382" s="129">
        <v>59171.2780117459</v>
      </c>
      <c r="H382" s="129">
        <v>3.57030030465278</v>
      </c>
      <c r="I382" s="129">
        <v>0.42843603655833</v>
      </c>
      <c r="J382" s="129" t="s">
        <v>1752</v>
      </c>
    </row>
    <row r="383" spans="1:10">
      <c r="A383" s="128" t="s">
        <v>1810</v>
      </c>
      <c r="B383" s="129">
        <v>34493.4185639018</v>
      </c>
      <c r="C383" s="121" t="s">
        <v>1798</v>
      </c>
      <c r="D383" s="121">
        <v>87.3697821504816</v>
      </c>
      <c r="E383" s="121">
        <v>0.9500000000001</v>
      </c>
      <c r="F383" s="121">
        <v>1.425</v>
      </c>
      <c r="G383" s="129">
        <v>3013.68246555348</v>
      </c>
      <c r="H383" s="129">
        <v>0.03276874763571</v>
      </c>
      <c r="I383" s="129">
        <v>0.04915312145356</v>
      </c>
      <c r="J383" s="129" t="s">
        <v>1752</v>
      </c>
    </row>
    <row r="384" spans="1:10">
      <c r="A384" s="128" t="s">
        <v>1811</v>
      </c>
      <c r="B384" s="129">
        <v>25662.7137015202</v>
      </c>
      <c r="C384" s="121" t="s">
        <v>1798</v>
      </c>
      <c r="D384" s="121">
        <v>50.2480739940065</v>
      </c>
      <c r="E384" s="121">
        <v>0.90000000000007</v>
      </c>
      <c r="F384" s="121">
        <v>0.09000000000012</v>
      </c>
      <c r="G384" s="129">
        <v>1289.50193696099</v>
      </c>
      <c r="H384" s="129">
        <v>0.02309644233137</v>
      </c>
      <c r="I384" s="129">
        <v>0.00230964423314</v>
      </c>
      <c r="J384" s="129" t="s">
        <v>1752</v>
      </c>
    </row>
    <row r="385" spans="1:10">
      <c r="A385" s="128" t="s">
        <v>1812</v>
      </c>
      <c r="B385" s="129" t="s">
        <v>1759</v>
      </c>
      <c r="C385" s="121" t="s">
        <v>1798</v>
      </c>
      <c r="D385" s="121" t="s">
        <v>1759</v>
      </c>
      <c r="E385" s="121" t="s">
        <v>1759</v>
      </c>
      <c r="F385" s="121" t="s">
        <v>1759</v>
      </c>
      <c r="G385" s="129" t="s">
        <v>1759</v>
      </c>
      <c r="H385" s="129" t="s">
        <v>1759</v>
      </c>
      <c r="I385" s="129" t="s">
        <v>1759</v>
      </c>
      <c r="J385" s="129" t="s">
        <v>1759</v>
      </c>
    </row>
    <row r="386" spans="1:10">
      <c r="A386" s="128" t="s">
        <v>1813</v>
      </c>
      <c r="B386" s="129" t="s">
        <v>1759</v>
      </c>
      <c r="C386" s="121" t="s">
        <v>1798</v>
      </c>
      <c r="D386" s="121" t="s">
        <v>1759</v>
      </c>
      <c r="E386" s="121" t="s">
        <v>1759</v>
      </c>
      <c r="F386" s="121" t="s">
        <v>1759</v>
      </c>
      <c r="G386" s="129" t="s">
        <v>1759</v>
      </c>
      <c r="H386" s="129" t="s">
        <v>1759</v>
      </c>
      <c r="I386" s="129" t="s">
        <v>1759</v>
      </c>
      <c r="J386" s="129" t="s">
        <v>1759</v>
      </c>
    </row>
    <row r="387" spans="1:10">
      <c r="A387" s="128" t="s">
        <v>716</v>
      </c>
      <c r="B387" s="129" t="s">
        <v>1772</v>
      </c>
      <c r="C387" s="121" t="s">
        <v>1798</v>
      </c>
      <c r="D387" s="121" t="s">
        <v>1876</v>
      </c>
      <c r="E387" s="121" t="s">
        <v>1772</v>
      </c>
      <c r="F387" s="121" t="s">
        <v>1772</v>
      </c>
      <c r="G387" s="129" t="s">
        <v>1772</v>
      </c>
      <c r="H387" s="129" t="s">
        <v>1772</v>
      </c>
      <c r="I387" s="129" t="s">
        <v>1772</v>
      </c>
      <c r="J387" s="129" t="s">
        <v>1752</v>
      </c>
    </row>
    <row r="388" spans="1:10">
      <c r="A388" s="127" t="s">
        <v>1877</v>
      </c>
      <c r="B388" s="121">
        <v>5677477.86026662</v>
      </c>
      <c r="C388" s="121" t="s">
        <v>1798</v>
      </c>
      <c r="D388" s="122" t="s">
        <v>1756</v>
      </c>
      <c r="E388" s="122" t="s">
        <v>1756</v>
      </c>
      <c r="F388" s="122" t="s">
        <v>1756</v>
      </c>
      <c r="G388" s="121">
        <v>121329.280645529</v>
      </c>
      <c r="H388" s="121" t="s">
        <v>1774</v>
      </c>
      <c r="I388" s="121" t="s">
        <v>1774</v>
      </c>
      <c r="J388" s="121" t="s">
        <v>1774</v>
      </c>
    </row>
    <row r="389" spans="1:10">
      <c r="A389" s="128" t="s">
        <v>1809</v>
      </c>
      <c r="B389" s="129">
        <v>5122279.99128275</v>
      </c>
      <c r="C389" s="121" t="s">
        <v>1798</v>
      </c>
      <c r="D389" s="121">
        <v>19.4029313179078</v>
      </c>
      <c r="E389" s="121" t="s">
        <v>1752</v>
      </c>
      <c r="F389" s="121" t="s">
        <v>1752</v>
      </c>
      <c r="G389" s="129">
        <v>99387.2468619523</v>
      </c>
      <c r="H389" s="129" t="s">
        <v>1752</v>
      </c>
      <c r="I389" s="129" t="s">
        <v>1752</v>
      </c>
      <c r="J389" s="129" t="s">
        <v>1752</v>
      </c>
    </row>
    <row r="390" spans="1:10">
      <c r="A390" s="128" t="s">
        <v>1810</v>
      </c>
      <c r="B390" s="129">
        <v>208587.743379462</v>
      </c>
      <c r="C390" s="121" t="s">
        <v>1798</v>
      </c>
      <c r="D390" s="121">
        <v>70.9481871244428</v>
      </c>
      <c r="E390" s="121" t="s">
        <v>1752</v>
      </c>
      <c r="F390" s="121" t="s">
        <v>1752</v>
      </c>
      <c r="G390" s="129">
        <v>14798.9222491513</v>
      </c>
      <c r="H390" s="129" t="s">
        <v>1752</v>
      </c>
      <c r="I390" s="129" t="s">
        <v>1752</v>
      </c>
      <c r="J390" s="129" t="s">
        <v>1752</v>
      </c>
    </row>
    <row r="391" spans="1:10">
      <c r="A391" s="128" t="s">
        <v>1811</v>
      </c>
      <c r="B391" s="129">
        <v>346610.12560441</v>
      </c>
      <c r="C391" s="121" t="s">
        <v>1798</v>
      </c>
      <c r="D391" s="121">
        <v>20.6084906549383</v>
      </c>
      <c r="E391" s="121" t="s">
        <v>1752</v>
      </c>
      <c r="F391" s="121" t="s">
        <v>1752</v>
      </c>
      <c r="G391" s="129">
        <v>7143.11153442548</v>
      </c>
      <c r="H391" s="129" t="s">
        <v>1752</v>
      </c>
      <c r="I391" s="129" t="s">
        <v>1752</v>
      </c>
      <c r="J391" s="129" t="s">
        <v>1752</v>
      </c>
    </row>
    <row r="392" spans="1:10">
      <c r="A392" s="128" t="s">
        <v>1812</v>
      </c>
      <c r="B392" s="129" t="s">
        <v>1759</v>
      </c>
      <c r="C392" s="121" t="s">
        <v>1798</v>
      </c>
      <c r="D392" s="121" t="s">
        <v>1759</v>
      </c>
      <c r="E392" s="121" t="s">
        <v>1759</v>
      </c>
      <c r="F392" s="121" t="s">
        <v>1759</v>
      </c>
      <c r="G392" s="129" t="s">
        <v>1759</v>
      </c>
      <c r="H392" s="129" t="s">
        <v>1759</v>
      </c>
      <c r="I392" s="129" t="s">
        <v>1759</v>
      </c>
      <c r="J392" s="129" t="s">
        <v>1759</v>
      </c>
    </row>
    <row r="393" spans="1:10">
      <c r="A393" s="128" t="s">
        <v>1813</v>
      </c>
      <c r="B393" s="129" t="s">
        <v>1759</v>
      </c>
      <c r="C393" s="121" t="s">
        <v>1798</v>
      </c>
      <c r="D393" s="121" t="s">
        <v>1759</v>
      </c>
      <c r="E393" s="121" t="s">
        <v>1759</v>
      </c>
      <c r="F393" s="121" t="s">
        <v>1759</v>
      </c>
      <c r="G393" s="129" t="s">
        <v>1759</v>
      </c>
      <c r="H393" s="129" t="s">
        <v>1759</v>
      </c>
      <c r="I393" s="129" t="s">
        <v>1759</v>
      </c>
      <c r="J393" s="129" t="s">
        <v>1759</v>
      </c>
    </row>
    <row r="394" spans="1:10">
      <c r="A394" s="128" t="s">
        <v>716</v>
      </c>
      <c r="B394" s="129" t="s">
        <v>1752</v>
      </c>
      <c r="C394" s="121" t="s">
        <v>1798</v>
      </c>
      <c r="D394" s="121" t="s">
        <v>1752</v>
      </c>
      <c r="E394" s="121" t="s">
        <v>1752</v>
      </c>
      <c r="F394" s="121" t="s">
        <v>1752</v>
      </c>
      <c r="G394" s="129" t="s">
        <v>1752</v>
      </c>
      <c r="H394" s="129" t="s">
        <v>1752</v>
      </c>
      <c r="I394" s="129" t="s">
        <v>1752</v>
      </c>
      <c r="J394" s="129" t="s">
        <v>1752</v>
      </c>
    </row>
    <row r="395" spans="1:10">
      <c r="A395" s="138" t="s">
        <v>1878</v>
      </c>
      <c r="B395" s="121">
        <v>388367.157453828</v>
      </c>
      <c r="C395" s="121" t="s">
        <v>1798</v>
      </c>
      <c r="D395" s="122" t="s">
        <v>1756</v>
      </c>
      <c r="E395" s="122" t="s">
        <v>1756</v>
      </c>
      <c r="F395" s="122" t="s">
        <v>1756</v>
      </c>
      <c r="G395" s="121">
        <v>28046.5637376296</v>
      </c>
      <c r="H395" s="121">
        <v>0.48826677857</v>
      </c>
      <c r="I395" s="121">
        <v>0.78160963399832</v>
      </c>
      <c r="J395" s="122" t="s">
        <v>1756</v>
      </c>
    </row>
    <row r="396" spans="1:10">
      <c r="A396" s="127" t="s">
        <v>1879</v>
      </c>
      <c r="B396" s="121">
        <v>388367.157453828</v>
      </c>
      <c r="C396" s="121" t="s">
        <v>1798</v>
      </c>
      <c r="D396" s="122" t="s">
        <v>1756</v>
      </c>
      <c r="E396" s="122" t="s">
        <v>1756</v>
      </c>
      <c r="F396" s="122" t="s">
        <v>1756</v>
      </c>
      <c r="G396" s="121">
        <v>28046.5637376296</v>
      </c>
      <c r="H396" s="121">
        <v>0.48826677857</v>
      </c>
      <c r="I396" s="121">
        <v>0.78160963399832</v>
      </c>
      <c r="J396" s="122" t="s">
        <v>1756</v>
      </c>
    </row>
    <row r="397" spans="1:10">
      <c r="A397" s="128" t="s">
        <v>1809</v>
      </c>
      <c r="B397" s="129">
        <v>388367.157453828</v>
      </c>
      <c r="C397" s="121" t="s">
        <v>1798</v>
      </c>
      <c r="D397" s="121">
        <v>72.2166207912778</v>
      </c>
      <c r="E397" s="121">
        <v>1.25722983830848</v>
      </c>
      <c r="F397" s="121">
        <v>2.012553376353</v>
      </c>
      <c r="G397" s="129">
        <v>28046.5637376296</v>
      </c>
      <c r="H397" s="129">
        <v>0.48826677857</v>
      </c>
      <c r="I397" s="129">
        <v>0.78160963399832</v>
      </c>
      <c r="J397" s="122" t="s">
        <v>1756</v>
      </c>
    </row>
    <row r="398" spans="1:10">
      <c r="A398" s="128" t="s">
        <v>1810</v>
      </c>
      <c r="B398" s="129" t="s">
        <v>1759</v>
      </c>
      <c r="C398" s="121" t="s">
        <v>1798</v>
      </c>
      <c r="D398" s="121" t="s">
        <v>1759</v>
      </c>
      <c r="E398" s="121" t="s">
        <v>1759</v>
      </c>
      <c r="F398" s="121" t="s">
        <v>1759</v>
      </c>
      <c r="G398" s="129" t="s">
        <v>1759</v>
      </c>
      <c r="H398" s="129" t="s">
        <v>1759</v>
      </c>
      <c r="I398" s="129" t="s">
        <v>1759</v>
      </c>
      <c r="J398" s="122" t="s">
        <v>1756</v>
      </c>
    </row>
    <row r="399" spans="1:10">
      <c r="A399" s="128" t="s">
        <v>1811</v>
      </c>
      <c r="B399" s="129" t="s">
        <v>1759</v>
      </c>
      <c r="C399" s="121" t="s">
        <v>1798</v>
      </c>
      <c r="D399" s="121" t="s">
        <v>1759</v>
      </c>
      <c r="E399" s="121" t="s">
        <v>1759</v>
      </c>
      <c r="F399" s="121" t="s">
        <v>1759</v>
      </c>
      <c r="G399" s="129" t="s">
        <v>1759</v>
      </c>
      <c r="H399" s="129" t="s">
        <v>1759</v>
      </c>
      <c r="I399" s="129" t="s">
        <v>1759</v>
      </c>
      <c r="J399" s="122" t="s">
        <v>1756</v>
      </c>
    </row>
    <row r="400" spans="1:10">
      <c r="A400" s="128" t="s">
        <v>1812</v>
      </c>
      <c r="B400" s="129" t="s">
        <v>1759</v>
      </c>
      <c r="C400" s="121" t="s">
        <v>1798</v>
      </c>
      <c r="D400" s="121" t="s">
        <v>1759</v>
      </c>
      <c r="E400" s="121" t="s">
        <v>1759</v>
      </c>
      <c r="F400" s="121" t="s">
        <v>1759</v>
      </c>
      <c r="G400" s="129" t="s">
        <v>1759</v>
      </c>
      <c r="H400" s="129" t="s">
        <v>1759</v>
      </c>
      <c r="I400" s="129" t="s">
        <v>1759</v>
      </c>
      <c r="J400" s="122" t="s">
        <v>1756</v>
      </c>
    </row>
    <row r="401" spans="1:13">
      <c r="A401" s="128" t="s">
        <v>716</v>
      </c>
      <c r="B401" s="129" t="s">
        <v>1759</v>
      </c>
      <c r="C401" s="121" t="s">
        <v>1798</v>
      </c>
      <c r="D401" s="121" t="s">
        <v>1759</v>
      </c>
      <c r="E401" s="121" t="s">
        <v>1759</v>
      </c>
      <c r="F401" s="121" t="s">
        <v>1759</v>
      </c>
      <c r="G401" s="129" t="s">
        <v>1759</v>
      </c>
      <c r="H401" s="129" t="s">
        <v>1759</v>
      </c>
      <c r="I401" s="129" t="s">
        <v>1759</v>
      </c>
      <c r="J401" s="122" t="s">
        <v>1756</v>
      </c>
    </row>
    <row r="402" spans="1:13">
      <c r="A402" s="143" t="s">
        <v>1880</v>
      </c>
      <c r="B402" s="144"/>
      <c r="C402" s="144"/>
      <c r="D402" s="144"/>
      <c r="E402" s="144"/>
      <c r="F402" s="144"/>
      <c r="G402" s="144"/>
      <c r="H402" s="144"/>
      <c r="I402" s="144"/>
      <c r="J402" s="144"/>
    </row>
    <row r="403" spans="1:13">
      <c r="A403" s="145" t="s">
        <v>1881</v>
      </c>
      <c r="B403" s="122" t="s">
        <v>1756</v>
      </c>
      <c r="C403" s="122" t="s">
        <v>1756</v>
      </c>
      <c r="D403" s="122" t="s">
        <v>1756</v>
      </c>
      <c r="E403" s="122" t="s">
        <v>1756</v>
      </c>
      <c r="F403" s="122" t="s">
        <v>1756</v>
      </c>
      <c r="G403" s="122" t="s">
        <v>1756</v>
      </c>
      <c r="H403" s="122" t="s">
        <v>1756</v>
      </c>
      <c r="I403" s="122" t="s">
        <v>1756</v>
      </c>
      <c r="J403" s="122" t="s">
        <v>1756</v>
      </c>
    </row>
    <row r="404" spans="1:13">
      <c r="A404" s="131" t="s">
        <v>1804</v>
      </c>
      <c r="B404" s="129" t="s">
        <v>1752</v>
      </c>
      <c r="C404" s="121" t="s">
        <v>1798</v>
      </c>
      <c r="D404" s="121" t="s">
        <v>1752</v>
      </c>
      <c r="E404" s="121" t="s">
        <v>1752</v>
      </c>
      <c r="F404" s="121" t="s">
        <v>1752</v>
      </c>
      <c r="G404" s="129" t="s">
        <v>1752</v>
      </c>
      <c r="H404" s="129" t="s">
        <v>1752</v>
      </c>
      <c r="I404" s="129" t="s">
        <v>1752</v>
      </c>
      <c r="J404" s="129" t="s">
        <v>1752</v>
      </c>
    </row>
    <row r="405" spans="1:13">
      <c r="A405" s="131" t="s">
        <v>1882</v>
      </c>
      <c r="B405" s="129" t="s">
        <v>1752</v>
      </c>
      <c r="C405" s="121" t="s">
        <v>1798</v>
      </c>
      <c r="D405" s="121" t="s">
        <v>1752</v>
      </c>
      <c r="E405" s="121" t="s">
        <v>1752</v>
      </c>
      <c r="F405" s="121" t="s">
        <v>1752</v>
      </c>
      <c r="G405" s="129" t="s">
        <v>1752</v>
      </c>
      <c r="H405" s="129" t="s">
        <v>1752</v>
      </c>
      <c r="I405" s="129" t="s">
        <v>1752</v>
      </c>
      <c r="J405" s="129" t="s">
        <v>1752</v>
      </c>
    </row>
    <row r="407" ht="13.9" spans="1:13">
      <c r="A407" s="90" t="s">
        <v>1883</v>
      </c>
      <c r="B407" s="146">
        <f>SUM(B215,B401)</f>
        <v>345378.916630542</v>
      </c>
      <c r="C407" s="146">
        <f t="shared" ref="C407:J407" si="7">SUM(C215,C401)</f>
        <v>0</v>
      </c>
      <c r="D407" s="146">
        <f t="shared" si="7"/>
        <v>65.0650354618194</v>
      </c>
      <c r="E407" s="146">
        <f t="shared" si="7"/>
        <v>0.01358677241335</v>
      </c>
      <c r="F407" s="146">
        <f t="shared" si="7"/>
        <v>0.01399403229176</v>
      </c>
      <c r="G407" s="146">
        <f t="shared" si="7"/>
        <v>22472.091458331</v>
      </c>
      <c r="H407" s="146">
        <f t="shared" si="7"/>
        <v>0.00469258473663</v>
      </c>
      <c r="I407" s="146">
        <f t="shared" si="7"/>
        <v>0.00483324371222</v>
      </c>
      <c r="J407" s="146">
        <f t="shared" si="7"/>
        <v>0</v>
      </c>
    </row>
    <row r="409" ht="15" spans="1:13">
      <c r="A409" s="63" t="s">
        <v>1884</v>
      </c>
      <c r="B409" s="63"/>
      <c r="C409" s="63"/>
      <c r="D409" s="63"/>
      <c r="E409" s="63"/>
      <c r="F409" s="63"/>
      <c r="G409" s="63"/>
      <c r="H409" s="147"/>
      <c r="I409" s="147"/>
      <c r="J409" s="147"/>
      <c r="K409" s="147"/>
      <c r="L409" s="147"/>
      <c r="M409" s="65" t="s">
        <v>1712</v>
      </c>
    </row>
    <row r="410" ht="15.35" spans="1:13">
      <c r="A410" s="64" t="s">
        <v>1713</v>
      </c>
      <c r="B410" s="98"/>
      <c r="C410" s="98"/>
      <c r="D410" s="98"/>
      <c r="E410" s="98"/>
      <c r="F410" s="98"/>
      <c r="G410" s="98"/>
      <c r="H410" s="147"/>
      <c r="I410" s="147"/>
      <c r="J410" s="147"/>
      <c r="K410" s="147"/>
      <c r="L410" s="147"/>
      <c r="M410" s="65" t="s">
        <v>1714</v>
      </c>
    </row>
    <row r="411" spans="1:13">
      <c r="A411" s="148"/>
      <c r="B411" s="147"/>
      <c r="C411" s="147"/>
      <c r="D411" s="147"/>
      <c r="E411" s="147"/>
      <c r="F411" s="147"/>
      <c r="G411" s="147"/>
      <c r="H411" s="147"/>
      <c r="I411" s="147"/>
      <c r="J411" s="147"/>
      <c r="K411" s="147"/>
      <c r="L411" s="149"/>
      <c r="M411" s="65" t="s">
        <v>1715</v>
      </c>
    </row>
    <row r="412" spans="1:13">
      <c r="A412" s="147"/>
      <c r="B412" s="147"/>
      <c r="C412" s="147"/>
      <c r="D412" s="147"/>
      <c r="E412" s="147"/>
      <c r="F412" s="147"/>
      <c r="G412" s="147"/>
      <c r="H412" s="147"/>
      <c r="I412" s="147"/>
      <c r="J412" s="147"/>
      <c r="K412" s="147"/>
      <c r="L412" s="147"/>
      <c r="M412" s="150"/>
    </row>
    <row r="413" ht="23.25" spans="1:13">
      <c r="A413" s="151" t="s">
        <v>1716</v>
      </c>
      <c r="B413" s="436" t="s">
        <v>1717</v>
      </c>
      <c r="C413" s="437" t="s">
        <v>1718</v>
      </c>
      <c r="D413" s="437" t="s">
        <v>1719</v>
      </c>
      <c r="E413" s="153" t="s">
        <v>1885</v>
      </c>
      <c r="F413" s="153" t="s">
        <v>1886</v>
      </c>
      <c r="G413" s="154" t="s">
        <v>1887</v>
      </c>
      <c r="H413" s="437" t="s">
        <v>1888</v>
      </c>
      <c r="I413" s="155" t="s">
        <v>1889</v>
      </c>
      <c r="J413" s="437" t="s">
        <v>1890</v>
      </c>
      <c r="K413" s="153" t="s">
        <v>649</v>
      </c>
      <c r="L413" s="153" t="s">
        <v>1721</v>
      </c>
      <c r="M413" s="438" t="s">
        <v>1891</v>
      </c>
    </row>
    <row r="414" ht="15.4" spans="1:13">
      <c r="A414" s="157"/>
      <c r="B414" s="158" t="s">
        <v>1723</v>
      </c>
      <c r="C414" s="158"/>
      <c r="D414" s="159"/>
      <c r="E414" s="160" t="s">
        <v>1892</v>
      </c>
      <c r="F414" s="158"/>
      <c r="G414" s="159"/>
      <c r="H414" s="160" t="s">
        <v>1723</v>
      </c>
      <c r="I414" s="118"/>
      <c r="J414" s="118"/>
      <c r="K414" s="118"/>
      <c r="L414" s="118"/>
      <c r="M414" s="119"/>
    </row>
    <row r="415" ht="14.6" spans="1:13">
      <c r="A415" s="161" t="s">
        <v>1893</v>
      </c>
      <c r="B415" s="162">
        <v>194388.531204011</v>
      </c>
      <c r="C415" s="162">
        <v>4.422839664</v>
      </c>
      <c r="D415" s="162">
        <v>83.6553097497663</v>
      </c>
      <c r="E415" s="162">
        <v>120191.117112447</v>
      </c>
      <c r="F415" s="162">
        <v>6716.30619437043</v>
      </c>
      <c r="G415" s="162">
        <v>7230.4559118</v>
      </c>
      <c r="H415" s="162">
        <v>0.51771056610324</v>
      </c>
      <c r="I415" s="162">
        <v>0.0285301500257</v>
      </c>
      <c r="J415" s="162">
        <v>572.165144953274</v>
      </c>
      <c r="K415" s="162">
        <v>1557.19399101959</v>
      </c>
      <c r="L415" s="162">
        <v>5849.21971214434</v>
      </c>
      <c r="M415" s="162">
        <v>830.759872282037</v>
      </c>
    </row>
    <row r="416" spans="1:13">
      <c r="A416" s="163" t="s">
        <v>1894</v>
      </c>
      <c r="B416" s="162">
        <v>70637.7211749076</v>
      </c>
      <c r="C416" s="122" t="s">
        <v>1756</v>
      </c>
      <c r="D416" s="122" t="s">
        <v>1756</v>
      </c>
      <c r="E416" s="122" t="s">
        <v>1756</v>
      </c>
      <c r="F416" s="122" t="s">
        <v>1756</v>
      </c>
      <c r="G416" s="122" t="s">
        <v>1756</v>
      </c>
      <c r="H416" s="122" t="s">
        <v>1756</v>
      </c>
      <c r="I416" s="122" t="s">
        <v>1756</v>
      </c>
      <c r="J416" s="162" t="s">
        <v>1752</v>
      </c>
      <c r="K416" s="162" t="s">
        <v>1752</v>
      </c>
      <c r="L416" s="162" t="s">
        <v>1752</v>
      </c>
      <c r="M416" s="162">
        <v>134.036496485041</v>
      </c>
    </row>
    <row r="417" spans="1:13">
      <c r="A417" s="164" t="s">
        <v>1895</v>
      </c>
      <c r="B417" s="162">
        <v>46194.121028709</v>
      </c>
      <c r="C417" s="122" t="s">
        <v>1756</v>
      </c>
      <c r="D417" s="122" t="s">
        <v>1756</v>
      </c>
      <c r="E417" s="122" t="s">
        <v>1756</v>
      </c>
      <c r="F417" s="122" t="s">
        <v>1756</v>
      </c>
      <c r="G417" s="122" t="s">
        <v>1756</v>
      </c>
      <c r="H417" s="122" t="s">
        <v>1756</v>
      </c>
      <c r="I417" s="122" t="s">
        <v>1756</v>
      </c>
      <c r="J417" s="122" t="s">
        <v>1756</v>
      </c>
      <c r="K417" s="122" t="s">
        <v>1756</v>
      </c>
      <c r="L417" s="122" t="s">
        <v>1756</v>
      </c>
      <c r="M417" s="129">
        <v>134.036496485041</v>
      </c>
    </row>
    <row r="418" spans="1:13">
      <c r="A418" s="164" t="s">
        <v>1896</v>
      </c>
      <c r="B418" s="162">
        <v>14551.9558974018</v>
      </c>
      <c r="C418" s="122" t="s">
        <v>1756</v>
      </c>
      <c r="D418" s="122" t="s">
        <v>1756</v>
      </c>
      <c r="E418" s="122" t="s">
        <v>1756</v>
      </c>
      <c r="F418" s="122" t="s">
        <v>1756</v>
      </c>
      <c r="G418" s="122" t="s">
        <v>1756</v>
      </c>
      <c r="H418" s="122" t="s">
        <v>1756</v>
      </c>
      <c r="I418" s="122" t="s">
        <v>1756</v>
      </c>
      <c r="J418" s="122" t="s">
        <v>1756</v>
      </c>
      <c r="K418" s="122" t="s">
        <v>1756</v>
      </c>
      <c r="L418" s="122" t="s">
        <v>1756</v>
      </c>
      <c r="M418" s="122" t="s">
        <v>1756</v>
      </c>
    </row>
    <row r="419" spans="1:13">
      <c r="A419" s="164" t="s">
        <v>1897</v>
      </c>
      <c r="B419" s="162">
        <v>2432.40497120609</v>
      </c>
      <c r="C419" s="122" t="s">
        <v>1756</v>
      </c>
      <c r="D419" s="122" t="s">
        <v>1756</v>
      </c>
      <c r="E419" s="122" t="s">
        <v>1756</v>
      </c>
      <c r="F419" s="122" t="s">
        <v>1756</v>
      </c>
      <c r="G419" s="122" t="s">
        <v>1756</v>
      </c>
      <c r="H419" s="122" t="s">
        <v>1756</v>
      </c>
      <c r="I419" s="122" t="s">
        <v>1756</v>
      </c>
      <c r="J419" s="122" t="s">
        <v>1756</v>
      </c>
      <c r="K419" s="122" t="s">
        <v>1756</v>
      </c>
      <c r="L419" s="122" t="s">
        <v>1756</v>
      </c>
      <c r="M419" s="122" t="s">
        <v>1756</v>
      </c>
    </row>
    <row r="420" spans="1:13">
      <c r="A420" s="164" t="s">
        <v>1898</v>
      </c>
      <c r="B420" s="162">
        <v>7459.23927759073</v>
      </c>
      <c r="C420" s="122" t="s">
        <v>1756</v>
      </c>
      <c r="D420" s="122" t="s">
        <v>1756</v>
      </c>
      <c r="E420" s="122" t="s">
        <v>1756</v>
      </c>
      <c r="F420" s="122" t="s">
        <v>1756</v>
      </c>
      <c r="G420" s="122" t="s">
        <v>1756</v>
      </c>
      <c r="H420" s="122" t="s">
        <v>1756</v>
      </c>
      <c r="I420" s="122" t="s">
        <v>1756</v>
      </c>
      <c r="J420" s="162" t="s">
        <v>1752</v>
      </c>
      <c r="K420" s="162" t="s">
        <v>1752</v>
      </c>
      <c r="L420" s="162" t="s">
        <v>1752</v>
      </c>
      <c r="M420" s="162" t="s">
        <v>1752</v>
      </c>
    </row>
    <row r="421" spans="1:13">
      <c r="A421" s="165" t="s">
        <v>1899</v>
      </c>
      <c r="B421" s="162">
        <v>46553.7659964567</v>
      </c>
      <c r="C421" s="162">
        <v>3.462</v>
      </c>
      <c r="D421" s="162">
        <v>69.090317678675</v>
      </c>
      <c r="E421" s="162">
        <v>20040.3251020408</v>
      </c>
      <c r="F421" s="162" t="s">
        <v>1752</v>
      </c>
      <c r="G421" s="162" t="s">
        <v>1752</v>
      </c>
      <c r="H421" s="162" t="s">
        <v>1752</v>
      </c>
      <c r="I421" s="162" t="s">
        <v>1752</v>
      </c>
      <c r="J421" s="162">
        <v>55.2490694971272</v>
      </c>
      <c r="K421" s="162">
        <v>188.720912202549</v>
      </c>
      <c r="L421" s="162">
        <v>213.376038280813</v>
      </c>
      <c r="M421" s="162">
        <v>228.157699058</v>
      </c>
    </row>
    <row r="422" spans="1:13">
      <c r="A422" s="166" t="s">
        <v>1900</v>
      </c>
      <c r="B422" s="162">
        <v>9177.0984328</v>
      </c>
      <c r="C422" s="162" t="s">
        <v>1752</v>
      </c>
      <c r="D422" s="162" t="s">
        <v>1752</v>
      </c>
      <c r="E422" s="122" t="s">
        <v>1756</v>
      </c>
      <c r="F422" s="122" t="s">
        <v>1756</v>
      </c>
      <c r="G422" s="122" t="s">
        <v>1756</v>
      </c>
      <c r="H422" s="122" t="s">
        <v>1756</v>
      </c>
      <c r="I422" s="122" t="s">
        <v>1756</v>
      </c>
      <c r="J422" s="129" t="s">
        <v>1730</v>
      </c>
      <c r="K422" s="129" t="s">
        <v>1730</v>
      </c>
      <c r="L422" s="129" t="s">
        <v>1730</v>
      </c>
      <c r="M422" s="129" t="s">
        <v>1730</v>
      </c>
    </row>
    <row r="423" spans="1:13">
      <c r="A423" s="164" t="s">
        <v>1901</v>
      </c>
      <c r="B423" s="122" t="s">
        <v>1756</v>
      </c>
      <c r="C423" s="122" t="s">
        <v>1756</v>
      </c>
      <c r="D423" s="162">
        <v>37.9748508920364</v>
      </c>
      <c r="E423" s="122" t="s">
        <v>1756</v>
      </c>
      <c r="F423" s="122" t="s">
        <v>1756</v>
      </c>
      <c r="G423" s="122" t="s">
        <v>1756</v>
      </c>
      <c r="H423" s="122" t="s">
        <v>1756</v>
      </c>
      <c r="I423" s="122" t="s">
        <v>1756</v>
      </c>
      <c r="J423" s="129" t="s">
        <v>1730</v>
      </c>
      <c r="K423" s="122" t="s">
        <v>1756</v>
      </c>
      <c r="L423" s="122" t="s">
        <v>1756</v>
      </c>
      <c r="M423" s="122" t="s">
        <v>1756</v>
      </c>
    </row>
    <row r="424" spans="1:13">
      <c r="A424" s="164" t="s">
        <v>1902</v>
      </c>
      <c r="B424" s="162" t="s">
        <v>1752</v>
      </c>
      <c r="C424" s="122" t="s">
        <v>1756</v>
      </c>
      <c r="D424" s="162">
        <v>23.9604667866386</v>
      </c>
      <c r="E424" s="122" t="s">
        <v>1756</v>
      </c>
      <c r="F424" s="122" t="s">
        <v>1756</v>
      </c>
      <c r="G424" s="122" t="s">
        <v>1756</v>
      </c>
      <c r="H424" s="122" t="s">
        <v>1756</v>
      </c>
      <c r="I424" s="122" t="s">
        <v>1756</v>
      </c>
      <c r="J424" s="129" t="s">
        <v>1730</v>
      </c>
      <c r="K424" s="129" t="s">
        <v>1730</v>
      </c>
      <c r="L424" s="129" t="s">
        <v>1730</v>
      </c>
      <c r="M424" s="122" t="s">
        <v>1756</v>
      </c>
    </row>
    <row r="425" spans="1:13">
      <c r="A425" s="164" t="s">
        <v>1903</v>
      </c>
      <c r="B425" s="162" t="s">
        <v>1876</v>
      </c>
      <c r="C425" s="122" t="s">
        <v>1756</v>
      </c>
      <c r="D425" s="162">
        <v>7.155</v>
      </c>
      <c r="E425" s="122" t="s">
        <v>1756</v>
      </c>
      <c r="F425" s="122" t="s">
        <v>1756</v>
      </c>
      <c r="G425" s="122" t="s">
        <v>1756</v>
      </c>
      <c r="H425" s="122" t="s">
        <v>1756</v>
      </c>
      <c r="I425" s="122" t="s">
        <v>1756</v>
      </c>
      <c r="J425" s="122" t="s">
        <v>1756</v>
      </c>
      <c r="K425" s="122" t="s">
        <v>1756</v>
      </c>
      <c r="L425" s="129" t="s">
        <v>1730</v>
      </c>
      <c r="M425" s="129" t="s">
        <v>1730</v>
      </c>
    </row>
    <row r="426" spans="1:13">
      <c r="A426" s="164" t="s">
        <v>1904</v>
      </c>
      <c r="B426" s="162">
        <v>91.7</v>
      </c>
      <c r="C426" s="162">
        <v>0.406</v>
      </c>
      <c r="D426" s="122" t="s">
        <v>1756</v>
      </c>
      <c r="E426" s="122" t="s">
        <v>1756</v>
      </c>
      <c r="F426" s="122" t="s">
        <v>1756</v>
      </c>
      <c r="G426" s="122" t="s">
        <v>1756</v>
      </c>
      <c r="H426" s="122" t="s">
        <v>1756</v>
      </c>
      <c r="I426" s="122" t="s">
        <v>1756</v>
      </c>
      <c r="J426" s="129" t="s">
        <v>1730</v>
      </c>
      <c r="K426" s="129" t="s">
        <v>1730</v>
      </c>
      <c r="L426" s="129" t="s">
        <v>1730</v>
      </c>
      <c r="M426" s="129" t="s">
        <v>1730</v>
      </c>
    </row>
    <row r="427" spans="1:13">
      <c r="A427" s="164" t="s">
        <v>1905</v>
      </c>
      <c r="B427" s="162">
        <v>1755.4</v>
      </c>
      <c r="C427" s="122" t="s">
        <v>1756</v>
      </c>
      <c r="D427" s="122" t="s">
        <v>1756</v>
      </c>
      <c r="E427" s="122" t="s">
        <v>1756</v>
      </c>
      <c r="F427" s="122" t="s">
        <v>1756</v>
      </c>
      <c r="G427" s="122" t="s">
        <v>1756</v>
      </c>
      <c r="H427" s="122" t="s">
        <v>1756</v>
      </c>
      <c r="I427" s="122" t="s">
        <v>1756</v>
      </c>
      <c r="J427" s="122" t="s">
        <v>1756</v>
      </c>
      <c r="K427" s="122" t="s">
        <v>1756</v>
      </c>
      <c r="L427" s="122" t="s">
        <v>1756</v>
      </c>
      <c r="M427" s="122" t="s">
        <v>1756</v>
      </c>
    </row>
    <row r="428" spans="1:13">
      <c r="A428" s="164" t="s">
        <v>1906</v>
      </c>
      <c r="B428" s="162">
        <v>1655.30671859786</v>
      </c>
      <c r="C428" s="122" t="s">
        <v>1756</v>
      </c>
      <c r="D428" s="122" t="s">
        <v>1756</v>
      </c>
      <c r="E428" s="122" t="s">
        <v>1756</v>
      </c>
      <c r="F428" s="122" t="s">
        <v>1756</v>
      </c>
      <c r="G428" s="122" t="s">
        <v>1756</v>
      </c>
      <c r="H428" s="122" t="s">
        <v>1756</v>
      </c>
      <c r="I428" s="122" t="s">
        <v>1756</v>
      </c>
      <c r="J428" s="122" t="s">
        <v>1756</v>
      </c>
      <c r="K428" s="122" t="s">
        <v>1756</v>
      </c>
      <c r="L428" s="122" t="s">
        <v>1756</v>
      </c>
      <c r="M428" s="122" t="s">
        <v>1756</v>
      </c>
    </row>
    <row r="429" spans="1:13">
      <c r="A429" s="164" t="s">
        <v>1907</v>
      </c>
      <c r="B429" s="162">
        <v>27383.218865214</v>
      </c>
      <c r="C429" s="162">
        <v>3.056</v>
      </c>
      <c r="D429" s="122" t="s">
        <v>1756</v>
      </c>
      <c r="E429" s="122" t="s">
        <v>1756</v>
      </c>
      <c r="F429" s="122" t="s">
        <v>1756</v>
      </c>
      <c r="G429" s="122" t="s">
        <v>1756</v>
      </c>
      <c r="H429" s="122" t="s">
        <v>1756</v>
      </c>
      <c r="I429" s="122" t="s">
        <v>1756</v>
      </c>
      <c r="J429" s="129" t="s">
        <v>1730</v>
      </c>
      <c r="K429" s="129" t="s">
        <v>1730</v>
      </c>
      <c r="L429" s="129" t="s">
        <v>1730</v>
      </c>
      <c r="M429" s="129" t="s">
        <v>1730</v>
      </c>
    </row>
    <row r="430" spans="1:13">
      <c r="A430" s="164" t="s">
        <v>1908</v>
      </c>
      <c r="B430" s="122" t="s">
        <v>1756</v>
      </c>
      <c r="C430" s="122" t="s">
        <v>1756</v>
      </c>
      <c r="D430" s="122" t="s">
        <v>1756</v>
      </c>
      <c r="E430" s="162">
        <v>20040.3251020408</v>
      </c>
      <c r="F430" s="162" t="s">
        <v>1752</v>
      </c>
      <c r="G430" s="162" t="s">
        <v>1752</v>
      </c>
      <c r="H430" s="162" t="s">
        <v>1752</v>
      </c>
      <c r="I430" s="162" t="s">
        <v>1752</v>
      </c>
      <c r="J430" s="122" t="s">
        <v>1756</v>
      </c>
      <c r="K430" s="122" t="s">
        <v>1756</v>
      </c>
      <c r="L430" s="122" t="s">
        <v>1756</v>
      </c>
      <c r="M430" s="122" t="s">
        <v>1756</v>
      </c>
    </row>
    <row r="431" spans="1:13">
      <c r="A431" s="167" t="s">
        <v>1909</v>
      </c>
      <c r="B431" s="162">
        <v>6491.04197984487</v>
      </c>
      <c r="C431" s="162" t="s">
        <v>1774</v>
      </c>
      <c r="D431" s="162" t="s">
        <v>1752</v>
      </c>
      <c r="E431" s="162" t="s">
        <v>1752</v>
      </c>
      <c r="F431" s="162" t="s">
        <v>1752</v>
      </c>
      <c r="G431" s="162" t="s">
        <v>1752</v>
      </c>
      <c r="H431" s="162" t="s">
        <v>1752</v>
      </c>
      <c r="I431" s="162" t="s">
        <v>1752</v>
      </c>
      <c r="J431" s="162">
        <v>55.2490694971272</v>
      </c>
      <c r="K431" s="162">
        <v>188.720912202549</v>
      </c>
      <c r="L431" s="162">
        <v>213.376038280813</v>
      </c>
      <c r="M431" s="162">
        <v>228.157699058</v>
      </c>
    </row>
    <row r="432" spans="1:13">
      <c r="A432" s="163" t="s">
        <v>1910</v>
      </c>
      <c r="B432" s="162">
        <v>77197.0440326464</v>
      </c>
      <c r="C432" s="162">
        <v>0.960839664</v>
      </c>
      <c r="D432" s="162" t="s">
        <v>1752</v>
      </c>
      <c r="E432" s="162" t="s">
        <v>1774</v>
      </c>
      <c r="F432" s="162">
        <v>3439.75418562005</v>
      </c>
      <c r="G432" s="162" t="s">
        <v>1752</v>
      </c>
      <c r="H432" s="162">
        <v>0.12041830440901</v>
      </c>
      <c r="I432" s="162" t="s">
        <v>1752</v>
      </c>
      <c r="J432" s="162">
        <v>60.032090854166</v>
      </c>
      <c r="K432" s="162">
        <v>752.394907577589</v>
      </c>
      <c r="L432" s="162">
        <v>44.8742870616353</v>
      </c>
      <c r="M432" s="162">
        <v>158.392259868006</v>
      </c>
    </row>
    <row r="433" spans="1:13">
      <c r="A433" s="164" t="s">
        <v>1911</v>
      </c>
      <c r="B433" s="162">
        <v>70076.4655743066</v>
      </c>
      <c r="C433" s="162">
        <v>0.574139664</v>
      </c>
      <c r="D433" s="122" t="s">
        <v>1756</v>
      </c>
      <c r="E433" s="122" t="s">
        <v>1756</v>
      </c>
      <c r="F433" s="122" t="s">
        <v>1756</v>
      </c>
      <c r="G433" s="122" t="s">
        <v>1756</v>
      </c>
      <c r="H433" s="122" t="s">
        <v>1756</v>
      </c>
      <c r="I433" s="122" t="s">
        <v>1756</v>
      </c>
      <c r="J433" s="129" t="s">
        <v>1730</v>
      </c>
      <c r="K433" s="129" t="s">
        <v>1730</v>
      </c>
      <c r="L433" s="129" t="s">
        <v>1730</v>
      </c>
      <c r="M433" s="129" t="s">
        <v>1730</v>
      </c>
    </row>
    <row r="434" spans="1:13">
      <c r="A434" s="164" t="s">
        <v>1912</v>
      </c>
      <c r="B434" s="162">
        <v>1391.9</v>
      </c>
      <c r="C434" s="162">
        <v>0.3867</v>
      </c>
      <c r="D434" s="122" t="s">
        <v>1756</v>
      </c>
      <c r="E434" s="122" t="s">
        <v>1756</v>
      </c>
      <c r="F434" s="122" t="s">
        <v>1756</v>
      </c>
      <c r="G434" s="122" t="s">
        <v>1756</v>
      </c>
      <c r="H434" s="122" t="s">
        <v>1756</v>
      </c>
      <c r="I434" s="122" t="s">
        <v>1756</v>
      </c>
      <c r="J434" s="129" t="s">
        <v>1730</v>
      </c>
      <c r="K434" s="129" t="s">
        <v>1730</v>
      </c>
      <c r="L434" s="129" t="s">
        <v>1730</v>
      </c>
      <c r="M434" s="129" t="s">
        <v>1730</v>
      </c>
    </row>
    <row r="435" spans="1:13">
      <c r="A435" s="164" t="s">
        <v>1913</v>
      </c>
      <c r="B435" s="162">
        <v>4142.04970456161</v>
      </c>
      <c r="C435" s="122" t="s">
        <v>1756</v>
      </c>
      <c r="D435" s="122" t="s">
        <v>1756</v>
      </c>
      <c r="E435" s="122" t="s">
        <v>1756</v>
      </c>
      <c r="F435" s="162">
        <v>3439.75418562005</v>
      </c>
      <c r="G435" s="122" t="s">
        <v>1756</v>
      </c>
      <c r="H435" s="162" t="s">
        <v>1752</v>
      </c>
      <c r="I435" s="122" t="s">
        <v>1756</v>
      </c>
      <c r="J435" s="129" t="s">
        <v>1730</v>
      </c>
      <c r="K435" s="129" t="s">
        <v>1730</v>
      </c>
      <c r="L435" s="129" t="s">
        <v>1730</v>
      </c>
      <c r="M435" s="129" t="s">
        <v>1730</v>
      </c>
    </row>
    <row r="436" spans="1:13">
      <c r="A436" s="167" t="s">
        <v>1914</v>
      </c>
      <c r="B436" s="162">
        <v>3.29622244637776</v>
      </c>
      <c r="C436" s="122" t="s">
        <v>1756</v>
      </c>
      <c r="D436" s="122" t="s">
        <v>1756</v>
      </c>
      <c r="E436" s="162" t="s">
        <v>1774</v>
      </c>
      <c r="F436" s="162" t="s">
        <v>1752</v>
      </c>
      <c r="G436" s="162" t="s">
        <v>1752</v>
      </c>
      <c r="H436" s="162">
        <v>0.12041830440901</v>
      </c>
      <c r="I436" s="122" t="s">
        <v>1756</v>
      </c>
      <c r="J436" s="129" t="s">
        <v>1730</v>
      </c>
      <c r="K436" s="129" t="s">
        <v>1730</v>
      </c>
      <c r="L436" s="129" t="s">
        <v>1730</v>
      </c>
      <c r="M436" s="129" t="s">
        <v>1730</v>
      </c>
    </row>
    <row r="437" spans="1:13">
      <c r="A437" s="168" t="s">
        <v>1915</v>
      </c>
      <c r="B437" s="162">
        <v>553.25</v>
      </c>
      <c r="C437" s="122" t="s">
        <v>1756</v>
      </c>
      <c r="D437" s="122" t="s">
        <v>1756</v>
      </c>
      <c r="E437" s="122" t="s">
        <v>1756</v>
      </c>
      <c r="F437" s="122" t="s">
        <v>1756</v>
      </c>
      <c r="G437" s="122" t="s">
        <v>1756</v>
      </c>
      <c r="H437" s="122" t="s">
        <v>1756</v>
      </c>
      <c r="I437" s="122" t="s">
        <v>1756</v>
      </c>
      <c r="J437" s="129" t="s">
        <v>1730</v>
      </c>
      <c r="K437" s="129" t="s">
        <v>1730</v>
      </c>
      <c r="L437" s="129" t="s">
        <v>1730</v>
      </c>
      <c r="M437" s="129" t="s">
        <v>1730</v>
      </c>
    </row>
    <row r="438" spans="1:13">
      <c r="A438" s="168" t="s">
        <v>1916</v>
      </c>
      <c r="B438" s="162">
        <v>1030.08253133176</v>
      </c>
      <c r="C438" s="122" t="s">
        <v>1756</v>
      </c>
      <c r="D438" s="122" t="s">
        <v>1756</v>
      </c>
      <c r="E438" s="122" t="s">
        <v>1756</v>
      </c>
      <c r="F438" s="122" t="s">
        <v>1756</v>
      </c>
      <c r="G438" s="122" t="s">
        <v>1756</v>
      </c>
      <c r="H438" s="122" t="s">
        <v>1756</v>
      </c>
      <c r="I438" s="122" t="s">
        <v>1756</v>
      </c>
      <c r="J438" s="129" t="s">
        <v>1730</v>
      </c>
      <c r="K438" s="129" t="s">
        <v>1730</v>
      </c>
      <c r="L438" s="129" t="s">
        <v>1730</v>
      </c>
      <c r="M438" s="129" t="s">
        <v>1730</v>
      </c>
    </row>
    <row r="439" spans="1:13">
      <c r="A439" s="164" t="s">
        <v>1917</v>
      </c>
      <c r="B439" s="162" t="s">
        <v>1752</v>
      </c>
      <c r="C439" s="162" t="s">
        <v>1752</v>
      </c>
      <c r="D439" s="162" t="s">
        <v>1752</v>
      </c>
      <c r="E439" s="162" t="s">
        <v>1752</v>
      </c>
      <c r="F439" s="162" t="s">
        <v>1752</v>
      </c>
      <c r="G439" s="162" t="s">
        <v>1752</v>
      </c>
      <c r="H439" s="162" t="s">
        <v>1752</v>
      </c>
      <c r="I439" s="162" t="s">
        <v>1752</v>
      </c>
      <c r="J439" s="162">
        <v>60.032090854166</v>
      </c>
      <c r="K439" s="162">
        <v>752.394907577589</v>
      </c>
      <c r="L439" s="162">
        <v>44.8742870616353</v>
      </c>
      <c r="M439" s="162">
        <v>158.392259868006</v>
      </c>
    </row>
    <row r="440" spans="1:13">
      <c r="A440" s="169" t="s">
        <v>1918</v>
      </c>
      <c r="B440" s="162" t="s">
        <v>1730</v>
      </c>
      <c r="C440" s="162" t="s">
        <v>1752</v>
      </c>
      <c r="D440" s="162" t="s">
        <v>1752</v>
      </c>
      <c r="E440" s="122" t="s">
        <v>1756</v>
      </c>
      <c r="F440" s="122" t="s">
        <v>1756</v>
      </c>
      <c r="G440" s="122" t="s">
        <v>1756</v>
      </c>
      <c r="H440" s="122" t="s">
        <v>1756</v>
      </c>
      <c r="I440" s="122" t="s">
        <v>1756</v>
      </c>
      <c r="J440" s="162" t="s">
        <v>1752</v>
      </c>
      <c r="K440" s="162" t="s">
        <v>1752</v>
      </c>
      <c r="L440" s="162" t="s">
        <v>1752</v>
      </c>
      <c r="M440" s="162" t="s">
        <v>1752</v>
      </c>
    </row>
    <row r="441" spans="1:13">
      <c r="A441" s="170" t="s">
        <v>1919</v>
      </c>
      <c r="B441" s="162" t="s">
        <v>1730</v>
      </c>
      <c r="C441" s="162" t="s">
        <v>1752</v>
      </c>
      <c r="D441" s="162" t="s">
        <v>1752</v>
      </c>
      <c r="E441" s="122" t="s">
        <v>1756</v>
      </c>
      <c r="F441" s="122" t="s">
        <v>1756</v>
      </c>
      <c r="G441" s="122" t="s">
        <v>1756</v>
      </c>
      <c r="H441" s="122" t="s">
        <v>1756</v>
      </c>
      <c r="I441" s="122" t="s">
        <v>1756</v>
      </c>
      <c r="J441" s="129" t="s">
        <v>1752</v>
      </c>
      <c r="K441" s="129" t="s">
        <v>1752</v>
      </c>
      <c r="L441" s="129" t="s">
        <v>1752</v>
      </c>
      <c r="M441" s="129" t="s">
        <v>1752</v>
      </c>
    </row>
    <row r="442" spans="1:13">
      <c r="A442" s="170" t="s">
        <v>1920</v>
      </c>
      <c r="B442" s="162" t="s">
        <v>1730</v>
      </c>
      <c r="C442" s="162" t="s">
        <v>1752</v>
      </c>
      <c r="D442" s="162" t="s">
        <v>1752</v>
      </c>
      <c r="E442" s="122" t="s">
        <v>1756</v>
      </c>
      <c r="F442" s="122" t="s">
        <v>1756</v>
      </c>
      <c r="G442" s="122" t="s">
        <v>1756</v>
      </c>
      <c r="H442" s="122" t="s">
        <v>1756</v>
      </c>
      <c r="I442" s="122" t="s">
        <v>1756</v>
      </c>
      <c r="J442" s="129" t="s">
        <v>1752</v>
      </c>
      <c r="K442" s="129" t="s">
        <v>1752</v>
      </c>
      <c r="L442" s="129" t="s">
        <v>1752</v>
      </c>
      <c r="M442" s="129" t="s">
        <v>1752</v>
      </c>
    </row>
    <row r="443" spans="1:13">
      <c r="A443" s="171" t="s">
        <v>1921</v>
      </c>
      <c r="B443" s="162" t="s">
        <v>1730</v>
      </c>
      <c r="C443" s="162" t="s">
        <v>1752</v>
      </c>
      <c r="D443" s="162" t="s">
        <v>1752</v>
      </c>
      <c r="E443" s="122" t="s">
        <v>1756</v>
      </c>
      <c r="F443" s="122" t="s">
        <v>1756</v>
      </c>
      <c r="G443" s="122" t="s">
        <v>1756</v>
      </c>
      <c r="H443" s="122" t="s">
        <v>1756</v>
      </c>
      <c r="I443" s="122" t="s">
        <v>1756</v>
      </c>
      <c r="J443" s="162" t="s">
        <v>1752</v>
      </c>
      <c r="K443" s="162" t="s">
        <v>1752</v>
      </c>
      <c r="L443" s="162" t="s">
        <v>1752</v>
      </c>
      <c r="M443" s="162" t="s">
        <v>1752</v>
      </c>
    </row>
    <row r="444" spans="1:13">
      <c r="A444" s="172" t="s">
        <v>1922</v>
      </c>
      <c r="B444" s="122" t="s">
        <v>1756</v>
      </c>
      <c r="C444" s="122" t="s">
        <v>1756</v>
      </c>
      <c r="D444" s="122" t="s">
        <v>1756</v>
      </c>
      <c r="E444" s="162">
        <v>205.03642790645</v>
      </c>
      <c r="F444" s="162">
        <v>3258.53924890357</v>
      </c>
      <c r="G444" s="162" t="s">
        <v>1859</v>
      </c>
      <c r="H444" s="162">
        <v>0.03110324790793</v>
      </c>
      <c r="I444" s="162">
        <v>0.0285301500257</v>
      </c>
      <c r="J444" s="122" t="s">
        <v>1756</v>
      </c>
      <c r="K444" s="122" t="s">
        <v>1756</v>
      </c>
      <c r="L444" s="122" t="s">
        <v>1756</v>
      </c>
      <c r="M444" s="122" t="s">
        <v>1756</v>
      </c>
    </row>
    <row r="445" spans="1:13">
      <c r="A445" s="170" t="s">
        <v>1923</v>
      </c>
      <c r="B445" s="122" t="s">
        <v>1756</v>
      </c>
      <c r="C445" s="122" t="s">
        <v>1756</v>
      </c>
      <c r="D445" s="122" t="s">
        <v>1756</v>
      </c>
      <c r="E445" s="162">
        <v>203.141507294158</v>
      </c>
      <c r="F445" s="162">
        <v>3249.4595465139</v>
      </c>
      <c r="G445" s="162" t="s">
        <v>1772</v>
      </c>
      <c r="H445" s="162">
        <v>0.0306680427432</v>
      </c>
      <c r="I445" s="162">
        <v>0.0285301500257</v>
      </c>
      <c r="J445" s="122" t="s">
        <v>1756</v>
      </c>
      <c r="K445" s="122" t="s">
        <v>1756</v>
      </c>
      <c r="L445" s="122" t="s">
        <v>1756</v>
      </c>
      <c r="M445" s="122" t="s">
        <v>1756</v>
      </c>
    </row>
    <row r="446" spans="1:13">
      <c r="A446" s="170" t="s">
        <v>1924</v>
      </c>
      <c r="B446" s="122" t="s">
        <v>1756</v>
      </c>
      <c r="C446" s="122" t="s">
        <v>1756</v>
      </c>
      <c r="D446" s="122" t="s">
        <v>1756</v>
      </c>
      <c r="E446" s="162" t="s">
        <v>1772</v>
      </c>
      <c r="F446" s="162" t="s">
        <v>1772</v>
      </c>
      <c r="G446" s="162" t="s">
        <v>1772</v>
      </c>
      <c r="H446" s="162" t="s">
        <v>1772</v>
      </c>
      <c r="I446" s="162" t="s">
        <v>1772</v>
      </c>
      <c r="J446" s="122" t="s">
        <v>1756</v>
      </c>
      <c r="K446" s="122" t="s">
        <v>1756</v>
      </c>
      <c r="L446" s="122" t="s">
        <v>1756</v>
      </c>
      <c r="M446" s="122" t="s">
        <v>1756</v>
      </c>
    </row>
    <row r="447" spans="1:13">
      <c r="A447" s="170" t="s">
        <v>1925</v>
      </c>
      <c r="B447" s="122" t="s">
        <v>1756</v>
      </c>
      <c r="C447" s="122" t="s">
        <v>1756</v>
      </c>
      <c r="D447" s="122" t="s">
        <v>1756</v>
      </c>
      <c r="E447" s="162">
        <v>0.10311480095791</v>
      </c>
      <c r="F447" s="162">
        <v>3.65695222779205</v>
      </c>
      <c r="G447" s="162" t="s">
        <v>1772</v>
      </c>
      <c r="H447" s="162" t="s">
        <v>1759</v>
      </c>
      <c r="I447" s="162" t="s">
        <v>1759</v>
      </c>
      <c r="J447" s="122" t="s">
        <v>1756</v>
      </c>
      <c r="K447" s="122" t="s">
        <v>1756</v>
      </c>
      <c r="L447" s="122" t="s">
        <v>1756</v>
      </c>
      <c r="M447" s="122" t="s">
        <v>1756</v>
      </c>
    </row>
    <row r="448" spans="1:13">
      <c r="A448" s="170" t="s">
        <v>1926</v>
      </c>
      <c r="B448" s="122" t="s">
        <v>1756</v>
      </c>
      <c r="C448" s="122" t="s">
        <v>1756</v>
      </c>
      <c r="D448" s="122" t="s">
        <v>1756</v>
      </c>
      <c r="E448" s="162">
        <v>1.69846009704782</v>
      </c>
      <c r="F448" s="162">
        <v>3.58832316186976</v>
      </c>
      <c r="G448" s="162" t="s">
        <v>1759</v>
      </c>
      <c r="H448" s="162">
        <v>0.00034476945044</v>
      </c>
      <c r="I448" s="162" t="s">
        <v>1759</v>
      </c>
      <c r="J448" s="122" t="s">
        <v>1756</v>
      </c>
      <c r="K448" s="122" t="s">
        <v>1756</v>
      </c>
      <c r="L448" s="122" t="s">
        <v>1756</v>
      </c>
      <c r="M448" s="122" t="s">
        <v>1756</v>
      </c>
    </row>
    <row r="449" spans="1:13">
      <c r="A449" s="170" t="s">
        <v>1927</v>
      </c>
      <c r="B449" s="122" t="s">
        <v>1756</v>
      </c>
      <c r="C449" s="122" t="s">
        <v>1756</v>
      </c>
      <c r="D449" s="122" t="s">
        <v>1756</v>
      </c>
      <c r="E449" s="162">
        <v>0.09334571428567</v>
      </c>
      <c r="F449" s="162">
        <v>1.83442699999999</v>
      </c>
      <c r="G449" s="162" t="s">
        <v>1772</v>
      </c>
      <c r="H449" s="162">
        <v>9.043571429e-5</v>
      </c>
      <c r="I449" s="162" t="s">
        <v>1759</v>
      </c>
      <c r="J449" s="122" t="s">
        <v>1756</v>
      </c>
      <c r="K449" s="122" t="s">
        <v>1756</v>
      </c>
      <c r="L449" s="122" t="s">
        <v>1756</v>
      </c>
      <c r="M449" s="122" t="s">
        <v>1756</v>
      </c>
    </row>
    <row r="450" spans="1:13">
      <c r="A450" s="173" t="s">
        <v>1928</v>
      </c>
      <c r="B450" s="122" t="s">
        <v>1756</v>
      </c>
      <c r="C450" s="122" t="s">
        <v>1756</v>
      </c>
      <c r="D450" s="122" t="s">
        <v>1756</v>
      </c>
      <c r="E450" s="162">
        <v>99945.7555825</v>
      </c>
      <c r="F450" s="162">
        <v>15.660888</v>
      </c>
      <c r="G450" s="162">
        <v>7230.4559118</v>
      </c>
      <c r="H450" s="162" t="s">
        <v>1752</v>
      </c>
      <c r="I450" s="162" t="s">
        <v>1752</v>
      </c>
      <c r="J450" s="122" t="s">
        <v>1756</v>
      </c>
      <c r="K450" s="122" t="s">
        <v>1756</v>
      </c>
      <c r="L450" s="122" t="s">
        <v>1756</v>
      </c>
      <c r="M450" s="122" t="s">
        <v>1756</v>
      </c>
    </row>
    <row r="451" spans="1:13">
      <c r="A451" s="170" t="s">
        <v>1929</v>
      </c>
      <c r="B451" s="122" t="s">
        <v>1756</v>
      </c>
      <c r="C451" s="122" t="s">
        <v>1756</v>
      </c>
      <c r="D451" s="122" t="s">
        <v>1756</v>
      </c>
      <c r="E451" s="162">
        <v>89653.2305825</v>
      </c>
      <c r="F451" s="162" t="s">
        <v>1752</v>
      </c>
      <c r="G451" s="162" t="s">
        <v>1806</v>
      </c>
      <c r="H451" s="162" t="s">
        <v>1752</v>
      </c>
      <c r="I451" s="162" t="s">
        <v>1752</v>
      </c>
      <c r="J451" s="122" t="s">
        <v>1756</v>
      </c>
      <c r="K451" s="122" t="s">
        <v>1756</v>
      </c>
      <c r="L451" s="122" t="s">
        <v>1756</v>
      </c>
      <c r="M451" s="122" t="s">
        <v>1756</v>
      </c>
    </row>
    <row r="452" spans="1:13">
      <c r="A452" s="170" t="s">
        <v>1930</v>
      </c>
      <c r="B452" s="122" t="s">
        <v>1756</v>
      </c>
      <c r="C452" s="122" t="s">
        <v>1756</v>
      </c>
      <c r="D452" s="122" t="s">
        <v>1756</v>
      </c>
      <c r="E452" s="162">
        <v>1457.742</v>
      </c>
      <c r="F452" s="162" t="s">
        <v>1752</v>
      </c>
      <c r="G452" s="162" t="s">
        <v>1730</v>
      </c>
      <c r="H452" s="162" t="s">
        <v>1752</v>
      </c>
      <c r="I452" s="162" t="s">
        <v>1752</v>
      </c>
      <c r="J452" s="122" t="s">
        <v>1756</v>
      </c>
      <c r="K452" s="122" t="s">
        <v>1756</v>
      </c>
      <c r="L452" s="122" t="s">
        <v>1756</v>
      </c>
      <c r="M452" s="122" t="s">
        <v>1756</v>
      </c>
    </row>
    <row r="453" spans="1:13">
      <c r="A453" s="170" t="s">
        <v>1931</v>
      </c>
      <c r="B453" s="122" t="s">
        <v>1756</v>
      </c>
      <c r="C453" s="122" t="s">
        <v>1756</v>
      </c>
      <c r="D453" s="122" t="s">
        <v>1756</v>
      </c>
      <c r="E453" s="162">
        <v>301.258</v>
      </c>
      <c r="F453" s="162">
        <v>15.660888</v>
      </c>
      <c r="G453" s="162" t="s">
        <v>1730</v>
      </c>
      <c r="H453" s="162" t="s">
        <v>1752</v>
      </c>
      <c r="I453" s="162" t="s">
        <v>1752</v>
      </c>
      <c r="J453" s="122" t="s">
        <v>1756</v>
      </c>
      <c r="K453" s="122" t="s">
        <v>1756</v>
      </c>
      <c r="L453" s="122" t="s">
        <v>1756</v>
      </c>
      <c r="M453" s="122" t="s">
        <v>1756</v>
      </c>
    </row>
    <row r="454" spans="1:13">
      <c r="A454" s="170" t="s">
        <v>1932</v>
      </c>
      <c r="B454" s="122" t="s">
        <v>1756</v>
      </c>
      <c r="C454" s="122" t="s">
        <v>1756</v>
      </c>
      <c r="D454" s="122" t="s">
        <v>1756</v>
      </c>
      <c r="E454" s="162">
        <v>8533.525</v>
      </c>
      <c r="F454" s="162" t="s">
        <v>1752</v>
      </c>
      <c r="G454" s="162" t="s">
        <v>1816</v>
      </c>
      <c r="H454" s="162" t="s">
        <v>1752</v>
      </c>
      <c r="I454" s="162" t="s">
        <v>1752</v>
      </c>
      <c r="J454" s="122" t="s">
        <v>1756</v>
      </c>
      <c r="K454" s="122" t="s">
        <v>1756</v>
      </c>
      <c r="L454" s="122" t="s">
        <v>1756</v>
      </c>
      <c r="M454" s="122" t="s">
        <v>1756</v>
      </c>
    </row>
    <row r="455" spans="1:13">
      <c r="A455" s="170" t="s">
        <v>1933</v>
      </c>
      <c r="B455" s="122" t="s">
        <v>1756</v>
      </c>
      <c r="C455" s="122" t="s">
        <v>1756</v>
      </c>
      <c r="D455" s="122" t="s">
        <v>1756</v>
      </c>
      <c r="E455" s="162" t="s">
        <v>1752</v>
      </c>
      <c r="F455" s="162" t="s">
        <v>1752</v>
      </c>
      <c r="G455" s="162" t="s">
        <v>1730</v>
      </c>
      <c r="H455" s="162" t="s">
        <v>1752</v>
      </c>
      <c r="I455" s="162" t="s">
        <v>1752</v>
      </c>
      <c r="J455" s="122" t="s">
        <v>1756</v>
      </c>
      <c r="K455" s="122" t="s">
        <v>1756</v>
      </c>
      <c r="L455" s="122" t="s">
        <v>1756</v>
      </c>
      <c r="M455" s="122" t="s">
        <v>1756</v>
      </c>
    </row>
    <row r="456" spans="1:13">
      <c r="A456" s="171" t="s">
        <v>1934</v>
      </c>
      <c r="B456" s="122" t="s">
        <v>1756</v>
      </c>
      <c r="C456" s="122" t="s">
        <v>1756</v>
      </c>
      <c r="D456" s="122" t="s">
        <v>1756</v>
      </c>
      <c r="E456" s="162" t="s">
        <v>1752</v>
      </c>
      <c r="F456" s="162" t="s">
        <v>1752</v>
      </c>
      <c r="G456" s="162">
        <v>7230.4559118</v>
      </c>
      <c r="H456" s="162" t="s">
        <v>1752</v>
      </c>
      <c r="I456" s="162" t="s">
        <v>1752</v>
      </c>
      <c r="J456" s="122" t="s">
        <v>1756</v>
      </c>
      <c r="K456" s="122" t="s">
        <v>1756</v>
      </c>
      <c r="L456" s="122" t="s">
        <v>1756</v>
      </c>
      <c r="M456" s="122" t="s">
        <v>1756</v>
      </c>
    </row>
    <row r="457" spans="1:13">
      <c r="A457" s="172" t="s">
        <v>1935</v>
      </c>
      <c r="B457" s="162" t="s">
        <v>1876</v>
      </c>
      <c r="C457" s="162" t="s">
        <v>1876</v>
      </c>
      <c r="D457" s="162">
        <v>14.152081944</v>
      </c>
      <c r="E457" s="162" t="s">
        <v>1752</v>
      </c>
      <c r="F457" s="162">
        <v>2.35187184681337</v>
      </c>
      <c r="G457" s="162" t="s">
        <v>1752</v>
      </c>
      <c r="H457" s="162">
        <v>0.3661890137863</v>
      </c>
      <c r="I457" s="162" t="s">
        <v>1752</v>
      </c>
      <c r="J457" s="162">
        <v>3.05956505742897</v>
      </c>
      <c r="K457" s="162">
        <v>2.2218459027464</v>
      </c>
      <c r="L457" s="162">
        <v>3851.22313086717</v>
      </c>
      <c r="M457" s="162">
        <v>0.17191986356898</v>
      </c>
    </row>
    <row r="458" spans="1:13">
      <c r="A458" s="170" t="s">
        <v>1936</v>
      </c>
      <c r="B458" s="122" t="s">
        <v>1756</v>
      </c>
      <c r="C458" s="122" t="s">
        <v>1756</v>
      </c>
      <c r="D458" s="122" t="s">
        <v>1756</v>
      </c>
      <c r="E458" s="162" t="s">
        <v>1752</v>
      </c>
      <c r="F458" s="162">
        <v>2.35187184681337</v>
      </c>
      <c r="G458" s="162" t="s">
        <v>1752</v>
      </c>
      <c r="H458" s="162">
        <v>0.3661890137863</v>
      </c>
      <c r="I458" s="162" t="s">
        <v>1752</v>
      </c>
      <c r="J458" s="122" t="s">
        <v>1756</v>
      </c>
      <c r="K458" s="122" t="s">
        <v>1756</v>
      </c>
      <c r="L458" s="122" t="s">
        <v>1756</v>
      </c>
      <c r="M458" s="122" t="s">
        <v>1756</v>
      </c>
    </row>
    <row r="459" ht="14.65" spans="1:13">
      <c r="A459" s="170" t="s">
        <v>1937</v>
      </c>
      <c r="B459" s="122" t="s">
        <v>1756</v>
      </c>
      <c r="C459" s="122" t="s">
        <v>1756</v>
      </c>
      <c r="D459" s="122" t="s">
        <v>1756</v>
      </c>
      <c r="E459" s="122" t="s">
        <v>1756</v>
      </c>
      <c r="F459" s="162" t="s">
        <v>1752</v>
      </c>
      <c r="G459" s="162" t="s">
        <v>1756</v>
      </c>
      <c r="H459" s="162" t="s">
        <v>1772</v>
      </c>
      <c r="I459" s="122" t="s">
        <v>1756</v>
      </c>
      <c r="J459" s="122" t="s">
        <v>1756</v>
      </c>
      <c r="K459" s="122" t="s">
        <v>1756</v>
      </c>
      <c r="L459" s="122" t="s">
        <v>1756</v>
      </c>
      <c r="M459" s="122" t="s">
        <v>1756</v>
      </c>
    </row>
    <row r="460" ht="14.65" spans="1:13">
      <c r="A460" s="170" t="s">
        <v>1938</v>
      </c>
      <c r="B460" s="122" t="s">
        <v>1756</v>
      </c>
      <c r="C460" s="122" t="s">
        <v>1756</v>
      </c>
      <c r="D460" s="162">
        <v>14.152081944</v>
      </c>
      <c r="E460" s="122" t="s">
        <v>1756</v>
      </c>
      <c r="F460" s="122" t="s">
        <v>1756</v>
      </c>
      <c r="G460" s="122" t="s">
        <v>1756</v>
      </c>
      <c r="H460" s="122" t="s">
        <v>1756</v>
      </c>
      <c r="I460" s="122" t="s">
        <v>1756</v>
      </c>
      <c r="J460" s="122" t="s">
        <v>1756</v>
      </c>
      <c r="K460" s="122" t="s">
        <v>1756</v>
      </c>
      <c r="L460" s="122" t="s">
        <v>1756</v>
      </c>
      <c r="M460" s="122" t="s">
        <v>1756</v>
      </c>
    </row>
    <row r="461" spans="1:13">
      <c r="A461" s="170" t="s">
        <v>1939</v>
      </c>
      <c r="B461" s="162" t="s">
        <v>1876</v>
      </c>
      <c r="C461" s="162" t="s">
        <v>1876</v>
      </c>
      <c r="D461" s="162" t="s">
        <v>1876</v>
      </c>
      <c r="E461" s="162" t="s">
        <v>1752</v>
      </c>
      <c r="F461" s="162" t="s">
        <v>1752</v>
      </c>
      <c r="G461" s="162" t="s">
        <v>1752</v>
      </c>
      <c r="H461" s="162" t="s">
        <v>1752</v>
      </c>
      <c r="I461" s="162" t="s">
        <v>1752</v>
      </c>
      <c r="J461" s="162">
        <v>3.05956505742897</v>
      </c>
      <c r="K461" s="162">
        <v>2.2218459027464</v>
      </c>
      <c r="L461" s="162">
        <v>3851.22313086717</v>
      </c>
      <c r="M461" s="162">
        <v>0.17191986356898</v>
      </c>
    </row>
    <row r="462" spans="1:13">
      <c r="A462" s="169" t="s">
        <v>1940</v>
      </c>
      <c r="B462" s="162" t="s">
        <v>1774</v>
      </c>
      <c r="C462" s="162" t="s">
        <v>1752</v>
      </c>
      <c r="D462" s="162">
        <v>0.4129101270913</v>
      </c>
      <c r="E462" s="162" t="s">
        <v>1766</v>
      </c>
      <c r="F462" s="162" t="s">
        <v>1766</v>
      </c>
      <c r="G462" s="162" t="s">
        <v>1752</v>
      </c>
      <c r="H462" s="162" t="s">
        <v>1766</v>
      </c>
      <c r="I462" s="162" t="s">
        <v>1766</v>
      </c>
      <c r="J462" s="162">
        <v>453.824419544552</v>
      </c>
      <c r="K462" s="162">
        <v>613.856325336703</v>
      </c>
      <c r="L462" s="162">
        <v>1739.74625593472</v>
      </c>
      <c r="M462" s="162">
        <v>310.001497007422</v>
      </c>
    </row>
    <row r="464" ht="13.9" spans="1:13">
      <c r="A464" s="90" t="s">
        <v>1941</v>
      </c>
      <c r="B464" s="146">
        <f>B415</f>
        <v>194388.531204011</v>
      </c>
      <c r="C464" s="146">
        <f t="shared" ref="C464:M464" si="8">C415</f>
        <v>4.422839664</v>
      </c>
      <c r="D464" s="146">
        <f t="shared" si="8"/>
        <v>83.6553097497663</v>
      </c>
      <c r="E464" s="146">
        <f t="shared" si="8"/>
        <v>120191.117112447</v>
      </c>
      <c r="F464" s="146">
        <f t="shared" si="8"/>
        <v>6716.30619437043</v>
      </c>
      <c r="G464" s="146">
        <f t="shared" si="8"/>
        <v>7230.4559118</v>
      </c>
      <c r="H464" s="146">
        <f t="shared" si="8"/>
        <v>0.51771056610324</v>
      </c>
      <c r="I464" s="146">
        <f t="shared" si="8"/>
        <v>0.0285301500257</v>
      </c>
      <c r="J464" s="146">
        <f t="shared" si="8"/>
        <v>572.165144953274</v>
      </c>
      <c r="K464" s="146">
        <f t="shared" si="8"/>
        <v>1557.19399101959</v>
      </c>
      <c r="L464" s="146">
        <f t="shared" si="8"/>
        <v>5849.21971214434</v>
      </c>
      <c r="M464" s="146">
        <f t="shared" si="8"/>
        <v>830.759872282037</v>
      </c>
    </row>
    <row r="466" ht="19.5" spans="1:36">
      <c r="A466" s="174" t="s">
        <v>1942</v>
      </c>
      <c r="B466" s="174"/>
      <c r="C466" s="174"/>
      <c r="D466" s="174"/>
      <c r="E466" s="174"/>
      <c r="F466" s="174"/>
      <c r="G466" s="174"/>
      <c r="H466" s="174"/>
      <c r="I466" s="174"/>
      <c r="J466" s="174"/>
      <c r="K466" s="174"/>
      <c r="L466" s="174"/>
      <c r="M466" s="174"/>
      <c r="N466" s="174"/>
      <c r="O466" s="174"/>
      <c r="P466" s="174"/>
      <c r="Q466" s="174"/>
      <c r="R466" s="150"/>
      <c r="S466" s="150"/>
      <c r="T466" s="150"/>
      <c r="U466" s="150"/>
      <c r="V466" s="150"/>
      <c r="W466" s="150"/>
      <c r="X466" s="150"/>
      <c r="Y466" s="150"/>
      <c r="Z466" s="150"/>
      <c r="AA466" s="150"/>
      <c r="AB466" s="150"/>
      <c r="AC466" s="150"/>
      <c r="AD466" s="150"/>
      <c r="AE466" s="150"/>
      <c r="AF466" s="175"/>
      <c r="AG466" s="150"/>
      <c r="AH466" s="150"/>
      <c r="AI466" s="65" t="s">
        <v>1712</v>
      </c>
      <c r="AJ466" s="149"/>
    </row>
    <row r="467" ht="15.35" spans="1:36">
      <c r="A467" s="176" t="s">
        <v>1943</v>
      </c>
      <c r="B467" s="177"/>
      <c r="C467" s="177"/>
      <c r="D467" s="177"/>
      <c r="E467" s="177"/>
      <c r="F467" s="177"/>
      <c r="G467" s="177"/>
      <c r="H467" s="177"/>
      <c r="I467" s="177"/>
      <c r="J467" s="177"/>
      <c r="K467" s="177"/>
      <c r="L467" s="177"/>
      <c r="M467" s="177"/>
      <c r="N467" s="177"/>
      <c r="O467" s="177"/>
      <c r="P467" s="177"/>
      <c r="Q467" s="177"/>
      <c r="R467" s="150"/>
      <c r="S467" s="150"/>
      <c r="T467" s="150"/>
      <c r="U467" s="150"/>
      <c r="V467" s="150"/>
      <c r="W467" s="150"/>
      <c r="X467" s="150"/>
      <c r="Y467" s="150"/>
      <c r="Z467" s="150"/>
      <c r="AA467" s="150"/>
      <c r="AB467" s="150"/>
      <c r="AC467" s="150"/>
      <c r="AD467" s="150"/>
      <c r="AE467" s="150"/>
      <c r="AF467" s="175"/>
      <c r="AG467" s="149"/>
      <c r="AH467" s="149"/>
      <c r="AI467" s="65" t="s">
        <v>1714</v>
      </c>
      <c r="AJ467" s="149"/>
    </row>
    <row r="468" spans="1:36">
      <c r="A468" s="178"/>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75"/>
      <c r="AG468" s="149"/>
      <c r="AH468" s="149"/>
      <c r="AI468" s="65" t="s">
        <v>1715</v>
      </c>
      <c r="AJ468" s="149"/>
    </row>
    <row r="469" spans="1:36">
      <c r="A469" s="179"/>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c r="AH469" s="150"/>
      <c r="AI469" s="150"/>
      <c r="AJ469" s="150"/>
    </row>
    <row r="470" ht="64.5" customHeight="1" spans="1:36">
      <c r="A470" s="180" t="s">
        <v>1716</v>
      </c>
      <c r="B470" s="181" t="s">
        <v>1944</v>
      </c>
      <c r="C470" s="182" t="s">
        <v>1945</v>
      </c>
      <c r="D470" s="182" t="s">
        <v>1946</v>
      </c>
      <c r="E470" s="182" t="s">
        <v>1947</v>
      </c>
      <c r="F470" s="182" t="s">
        <v>1948</v>
      </c>
      <c r="G470" s="182" t="s">
        <v>1949</v>
      </c>
      <c r="H470" s="182" t="s">
        <v>1950</v>
      </c>
      <c r="I470" s="182" t="s">
        <v>1951</v>
      </c>
      <c r="J470" s="182" t="s">
        <v>1952</v>
      </c>
      <c r="K470" s="182" t="s">
        <v>1953</v>
      </c>
      <c r="L470" s="182" t="s">
        <v>1954</v>
      </c>
      <c r="M470" s="182" t="s">
        <v>1955</v>
      </c>
      <c r="N470" s="182" t="s">
        <v>1956</v>
      </c>
      <c r="O470" s="182" t="s">
        <v>1957</v>
      </c>
      <c r="P470" s="182" t="s">
        <v>1958</v>
      </c>
      <c r="Q470" s="182" t="s">
        <v>1959</v>
      </c>
      <c r="R470" s="182" t="s">
        <v>1960</v>
      </c>
      <c r="S470" s="183" t="s">
        <v>1961</v>
      </c>
      <c r="T470" s="183" t="s">
        <v>1962</v>
      </c>
      <c r="U470" s="184" t="s">
        <v>1963</v>
      </c>
      <c r="V470" s="182" t="s">
        <v>1964</v>
      </c>
      <c r="W470" s="439" t="s">
        <v>1965</v>
      </c>
      <c r="X470" s="439" t="s">
        <v>1966</v>
      </c>
      <c r="Y470" s="439" t="s">
        <v>1967</v>
      </c>
      <c r="Z470" s="439" t="s">
        <v>1968</v>
      </c>
      <c r="AA470" s="439" t="s">
        <v>1969</v>
      </c>
      <c r="AB470" s="439" t="s">
        <v>1970</v>
      </c>
      <c r="AC470" s="439" t="s">
        <v>1971</v>
      </c>
      <c r="AD470" s="440" t="s">
        <v>1972</v>
      </c>
      <c r="AE470" s="440" t="s">
        <v>1973</v>
      </c>
      <c r="AF470" s="184" t="s">
        <v>1974</v>
      </c>
      <c r="AG470" s="182" t="s">
        <v>1975</v>
      </c>
      <c r="AH470" s="184" t="s">
        <v>1887</v>
      </c>
      <c r="AI470" s="183" t="s">
        <v>1888</v>
      </c>
      <c r="AJ470" s="185" t="s">
        <v>1976</v>
      </c>
    </row>
    <row r="471" ht="37.9" spans="1:36">
      <c r="A471" s="186"/>
      <c r="B471" s="160" t="s">
        <v>1977</v>
      </c>
      <c r="C471" s="158"/>
      <c r="D471" s="158"/>
      <c r="E471" s="158"/>
      <c r="F471" s="158"/>
      <c r="G471" s="158"/>
      <c r="H471" s="158"/>
      <c r="I471" s="158"/>
      <c r="J471" s="158"/>
      <c r="K471" s="158"/>
      <c r="L471" s="158"/>
      <c r="M471" s="158"/>
      <c r="N471" s="158"/>
      <c r="O471" s="158"/>
      <c r="P471" s="158"/>
      <c r="Q471" s="158"/>
      <c r="R471" s="159"/>
      <c r="S471" s="158"/>
      <c r="T471" s="158"/>
      <c r="U471" s="187" t="s">
        <v>1978</v>
      </c>
      <c r="V471" s="188"/>
      <c r="W471" s="160" t="s">
        <v>1977</v>
      </c>
      <c r="X471" s="158"/>
      <c r="Y471" s="158"/>
      <c r="Z471" s="158"/>
      <c r="AA471" s="158"/>
      <c r="AB471" s="158"/>
      <c r="AC471" s="159"/>
      <c r="AD471" s="158"/>
      <c r="AE471" s="158"/>
      <c r="AF471" s="187" t="s">
        <v>1978</v>
      </c>
      <c r="AG471" s="188"/>
      <c r="AH471" s="189" t="s">
        <v>1892</v>
      </c>
      <c r="AI471" s="160" t="s">
        <v>1977</v>
      </c>
      <c r="AJ471" s="190" t="s">
        <v>1977</v>
      </c>
    </row>
    <row r="472" ht="15.4" spans="1:36">
      <c r="A472" s="191" t="s">
        <v>1979</v>
      </c>
      <c r="B472" s="162">
        <v>1368.64076228549</v>
      </c>
      <c r="C472" s="162">
        <v>398.219977747436</v>
      </c>
      <c r="D472" s="162">
        <v>1.98082734835166</v>
      </c>
      <c r="E472" s="162" t="s">
        <v>1980</v>
      </c>
      <c r="F472" s="162">
        <v>2580.44234</v>
      </c>
      <c r="G472" s="162" t="s">
        <v>1981</v>
      </c>
      <c r="H472" s="162">
        <v>56029.164606594</v>
      </c>
      <c r="I472" s="162" t="s">
        <v>1981</v>
      </c>
      <c r="J472" s="162">
        <v>2093.1476</v>
      </c>
      <c r="K472" s="162" t="s">
        <v>1981</v>
      </c>
      <c r="L472" s="162" t="s">
        <v>1980</v>
      </c>
      <c r="M472" s="162" t="s">
        <v>1981</v>
      </c>
      <c r="N472" s="162" t="s">
        <v>1981</v>
      </c>
      <c r="O472" s="162" t="s">
        <v>1981</v>
      </c>
      <c r="P472" s="162" t="s">
        <v>1981</v>
      </c>
      <c r="Q472" s="162">
        <v>117.73</v>
      </c>
      <c r="R472" s="162" t="s">
        <v>1981</v>
      </c>
      <c r="S472" s="162" t="s">
        <v>1980</v>
      </c>
      <c r="T472" s="162" t="s">
        <v>1980</v>
      </c>
      <c r="U472" s="162">
        <v>1.69846009704782</v>
      </c>
      <c r="V472" s="122" t="s">
        <v>1756</v>
      </c>
      <c r="W472" s="162">
        <v>540.069167170327</v>
      </c>
      <c r="X472" s="162">
        <v>206.857076869443</v>
      </c>
      <c r="Y472" s="162">
        <v>9.02767031621966</v>
      </c>
      <c r="Z472" s="162" t="s">
        <v>1981</v>
      </c>
      <c r="AA472" s="162">
        <v>11.4791217091971</v>
      </c>
      <c r="AB472" s="162" t="s">
        <v>1981</v>
      </c>
      <c r="AC472" s="162" t="s">
        <v>1980</v>
      </c>
      <c r="AD472" s="162" t="s">
        <v>1981</v>
      </c>
      <c r="AE472" s="162" t="s">
        <v>1981</v>
      </c>
      <c r="AF472" s="162">
        <v>3.58942867755868</v>
      </c>
      <c r="AG472" s="122" t="s">
        <v>1756</v>
      </c>
      <c r="AH472" s="162">
        <v>7230.4559118</v>
      </c>
      <c r="AI472" s="162">
        <v>517.71056610324</v>
      </c>
      <c r="AJ472" s="162">
        <v>28.5301500257</v>
      </c>
    </row>
    <row r="473" spans="1:36">
      <c r="A473" s="191" t="s">
        <v>1982</v>
      </c>
      <c r="B473" s="162">
        <v>1354.07602040816</v>
      </c>
      <c r="C473" s="162" t="s">
        <v>1752</v>
      </c>
      <c r="D473" s="162" t="s">
        <v>1752</v>
      </c>
      <c r="E473" s="162" t="s">
        <v>1752</v>
      </c>
      <c r="F473" s="162" t="s">
        <v>1752</v>
      </c>
      <c r="G473" s="162" t="s">
        <v>1752</v>
      </c>
      <c r="H473" s="162" t="s">
        <v>1752</v>
      </c>
      <c r="I473" s="162" t="s">
        <v>1752</v>
      </c>
      <c r="J473" s="162" t="s">
        <v>1752</v>
      </c>
      <c r="K473" s="162" t="s">
        <v>1752</v>
      </c>
      <c r="L473" s="162" t="s">
        <v>1752</v>
      </c>
      <c r="M473" s="162" t="s">
        <v>1752</v>
      </c>
      <c r="N473" s="162" t="s">
        <v>1752</v>
      </c>
      <c r="O473" s="162" t="s">
        <v>1752</v>
      </c>
      <c r="P473" s="162" t="s">
        <v>1752</v>
      </c>
      <c r="Q473" s="162" t="s">
        <v>1752</v>
      </c>
      <c r="R473" s="162" t="s">
        <v>1752</v>
      </c>
      <c r="S473" s="162" t="s">
        <v>1752</v>
      </c>
      <c r="T473" s="162" t="s">
        <v>1752</v>
      </c>
      <c r="U473" s="162" t="s">
        <v>1752</v>
      </c>
      <c r="V473" s="122" t="s">
        <v>1756</v>
      </c>
      <c r="W473" s="162" t="s">
        <v>1752</v>
      </c>
      <c r="X473" s="162" t="s">
        <v>1752</v>
      </c>
      <c r="Y473" s="162" t="s">
        <v>1752</v>
      </c>
      <c r="Z473" s="162" t="s">
        <v>1752</v>
      </c>
      <c r="AA473" s="162" t="s">
        <v>1752</v>
      </c>
      <c r="AB473" s="162" t="s">
        <v>1752</v>
      </c>
      <c r="AC473" s="162" t="s">
        <v>1752</v>
      </c>
      <c r="AD473" s="162" t="s">
        <v>1752</v>
      </c>
      <c r="AE473" s="162" t="s">
        <v>1752</v>
      </c>
      <c r="AF473" s="162" t="s">
        <v>1752</v>
      </c>
      <c r="AG473" s="122" t="s">
        <v>1756</v>
      </c>
      <c r="AH473" s="162" t="s">
        <v>1752</v>
      </c>
      <c r="AI473" s="162" t="s">
        <v>1752</v>
      </c>
      <c r="AJ473" s="162" t="s">
        <v>1752</v>
      </c>
    </row>
    <row r="474" spans="1:36">
      <c r="A474" s="192" t="s">
        <v>1983</v>
      </c>
      <c r="B474" s="162">
        <v>1354.07602040816</v>
      </c>
      <c r="C474" s="162" t="s">
        <v>1752</v>
      </c>
      <c r="D474" s="162" t="s">
        <v>1752</v>
      </c>
      <c r="E474" s="162" t="s">
        <v>1752</v>
      </c>
      <c r="F474" s="162" t="s">
        <v>1752</v>
      </c>
      <c r="G474" s="162" t="s">
        <v>1752</v>
      </c>
      <c r="H474" s="162" t="s">
        <v>1752</v>
      </c>
      <c r="I474" s="162" t="s">
        <v>1752</v>
      </c>
      <c r="J474" s="162" t="s">
        <v>1752</v>
      </c>
      <c r="K474" s="162" t="s">
        <v>1752</v>
      </c>
      <c r="L474" s="162" t="s">
        <v>1752</v>
      </c>
      <c r="M474" s="162" t="s">
        <v>1752</v>
      </c>
      <c r="N474" s="162" t="s">
        <v>1752</v>
      </c>
      <c r="O474" s="162" t="s">
        <v>1752</v>
      </c>
      <c r="P474" s="162" t="s">
        <v>1752</v>
      </c>
      <c r="Q474" s="162" t="s">
        <v>1752</v>
      </c>
      <c r="R474" s="162" t="s">
        <v>1752</v>
      </c>
      <c r="S474" s="162" t="s">
        <v>1752</v>
      </c>
      <c r="T474" s="162" t="s">
        <v>1752</v>
      </c>
      <c r="U474" s="162" t="s">
        <v>1752</v>
      </c>
      <c r="V474" s="122" t="s">
        <v>1756</v>
      </c>
      <c r="W474" s="162" t="s">
        <v>1752</v>
      </c>
      <c r="X474" s="162" t="s">
        <v>1752</v>
      </c>
      <c r="Y474" s="162" t="s">
        <v>1752</v>
      </c>
      <c r="Z474" s="162" t="s">
        <v>1752</v>
      </c>
      <c r="AA474" s="162" t="s">
        <v>1752</v>
      </c>
      <c r="AB474" s="162" t="s">
        <v>1752</v>
      </c>
      <c r="AC474" s="162" t="s">
        <v>1752</v>
      </c>
      <c r="AD474" s="162" t="s">
        <v>1752</v>
      </c>
      <c r="AE474" s="162" t="s">
        <v>1752</v>
      </c>
      <c r="AF474" s="162" t="s">
        <v>1752</v>
      </c>
      <c r="AG474" s="122" t="s">
        <v>1756</v>
      </c>
      <c r="AH474" s="162" t="s">
        <v>1752</v>
      </c>
      <c r="AI474" s="162" t="s">
        <v>1752</v>
      </c>
      <c r="AJ474" s="162" t="s">
        <v>1752</v>
      </c>
    </row>
    <row r="475" spans="1:36">
      <c r="A475" s="193" t="s">
        <v>1984</v>
      </c>
      <c r="B475" s="162">
        <v>1354.07602040816</v>
      </c>
      <c r="C475" s="162" t="s">
        <v>1752</v>
      </c>
      <c r="D475" s="162" t="s">
        <v>1752</v>
      </c>
      <c r="E475" s="162" t="s">
        <v>1752</v>
      </c>
      <c r="F475" s="162" t="s">
        <v>1752</v>
      </c>
      <c r="G475" s="162" t="s">
        <v>1752</v>
      </c>
      <c r="H475" s="162" t="s">
        <v>1752</v>
      </c>
      <c r="I475" s="162" t="s">
        <v>1752</v>
      </c>
      <c r="J475" s="162" t="s">
        <v>1752</v>
      </c>
      <c r="K475" s="162" t="s">
        <v>1752</v>
      </c>
      <c r="L475" s="162" t="s">
        <v>1752</v>
      </c>
      <c r="M475" s="162" t="s">
        <v>1752</v>
      </c>
      <c r="N475" s="162" t="s">
        <v>1752</v>
      </c>
      <c r="O475" s="162" t="s">
        <v>1752</v>
      </c>
      <c r="P475" s="162" t="s">
        <v>1752</v>
      </c>
      <c r="Q475" s="162" t="s">
        <v>1752</v>
      </c>
      <c r="R475" s="162" t="s">
        <v>1752</v>
      </c>
      <c r="S475" s="162" t="s">
        <v>1752</v>
      </c>
      <c r="T475" s="162" t="s">
        <v>1752</v>
      </c>
      <c r="U475" s="162" t="s">
        <v>1752</v>
      </c>
      <c r="V475" s="122" t="s">
        <v>1756</v>
      </c>
      <c r="W475" s="162" t="s">
        <v>1752</v>
      </c>
      <c r="X475" s="162" t="s">
        <v>1752</v>
      </c>
      <c r="Y475" s="162" t="s">
        <v>1752</v>
      </c>
      <c r="Z475" s="162" t="s">
        <v>1752</v>
      </c>
      <c r="AA475" s="162" t="s">
        <v>1752</v>
      </c>
      <c r="AB475" s="162" t="s">
        <v>1752</v>
      </c>
      <c r="AC475" s="162" t="s">
        <v>1752</v>
      </c>
      <c r="AD475" s="162" t="s">
        <v>1752</v>
      </c>
      <c r="AE475" s="162" t="s">
        <v>1752</v>
      </c>
      <c r="AF475" s="162" t="s">
        <v>1752</v>
      </c>
      <c r="AG475" s="122" t="s">
        <v>1756</v>
      </c>
      <c r="AH475" s="162" t="s">
        <v>1752</v>
      </c>
      <c r="AI475" s="162" t="s">
        <v>1752</v>
      </c>
      <c r="AJ475" s="162" t="s">
        <v>1752</v>
      </c>
    </row>
    <row r="476" spans="1:36">
      <c r="A476" s="193" t="s">
        <v>1985</v>
      </c>
      <c r="B476" s="162" t="s">
        <v>1752</v>
      </c>
      <c r="C476" s="162" t="s">
        <v>1752</v>
      </c>
      <c r="D476" s="162" t="s">
        <v>1752</v>
      </c>
      <c r="E476" s="162" t="s">
        <v>1752</v>
      </c>
      <c r="F476" s="162" t="s">
        <v>1752</v>
      </c>
      <c r="G476" s="162" t="s">
        <v>1752</v>
      </c>
      <c r="H476" s="162" t="s">
        <v>1752</v>
      </c>
      <c r="I476" s="162" t="s">
        <v>1752</v>
      </c>
      <c r="J476" s="162" t="s">
        <v>1752</v>
      </c>
      <c r="K476" s="162" t="s">
        <v>1752</v>
      </c>
      <c r="L476" s="162" t="s">
        <v>1752</v>
      </c>
      <c r="M476" s="162" t="s">
        <v>1752</v>
      </c>
      <c r="N476" s="162" t="s">
        <v>1752</v>
      </c>
      <c r="O476" s="162" t="s">
        <v>1752</v>
      </c>
      <c r="P476" s="162" t="s">
        <v>1752</v>
      </c>
      <c r="Q476" s="162" t="s">
        <v>1752</v>
      </c>
      <c r="R476" s="162" t="s">
        <v>1752</v>
      </c>
      <c r="S476" s="162" t="s">
        <v>1752</v>
      </c>
      <c r="T476" s="162" t="s">
        <v>1752</v>
      </c>
      <c r="U476" s="162" t="s">
        <v>1752</v>
      </c>
      <c r="V476" s="122" t="s">
        <v>1756</v>
      </c>
      <c r="W476" s="162" t="s">
        <v>1752</v>
      </c>
      <c r="X476" s="162" t="s">
        <v>1752</v>
      </c>
      <c r="Y476" s="162" t="s">
        <v>1752</v>
      </c>
      <c r="Z476" s="162" t="s">
        <v>1752</v>
      </c>
      <c r="AA476" s="162" t="s">
        <v>1752</v>
      </c>
      <c r="AB476" s="162" t="s">
        <v>1752</v>
      </c>
      <c r="AC476" s="162" t="s">
        <v>1752</v>
      </c>
      <c r="AD476" s="162" t="s">
        <v>1752</v>
      </c>
      <c r="AE476" s="162" t="s">
        <v>1752</v>
      </c>
      <c r="AF476" s="162" t="s">
        <v>1752</v>
      </c>
      <c r="AG476" s="122" t="s">
        <v>1756</v>
      </c>
      <c r="AH476" s="162" t="s">
        <v>1752</v>
      </c>
      <c r="AI476" s="162" t="s">
        <v>1752</v>
      </c>
      <c r="AJ476" s="162" t="s">
        <v>1752</v>
      </c>
    </row>
    <row r="477" spans="1:36">
      <c r="A477" s="192" t="s">
        <v>1986</v>
      </c>
      <c r="B477" s="162" t="s">
        <v>1752</v>
      </c>
      <c r="C477" s="162" t="s">
        <v>1752</v>
      </c>
      <c r="D477" s="162" t="s">
        <v>1752</v>
      </c>
      <c r="E477" s="162" t="s">
        <v>1752</v>
      </c>
      <c r="F477" s="162" t="s">
        <v>1752</v>
      </c>
      <c r="G477" s="162" t="s">
        <v>1752</v>
      </c>
      <c r="H477" s="162" t="s">
        <v>1752</v>
      </c>
      <c r="I477" s="162" t="s">
        <v>1752</v>
      </c>
      <c r="J477" s="162" t="s">
        <v>1752</v>
      </c>
      <c r="K477" s="162" t="s">
        <v>1752</v>
      </c>
      <c r="L477" s="162" t="s">
        <v>1752</v>
      </c>
      <c r="M477" s="162" t="s">
        <v>1752</v>
      </c>
      <c r="N477" s="162" t="s">
        <v>1752</v>
      </c>
      <c r="O477" s="162" t="s">
        <v>1752</v>
      </c>
      <c r="P477" s="162" t="s">
        <v>1752</v>
      </c>
      <c r="Q477" s="162" t="s">
        <v>1752</v>
      </c>
      <c r="R477" s="162" t="s">
        <v>1752</v>
      </c>
      <c r="S477" s="162" t="s">
        <v>1752</v>
      </c>
      <c r="T477" s="162" t="s">
        <v>1752</v>
      </c>
      <c r="U477" s="162" t="s">
        <v>1752</v>
      </c>
      <c r="V477" s="122" t="s">
        <v>1756</v>
      </c>
      <c r="W477" s="162" t="s">
        <v>1752</v>
      </c>
      <c r="X477" s="162" t="s">
        <v>1752</v>
      </c>
      <c r="Y477" s="162" t="s">
        <v>1752</v>
      </c>
      <c r="Z477" s="162" t="s">
        <v>1752</v>
      </c>
      <c r="AA477" s="162" t="s">
        <v>1752</v>
      </c>
      <c r="AB477" s="162" t="s">
        <v>1752</v>
      </c>
      <c r="AC477" s="162" t="s">
        <v>1752</v>
      </c>
      <c r="AD477" s="162" t="s">
        <v>1752</v>
      </c>
      <c r="AE477" s="162" t="s">
        <v>1752</v>
      </c>
      <c r="AF477" s="162" t="s">
        <v>1752</v>
      </c>
      <c r="AG477" s="122" t="s">
        <v>1756</v>
      </c>
      <c r="AH477" s="162" t="s">
        <v>1752</v>
      </c>
      <c r="AI477" s="162" t="s">
        <v>1752</v>
      </c>
      <c r="AJ477" s="162" t="s">
        <v>1752</v>
      </c>
    </row>
    <row r="478" spans="1:36">
      <c r="A478" s="191" t="s">
        <v>1987</v>
      </c>
      <c r="B478" s="162" t="s">
        <v>1752</v>
      </c>
      <c r="C478" s="162" t="s">
        <v>1752</v>
      </c>
      <c r="D478" s="162" t="s">
        <v>1752</v>
      </c>
      <c r="E478" s="162" t="s">
        <v>1752</v>
      </c>
      <c r="F478" s="162" t="s">
        <v>1752</v>
      </c>
      <c r="G478" s="162" t="s">
        <v>1752</v>
      </c>
      <c r="H478" s="162" t="s">
        <v>1774</v>
      </c>
      <c r="I478" s="162" t="s">
        <v>1752</v>
      </c>
      <c r="J478" s="162" t="s">
        <v>1752</v>
      </c>
      <c r="K478" s="162" t="s">
        <v>1752</v>
      </c>
      <c r="L478" s="162" t="s">
        <v>1752</v>
      </c>
      <c r="M478" s="162" t="s">
        <v>1752</v>
      </c>
      <c r="N478" s="162" t="s">
        <v>1752</v>
      </c>
      <c r="O478" s="162" t="s">
        <v>1752</v>
      </c>
      <c r="P478" s="162" t="s">
        <v>1752</v>
      </c>
      <c r="Q478" s="162" t="s">
        <v>1752</v>
      </c>
      <c r="R478" s="162" t="s">
        <v>1752</v>
      </c>
      <c r="S478" s="162" t="s">
        <v>1752</v>
      </c>
      <c r="T478" s="162" t="s">
        <v>1752</v>
      </c>
      <c r="U478" s="162" t="s">
        <v>1752</v>
      </c>
      <c r="V478" s="122" t="s">
        <v>1756</v>
      </c>
      <c r="W478" s="162">
        <v>391.002922487044</v>
      </c>
      <c r="X478" s="162">
        <v>45.1018515115406</v>
      </c>
      <c r="Y478" s="162" t="s">
        <v>1752</v>
      </c>
      <c r="Z478" s="162" t="s">
        <v>1752</v>
      </c>
      <c r="AA478" s="162" t="s">
        <v>1752</v>
      </c>
      <c r="AB478" s="162" t="s">
        <v>1752</v>
      </c>
      <c r="AC478" s="162" t="s">
        <v>1752</v>
      </c>
      <c r="AD478" s="162" t="s">
        <v>1752</v>
      </c>
      <c r="AE478" s="162" t="s">
        <v>1752</v>
      </c>
      <c r="AF478" s="162" t="s">
        <v>1752</v>
      </c>
      <c r="AG478" s="122" t="s">
        <v>1756</v>
      </c>
      <c r="AH478" s="162" t="s">
        <v>1752</v>
      </c>
      <c r="AI478" s="162">
        <v>120.41830440901</v>
      </c>
      <c r="AJ478" s="162" t="s">
        <v>1752</v>
      </c>
    </row>
    <row r="479" spans="1:36">
      <c r="A479" s="192" t="s">
        <v>1988</v>
      </c>
      <c r="B479" s="122" t="s">
        <v>1756</v>
      </c>
      <c r="C479" s="122" t="s">
        <v>1756</v>
      </c>
      <c r="D479" s="122" t="s">
        <v>1756</v>
      </c>
      <c r="E479" s="122" t="s">
        <v>1756</v>
      </c>
      <c r="F479" s="122" t="s">
        <v>1756</v>
      </c>
      <c r="G479" s="122" t="s">
        <v>1756</v>
      </c>
      <c r="H479" s="122" t="s">
        <v>1756</v>
      </c>
      <c r="I479" s="122" t="s">
        <v>1756</v>
      </c>
      <c r="J479" s="122" t="s">
        <v>1756</v>
      </c>
      <c r="K479" s="122" t="s">
        <v>1756</v>
      </c>
      <c r="L479" s="122" t="s">
        <v>1756</v>
      </c>
      <c r="M479" s="122" t="s">
        <v>1756</v>
      </c>
      <c r="N479" s="122" t="s">
        <v>1756</v>
      </c>
      <c r="O479" s="122" t="s">
        <v>1756</v>
      </c>
      <c r="P479" s="122" t="s">
        <v>1756</v>
      </c>
      <c r="Q479" s="122" t="s">
        <v>1756</v>
      </c>
      <c r="R479" s="122" t="s">
        <v>1756</v>
      </c>
      <c r="S479" s="122" t="s">
        <v>1756</v>
      </c>
      <c r="T479" s="122" t="s">
        <v>1756</v>
      </c>
      <c r="U479" s="122" t="s">
        <v>1756</v>
      </c>
      <c r="V479" s="122" t="s">
        <v>1756</v>
      </c>
      <c r="W479" s="162">
        <v>391.002922487044</v>
      </c>
      <c r="X479" s="162">
        <v>45.1018515115406</v>
      </c>
      <c r="Y479" s="162" t="s">
        <v>1752</v>
      </c>
      <c r="Z479" s="162" t="s">
        <v>1752</v>
      </c>
      <c r="AA479" s="162" t="s">
        <v>1752</v>
      </c>
      <c r="AB479" s="162" t="s">
        <v>1752</v>
      </c>
      <c r="AC479" s="162" t="s">
        <v>1752</v>
      </c>
      <c r="AD479" s="162" t="s">
        <v>1752</v>
      </c>
      <c r="AE479" s="162" t="s">
        <v>1752</v>
      </c>
      <c r="AF479" s="162" t="s">
        <v>1752</v>
      </c>
      <c r="AG479" s="122" t="s">
        <v>1756</v>
      </c>
      <c r="AH479" s="122" t="s">
        <v>1756</v>
      </c>
      <c r="AI479" s="162" t="s">
        <v>1752</v>
      </c>
      <c r="AJ479" s="122" t="s">
        <v>1756</v>
      </c>
    </row>
    <row r="480" spans="1:36">
      <c r="A480" s="192" t="s">
        <v>1989</v>
      </c>
      <c r="B480" s="162" t="s">
        <v>1752</v>
      </c>
      <c r="C480" s="162" t="s">
        <v>1752</v>
      </c>
      <c r="D480" s="162" t="s">
        <v>1752</v>
      </c>
      <c r="E480" s="162" t="s">
        <v>1752</v>
      </c>
      <c r="F480" s="162" t="s">
        <v>1752</v>
      </c>
      <c r="G480" s="162" t="s">
        <v>1752</v>
      </c>
      <c r="H480" s="162" t="s">
        <v>1759</v>
      </c>
      <c r="I480" s="162" t="s">
        <v>1752</v>
      </c>
      <c r="J480" s="162" t="s">
        <v>1752</v>
      </c>
      <c r="K480" s="162" t="s">
        <v>1752</v>
      </c>
      <c r="L480" s="162" t="s">
        <v>1752</v>
      </c>
      <c r="M480" s="162" t="s">
        <v>1752</v>
      </c>
      <c r="N480" s="162" t="s">
        <v>1752</v>
      </c>
      <c r="O480" s="162" t="s">
        <v>1752</v>
      </c>
      <c r="P480" s="162" t="s">
        <v>1752</v>
      </c>
      <c r="Q480" s="162" t="s">
        <v>1752</v>
      </c>
      <c r="R480" s="162" t="s">
        <v>1752</v>
      </c>
      <c r="S480" s="162" t="s">
        <v>1752</v>
      </c>
      <c r="T480" s="162" t="s">
        <v>1752</v>
      </c>
      <c r="U480" s="162" t="s">
        <v>1752</v>
      </c>
      <c r="V480" s="122" t="s">
        <v>1756</v>
      </c>
      <c r="W480" s="162" t="s">
        <v>1752</v>
      </c>
      <c r="X480" s="162" t="s">
        <v>1752</v>
      </c>
      <c r="Y480" s="162" t="s">
        <v>1752</v>
      </c>
      <c r="Z480" s="162" t="s">
        <v>1752</v>
      </c>
      <c r="AA480" s="162" t="s">
        <v>1752</v>
      </c>
      <c r="AB480" s="162" t="s">
        <v>1752</v>
      </c>
      <c r="AC480" s="162" t="s">
        <v>1752</v>
      </c>
      <c r="AD480" s="162" t="s">
        <v>1752</v>
      </c>
      <c r="AE480" s="162" t="s">
        <v>1752</v>
      </c>
      <c r="AF480" s="162" t="s">
        <v>1752</v>
      </c>
      <c r="AG480" s="122" t="s">
        <v>1756</v>
      </c>
      <c r="AH480" s="162" t="s">
        <v>1752</v>
      </c>
      <c r="AI480" s="162">
        <v>120.418304409009</v>
      </c>
      <c r="AJ480" s="122" t="s">
        <v>1756</v>
      </c>
    </row>
    <row r="481" spans="1:36">
      <c r="A481" s="194" t="s">
        <v>1990</v>
      </c>
      <c r="B481" s="162" t="s">
        <v>1752</v>
      </c>
      <c r="C481" s="162" t="s">
        <v>1752</v>
      </c>
      <c r="D481" s="162" t="s">
        <v>1752</v>
      </c>
      <c r="E481" s="162" t="s">
        <v>1752</v>
      </c>
      <c r="F481" s="162" t="s">
        <v>1752</v>
      </c>
      <c r="G481" s="162" t="s">
        <v>1752</v>
      </c>
      <c r="H481" s="162" t="s">
        <v>1752</v>
      </c>
      <c r="I481" s="162" t="s">
        <v>1752</v>
      </c>
      <c r="J481" s="162" t="s">
        <v>1752</v>
      </c>
      <c r="K481" s="162" t="s">
        <v>1752</v>
      </c>
      <c r="L481" s="162" t="s">
        <v>1752</v>
      </c>
      <c r="M481" s="162" t="s">
        <v>1752</v>
      </c>
      <c r="N481" s="162" t="s">
        <v>1752</v>
      </c>
      <c r="O481" s="162" t="s">
        <v>1752</v>
      </c>
      <c r="P481" s="162" t="s">
        <v>1752</v>
      </c>
      <c r="Q481" s="162" t="s">
        <v>1752</v>
      </c>
      <c r="R481" s="162" t="s">
        <v>1752</v>
      </c>
      <c r="S481" s="162" t="s">
        <v>1752</v>
      </c>
      <c r="T481" s="162" t="s">
        <v>1752</v>
      </c>
      <c r="U481" s="162" t="s">
        <v>1752</v>
      </c>
      <c r="V481" s="122" t="s">
        <v>1756</v>
      </c>
      <c r="W481" s="162" t="s">
        <v>1752</v>
      </c>
      <c r="X481" s="162" t="s">
        <v>1752</v>
      </c>
      <c r="Y481" s="162" t="s">
        <v>1752</v>
      </c>
      <c r="Z481" s="162" t="s">
        <v>1752</v>
      </c>
      <c r="AA481" s="162" t="s">
        <v>1752</v>
      </c>
      <c r="AB481" s="162" t="s">
        <v>1752</v>
      </c>
      <c r="AC481" s="162" t="s">
        <v>1752</v>
      </c>
      <c r="AD481" s="162" t="s">
        <v>1752</v>
      </c>
      <c r="AE481" s="162" t="s">
        <v>1752</v>
      </c>
      <c r="AF481" s="162" t="s">
        <v>1752</v>
      </c>
      <c r="AG481" s="122" t="s">
        <v>1756</v>
      </c>
      <c r="AH481" s="162" t="s">
        <v>1752</v>
      </c>
      <c r="AI481" s="162" t="s">
        <v>1752</v>
      </c>
      <c r="AJ481" s="162" t="s">
        <v>1752</v>
      </c>
    </row>
    <row r="482" spans="1:36">
      <c r="A482" s="195" t="s">
        <v>1922</v>
      </c>
      <c r="B482" s="162">
        <v>13.6847418773281</v>
      </c>
      <c r="C482" s="162">
        <v>0.90067774743552</v>
      </c>
      <c r="D482" s="162">
        <v>1.98082734835166</v>
      </c>
      <c r="E482" s="162" t="s">
        <v>1991</v>
      </c>
      <c r="F482" s="162" t="s">
        <v>1991</v>
      </c>
      <c r="G482" s="162" t="s">
        <v>1859</v>
      </c>
      <c r="H482" s="162">
        <v>0.00950659397096</v>
      </c>
      <c r="I482" s="162" t="s">
        <v>1859</v>
      </c>
      <c r="J482" s="162" t="s">
        <v>1991</v>
      </c>
      <c r="K482" s="162" t="s">
        <v>1859</v>
      </c>
      <c r="L482" s="162" t="s">
        <v>1991</v>
      </c>
      <c r="M482" s="162" t="s">
        <v>1859</v>
      </c>
      <c r="N482" s="162" t="s">
        <v>1859</v>
      </c>
      <c r="O482" s="162" t="s">
        <v>1859</v>
      </c>
      <c r="P482" s="162" t="s">
        <v>1859</v>
      </c>
      <c r="Q482" s="162" t="s">
        <v>1991</v>
      </c>
      <c r="R482" s="162" t="s">
        <v>1859</v>
      </c>
      <c r="S482" s="162" t="s">
        <v>1991</v>
      </c>
      <c r="T482" s="162" t="s">
        <v>1991</v>
      </c>
      <c r="U482" s="162">
        <v>1.69846009704782</v>
      </c>
      <c r="V482" s="122" t="s">
        <v>1756</v>
      </c>
      <c r="W482" s="162">
        <v>146.628794095081</v>
      </c>
      <c r="X482" s="162">
        <v>161.755225357903</v>
      </c>
      <c r="Y482" s="162">
        <v>9.02767031621966</v>
      </c>
      <c r="Z482" s="162" t="s">
        <v>1859</v>
      </c>
      <c r="AA482" s="162">
        <v>11.4791217091971</v>
      </c>
      <c r="AB482" s="162" t="s">
        <v>1859</v>
      </c>
      <c r="AC482" s="162" t="s">
        <v>1991</v>
      </c>
      <c r="AD482" s="162" t="s">
        <v>1859</v>
      </c>
      <c r="AE482" s="162" t="s">
        <v>1859</v>
      </c>
      <c r="AF482" s="162">
        <v>3.58942867755868</v>
      </c>
      <c r="AG482" s="122" t="s">
        <v>1756</v>
      </c>
      <c r="AH482" s="162" t="s">
        <v>1859</v>
      </c>
      <c r="AI482" s="162">
        <v>31.1032479079292</v>
      </c>
      <c r="AJ482" s="162">
        <v>28.530150025704</v>
      </c>
    </row>
    <row r="483" spans="1:36">
      <c r="A483" s="192" t="s">
        <v>1923</v>
      </c>
      <c r="B483" s="162">
        <v>13.67146751819</v>
      </c>
      <c r="C483" s="162">
        <v>0.90067774743552</v>
      </c>
      <c r="D483" s="162">
        <v>1.98082734835166</v>
      </c>
      <c r="E483" s="162" t="s">
        <v>1759</v>
      </c>
      <c r="F483" s="162" t="s">
        <v>1759</v>
      </c>
      <c r="G483" s="162" t="s">
        <v>1759</v>
      </c>
      <c r="H483" s="162">
        <v>0.00950659397096</v>
      </c>
      <c r="I483" s="162" t="s">
        <v>1759</v>
      </c>
      <c r="J483" s="162" t="s">
        <v>1759</v>
      </c>
      <c r="K483" s="162" t="s">
        <v>1759</v>
      </c>
      <c r="L483" s="162" t="s">
        <v>1759</v>
      </c>
      <c r="M483" s="162" t="s">
        <v>1759</v>
      </c>
      <c r="N483" s="162" t="s">
        <v>1759</v>
      </c>
      <c r="O483" s="162" t="s">
        <v>1759</v>
      </c>
      <c r="P483" s="162" t="s">
        <v>1759</v>
      </c>
      <c r="Q483" s="162" t="s">
        <v>1759</v>
      </c>
      <c r="R483" s="162" t="s">
        <v>1759</v>
      </c>
      <c r="S483" s="162" t="s">
        <v>1759</v>
      </c>
      <c r="T483" s="162" t="s">
        <v>1759</v>
      </c>
      <c r="U483" s="162" t="s">
        <v>1772</v>
      </c>
      <c r="V483" s="122" t="s">
        <v>1756</v>
      </c>
      <c r="W483" s="162">
        <v>146.16040121254</v>
      </c>
      <c r="X483" s="162">
        <v>161.678118296487</v>
      </c>
      <c r="Y483" s="162">
        <v>8.97194174479109</v>
      </c>
      <c r="Z483" s="162" t="s">
        <v>1759</v>
      </c>
      <c r="AA483" s="162">
        <v>11.4211443896983</v>
      </c>
      <c r="AB483" s="162" t="s">
        <v>1759</v>
      </c>
      <c r="AC483" s="162" t="s">
        <v>1759</v>
      </c>
      <c r="AD483" s="162" t="s">
        <v>1759</v>
      </c>
      <c r="AE483" s="162" t="s">
        <v>1759</v>
      </c>
      <c r="AF483" s="162">
        <v>0.00110551568892</v>
      </c>
      <c r="AG483" s="122" t="s">
        <v>1756</v>
      </c>
      <c r="AH483" s="162" t="s">
        <v>1772</v>
      </c>
      <c r="AI483" s="162">
        <v>30.6680427432045</v>
      </c>
      <c r="AJ483" s="162">
        <v>28.530150025704</v>
      </c>
    </row>
    <row r="484" spans="1:36">
      <c r="A484" s="192" t="s">
        <v>1924</v>
      </c>
      <c r="B484" s="162" t="s">
        <v>1772</v>
      </c>
      <c r="C484" s="162" t="s">
        <v>1772</v>
      </c>
      <c r="D484" s="162" t="s">
        <v>1772</v>
      </c>
      <c r="E484" s="162" t="s">
        <v>1772</v>
      </c>
      <c r="F484" s="162" t="s">
        <v>1772</v>
      </c>
      <c r="G484" s="162" t="s">
        <v>1772</v>
      </c>
      <c r="H484" s="162" t="s">
        <v>1772</v>
      </c>
      <c r="I484" s="162" t="s">
        <v>1772</v>
      </c>
      <c r="J484" s="162" t="s">
        <v>1772</v>
      </c>
      <c r="K484" s="162" t="s">
        <v>1772</v>
      </c>
      <c r="L484" s="162" t="s">
        <v>1772</v>
      </c>
      <c r="M484" s="162" t="s">
        <v>1772</v>
      </c>
      <c r="N484" s="162" t="s">
        <v>1772</v>
      </c>
      <c r="O484" s="162" t="s">
        <v>1772</v>
      </c>
      <c r="P484" s="162" t="s">
        <v>1772</v>
      </c>
      <c r="Q484" s="162" t="s">
        <v>1772</v>
      </c>
      <c r="R484" s="162" t="s">
        <v>1772</v>
      </c>
      <c r="S484" s="162" t="s">
        <v>1772</v>
      </c>
      <c r="T484" s="162" t="s">
        <v>1772</v>
      </c>
      <c r="U484" s="162" t="s">
        <v>1772</v>
      </c>
      <c r="V484" s="122" t="s">
        <v>1756</v>
      </c>
      <c r="W484" s="162" t="s">
        <v>1772</v>
      </c>
      <c r="X484" s="162" t="s">
        <v>1772</v>
      </c>
      <c r="Y484" s="162" t="s">
        <v>1772</v>
      </c>
      <c r="Z484" s="162" t="s">
        <v>1772</v>
      </c>
      <c r="AA484" s="162" t="s">
        <v>1772</v>
      </c>
      <c r="AB484" s="162" t="s">
        <v>1772</v>
      </c>
      <c r="AC484" s="162" t="s">
        <v>1772</v>
      </c>
      <c r="AD484" s="162" t="s">
        <v>1772</v>
      </c>
      <c r="AE484" s="162" t="s">
        <v>1772</v>
      </c>
      <c r="AF484" s="162" t="s">
        <v>1772</v>
      </c>
      <c r="AG484" s="122" t="s">
        <v>1756</v>
      </c>
      <c r="AH484" s="162" t="s">
        <v>1772</v>
      </c>
      <c r="AI484" s="162" t="s">
        <v>1772</v>
      </c>
      <c r="AJ484" s="162" t="s">
        <v>1772</v>
      </c>
    </row>
    <row r="485" spans="1:36">
      <c r="A485" s="192" t="s">
        <v>1925</v>
      </c>
      <c r="B485" s="162">
        <v>0.00696721628094</v>
      </c>
      <c r="C485" s="162" t="s">
        <v>1772</v>
      </c>
      <c r="D485" s="162" t="s">
        <v>1772</v>
      </c>
      <c r="E485" s="162" t="s">
        <v>1772</v>
      </c>
      <c r="F485" s="162" t="s">
        <v>1772</v>
      </c>
      <c r="G485" s="162" t="s">
        <v>1772</v>
      </c>
      <c r="H485" s="162" t="s">
        <v>1772</v>
      </c>
      <c r="I485" s="162" t="s">
        <v>1772</v>
      </c>
      <c r="J485" s="162" t="s">
        <v>1772</v>
      </c>
      <c r="K485" s="162" t="s">
        <v>1772</v>
      </c>
      <c r="L485" s="162" t="s">
        <v>1772</v>
      </c>
      <c r="M485" s="162" t="s">
        <v>1772</v>
      </c>
      <c r="N485" s="162" t="s">
        <v>1772</v>
      </c>
      <c r="O485" s="162" t="s">
        <v>1772</v>
      </c>
      <c r="P485" s="162" t="s">
        <v>1772</v>
      </c>
      <c r="Q485" s="162" t="s">
        <v>1772</v>
      </c>
      <c r="R485" s="162" t="s">
        <v>1772</v>
      </c>
      <c r="S485" s="162" t="s">
        <v>1772</v>
      </c>
      <c r="T485" s="162" t="s">
        <v>1772</v>
      </c>
      <c r="U485" s="162" t="s">
        <v>1772</v>
      </c>
      <c r="V485" s="122" t="s">
        <v>1756</v>
      </c>
      <c r="W485" s="162">
        <v>0.41169288254051</v>
      </c>
      <c r="X485" s="162">
        <v>0.05003563284383</v>
      </c>
      <c r="Y485" s="162" t="s">
        <v>1772</v>
      </c>
      <c r="Z485" s="162" t="s">
        <v>1772</v>
      </c>
      <c r="AA485" s="162">
        <v>0.00039874807019</v>
      </c>
      <c r="AB485" s="162" t="s">
        <v>1772</v>
      </c>
      <c r="AC485" s="162" t="s">
        <v>1772</v>
      </c>
      <c r="AD485" s="162" t="s">
        <v>1772</v>
      </c>
      <c r="AE485" s="162" t="s">
        <v>1772</v>
      </c>
      <c r="AF485" s="162" t="s">
        <v>1772</v>
      </c>
      <c r="AG485" s="122" t="s">
        <v>1756</v>
      </c>
      <c r="AH485" s="162" t="s">
        <v>1772</v>
      </c>
      <c r="AI485" s="162" t="s">
        <v>1759</v>
      </c>
      <c r="AJ485" s="162" t="s">
        <v>1759</v>
      </c>
    </row>
    <row r="486" spans="1:36">
      <c r="A486" s="192" t="s">
        <v>1926</v>
      </c>
      <c r="B486" s="162" t="s">
        <v>1730</v>
      </c>
      <c r="C486" s="162" t="s">
        <v>1730</v>
      </c>
      <c r="D486" s="162" t="s">
        <v>1759</v>
      </c>
      <c r="E486" s="162" t="s">
        <v>1730</v>
      </c>
      <c r="F486" s="162" t="s">
        <v>1730</v>
      </c>
      <c r="G486" s="162" t="s">
        <v>1759</v>
      </c>
      <c r="H486" s="162" t="s">
        <v>1730</v>
      </c>
      <c r="I486" s="162" t="s">
        <v>1759</v>
      </c>
      <c r="J486" s="162" t="s">
        <v>1730</v>
      </c>
      <c r="K486" s="162" t="s">
        <v>1759</v>
      </c>
      <c r="L486" s="162" t="s">
        <v>1730</v>
      </c>
      <c r="M486" s="162" t="s">
        <v>1759</v>
      </c>
      <c r="N486" s="162" t="s">
        <v>1759</v>
      </c>
      <c r="O486" s="162" t="s">
        <v>1759</v>
      </c>
      <c r="P486" s="162" t="s">
        <v>1759</v>
      </c>
      <c r="Q486" s="162" t="s">
        <v>1730</v>
      </c>
      <c r="R486" s="162" t="s">
        <v>1759</v>
      </c>
      <c r="S486" s="162" t="s">
        <v>1730</v>
      </c>
      <c r="T486" s="162" t="s">
        <v>1730</v>
      </c>
      <c r="U486" s="162">
        <v>1.69846009704782</v>
      </c>
      <c r="V486" s="122" t="s">
        <v>1756</v>
      </c>
      <c r="W486" s="162" t="s">
        <v>1730</v>
      </c>
      <c r="X486" s="162" t="s">
        <v>1730</v>
      </c>
      <c r="Y486" s="162" t="s">
        <v>1759</v>
      </c>
      <c r="Z486" s="162" t="s">
        <v>1759</v>
      </c>
      <c r="AA486" s="162" t="s">
        <v>1759</v>
      </c>
      <c r="AB486" s="162" t="s">
        <v>1759</v>
      </c>
      <c r="AC486" s="162" t="s">
        <v>1730</v>
      </c>
      <c r="AD486" s="162" t="s">
        <v>1759</v>
      </c>
      <c r="AE486" s="162" t="s">
        <v>1759</v>
      </c>
      <c r="AF486" s="162">
        <v>3.58832316186976</v>
      </c>
      <c r="AG486" s="122" t="s">
        <v>1756</v>
      </c>
      <c r="AH486" s="162" t="s">
        <v>1759</v>
      </c>
      <c r="AI486" s="162">
        <v>0.34476945043894</v>
      </c>
      <c r="AJ486" s="162" t="s">
        <v>1759</v>
      </c>
    </row>
    <row r="487" spans="1:36">
      <c r="A487" s="192" t="s">
        <v>1992</v>
      </c>
      <c r="B487" s="162">
        <v>0.00630714285714</v>
      </c>
      <c r="C487" s="162" t="s">
        <v>1772</v>
      </c>
      <c r="D487" s="162" t="s">
        <v>1772</v>
      </c>
      <c r="E487" s="162" t="s">
        <v>1772</v>
      </c>
      <c r="F487" s="162" t="s">
        <v>1772</v>
      </c>
      <c r="G487" s="162" t="s">
        <v>1772</v>
      </c>
      <c r="H487" s="162" t="s">
        <v>1772</v>
      </c>
      <c r="I487" s="162" t="s">
        <v>1772</v>
      </c>
      <c r="J487" s="162" t="s">
        <v>1772</v>
      </c>
      <c r="K487" s="162" t="s">
        <v>1772</v>
      </c>
      <c r="L487" s="162" t="s">
        <v>1772</v>
      </c>
      <c r="M487" s="162" t="s">
        <v>1772</v>
      </c>
      <c r="N487" s="162" t="s">
        <v>1772</v>
      </c>
      <c r="O487" s="162" t="s">
        <v>1772</v>
      </c>
      <c r="P487" s="162" t="s">
        <v>1772</v>
      </c>
      <c r="Q487" s="162" t="s">
        <v>1772</v>
      </c>
      <c r="R487" s="162" t="s">
        <v>1772</v>
      </c>
      <c r="S487" s="162" t="s">
        <v>1772</v>
      </c>
      <c r="T487" s="162" t="s">
        <v>1772</v>
      </c>
      <c r="U487" s="162" t="s">
        <v>1772</v>
      </c>
      <c r="V487" s="122" t="s">
        <v>1756</v>
      </c>
      <c r="W487" s="162">
        <v>0.0567</v>
      </c>
      <c r="X487" s="162">
        <v>0.02707142857143</v>
      </c>
      <c r="Y487" s="162">
        <v>0.05572857142857</v>
      </c>
      <c r="Z487" s="162" t="s">
        <v>1772</v>
      </c>
      <c r="AA487" s="162">
        <v>0.05757857142857</v>
      </c>
      <c r="AB487" s="162" t="s">
        <v>1772</v>
      </c>
      <c r="AC487" s="162" t="s">
        <v>1772</v>
      </c>
      <c r="AD487" s="162" t="s">
        <v>1772</v>
      </c>
      <c r="AE487" s="162" t="s">
        <v>1772</v>
      </c>
      <c r="AF487" s="162" t="s">
        <v>1772</v>
      </c>
      <c r="AG487" s="122" t="s">
        <v>1756</v>
      </c>
      <c r="AH487" s="162" t="s">
        <v>1772</v>
      </c>
      <c r="AI487" s="162">
        <v>0.09043571428571</v>
      </c>
      <c r="AJ487" s="162" t="s">
        <v>1759</v>
      </c>
    </row>
    <row r="488" spans="1:36">
      <c r="A488" s="173" t="s">
        <v>1928</v>
      </c>
      <c r="B488" s="162">
        <v>0.88</v>
      </c>
      <c r="C488" s="162">
        <v>397.3193</v>
      </c>
      <c r="D488" s="162" t="s">
        <v>1752</v>
      </c>
      <c r="E488" s="162" t="s">
        <v>1752</v>
      </c>
      <c r="F488" s="162">
        <v>2580.44234</v>
      </c>
      <c r="G488" s="162" t="s">
        <v>1752</v>
      </c>
      <c r="H488" s="162">
        <v>56029.1551</v>
      </c>
      <c r="I488" s="162" t="s">
        <v>1752</v>
      </c>
      <c r="J488" s="162">
        <v>2093.1476</v>
      </c>
      <c r="K488" s="162" t="s">
        <v>1752</v>
      </c>
      <c r="L488" s="162" t="s">
        <v>1752</v>
      </c>
      <c r="M488" s="162" t="s">
        <v>1752</v>
      </c>
      <c r="N488" s="162" t="s">
        <v>1752</v>
      </c>
      <c r="O488" s="162" t="s">
        <v>1752</v>
      </c>
      <c r="P488" s="162" t="s">
        <v>1752</v>
      </c>
      <c r="Q488" s="162">
        <v>117.73</v>
      </c>
      <c r="R488" s="162" t="s">
        <v>1752</v>
      </c>
      <c r="S488" s="162" t="s">
        <v>1752</v>
      </c>
      <c r="T488" s="162" t="s">
        <v>1752</v>
      </c>
      <c r="U488" s="162" t="s">
        <v>1752</v>
      </c>
      <c r="V488" s="122" t="s">
        <v>1756</v>
      </c>
      <c r="W488" s="162">
        <v>2.1192</v>
      </c>
      <c r="X488" s="162" t="s">
        <v>1752</v>
      </c>
      <c r="Y488" s="162" t="s">
        <v>1752</v>
      </c>
      <c r="Z488" s="162" t="s">
        <v>1752</v>
      </c>
      <c r="AA488" s="162" t="s">
        <v>1752</v>
      </c>
      <c r="AB488" s="162" t="s">
        <v>1752</v>
      </c>
      <c r="AC488" s="162" t="s">
        <v>1752</v>
      </c>
      <c r="AD488" s="162" t="s">
        <v>1752</v>
      </c>
      <c r="AE488" s="162" t="s">
        <v>1752</v>
      </c>
      <c r="AF488" s="162" t="s">
        <v>1752</v>
      </c>
      <c r="AG488" s="122" t="s">
        <v>1756</v>
      </c>
      <c r="AH488" s="162">
        <v>7230.4559118</v>
      </c>
      <c r="AI488" s="162" t="s">
        <v>1752</v>
      </c>
      <c r="AJ488" s="162" t="s">
        <v>1752</v>
      </c>
    </row>
    <row r="489" spans="1:36">
      <c r="A489" s="192" t="s">
        <v>1929</v>
      </c>
      <c r="B489" s="162" t="s">
        <v>1752</v>
      </c>
      <c r="C489" s="162">
        <v>397.3193</v>
      </c>
      <c r="D489" s="162" t="s">
        <v>1752</v>
      </c>
      <c r="E489" s="162" t="s">
        <v>1752</v>
      </c>
      <c r="F489" s="162">
        <v>2549.66234</v>
      </c>
      <c r="G489" s="162" t="s">
        <v>1752</v>
      </c>
      <c r="H489" s="162">
        <v>49042.2551</v>
      </c>
      <c r="I489" s="162" t="s">
        <v>1752</v>
      </c>
      <c r="J489" s="162">
        <v>2093.1476</v>
      </c>
      <c r="K489" s="162" t="s">
        <v>1752</v>
      </c>
      <c r="L489" s="162" t="s">
        <v>1752</v>
      </c>
      <c r="M489" s="162" t="s">
        <v>1752</v>
      </c>
      <c r="N489" s="162" t="s">
        <v>1752</v>
      </c>
      <c r="O489" s="162" t="s">
        <v>1752</v>
      </c>
      <c r="P489" s="162" t="s">
        <v>1752</v>
      </c>
      <c r="Q489" s="162">
        <v>99.33</v>
      </c>
      <c r="R489" s="162" t="s">
        <v>1752</v>
      </c>
      <c r="S489" s="162" t="s">
        <v>1752</v>
      </c>
      <c r="T489" s="162" t="s">
        <v>1752</v>
      </c>
      <c r="U489" s="162" t="s">
        <v>1752</v>
      </c>
      <c r="V489" s="122" t="s">
        <v>1756</v>
      </c>
      <c r="W489" s="162" t="s">
        <v>1752</v>
      </c>
      <c r="X489" s="162" t="s">
        <v>1752</v>
      </c>
      <c r="Y489" s="162" t="s">
        <v>1752</v>
      </c>
      <c r="Z489" s="162" t="s">
        <v>1752</v>
      </c>
      <c r="AA489" s="162" t="s">
        <v>1752</v>
      </c>
      <c r="AB489" s="162" t="s">
        <v>1752</v>
      </c>
      <c r="AC489" s="162" t="s">
        <v>1752</v>
      </c>
      <c r="AD489" s="162" t="s">
        <v>1752</v>
      </c>
      <c r="AE489" s="162" t="s">
        <v>1752</v>
      </c>
      <c r="AF489" s="162" t="s">
        <v>1752</v>
      </c>
      <c r="AG489" s="122" t="s">
        <v>1756</v>
      </c>
      <c r="AH489" s="162" t="s">
        <v>1806</v>
      </c>
      <c r="AI489" s="162" t="s">
        <v>1752</v>
      </c>
      <c r="AJ489" s="162" t="s">
        <v>1752</v>
      </c>
    </row>
    <row r="490" spans="1:36">
      <c r="A490" s="192" t="s">
        <v>1930</v>
      </c>
      <c r="B490" s="162" t="s">
        <v>1752</v>
      </c>
      <c r="C490" s="162" t="s">
        <v>1752</v>
      </c>
      <c r="D490" s="162" t="s">
        <v>1752</v>
      </c>
      <c r="E490" s="162" t="s">
        <v>1752</v>
      </c>
      <c r="F490" s="162" t="s">
        <v>1752</v>
      </c>
      <c r="G490" s="162" t="s">
        <v>1752</v>
      </c>
      <c r="H490" s="162">
        <v>1019.4</v>
      </c>
      <c r="I490" s="162" t="s">
        <v>1752</v>
      </c>
      <c r="J490" s="162" t="s">
        <v>1752</v>
      </c>
      <c r="K490" s="162" t="s">
        <v>1752</v>
      </c>
      <c r="L490" s="162" t="s">
        <v>1752</v>
      </c>
      <c r="M490" s="162" t="s">
        <v>1752</v>
      </c>
      <c r="N490" s="162" t="s">
        <v>1752</v>
      </c>
      <c r="O490" s="162" t="s">
        <v>1752</v>
      </c>
      <c r="P490" s="162" t="s">
        <v>1752</v>
      </c>
      <c r="Q490" s="162" t="s">
        <v>1752</v>
      </c>
      <c r="R490" s="162" t="s">
        <v>1752</v>
      </c>
      <c r="S490" s="162" t="s">
        <v>1752</v>
      </c>
      <c r="T490" s="162" t="s">
        <v>1752</v>
      </c>
      <c r="U490" s="162" t="s">
        <v>1752</v>
      </c>
      <c r="V490" s="122" t="s">
        <v>1756</v>
      </c>
      <c r="W490" s="162" t="s">
        <v>1752</v>
      </c>
      <c r="X490" s="162" t="s">
        <v>1752</v>
      </c>
      <c r="Y490" s="162" t="s">
        <v>1752</v>
      </c>
      <c r="Z490" s="162" t="s">
        <v>1752</v>
      </c>
      <c r="AA490" s="162" t="s">
        <v>1752</v>
      </c>
      <c r="AB490" s="162" t="s">
        <v>1752</v>
      </c>
      <c r="AC490" s="162" t="s">
        <v>1752</v>
      </c>
      <c r="AD490" s="162" t="s">
        <v>1752</v>
      </c>
      <c r="AE490" s="162" t="s">
        <v>1752</v>
      </c>
      <c r="AF490" s="162" t="s">
        <v>1752</v>
      </c>
      <c r="AG490" s="122" t="s">
        <v>1756</v>
      </c>
      <c r="AH490" s="162" t="s">
        <v>1730</v>
      </c>
      <c r="AI490" s="162" t="s">
        <v>1752</v>
      </c>
      <c r="AJ490" s="162" t="s">
        <v>1752</v>
      </c>
    </row>
    <row r="491" spans="1:36">
      <c r="A491" s="192" t="s">
        <v>1931</v>
      </c>
      <c r="B491" s="162">
        <v>0.88</v>
      </c>
      <c r="C491" s="162" t="s">
        <v>1752</v>
      </c>
      <c r="D491" s="162" t="s">
        <v>1752</v>
      </c>
      <c r="E491" s="162" t="s">
        <v>1752</v>
      </c>
      <c r="F491" s="162">
        <v>30.78</v>
      </c>
      <c r="G491" s="162" t="s">
        <v>1752</v>
      </c>
      <c r="H491" s="162" t="s">
        <v>1752</v>
      </c>
      <c r="I491" s="162" t="s">
        <v>1752</v>
      </c>
      <c r="J491" s="162" t="s">
        <v>1752</v>
      </c>
      <c r="K491" s="162" t="s">
        <v>1752</v>
      </c>
      <c r="L491" s="162" t="s">
        <v>1752</v>
      </c>
      <c r="M491" s="162" t="s">
        <v>1752</v>
      </c>
      <c r="N491" s="162" t="s">
        <v>1752</v>
      </c>
      <c r="O491" s="162" t="s">
        <v>1752</v>
      </c>
      <c r="P491" s="162" t="s">
        <v>1752</v>
      </c>
      <c r="Q491" s="162">
        <v>18.4</v>
      </c>
      <c r="R491" s="162" t="s">
        <v>1752</v>
      </c>
      <c r="S491" s="162" t="s">
        <v>1752</v>
      </c>
      <c r="T491" s="162" t="s">
        <v>1752</v>
      </c>
      <c r="U491" s="162" t="s">
        <v>1752</v>
      </c>
      <c r="V491" s="122" t="s">
        <v>1756</v>
      </c>
      <c r="W491" s="162">
        <v>2.1192</v>
      </c>
      <c r="X491" s="162" t="s">
        <v>1752</v>
      </c>
      <c r="Y491" s="162" t="s">
        <v>1752</v>
      </c>
      <c r="Z491" s="162" t="s">
        <v>1752</v>
      </c>
      <c r="AA491" s="162" t="s">
        <v>1752</v>
      </c>
      <c r="AB491" s="162" t="s">
        <v>1752</v>
      </c>
      <c r="AC491" s="162" t="s">
        <v>1752</v>
      </c>
      <c r="AD491" s="162" t="s">
        <v>1752</v>
      </c>
      <c r="AE491" s="162" t="s">
        <v>1752</v>
      </c>
      <c r="AF491" s="162" t="s">
        <v>1752</v>
      </c>
      <c r="AG491" s="122" t="s">
        <v>1756</v>
      </c>
      <c r="AH491" s="162" t="s">
        <v>1730</v>
      </c>
      <c r="AI491" s="162" t="s">
        <v>1752</v>
      </c>
      <c r="AJ491" s="162" t="s">
        <v>1752</v>
      </c>
    </row>
    <row r="492" spans="1:36">
      <c r="A492" s="192" t="s">
        <v>1932</v>
      </c>
      <c r="B492" s="162" t="s">
        <v>1752</v>
      </c>
      <c r="C492" s="162" t="s">
        <v>1752</v>
      </c>
      <c r="D492" s="162" t="s">
        <v>1752</v>
      </c>
      <c r="E492" s="162" t="s">
        <v>1752</v>
      </c>
      <c r="F492" s="162" t="s">
        <v>1752</v>
      </c>
      <c r="G492" s="162" t="s">
        <v>1752</v>
      </c>
      <c r="H492" s="162">
        <v>5967.5</v>
      </c>
      <c r="I492" s="162" t="s">
        <v>1752</v>
      </c>
      <c r="J492" s="162" t="s">
        <v>1752</v>
      </c>
      <c r="K492" s="162" t="s">
        <v>1752</v>
      </c>
      <c r="L492" s="162" t="s">
        <v>1752</v>
      </c>
      <c r="M492" s="162" t="s">
        <v>1752</v>
      </c>
      <c r="N492" s="162" t="s">
        <v>1752</v>
      </c>
      <c r="O492" s="162" t="s">
        <v>1752</v>
      </c>
      <c r="P492" s="162" t="s">
        <v>1752</v>
      </c>
      <c r="Q492" s="162" t="s">
        <v>1752</v>
      </c>
      <c r="R492" s="162" t="s">
        <v>1752</v>
      </c>
      <c r="S492" s="162" t="s">
        <v>1752</v>
      </c>
      <c r="T492" s="162" t="s">
        <v>1752</v>
      </c>
      <c r="U492" s="162" t="s">
        <v>1752</v>
      </c>
      <c r="V492" s="122" t="s">
        <v>1756</v>
      </c>
      <c r="W492" s="162" t="s">
        <v>1752</v>
      </c>
      <c r="X492" s="162" t="s">
        <v>1752</v>
      </c>
      <c r="Y492" s="162" t="s">
        <v>1752</v>
      </c>
      <c r="Z492" s="162" t="s">
        <v>1752</v>
      </c>
      <c r="AA492" s="162" t="s">
        <v>1752</v>
      </c>
      <c r="AB492" s="162" t="s">
        <v>1752</v>
      </c>
      <c r="AC492" s="162" t="s">
        <v>1752</v>
      </c>
      <c r="AD492" s="162" t="s">
        <v>1752</v>
      </c>
      <c r="AE492" s="162" t="s">
        <v>1752</v>
      </c>
      <c r="AF492" s="162" t="s">
        <v>1752</v>
      </c>
      <c r="AG492" s="122" t="s">
        <v>1756</v>
      </c>
      <c r="AH492" s="162" t="s">
        <v>1816</v>
      </c>
      <c r="AI492" s="162" t="s">
        <v>1752</v>
      </c>
      <c r="AJ492" s="162" t="s">
        <v>1752</v>
      </c>
    </row>
    <row r="493" spans="1:36">
      <c r="A493" s="192" t="s">
        <v>1933</v>
      </c>
      <c r="B493" s="162" t="s">
        <v>1752</v>
      </c>
      <c r="C493" s="162" t="s">
        <v>1752</v>
      </c>
      <c r="D493" s="162" t="s">
        <v>1752</v>
      </c>
      <c r="E493" s="162" t="s">
        <v>1752</v>
      </c>
      <c r="F493" s="162" t="s">
        <v>1752</v>
      </c>
      <c r="G493" s="162" t="s">
        <v>1752</v>
      </c>
      <c r="H493" s="162" t="s">
        <v>1752</v>
      </c>
      <c r="I493" s="162" t="s">
        <v>1752</v>
      </c>
      <c r="J493" s="162" t="s">
        <v>1752</v>
      </c>
      <c r="K493" s="162" t="s">
        <v>1752</v>
      </c>
      <c r="L493" s="162" t="s">
        <v>1752</v>
      </c>
      <c r="M493" s="162" t="s">
        <v>1752</v>
      </c>
      <c r="N493" s="162" t="s">
        <v>1752</v>
      </c>
      <c r="O493" s="162" t="s">
        <v>1752</v>
      </c>
      <c r="P493" s="162" t="s">
        <v>1752</v>
      </c>
      <c r="Q493" s="162" t="s">
        <v>1752</v>
      </c>
      <c r="R493" s="162" t="s">
        <v>1752</v>
      </c>
      <c r="S493" s="162" t="s">
        <v>1752</v>
      </c>
      <c r="T493" s="162" t="s">
        <v>1752</v>
      </c>
      <c r="U493" s="162" t="s">
        <v>1752</v>
      </c>
      <c r="V493" s="122" t="s">
        <v>1756</v>
      </c>
      <c r="W493" s="162" t="s">
        <v>1752</v>
      </c>
      <c r="X493" s="162" t="s">
        <v>1752</v>
      </c>
      <c r="Y493" s="162" t="s">
        <v>1752</v>
      </c>
      <c r="Z493" s="162" t="s">
        <v>1752</v>
      </c>
      <c r="AA493" s="162" t="s">
        <v>1752</v>
      </c>
      <c r="AB493" s="162" t="s">
        <v>1752</v>
      </c>
      <c r="AC493" s="162" t="s">
        <v>1752</v>
      </c>
      <c r="AD493" s="162" t="s">
        <v>1752</v>
      </c>
      <c r="AE493" s="162" t="s">
        <v>1752</v>
      </c>
      <c r="AF493" s="162" t="s">
        <v>1752</v>
      </c>
      <c r="AG493" s="122" t="s">
        <v>1756</v>
      </c>
      <c r="AH493" s="162" t="s">
        <v>1730</v>
      </c>
      <c r="AI493" s="162" t="s">
        <v>1752</v>
      </c>
      <c r="AJ493" s="162" t="s">
        <v>1752</v>
      </c>
    </row>
    <row r="494" spans="1:36">
      <c r="A494" s="194" t="s">
        <v>1934</v>
      </c>
      <c r="B494" s="162" t="s">
        <v>1752</v>
      </c>
      <c r="C494" s="162" t="s">
        <v>1752</v>
      </c>
      <c r="D494" s="162" t="s">
        <v>1752</v>
      </c>
      <c r="E494" s="162" t="s">
        <v>1752</v>
      </c>
      <c r="F494" s="162" t="s">
        <v>1752</v>
      </c>
      <c r="G494" s="162" t="s">
        <v>1752</v>
      </c>
      <c r="H494" s="162" t="s">
        <v>1752</v>
      </c>
      <c r="I494" s="162" t="s">
        <v>1752</v>
      </c>
      <c r="J494" s="162" t="s">
        <v>1752</v>
      </c>
      <c r="K494" s="162" t="s">
        <v>1752</v>
      </c>
      <c r="L494" s="162" t="s">
        <v>1752</v>
      </c>
      <c r="M494" s="162" t="s">
        <v>1752</v>
      </c>
      <c r="N494" s="162" t="s">
        <v>1752</v>
      </c>
      <c r="O494" s="162" t="s">
        <v>1752</v>
      </c>
      <c r="P494" s="162" t="s">
        <v>1752</v>
      </c>
      <c r="Q494" s="162" t="s">
        <v>1752</v>
      </c>
      <c r="R494" s="162" t="s">
        <v>1752</v>
      </c>
      <c r="S494" s="162" t="s">
        <v>1752</v>
      </c>
      <c r="T494" s="162" t="s">
        <v>1752</v>
      </c>
      <c r="U494" s="162" t="s">
        <v>1752</v>
      </c>
      <c r="V494" s="122" t="s">
        <v>1756</v>
      </c>
      <c r="W494" s="162" t="s">
        <v>1752</v>
      </c>
      <c r="X494" s="162" t="s">
        <v>1752</v>
      </c>
      <c r="Y494" s="162" t="s">
        <v>1752</v>
      </c>
      <c r="Z494" s="162" t="s">
        <v>1752</v>
      </c>
      <c r="AA494" s="162" t="s">
        <v>1752</v>
      </c>
      <c r="AB494" s="162" t="s">
        <v>1752</v>
      </c>
      <c r="AC494" s="162" t="s">
        <v>1752</v>
      </c>
      <c r="AD494" s="162" t="s">
        <v>1752</v>
      </c>
      <c r="AE494" s="162" t="s">
        <v>1752</v>
      </c>
      <c r="AF494" s="162" t="s">
        <v>1752</v>
      </c>
      <c r="AG494" s="122" t="s">
        <v>1756</v>
      </c>
      <c r="AH494" s="162">
        <v>7230.4559118</v>
      </c>
      <c r="AI494" s="162" t="s">
        <v>1752</v>
      </c>
      <c r="AJ494" s="162" t="s">
        <v>1752</v>
      </c>
    </row>
    <row r="495" spans="1:36">
      <c r="A495" s="172" t="s">
        <v>1935</v>
      </c>
      <c r="B495" s="162" t="s">
        <v>1752</v>
      </c>
      <c r="C495" s="162" t="s">
        <v>1752</v>
      </c>
      <c r="D495" s="162" t="s">
        <v>1752</v>
      </c>
      <c r="E495" s="162" t="s">
        <v>1752</v>
      </c>
      <c r="F495" s="162" t="s">
        <v>1752</v>
      </c>
      <c r="G495" s="162" t="s">
        <v>1752</v>
      </c>
      <c r="H495" s="162" t="s">
        <v>1752</v>
      </c>
      <c r="I495" s="162" t="s">
        <v>1752</v>
      </c>
      <c r="J495" s="162" t="s">
        <v>1752</v>
      </c>
      <c r="K495" s="162" t="s">
        <v>1752</v>
      </c>
      <c r="L495" s="162" t="s">
        <v>1752</v>
      </c>
      <c r="M495" s="162" t="s">
        <v>1752</v>
      </c>
      <c r="N495" s="162" t="s">
        <v>1752</v>
      </c>
      <c r="O495" s="162" t="s">
        <v>1752</v>
      </c>
      <c r="P495" s="162" t="s">
        <v>1752</v>
      </c>
      <c r="Q495" s="162" t="s">
        <v>1752</v>
      </c>
      <c r="R495" s="162" t="s">
        <v>1752</v>
      </c>
      <c r="S495" s="162" t="s">
        <v>1752</v>
      </c>
      <c r="T495" s="162" t="s">
        <v>1752</v>
      </c>
      <c r="U495" s="162" t="s">
        <v>1752</v>
      </c>
      <c r="V495" s="122" t="s">
        <v>1756</v>
      </c>
      <c r="W495" s="162">
        <v>0.31825058820208</v>
      </c>
      <c r="X495" s="162" t="s">
        <v>1752</v>
      </c>
      <c r="Y495" s="162" t="s">
        <v>1752</v>
      </c>
      <c r="Z495" s="162" t="s">
        <v>1752</v>
      </c>
      <c r="AA495" s="162" t="s">
        <v>1752</v>
      </c>
      <c r="AB495" s="162" t="s">
        <v>1752</v>
      </c>
      <c r="AC495" s="162" t="s">
        <v>1752</v>
      </c>
      <c r="AD495" s="162" t="s">
        <v>1752</v>
      </c>
      <c r="AE495" s="162" t="s">
        <v>1752</v>
      </c>
      <c r="AF495" s="162" t="s">
        <v>1752</v>
      </c>
      <c r="AG495" s="122" t="s">
        <v>1756</v>
      </c>
      <c r="AH495" s="162" t="s">
        <v>1752</v>
      </c>
      <c r="AI495" s="162">
        <v>366.1890137863</v>
      </c>
      <c r="AJ495" s="162" t="s">
        <v>1752</v>
      </c>
    </row>
    <row r="496" spans="1:36">
      <c r="A496" s="192" t="s">
        <v>1936</v>
      </c>
      <c r="B496" s="162" t="s">
        <v>1752</v>
      </c>
      <c r="C496" s="162" t="s">
        <v>1752</v>
      </c>
      <c r="D496" s="162" t="s">
        <v>1752</v>
      </c>
      <c r="E496" s="162" t="s">
        <v>1752</v>
      </c>
      <c r="F496" s="162" t="s">
        <v>1752</v>
      </c>
      <c r="G496" s="162" t="s">
        <v>1752</v>
      </c>
      <c r="H496" s="162" t="s">
        <v>1752</v>
      </c>
      <c r="I496" s="162" t="s">
        <v>1752</v>
      </c>
      <c r="J496" s="162" t="s">
        <v>1752</v>
      </c>
      <c r="K496" s="162" t="s">
        <v>1752</v>
      </c>
      <c r="L496" s="162" t="s">
        <v>1752</v>
      </c>
      <c r="M496" s="162" t="s">
        <v>1752</v>
      </c>
      <c r="N496" s="162" t="s">
        <v>1752</v>
      </c>
      <c r="O496" s="162" t="s">
        <v>1752</v>
      </c>
      <c r="P496" s="162" t="s">
        <v>1752</v>
      </c>
      <c r="Q496" s="162" t="s">
        <v>1752</v>
      </c>
      <c r="R496" s="162" t="s">
        <v>1752</v>
      </c>
      <c r="S496" s="162" t="s">
        <v>1752</v>
      </c>
      <c r="T496" s="162" t="s">
        <v>1752</v>
      </c>
      <c r="U496" s="162" t="s">
        <v>1752</v>
      </c>
      <c r="V496" s="122" t="s">
        <v>1756</v>
      </c>
      <c r="W496" s="162">
        <v>0.31825058820208</v>
      </c>
      <c r="X496" s="162" t="s">
        <v>1752</v>
      </c>
      <c r="Y496" s="162" t="s">
        <v>1752</v>
      </c>
      <c r="Z496" s="162" t="s">
        <v>1752</v>
      </c>
      <c r="AA496" s="162" t="s">
        <v>1752</v>
      </c>
      <c r="AB496" s="162" t="s">
        <v>1752</v>
      </c>
      <c r="AC496" s="162" t="s">
        <v>1752</v>
      </c>
      <c r="AD496" s="162" t="s">
        <v>1752</v>
      </c>
      <c r="AE496" s="162" t="s">
        <v>1752</v>
      </c>
      <c r="AF496" s="162" t="s">
        <v>1752</v>
      </c>
      <c r="AG496" s="122" t="s">
        <v>1756</v>
      </c>
      <c r="AH496" s="162" t="s">
        <v>1752</v>
      </c>
      <c r="AI496" s="162">
        <v>366.1890137863</v>
      </c>
      <c r="AJ496" s="162" t="s">
        <v>1752</v>
      </c>
    </row>
    <row r="497" ht="15" spans="1:36">
      <c r="A497" s="192" t="s">
        <v>1993</v>
      </c>
      <c r="B497" s="122" t="s">
        <v>1756</v>
      </c>
      <c r="C497" s="122" t="s">
        <v>1756</v>
      </c>
      <c r="D497" s="122" t="s">
        <v>1756</v>
      </c>
      <c r="E497" s="122" t="s">
        <v>1756</v>
      </c>
      <c r="F497" s="122" t="s">
        <v>1756</v>
      </c>
      <c r="G497" s="122" t="s">
        <v>1756</v>
      </c>
      <c r="H497" s="122" t="s">
        <v>1756</v>
      </c>
      <c r="I497" s="122" t="s">
        <v>1756</v>
      </c>
      <c r="J497" s="122" t="s">
        <v>1756</v>
      </c>
      <c r="K497" s="122" t="s">
        <v>1756</v>
      </c>
      <c r="L497" s="122" t="s">
        <v>1756</v>
      </c>
      <c r="M497" s="122" t="s">
        <v>1756</v>
      </c>
      <c r="N497" s="122" t="s">
        <v>1756</v>
      </c>
      <c r="O497" s="122" t="s">
        <v>1756</v>
      </c>
      <c r="P497" s="122" t="s">
        <v>1756</v>
      </c>
      <c r="Q497" s="122" t="s">
        <v>1756</v>
      </c>
      <c r="R497" s="122" t="s">
        <v>1756</v>
      </c>
      <c r="S497" s="122" t="s">
        <v>1756</v>
      </c>
      <c r="T497" s="122" t="s">
        <v>1756</v>
      </c>
      <c r="U497" s="122" t="s">
        <v>1756</v>
      </c>
      <c r="V497" s="122" t="s">
        <v>1756</v>
      </c>
      <c r="W497" s="162" t="s">
        <v>1752</v>
      </c>
      <c r="X497" s="162" t="s">
        <v>1752</v>
      </c>
      <c r="Y497" s="162" t="s">
        <v>1752</v>
      </c>
      <c r="Z497" s="162" t="s">
        <v>1752</v>
      </c>
      <c r="AA497" s="162" t="s">
        <v>1752</v>
      </c>
      <c r="AB497" s="162" t="s">
        <v>1752</v>
      </c>
      <c r="AC497" s="162" t="s">
        <v>1752</v>
      </c>
      <c r="AD497" s="162" t="s">
        <v>1752</v>
      </c>
      <c r="AE497" s="162" t="s">
        <v>1752</v>
      </c>
      <c r="AF497" s="162" t="s">
        <v>1752</v>
      </c>
      <c r="AG497" s="122" t="s">
        <v>1756</v>
      </c>
      <c r="AH497" s="122" t="s">
        <v>1756</v>
      </c>
      <c r="AI497" s="162" t="s">
        <v>1772</v>
      </c>
      <c r="AJ497" s="122" t="s">
        <v>1756</v>
      </c>
    </row>
    <row r="498" spans="1:36">
      <c r="A498" s="192" t="s">
        <v>1939</v>
      </c>
      <c r="B498" s="162" t="s">
        <v>1752</v>
      </c>
      <c r="C498" s="162" t="s">
        <v>1752</v>
      </c>
      <c r="D498" s="162" t="s">
        <v>1752</v>
      </c>
      <c r="E498" s="162" t="s">
        <v>1752</v>
      </c>
      <c r="F498" s="162" t="s">
        <v>1752</v>
      </c>
      <c r="G498" s="162" t="s">
        <v>1752</v>
      </c>
      <c r="H498" s="162" t="s">
        <v>1752</v>
      </c>
      <c r="I498" s="162" t="s">
        <v>1752</v>
      </c>
      <c r="J498" s="162" t="s">
        <v>1752</v>
      </c>
      <c r="K498" s="162" t="s">
        <v>1752</v>
      </c>
      <c r="L498" s="162" t="s">
        <v>1752</v>
      </c>
      <c r="M498" s="162" t="s">
        <v>1752</v>
      </c>
      <c r="N498" s="162" t="s">
        <v>1752</v>
      </c>
      <c r="O498" s="162" t="s">
        <v>1752</v>
      </c>
      <c r="P498" s="162" t="s">
        <v>1752</v>
      </c>
      <c r="Q498" s="162" t="s">
        <v>1752</v>
      </c>
      <c r="R498" s="162" t="s">
        <v>1752</v>
      </c>
      <c r="S498" s="162" t="s">
        <v>1752</v>
      </c>
      <c r="T498" s="162" t="s">
        <v>1752</v>
      </c>
      <c r="U498" s="162" t="s">
        <v>1752</v>
      </c>
      <c r="V498" s="122" t="s">
        <v>1756</v>
      </c>
      <c r="W498" s="162" t="s">
        <v>1752</v>
      </c>
      <c r="X498" s="162" t="s">
        <v>1752</v>
      </c>
      <c r="Y498" s="162" t="s">
        <v>1752</v>
      </c>
      <c r="Z498" s="162" t="s">
        <v>1752</v>
      </c>
      <c r="AA498" s="162" t="s">
        <v>1752</v>
      </c>
      <c r="AB498" s="162" t="s">
        <v>1752</v>
      </c>
      <c r="AC498" s="162" t="s">
        <v>1752</v>
      </c>
      <c r="AD498" s="162" t="s">
        <v>1752</v>
      </c>
      <c r="AE498" s="162" t="s">
        <v>1752</v>
      </c>
      <c r="AF498" s="162" t="s">
        <v>1752</v>
      </c>
      <c r="AG498" s="122" t="s">
        <v>1756</v>
      </c>
      <c r="AH498" s="162" t="s">
        <v>1752</v>
      </c>
      <c r="AI498" s="162" t="s">
        <v>1752</v>
      </c>
      <c r="AJ498" s="162" t="s">
        <v>1752</v>
      </c>
    </row>
    <row r="499" spans="1:36">
      <c r="A499" s="196" t="s">
        <v>1994</v>
      </c>
      <c r="B499" s="162" t="s">
        <v>1766</v>
      </c>
      <c r="C499" s="162" t="s">
        <v>1752</v>
      </c>
      <c r="D499" s="162" t="s">
        <v>1752</v>
      </c>
      <c r="E499" s="162" t="s">
        <v>1752</v>
      </c>
      <c r="F499" s="162" t="s">
        <v>1752</v>
      </c>
      <c r="G499" s="162" t="s">
        <v>1752</v>
      </c>
      <c r="H499" s="162" t="s">
        <v>1752</v>
      </c>
      <c r="I499" s="162" t="s">
        <v>1752</v>
      </c>
      <c r="J499" s="162" t="s">
        <v>1752</v>
      </c>
      <c r="K499" s="162" t="s">
        <v>1752</v>
      </c>
      <c r="L499" s="162" t="s">
        <v>1752</v>
      </c>
      <c r="M499" s="162" t="s">
        <v>1752</v>
      </c>
      <c r="N499" s="162" t="s">
        <v>1752</v>
      </c>
      <c r="O499" s="162" t="s">
        <v>1752</v>
      </c>
      <c r="P499" s="162" t="s">
        <v>1752</v>
      </c>
      <c r="Q499" s="162" t="s">
        <v>1752</v>
      </c>
      <c r="R499" s="162" t="s">
        <v>1752</v>
      </c>
      <c r="S499" s="162" t="s">
        <v>1752</v>
      </c>
      <c r="T499" s="162" t="s">
        <v>1752</v>
      </c>
      <c r="U499" s="162" t="s">
        <v>1752</v>
      </c>
      <c r="V499" s="122" t="s">
        <v>1756</v>
      </c>
      <c r="W499" s="162" t="s">
        <v>1766</v>
      </c>
      <c r="X499" s="162" t="s">
        <v>1766</v>
      </c>
      <c r="Y499" s="162" t="s">
        <v>1766</v>
      </c>
      <c r="Z499" s="162" t="s">
        <v>1752</v>
      </c>
      <c r="AA499" s="162" t="s">
        <v>1766</v>
      </c>
      <c r="AB499" s="162" t="s">
        <v>1752</v>
      </c>
      <c r="AC499" s="162" t="s">
        <v>1752</v>
      </c>
      <c r="AD499" s="162" t="s">
        <v>1752</v>
      </c>
      <c r="AE499" s="162" t="s">
        <v>1752</v>
      </c>
      <c r="AF499" s="162" t="s">
        <v>1752</v>
      </c>
      <c r="AG499" s="122" t="s">
        <v>1756</v>
      </c>
      <c r="AH499" s="162" t="s">
        <v>1752</v>
      </c>
      <c r="AI499" s="162" t="s">
        <v>1766</v>
      </c>
      <c r="AJ499" s="162" t="s">
        <v>1766</v>
      </c>
    </row>
    <row r="500" spans="1:36">
      <c r="A500" s="197" t="s">
        <v>1995</v>
      </c>
      <c r="B500" s="162" t="s">
        <v>1766</v>
      </c>
      <c r="C500" s="162" t="s">
        <v>1752</v>
      </c>
      <c r="D500" s="162" t="s">
        <v>1752</v>
      </c>
      <c r="E500" s="162" t="s">
        <v>1752</v>
      </c>
      <c r="F500" s="162" t="s">
        <v>1752</v>
      </c>
      <c r="G500" s="162" t="s">
        <v>1752</v>
      </c>
      <c r="H500" s="162" t="s">
        <v>1752</v>
      </c>
      <c r="I500" s="162" t="s">
        <v>1752</v>
      </c>
      <c r="J500" s="162" t="s">
        <v>1752</v>
      </c>
      <c r="K500" s="162" t="s">
        <v>1752</v>
      </c>
      <c r="L500" s="162" t="s">
        <v>1752</v>
      </c>
      <c r="M500" s="162" t="s">
        <v>1752</v>
      </c>
      <c r="N500" s="162" t="s">
        <v>1752</v>
      </c>
      <c r="O500" s="162" t="s">
        <v>1752</v>
      </c>
      <c r="P500" s="162" t="s">
        <v>1752</v>
      </c>
      <c r="Q500" s="162" t="s">
        <v>1752</v>
      </c>
      <c r="R500" s="162" t="s">
        <v>1752</v>
      </c>
      <c r="S500" s="162" t="s">
        <v>1752</v>
      </c>
      <c r="T500" s="162" t="s">
        <v>1752</v>
      </c>
      <c r="U500" s="162" t="s">
        <v>1752</v>
      </c>
      <c r="V500" s="122" t="s">
        <v>1756</v>
      </c>
      <c r="W500" s="162" t="s">
        <v>1766</v>
      </c>
      <c r="X500" s="162" t="s">
        <v>1766</v>
      </c>
      <c r="Y500" s="162" t="s">
        <v>1766</v>
      </c>
      <c r="Z500" s="162" t="s">
        <v>1752</v>
      </c>
      <c r="AA500" s="162" t="s">
        <v>1766</v>
      </c>
      <c r="AB500" s="162" t="s">
        <v>1752</v>
      </c>
      <c r="AC500" s="162" t="s">
        <v>1752</v>
      </c>
      <c r="AD500" s="162" t="s">
        <v>1752</v>
      </c>
      <c r="AE500" s="162" t="s">
        <v>1752</v>
      </c>
      <c r="AF500" s="162" t="s">
        <v>1752</v>
      </c>
      <c r="AG500" s="122" t="s">
        <v>1756</v>
      </c>
      <c r="AH500" s="162" t="s">
        <v>1752</v>
      </c>
      <c r="AI500" s="162" t="s">
        <v>1766</v>
      </c>
      <c r="AJ500" s="162" t="s">
        <v>1766</v>
      </c>
    </row>
    <row r="501" ht="15.75" customHeight="1" spans="1:36">
      <c r="A501" s="198" t="s">
        <v>1996</v>
      </c>
      <c r="B501" s="187" t="s">
        <v>1978</v>
      </c>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200"/>
    </row>
    <row r="502" ht="14.6" spans="1:36">
      <c r="A502" s="191" t="s">
        <v>1997</v>
      </c>
      <c r="B502" s="162">
        <v>20255.8832818253</v>
      </c>
      <c r="C502" s="162">
        <v>268.798484979519</v>
      </c>
      <c r="D502" s="162">
        <v>0.18223611604835</v>
      </c>
      <c r="E502" s="162" t="s">
        <v>1980</v>
      </c>
      <c r="F502" s="162">
        <v>9031.54819</v>
      </c>
      <c r="G502" s="162" t="s">
        <v>1981</v>
      </c>
      <c r="H502" s="162">
        <v>80121.7053874294</v>
      </c>
      <c r="I502" s="162" t="s">
        <v>1981</v>
      </c>
      <c r="J502" s="162">
        <v>9356.369772</v>
      </c>
      <c r="K502" s="162" t="s">
        <v>1981</v>
      </c>
      <c r="L502" s="162" t="s">
        <v>1980</v>
      </c>
      <c r="M502" s="162" t="s">
        <v>1981</v>
      </c>
      <c r="N502" s="162" t="s">
        <v>1981</v>
      </c>
      <c r="O502" s="162" t="s">
        <v>1981</v>
      </c>
      <c r="P502" s="162" t="s">
        <v>1981</v>
      </c>
      <c r="Q502" s="162">
        <v>1154.9313</v>
      </c>
      <c r="R502" s="162" t="s">
        <v>1981</v>
      </c>
      <c r="S502" s="162" t="s">
        <v>1980</v>
      </c>
      <c r="T502" s="162" t="s">
        <v>1980</v>
      </c>
      <c r="U502" s="162">
        <v>1.69846009704782</v>
      </c>
      <c r="V502" s="122" t="s">
        <v>1756</v>
      </c>
      <c r="W502" s="162">
        <v>3991.11114538871</v>
      </c>
      <c r="X502" s="162">
        <v>2523.65633780721</v>
      </c>
      <c r="Y502" s="162">
        <v>79.7143288922196</v>
      </c>
      <c r="Z502" s="162" t="s">
        <v>1981</v>
      </c>
      <c r="AA502" s="162">
        <v>118.23495360473</v>
      </c>
      <c r="AB502" s="162" t="s">
        <v>1981</v>
      </c>
      <c r="AC502" s="162" t="s">
        <v>1980</v>
      </c>
      <c r="AD502" s="162" t="s">
        <v>1981</v>
      </c>
      <c r="AE502" s="162" t="s">
        <v>1981</v>
      </c>
      <c r="AF502" s="162">
        <v>3.58942867755868</v>
      </c>
      <c r="AG502" s="122" t="s">
        <v>1756</v>
      </c>
      <c r="AH502" s="162">
        <v>7230.4559118</v>
      </c>
      <c r="AI502" s="162">
        <v>11803.8009071539</v>
      </c>
      <c r="AJ502" s="162">
        <v>490.71858044204</v>
      </c>
    </row>
    <row r="503" spans="1:36">
      <c r="A503" s="201" t="s">
        <v>1998</v>
      </c>
      <c r="B503" s="162">
        <v>20040.3251020408</v>
      </c>
      <c r="C503" s="162" t="s">
        <v>1752</v>
      </c>
      <c r="D503" s="162" t="s">
        <v>1752</v>
      </c>
      <c r="E503" s="162" t="s">
        <v>1752</v>
      </c>
      <c r="F503" s="162" t="s">
        <v>1752</v>
      </c>
      <c r="G503" s="162" t="s">
        <v>1752</v>
      </c>
      <c r="H503" s="162" t="s">
        <v>1752</v>
      </c>
      <c r="I503" s="162" t="s">
        <v>1752</v>
      </c>
      <c r="J503" s="162" t="s">
        <v>1752</v>
      </c>
      <c r="K503" s="162" t="s">
        <v>1752</v>
      </c>
      <c r="L503" s="162" t="s">
        <v>1752</v>
      </c>
      <c r="M503" s="162" t="s">
        <v>1752</v>
      </c>
      <c r="N503" s="162" t="s">
        <v>1752</v>
      </c>
      <c r="O503" s="162" t="s">
        <v>1752</v>
      </c>
      <c r="P503" s="162" t="s">
        <v>1752</v>
      </c>
      <c r="Q503" s="162" t="s">
        <v>1752</v>
      </c>
      <c r="R503" s="162" t="s">
        <v>1752</v>
      </c>
      <c r="S503" s="162" t="s">
        <v>1752</v>
      </c>
      <c r="T503" s="162" t="s">
        <v>1752</v>
      </c>
      <c r="U503" s="162" t="s">
        <v>1752</v>
      </c>
      <c r="V503" s="122" t="s">
        <v>1756</v>
      </c>
      <c r="W503" s="162" t="s">
        <v>1752</v>
      </c>
      <c r="X503" s="162" t="s">
        <v>1752</v>
      </c>
      <c r="Y503" s="162" t="s">
        <v>1752</v>
      </c>
      <c r="Z503" s="162" t="s">
        <v>1752</v>
      </c>
      <c r="AA503" s="162" t="s">
        <v>1752</v>
      </c>
      <c r="AB503" s="162" t="s">
        <v>1752</v>
      </c>
      <c r="AC503" s="162" t="s">
        <v>1752</v>
      </c>
      <c r="AD503" s="162" t="s">
        <v>1752</v>
      </c>
      <c r="AE503" s="162" t="s">
        <v>1752</v>
      </c>
      <c r="AF503" s="162" t="s">
        <v>1752</v>
      </c>
      <c r="AG503" s="122" t="s">
        <v>1756</v>
      </c>
      <c r="AH503" s="162" t="s">
        <v>1752</v>
      </c>
      <c r="AI503" s="162" t="s">
        <v>1752</v>
      </c>
      <c r="AJ503" s="162" t="s">
        <v>1752</v>
      </c>
    </row>
    <row r="504" spans="1:36">
      <c r="A504" s="202" t="s">
        <v>1999</v>
      </c>
      <c r="B504" s="162" t="s">
        <v>1752</v>
      </c>
      <c r="C504" s="162" t="s">
        <v>1752</v>
      </c>
      <c r="D504" s="162" t="s">
        <v>1752</v>
      </c>
      <c r="E504" s="162" t="s">
        <v>1752</v>
      </c>
      <c r="F504" s="162" t="s">
        <v>1752</v>
      </c>
      <c r="G504" s="162" t="s">
        <v>1752</v>
      </c>
      <c r="H504" s="162" t="s">
        <v>1774</v>
      </c>
      <c r="I504" s="162" t="s">
        <v>1752</v>
      </c>
      <c r="J504" s="162" t="s">
        <v>1752</v>
      </c>
      <c r="K504" s="162" t="s">
        <v>1752</v>
      </c>
      <c r="L504" s="162" t="s">
        <v>1752</v>
      </c>
      <c r="M504" s="162" t="s">
        <v>1752</v>
      </c>
      <c r="N504" s="162" t="s">
        <v>1752</v>
      </c>
      <c r="O504" s="162" t="s">
        <v>1752</v>
      </c>
      <c r="P504" s="162" t="s">
        <v>1752</v>
      </c>
      <c r="Q504" s="162" t="s">
        <v>1752</v>
      </c>
      <c r="R504" s="162" t="s">
        <v>1752</v>
      </c>
      <c r="S504" s="162" t="s">
        <v>1752</v>
      </c>
      <c r="T504" s="162" t="s">
        <v>1752</v>
      </c>
      <c r="U504" s="162" t="s">
        <v>1752</v>
      </c>
      <c r="V504" s="122" t="s">
        <v>1756</v>
      </c>
      <c r="W504" s="162">
        <v>2889.51159717925</v>
      </c>
      <c r="X504" s="162">
        <v>550.242588440795</v>
      </c>
      <c r="Y504" s="162" t="s">
        <v>1752</v>
      </c>
      <c r="Z504" s="162" t="s">
        <v>1752</v>
      </c>
      <c r="AA504" s="162" t="s">
        <v>1752</v>
      </c>
      <c r="AB504" s="162" t="s">
        <v>1752</v>
      </c>
      <c r="AC504" s="162" t="s">
        <v>1752</v>
      </c>
      <c r="AD504" s="162" t="s">
        <v>1752</v>
      </c>
      <c r="AE504" s="162" t="s">
        <v>1752</v>
      </c>
      <c r="AF504" s="162" t="s">
        <v>1752</v>
      </c>
      <c r="AG504" s="122" t="s">
        <v>1756</v>
      </c>
      <c r="AH504" s="162" t="s">
        <v>1752</v>
      </c>
      <c r="AI504" s="162">
        <v>2745.53734052543</v>
      </c>
      <c r="AJ504" s="162" t="s">
        <v>1752</v>
      </c>
    </row>
    <row r="505" spans="1:36">
      <c r="A505" s="203" t="s">
        <v>2000</v>
      </c>
      <c r="B505" s="162">
        <v>202.534179784456</v>
      </c>
      <c r="C505" s="162">
        <v>0.60795747951898</v>
      </c>
      <c r="D505" s="162">
        <v>0.18223611604835</v>
      </c>
      <c r="E505" s="162" t="s">
        <v>1991</v>
      </c>
      <c r="F505" s="162" t="s">
        <v>1991</v>
      </c>
      <c r="G505" s="162" t="s">
        <v>1859</v>
      </c>
      <c r="H505" s="162">
        <v>0.01359442937847</v>
      </c>
      <c r="I505" s="162" t="s">
        <v>1859</v>
      </c>
      <c r="J505" s="162" t="s">
        <v>1991</v>
      </c>
      <c r="K505" s="162" t="s">
        <v>1859</v>
      </c>
      <c r="L505" s="162" t="s">
        <v>1991</v>
      </c>
      <c r="M505" s="162" t="s">
        <v>1859</v>
      </c>
      <c r="N505" s="162" t="s">
        <v>1859</v>
      </c>
      <c r="O505" s="162" t="s">
        <v>1859</v>
      </c>
      <c r="P505" s="162" t="s">
        <v>1859</v>
      </c>
      <c r="Q505" s="162" t="s">
        <v>1991</v>
      </c>
      <c r="R505" s="162" t="s">
        <v>1859</v>
      </c>
      <c r="S505" s="162" t="s">
        <v>1991</v>
      </c>
      <c r="T505" s="162" t="s">
        <v>1991</v>
      </c>
      <c r="U505" s="162">
        <v>1.69846009704782</v>
      </c>
      <c r="V505" s="122" t="s">
        <v>1756</v>
      </c>
      <c r="W505" s="162">
        <v>1083.58678836265</v>
      </c>
      <c r="X505" s="162">
        <v>1973.41374936641</v>
      </c>
      <c r="Y505" s="162">
        <v>79.7143288922196</v>
      </c>
      <c r="Z505" s="162" t="s">
        <v>1859</v>
      </c>
      <c r="AA505" s="162">
        <v>118.23495360473</v>
      </c>
      <c r="AB505" s="162" t="s">
        <v>1859</v>
      </c>
      <c r="AC505" s="162" t="s">
        <v>1991</v>
      </c>
      <c r="AD505" s="162" t="s">
        <v>1859</v>
      </c>
      <c r="AE505" s="162" t="s">
        <v>1859</v>
      </c>
      <c r="AF505" s="162">
        <v>3.58942867755868</v>
      </c>
      <c r="AG505" s="122" t="s">
        <v>1756</v>
      </c>
      <c r="AH505" s="162" t="s">
        <v>1859</v>
      </c>
      <c r="AI505" s="162">
        <v>709.154052300786</v>
      </c>
      <c r="AJ505" s="162">
        <v>490.718580442109</v>
      </c>
    </row>
    <row r="506" spans="1:36">
      <c r="A506" s="204" t="s">
        <v>2001</v>
      </c>
      <c r="B506" s="162">
        <v>13.024</v>
      </c>
      <c r="C506" s="162">
        <v>268.1905275</v>
      </c>
      <c r="D506" s="162" t="s">
        <v>1752</v>
      </c>
      <c r="E506" s="162" t="s">
        <v>1752</v>
      </c>
      <c r="F506" s="162">
        <v>9031.54819</v>
      </c>
      <c r="G506" s="162" t="s">
        <v>1752</v>
      </c>
      <c r="H506" s="162">
        <v>80121.691793</v>
      </c>
      <c r="I506" s="162" t="s">
        <v>1752</v>
      </c>
      <c r="J506" s="162">
        <v>9356.369772</v>
      </c>
      <c r="K506" s="162" t="s">
        <v>1752</v>
      </c>
      <c r="L506" s="162" t="s">
        <v>1752</v>
      </c>
      <c r="M506" s="162" t="s">
        <v>1752</v>
      </c>
      <c r="N506" s="162" t="s">
        <v>1752</v>
      </c>
      <c r="O506" s="162" t="s">
        <v>1752</v>
      </c>
      <c r="P506" s="162" t="s">
        <v>1752</v>
      </c>
      <c r="Q506" s="162">
        <v>1154.9313</v>
      </c>
      <c r="R506" s="162" t="s">
        <v>1752</v>
      </c>
      <c r="S506" s="162" t="s">
        <v>1752</v>
      </c>
      <c r="T506" s="162" t="s">
        <v>1752</v>
      </c>
      <c r="U506" s="162" t="s">
        <v>1752</v>
      </c>
      <c r="V506" s="122" t="s">
        <v>1756</v>
      </c>
      <c r="W506" s="162">
        <v>15.660888</v>
      </c>
      <c r="X506" s="162" t="s">
        <v>1752</v>
      </c>
      <c r="Y506" s="162" t="s">
        <v>1752</v>
      </c>
      <c r="Z506" s="162" t="s">
        <v>1752</v>
      </c>
      <c r="AA506" s="162" t="s">
        <v>1752</v>
      </c>
      <c r="AB506" s="162" t="s">
        <v>1752</v>
      </c>
      <c r="AC506" s="162" t="s">
        <v>1752</v>
      </c>
      <c r="AD506" s="162" t="s">
        <v>1752</v>
      </c>
      <c r="AE506" s="162" t="s">
        <v>1752</v>
      </c>
      <c r="AF506" s="162" t="s">
        <v>1752</v>
      </c>
      <c r="AG506" s="122" t="s">
        <v>1756</v>
      </c>
      <c r="AH506" s="162">
        <v>7230.4559118</v>
      </c>
      <c r="AI506" s="162" t="s">
        <v>1752</v>
      </c>
      <c r="AJ506" s="162" t="s">
        <v>1752</v>
      </c>
    </row>
    <row r="507" spans="1:36">
      <c r="A507" s="203" t="s">
        <v>2002</v>
      </c>
      <c r="B507" s="162" t="s">
        <v>1752</v>
      </c>
      <c r="C507" s="162" t="s">
        <v>1752</v>
      </c>
      <c r="D507" s="162" t="s">
        <v>1752</v>
      </c>
      <c r="E507" s="162" t="s">
        <v>1752</v>
      </c>
      <c r="F507" s="162" t="s">
        <v>1752</v>
      </c>
      <c r="G507" s="162" t="s">
        <v>1752</v>
      </c>
      <c r="H507" s="162" t="s">
        <v>1752</v>
      </c>
      <c r="I507" s="162" t="s">
        <v>1752</v>
      </c>
      <c r="J507" s="162" t="s">
        <v>1752</v>
      </c>
      <c r="K507" s="162" t="s">
        <v>1752</v>
      </c>
      <c r="L507" s="162" t="s">
        <v>1752</v>
      </c>
      <c r="M507" s="162" t="s">
        <v>1752</v>
      </c>
      <c r="N507" s="162" t="s">
        <v>1752</v>
      </c>
      <c r="O507" s="162" t="s">
        <v>1752</v>
      </c>
      <c r="P507" s="162" t="s">
        <v>1752</v>
      </c>
      <c r="Q507" s="162" t="s">
        <v>1752</v>
      </c>
      <c r="R507" s="162" t="s">
        <v>1752</v>
      </c>
      <c r="S507" s="162" t="s">
        <v>1752</v>
      </c>
      <c r="T507" s="162" t="s">
        <v>1752</v>
      </c>
      <c r="U507" s="162" t="s">
        <v>1752</v>
      </c>
      <c r="V507" s="122" t="s">
        <v>1756</v>
      </c>
      <c r="W507" s="162">
        <v>2.35187184681337</v>
      </c>
      <c r="X507" s="162" t="s">
        <v>1752</v>
      </c>
      <c r="Y507" s="162" t="s">
        <v>1752</v>
      </c>
      <c r="Z507" s="162" t="s">
        <v>1752</v>
      </c>
      <c r="AA507" s="162" t="s">
        <v>1752</v>
      </c>
      <c r="AB507" s="162" t="s">
        <v>1752</v>
      </c>
      <c r="AC507" s="162" t="s">
        <v>1752</v>
      </c>
      <c r="AD507" s="162" t="s">
        <v>1752</v>
      </c>
      <c r="AE507" s="162" t="s">
        <v>1752</v>
      </c>
      <c r="AF507" s="162" t="s">
        <v>1752</v>
      </c>
      <c r="AG507" s="122" t="s">
        <v>1756</v>
      </c>
      <c r="AH507" s="162" t="s">
        <v>1752</v>
      </c>
      <c r="AI507" s="162">
        <v>8349.10951432764</v>
      </c>
      <c r="AJ507" s="162" t="s">
        <v>1752</v>
      </c>
    </row>
    <row r="508" spans="1:36">
      <c r="A508" s="205" t="s">
        <v>2003</v>
      </c>
      <c r="B508" s="162" t="s">
        <v>1766</v>
      </c>
      <c r="C508" s="162" t="s">
        <v>1752</v>
      </c>
      <c r="D508" s="162" t="s">
        <v>1752</v>
      </c>
      <c r="E508" s="162" t="s">
        <v>1752</v>
      </c>
      <c r="F508" s="162" t="s">
        <v>1752</v>
      </c>
      <c r="G508" s="162" t="s">
        <v>1752</v>
      </c>
      <c r="H508" s="162" t="s">
        <v>1752</v>
      </c>
      <c r="I508" s="162" t="s">
        <v>1752</v>
      </c>
      <c r="J508" s="162" t="s">
        <v>1752</v>
      </c>
      <c r="K508" s="162" t="s">
        <v>1752</v>
      </c>
      <c r="L508" s="162" t="s">
        <v>1752</v>
      </c>
      <c r="M508" s="162" t="s">
        <v>1752</v>
      </c>
      <c r="N508" s="162" t="s">
        <v>1752</v>
      </c>
      <c r="O508" s="162" t="s">
        <v>1752</v>
      </c>
      <c r="P508" s="162" t="s">
        <v>1752</v>
      </c>
      <c r="Q508" s="162" t="s">
        <v>1752</v>
      </c>
      <c r="R508" s="162" t="s">
        <v>1752</v>
      </c>
      <c r="S508" s="162" t="s">
        <v>1752</v>
      </c>
      <c r="T508" s="162" t="s">
        <v>1752</v>
      </c>
      <c r="U508" s="162" t="s">
        <v>1752</v>
      </c>
      <c r="V508" s="122" t="s">
        <v>1756</v>
      </c>
      <c r="W508" s="162" t="s">
        <v>1766</v>
      </c>
      <c r="X508" s="162" t="s">
        <v>1766</v>
      </c>
      <c r="Y508" s="162" t="s">
        <v>1766</v>
      </c>
      <c r="Z508" s="162" t="s">
        <v>1752</v>
      </c>
      <c r="AA508" s="162" t="s">
        <v>1766</v>
      </c>
      <c r="AB508" s="162" t="s">
        <v>1752</v>
      </c>
      <c r="AC508" s="162" t="s">
        <v>1752</v>
      </c>
      <c r="AD508" s="162" t="s">
        <v>1752</v>
      </c>
      <c r="AE508" s="162" t="s">
        <v>1752</v>
      </c>
      <c r="AF508" s="162" t="s">
        <v>1752</v>
      </c>
      <c r="AG508" s="122" t="s">
        <v>1756</v>
      </c>
      <c r="AH508" s="162" t="s">
        <v>1752</v>
      </c>
      <c r="AI508" s="162" t="s">
        <v>1766</v>
      </c>
      <c r="AJ508" s="162" t="s">
        <v>1766</v>
      </c>
    </row>
    <row r="510" ht="27.75" spans="1:36">
      <c r="A510" s="90" t="s">
        <v>2004</v>
      </c>
      <c r="B510" s="146">
        <f>B472</f>
        <v>1368.64076228549</v>
      </c>
      <c r="C510" s="146">
        <f t="shared" ref="C510:AJ510" si="9">C472</f>
        <v>398.219977747436</v>
      </c>
      <c r="D510" s="146">
        <f t="shared" si="9"/>
        <v>1.98082734835166</v>
      </c>
      <c r="E510" s="146" t="str">
        <f t="shared" si="9"/>
        <v>NO,NE,IE,NA</v>
      </c>
      <c r="F510" s="146">
        <f t="shared" si="9"/>
        <v>2580.44234</v>
      </c>
      <c r="G510" s="146" t="str">
        <f t="shared" si="9"/>
        <v>NO,NE,NA</v>
      </c>
      <c r="H510" s="146">
        <f t="shared" si="9"/>
        <v>56029.164606594</v>
      </c>
      <c r="I510" s="146" t="str">
        <f t="shared" si="9"/>
        <v>NO,NE,NA</v>
      </c>
      <c r="J510" s="146">
        <f t="shared" si="9"/>
        <v>2093.1476</v>
      </c>
      <c r="K510" s="146" t="str">
        <f t="shared" si="9"/>
        <v>NO,NE,NA</v>
      </c>
      <c r="L510" s="146" t="str">
        <f t="shared" si="9"/>
        <v>NO,NE,IE,NA</v>
      </c>
      <c r="M510" s="146" t="str">
        <f t="shared" si="9"/>
        <v>NO,NE,NA</v>
      </c>
      <c r="N510" s="146" t="str">
        <f t="shared" si="9"/>
        <v>NO,NE,NA</v>
      </c>
      <c r="O510" s="146" t="str">
        <f t="shared" si="9"/>
        <v>NO,NE,NA</v>
      </c>
      <c r="P510" s="146" t="str">
        <f t="shared" si="9"/>
        <v>NO,NE,NA</v>
      </c>
      <c r="Q510" s="146">
        <f t="shared" si="9"/>
        <v>117.73</v>
      </c>
      <c r="R510" s="146" t="str">
        <f t="shared" si="9"/>
        <v>NO,NE,NA</v>
      </c>
      <c r="S510" s="146" t="str">
        <f t="shared" si="9"/>
        <v>NO,NE,IE,NA</v>
      </c>
      <c r="T510" s="146" t="str">
        <f t="shared" si="9"/>
        <v>NO,NE,IE,NA</v>
      </c>
      <c r="U510" s="146">
        <f t="shared" si="9"/>
        <v>1.69846009704782</v>
      </c>
      <c r="V510" s="146" t="str">
        <f t="shared" si="9"/>
        <v/>
      </c>
      <c r="W510" s="146">
        <f t="shared" si="9"/>
        <v>540.069167170327</v>
      </c>
      <c r="X510" s="146">
        <f t="shared" si="9"/>
        <v>206.857076869443</v>
      </c>
      <c r="Y510" s="146">
        <f t="shared" si="9"/>
        <v>9.02767031621966</v>
      </c>
      <c r="Z510" s="146" t="str">
        <f t="shared" si="9"/>
        <v>NO,NE,NA</v>
      </c>
      <c r="AA510" s="146">
        <f t="shared" si="9"/>
        <v>11.4791217091971</v>
      </c>
      <c r="AB510" s="146" t="str">
        <f t="shared" si="9"/>
        <v>NO,NE,NA</v>
      </c>
      <c r="AC510" s="146" t="str">
        <f t="shared" si="9"/>
        <v>NO,NE,IE,NA</v>
      </c>
      <c r="AD510" s="146" t="str">
        <f t="shared" si="9"/>
        <v>NO,NE,NA</v>
      </c>
      <c r="AE510" s="146" t="str">
        <f t="shared" si="9"/>
        <v>NO,NE,NA</v>
      </c>
      <c r="AF510" s="146">
        <f t="shared" si="9"/>
        <v>3.58942867755868</v>
      </c>
      <c r="AG510" s="146" t="str">
        <f t="shared" si="9"/>
        <v/>
      </c>
      <c r="AH510" s="146">
        <f t="shared" si="9"/>
        <v>7230.4559118</v>
      </c>
      <c r="AI510" s="146">
        <f t="shared" si="9"/>
        <v>517.71056610324</v>
      </c>
      <c r="AJ510" s="146">
        <f t="shared" si="9"/>
        <v>28.5301500257</v>
      </c>
    </row>
    <row r="513" ht="15" spans="1:7">
      <c r="A513" s="176" t="s">
        <v>2005</v>
      </c>
      <c r="B513" s="147"/>
      <c r="C513" s="147"/>
      <c r="D513" s="147"/>
      <c r="E513" s="147"/>
      <c r="F513" s="149"/>
      <c r="G513" s="65" t="s">
        <v>1712</v>
      </c>
    </row>
    <row r="514" ht="15" spans="1:7">
      <c r="A514" s="176" t="s">
        <v>1713</v>
      </c>
      <c r="B514" s="147"/>
      <c r="C514" s="147"/>
      <c r="D514" s="147"/>
      <c r="E514" s="147"/>
      <c r="F514" s="149"/>
      <c r="G514" s="65" t="s">
        <v>1714</v>
      </c>
    </row>
    <row r="515" spans="1:7">
      <c r="A515" s="147"/>
      <c r="B515" s="147"/>
      <c r="C515" s="147"/>
      <c r="D515" s="147"/>
      <c r="E515" s="147"/>
      <c r="F515" s="149"/>
      <c r="G515" s="65" t="s">
        <v>1715</v>
      </c>
    </row>
    <row r="516" spans="1:7">
      <c r="A516" s="147"/>
      <c r="B516" s="147"/>
      <c r="C516" s="147"/>
      <c r="D516" s="147"/>
      <c r="E516" s="147"/>
      <c r="F516" s="175"/>
      <c r="G516" s="147"/>
    </row>
    <row r="517" ht="14.65" spans="1:7">
      <c r="A517" s="206" t="s">
        <v>2006</v>
      </c>
      <c r="B517" s="207" t="s">
        <v>1717</v>
      </c>
      <c r="C517" s="438" t="s">
        <v>1718</v>
      </c>
      <c r="D517" s="438" t="s">
        <v>1719</v>
      </c>
      <c r="E517" s="438" t="s">
        <v>1890</v>
      </c>
      <c r="F517" s="156" t="s">
        <v>649</v>
      </c>
      <c r="G517" s="156" t="s">
        <v>1721</v>
      </c>
    </row>
    <row r="518" ht="14.6" spans="1:7">
      <c r="A518" s="208" t="s">
        <v>2007</v>
      </c>
      <c r="B518" s="158" t="s">
        <v>1723</v>
      </c>
      <c r="C518" s="158"/>
      <c r="D518" s="158"/>
      <c r="E518" s="158"/>
      <c r="F518" s="158"/>
      <c r="G518" s="159"/>
    </row>
    <row r="519" ht="14.6" spans="1:7">
      <c r="A519" s="209" t="s">
        <v>2008</v>
      </c>
      <c r="B519" s="162">
        <v>7853.7090592548</v>
      </c>
      <c r="C519" s="162">
        <v>9418.76065500768</v>
      </c>
      <c r="D519" s="162">
        <v>1108.42059495123</v>
      </c>
      <c r="E519" s="162">
        <v>14.9106798011469</v>
      </c>
      <c r="F519" s="162">
        <v>363.406666109221</v>
      </c>
      <c r="G519" s="162" t="s">
        <v>1752</v>
      </c>
    </row>
    <row r="520" spans="1:7">
      <c r="A520" s="172" t="s">
        <v>2009</v>
      </c>
      <c r="B520" s="122" t="s">
        <v>1756</v>
      </c>
      <c r="C520" s="162">
        <v>8681.55775161587</v>
      </c>
      <c r="D520" s="162">
        <v>54.6949304808261</v>
      </c>
      <c r="E520" s="122" t="s">
        <v>1756</v>
      </c>
      <c r="F520" s="122" t="s">
        <v>1756</v>
      </c>
      <c r="G520" s="162" t="s">
        <v>1752</v>
      </c>
    </row>
    <row r="521" spans="1:7">
      <c r="A521" s="172" t="s">
        <v>2010</v>
      </c>
      <c r="B521" s="122" t="s">
        <v>1756</v>
      </c>
      <c r="C521" s="162">
        <v>6721.72746699257</v>
      </c>
      <c r="D521" s="122" t="s">
        <v>1756</v>
      </c>
      <c r="E521" s="122" t="s">
        <v>1756</v>
      </c>
      <c r="F521" s="122" t="s">
        <v>1756</v>
      </c>
      <c r="G521" s="122" t="s">
        <v>1756</v>
      </c>
    </row>
    <row r="522" spans="1:7">
      <c r="A522" s="210" t="s">
        <v>2011</v>
      </c>
      <c r="B522" s="122" t="s">
        <v>1756</v>
      </c>
      <c r="C522" s="162">
        <v>6459.55846100625</v>
      </c>
      <c r="D522" s="122" t="s">
        <v>1756</v>
      </c>
      <c r="E522" s="122" t="s">
        <v>1756</v>
      </c>
      <c r="F522" s="122" t="s">
        <v>1756</v>
      </c>
      <c r="G522" s="122" t="s">
        <v>1756</v>
      </c>
    </row>
    <row r="523" spans="1:7">
      <c r="A523" s="211" t="s">
        <v>2012</v>
      </c>
      <c r="B523" s="122" t="s">
        <v>1756</v>
      </c>
      <c r="C523" s="122" t="s">
        <v>1756</v>
      </c>
      <c r="D523" s="122" t="s">
        <v>1756</v>
      </c>
      <c r="E523" s="122" t="s">
        <v>1756</v>
      </c>
      <c r="F523" s="122" t="s">
        <v>1756</v>
      </c>
      <c r="G523" s="122" t="s">
        <v>1756</v>
      </c>
    </row>
    <row r="524" spans="1:7">
      <c r="A524" s="212" t="s">
        <v>2013</v>
      </c>
      <c r="B524" s="122" t="s">
        <v>1756</v>
      </c>
      <c r="C524" s="162" t="s">
        <v>1756</v>
      </c>
      <c r="D524" s="122" t="s">
        <v>1756</v>
      </c>
      <c r="E524" s="122" t="s">
        <v>1756</v>
      </c>
      <c r="F524" s="122" t="s">
        <v>1756</v>
      </c>
      <c r="G524" s="122" t="s">
        <v>1756</v>
      </c>
    </row>
    <row r="525" spans="1:7">
      <c r="A525" s="212" t="s">
        <v>2014</v>
      </c>
      <c r="B525" s="122" t="s">
        <v>1756</v>
      </c>
      <c r="C525" s="162" t="s">
        <v>1756</v>
      </c>
      <c r="D525" s="122" t="s">
        <v>1756</v>
      </c>
      <c r="E525" s="122" t="s">
        <v>1756</v>
      </c>
      <c r="F525" s="122" t="s">
        <v>1756</v>
      </c>
      <c r="G525" s="122" t="s">
        <v>1756</v>
      </c>
    </row>
    <row r="526" spans="1:7">
      <c r="A526" s="211" t="s">
        <v>2015</v>
      </c>
      <c r="B526" s="122" t="s">
        <v>1756</v>
      </c>
      <c r="C526" s="122" t="s">
        <v>1756</v>
      </c>
      <c r="D526" s="122" t="s">
        <v>1756</v>
      </c>
      <c r="E526" s="122" t="s">
        <v>1756</v>
      </c>
      <c r="F526" s="122" t="s">
        <v>1756</v>
      </c>
      <c r="G526" s="122" t="s">
        <v>1756</v>
      </c>
    </row>
    <row r="527" spans="1:7">
      <c r="A527" s="212" t="s">
        <v>2016</v>
      </c>
      <c r="B527" s="122" t="s">
        <v>1756</v>
      </c>
      <c r="C527" s="162" t="s">
        <v>1756</v>
      </c>
      <c r="D527" s="122" t="s">
        <v>1756</v>
      </c>
      <c r="E527" s="122" t="s">
        <v>1756</v>
      </c>
      <c r="F527" s="122" t="s">
        <v>1756</v>
      </c>
      <c r="G527" s="122" t="s">
        <v>1756</v>
      </c>
    </row>
    <row r="528" spans="1:7">
      <c r="A528" s="212" t="s">
        <v>2017</v>
      </c>
      <c r="B528" s="122" t="s">
        <v>1756</v>
      </c>
      <c r="C528" s="162" t="s">
        <v>1756</v>
      </c>
      <c r="D528" s="122" t="s">
        <v>1756</v>
      </c>
      <c r="E528" s="122" t="s">
        <v>1756</v>
      </c>
      <c r="F528" s="122" t="s">
        <v>1756</v>
      </c>
      <c r="G528" s="122" t="s">
        <v>1756</v>
      </c>
    </row>
    <row r="529" spans="1:7">
      <c r="A529" s="212" t="s">
        <v>2018</v>
      </c>
      <c r="B529" s="122" t="s">
        <v>1756</v>
      </c>
      <c r="C529" s="162" t="s">
        <v>1756</v>
      </c>
      <c r="D529" s="122" t="s">
        <v>1756</v>
      </c>
      <c r="E529" s="122" t="s">
        <v>1756</v>
      </c>
      <c r="F529" s="122" t="s">
        <v>1756</v>
      </c>
      <c r="G529" s="122" t="s">
        <v>1756</v>
      </c>
    </row>
    <row r="530" spans="1:7">
      <c r="A530" s="211" t="s">
        <v>2019</v>
      </c>
      <c r="B530" s="122" t="s">
        <v>1756</v>
      </c>
      <c r="C530" s="122" t="s">
        <v>1756</v>
      </c>
      <c r="D530" s="122" t="s">
        <v>1756</v>
      </c>
      <c r="E530" s="122" t="s">
        <v>1756</v>
      </c>
      <c r="F530" s="122" t="s">
        <v>1756</v>
      </c>
      <c r="G530" s="122" t="s">
        <v>1756</v>
      </c>
    </row>
    <row r="531" spans="1:7">
      <c r="A531" s="212" t="s">
        <v>2020</v>
      </c>
      <c r="B531" s="122" t="s">
        <v>1756</v>
      </c>
      <c r="C531" s="162">
        <v>6459.55846100625</v>
      </c>
      <c r="D531" s="122" t="s">
        <v>1756</v>
      </c>
      <c r="E531" s="122" t="s">
        <v>1756</v>
      </c>
      <c r="F531" s="122" t="s">
        <v>1756</v>
      </c>
      <c r="G531" s="122" t="s">
        <v>1756</v>
      </c>
    </row>
    <row r="532" spans="1:7">
      <c r="A532" s="213" t="s">
        <v>2021</v>
      </c>
      <c r="B532" s="122" t="s">
        <v>1756</v>
      </c>
      <c r="C532" s="162">
        <v>473.196230900204</v>
      </c>
      <c r="D532" s="122"/>
      <c r="E532" s="122" t="s">
        <v>1756</v>
      </c>
      <c r="F532" s="122" t="s">
        <v>1756</v>
      </c>
      <c r="G532" s="122"/>
    </row>
    <row r="533" spans="1:7">
      <c r="A533" s="213" t="s">
        <v>2022</v>
      </c>
      <c r="B533" s="122" t="s">
        <v>1756</v>
      </c>
      <c r="C533" s="162">
        <v>299.397994603614</v>
      </c>
      <c r="D533" s="122"/>
      <c r="E533" s="122" t="s">
        <v>1756</v>
      </c>
      <c r="F533" s="122" t="s">
        <v>1756</v>
      </c>
      <c r="G533" s="122"/>
    </row>
    <row r="534" spans="1:7">
      <c r="A534" s="213" t="s">
        <v>2023</v>
      </c>
      <c r="B534" s="122" t="s">
        <v>1756</v>
      </c>
      <c r="C534" s="162">
        <v>3035.0507480212</v>
      </c>
      <c r="D534" s="122"/>
      <c r="E534" s="122" t="s">
        <v>1756</v>
      </c>
      <c r="F534" s="122" t="s">
        <v>1756</v>
      </c>
      <c r="G534" s="122"/>
    </row>
    <row r="535" spans="1:7">
      <c r="A535" s="213" t="s">
        <v>2024</v>
      </c>
      <c r="B535" s="122" t="s">
        <v>1756</v>
      </c>
      <c r="C535" s="162">
        <v>251.935251636178</v>
      </c>
      <c r="D535" s="122"/>
      <c r="E535" s="122" t="s">
        <v>1756</v>
      </c>
      <c r="F535" s="122" t="s">
        <v>1756</v>
      </c>
      <c r="G535" s="122"/>
    </row>
    <row r="536" spans="1:7">
      <c r="A536" s="213" t="s">
        <v>2025</v>
      </c>
      <c r="B536" s="122" t="s">
        <v>1756</v>
      </c>
      <c r="C536" s="162">
        <v>297.36246326322</v>
      </c>
      <c r="D536" s="122"/>
      <c r="E536" s="122" t="s">
        <v>1756</v>
      </c>
      <c r="F536" s="122" t="s">
        <v>1756</v>
      </c>
      <c r="G536" s="122"/>
    </row>
    <row r="537" spans="1:7">
      <c r="A537" s="213" t="s">
        <v>2026</v>
      </c>
      <c r="B537" s="122" t="s">
        <v>1756</v>
      </c>
      <c r="C537" s="162">
        <v>309.956365957347</v>
      </c>
      <c r="D537" s="122"/>
      <c r="E537" s="122" t="s">
        <v>1756</v>
      </c>
      <c r="F537" s="122" t="s">
        <v>1756</v>
      </c>
      <c r="G537" s="122"/>
    </row>
    <row r="538" spans="1:7">
      <c r="A538" s="213" t="s">
        <v>2027</v>
      </c>
      <c r="B538" s="122" t="s">
        <v>1756</v>
      </c>
      <c r="C538" s="162">
        <v>178.404387079127</v>
      </c>
      <c r="D538" s="122"/>
      <c r="E538" s="122" t="s">
        <v>1756</v>
      </c>
      <c r="F538" s="122" t="s">
        <v>1756</v>
      </c>
      <c r="G538" s="122"/>
    </row>
    <row r="539" spans="1:7">
      <c r="A539" s="213" t="s">
        <v>2028</v>
      </c>
      <c r="B539" s="122" t="s">
        <v>1756</v>
      </c>
      <c r="C539" s="162">
        <v>214.110057936545</v>
      </c>
      <c r="D539" s="122"/>
      <c r="E539" s="122" t="s">
        <v>1756</v>
      </c>
      <c r="F539" s="122" t="s">
        <v>1756</v>
      </c>
      <c r="G539" s="122"/>
    </row>
    <row r="540" spans="1:7">
      <c r="A540" s="213" t="s">
        <v>2029</v>
      </c>
      <c r="B540" s="122" t="s">
        <v>1756</v>
      </c>
      <c r="C540" s="162">
        <v>1167.11420747909</v>
      </c>
      <c r="D540" s="122"/>
      <c r="E540" s="122" t="s">
        <v>1756</v>
      </c>
      <c r="F540" s="122" t="s">
        <v>1756</v>
      </c>
      <c r="G540" s="122"/>
    </row>
    <row r="541" spans="1:7">
      <c r="A541" s="213" t="s">
        <v>2030</v>
      </c>
      <c r="B541" s="122" t="s">
        <v>1756</v>
      </c>
      <c r="C541" s="162">
        <v>178.702741788177</v>
      </c>
      <c r="D541" s="122"/>
      <c r="E541" s="122" t="s">
        <v>1756</v>
      </c>
      <c r="F541" s="122" t="s">
        <v>1756</v>
      </c>
      <c r="G541" s="122"/>
    </row>
    <row r="542" spans="1:7">
      <c r="A542" s="213" t="s">
        <v>2031</v>
      </c>
      <c r="B542" s="122" t="s">
        <v>1756</v>
      </c>
      <c r="C542" s="162">
        <v>54.3280123415417</v>
      </c>
      <c r="D542" s="122"/>
      <c r="E542" s="122" t="s">
        <v>1756</v>
      </c>
      <c r="F542" s="122" t="s">
        <v>1756</v>
      </c>
      <c r="G542" s="122"/>
    </row>
    <row r="543" spans="1:7">
      <c r="A543" s="210" t="s">
        <v>2032</v>
      </c>
      <c r="B543" s="122" t="s">
        <v>1756</v>
      </c>
      <c r="C543" s="162">
        <v>55.215</v>
      </c>
      <c r="D543" s="122" t="s">
        <v>1756</v>
      </c>
      <c r="E543" s="122" t="s">
        <v>1756</v>
      </c>
      <c r="F543" s="122" t="s">
        <v>1756</v>
      </c>
      <c r="G543" s="122" t="s">
        <v>1756</v>
      </c>
    </row>
    <row r="544" spans="1:7">
      <c r="A544" s="210" t="s">
        <v>2033</v>
      </c>
      <c r="B544" s="122" t="s">
        <v>1756</v>
      </c>
      <c r="C544" s="162">
        <v>91.6092</v>
      </c>
      <c r="D544" s="122" t="s">
        <v>1756</v>
      </c>
      <c r="E544" s="122" t="s">
        <v>1756</v>
      </c>
      <c r="F544" s="122" t="s">
        <v>1756</v>
      </c>
      <c r="G544" s="122" t="s">
        <v>1756</v>
      </c>
    </row>
    <row r="545" spans="1:7">
      <c r="A545" s="210" t="s">
        <v>2034</v>
      </c>
      <c r="B545" s="122" t="s">
        <v>1756</v>
      </c>
      <c r="C545" s="162">
        <v>115.344805986324</v>
      </c>
      <c r="D545" s="122" t="s">
        <v>1756</v>
      </c>
      <c r="E545" s="122" t="s">
        <v>1756</v>
      </c>
      <c r="F545" s="122" t="s">
        <v>1756</v>
      </c>
      <c r="G545" s="122" t="s">
        <v>1756</v>
      </c>
    </row>
    <row r="546" spans="1:7">
      <c r="A546" s="214" t="s">
        <v>2035</v>
      </c>
      <c r="B546" s="122" t="s">
        <v>1756</v>
      </c>
      <c r="C546" s="162" t="s">
        <v>1772</v>
      </c>
      <c r="D546" s="122"/>
      <c r="E546" s="122" t="s">
        <v>1756</v>
      </c>
      <c r="F546" s="122" t="s">
        <v>1756</v>
      </c>
      <c r="G546" s="122"/>
    </row>
    <row r="547" spans="1:7">
      <c r="A547" s="214" t="s">
        <v>2036</v>
      </c>
      <c r="B547" s="122" t="s">
        <v>1756</v>
      </c>
      <c r="C547" s="162">
        <v>26.0685342</v>
      </c>
      <c r="D547" s="122"/>
      <c r="E547" s="122" t="s">
        <v>1756</v>
      </c>
      <c r="F547" s="122" t="s">
        <v>1756</v>
      </c>
      <c r="G547" s="122"/>
    </row>
    <row r="548" spans="1:7">
      <c r="A548" s="214" t="s">
        <v>2037</v>
      </c>
      <c r="B548" s="122" t="s">
        <v>1756</v>
      </c>
      <c r="C548" s="162">
        <v>69.7501332</v>
      </c>
      <c r="D548" s="122"/>
      <c r="E548" s="122" t="s">
        <v>1756</v>
      </c>
      <c r="F548" s="122" t="s">
        <v>1756</v>
      </c>
      <c r="G548" s="122"/>
    </row>
    <row r="549" spans="1:7">
      <c r="A549" s="214" t="s">
        <v>2038</v>
      </c>
      <c r="B549" s="122" t="s">
        <v>1756</v>
      </c>
      <c r="C549" s="162">
        <v>2.124268</v>
      </c>
      <c r="D549" s="122"/>
      <c r="E549" s="122" t="s">
        <v>1756</v>
      </c>
      <c r="F549" s="122" t="s">
        <v>1756</v>
      </c>
      <c r="G549" s="122"/>
    </row>
    <row r="550" spans="1:7">
      <c r="A550" s="214" t="s">
        <v>2039</v>
      </c>
      <c r="B550" s="122" t="s">
        <v>1756</v>
      </c>
      <c r="C550" s="162" t="s">
        <v>1772</v>
      </c>
      <c r="D550" s="122"/>
      <c r="E550" s="122" t="s">
        <v>1756</v>
      </c>
      <c r="F550" s="122" t="s">
        <v>1756</v>
      </c>
      <c r="G550" s="122"/>
    </row>
    <row r="551" spans="1:7">
      <c r="A551" s="215" t="s">
        <v>2040</v>
      </c>
      <c r="B551" s="122" t="s">
        <v>1756</v>
      </c>
      <c r="C551" s="162">
        <v>17.4018705863243</v>
      </c>
      <c r="D551" s="122" t="s">
        <v>1756</v>
      </c>
      <c r="E551" s="122" t="s">
        <v>1756</v>
      </c>
      <c r="F551" s="122" t="s">
        <v>1756</v>
      </c>
      <c r="G551" s="122" t="s">
        <v>1756</v>
      </c>
    </row>
    <row r="552" spans="1:7">
      <c r="A552" s="216" t="s">
        <v>2041</v>
      </c>
      <c r="B552" s="122" t="s">
        <v>1756</v>
      </c>
      <c r="C552" s="162">
        <v>17.4018705863243</v>
      </c>
      <c r="D552" s="122"/>
      <c r="E552" s="122" t="s">
        <v>1756</v>
      </c>
      <c r="F552" s="122" t="s">
        <v>1756</v>
      </c>
      <c r="G552" s="122"/>
    </row>
    <row r="553" spans="1:7">
      <c r="A553" s="172" t="s">
        <v>2042</v>
      </c>
      <c r="B553" s="122" t="s">
        <v>1756</v>
      </c>
      <c r="C553" s="162">
        <v>1959.8302846233</v>
      </c>
      <c r="D553" s="162">
        <v>54.6949304808261</v>
      </c>
      <c r="E553" s="122" t="s">
        <v>1756</v>
      </c>
      <c r="F553" s="122" t="s">
        <v>1756</v>
      </c>
      <c r="G553" s="162" t="s">
        <v>1752</v>
      </c>
    </row>
    <row r="554" spans="1:7">
      <c r="A554" s="217" t="s">
        <v>2043</v>
      </c>
      <c r="B554" s="122" t="s">
        <v>1756</v>
      </c>
      <c r="C554" s="162">
        <v>1009.85201955034</v>
      </c>
      <c r="D554" s="162">
        <v>42.1527640391284</v>
      </c>
      <c r="E554" s="122" t="s">
        <v>1756</v>
      </c>
      <c r="F554" s="122" t="s">
        <v>1756</v>
      </c>
      <c r="G554" s="162" t="s">
        <v>1752</v>
      </c>
    </row>
    <row r="555" spans="1:7">
      <c r="A555" s="211" t="s">
        <v>2012</v>
      </c>
      <c r="B555" s="122" t="s">
        <v>1756</v>
      </c>
      <c r="C555" s="122" t="s">
        <v>1756</v>
      </c>
      <c r="D555" s="122" t="s">
        <v>1756</v>
      </c>
      <c r="E555" s="122" t="s">
        <v>1756</v>
      </c>
      <c r="F555" s="122" t="s">
        <v>1756</v>
      </c>
      <c r="G555" s="122" t="s">
        <v>1756</v>
      </c>
    </row>
    <row r="556" spans="1:7">
      <c r="A556" s="212" t="s">
        <v>2013</v>
      </c>
      <c r="B556" s="122" t="s">
        <v>1756</v>
      </c>
      <c r="C556" s="162" t="s">
        <v>1756</v>
      </c>
      <c r="D556" s="162" t="s">
        <v>1756</v>
      </c>
      <c r="E556" s="122" t="s">
        <v>1756</v>
      </c>
      <c r="F556" s="122" t="s">
        <v>1756</v>
      </c>
      <c r="G556" s="129" t="s">
        <v>1756</v>
      </c>
    </row>
    <row r="557" spans="1:7">
      <c r="A557" s="212" t="s">
        <v>2014</v>
      </c>
      <c r="B557" s="122" t="s">
        <v>1756</v>
      </c>
      <c r="C557" s="162" t="s">
        <v>1756</v>
      </c>
      <c r="D557" s="162" t="s">
        <v>1756</v>
      </c>
      <c r="E557" s="122" t="s">
        <v>1756</v>
      </c>
      <c r="F557" s="122" t="s">
        <v>1756</v>
      </c>
      <c r="G557" s="129" t="s">
        <v>1756</v>
      </c>
    </row>
    <row r="558" spans="1:7">
      <c r="A558" s="211" t="s">
        <v>2015</v>
      </c>
      <c r="B558" s="122" t="s">
        <v>1756</v>
      </c>
      <c r="C558" s="122" t="s">
        <v>1756</v>
      </c>
      <c r="D558" s="122" t="s">
        <v>1756</v>
      </c>
      <c r="E558" s="122" t="s">
        <v>1756</v>
      </c>
      <c r="F558" s="122" t="s">
        <v>1756</v>
      </c>
      <c r="G558" s="122" t="s">
        <v>1756</v>
      </c>
    </row>
    <row r="559" spans="1:7">
      <c r="A559" s="212" t="s">
        <v>2016</v>
      </c>
      <c r="B559" s="122" t="s">
        <v>1756</v>
      </c>
      <c r="C559" s="162" t="s">
        <v>1756</v>
      </c>
      <c r="D559" s="162" t="s">
        <v>1756</v>
      </c>
      <c r="E559" s="122" t="s">
        <v>1756</v>
      </c>
      <c r="F559" s="122" t="s">
        <v>1756</v>
      </c>
      <c r="G559" s="129" t="s">
        <v>1756</v>
      </c>
    </row>
    <row r="560" spans="1:7">
      <c r="A560" s="212" t="s">
        <v>2017</v>
      </c>
      <c r="B560" s="122" t="s">
        <v>1756</v>
      </c>
      <c r="C560" s="162" t="s">
        <v>1756</v>
      </c>
      <c r="D560" s="162" t="s">
        <v>1756</v>
      </c>
      <c r="E560" s="122" t="s">
        <v>1756</v>
      </c>
      <c r="F560" s="122" t="s">
        <v>1756</v>
      </c>
      <c r="G560" s="129" t="s">
        <v>1756</v>
      </c>
    </row>
    <row r="561" spans="1:7">
      <c r="A561" s="212" t="s">
        <v>2018</v>
      </c>
      <c r="B561" s="122" t="s">
        <v>1756</v>
      </c>
      <c r="C561" s="162" t="s">
        <v>1756</v>
      </c>
      <c r="D561" s="162" t="s">
        <v>1756</v>
      </c>
      <c r="E561" s="122" t="s">
        <v>1756</v>
      </c>
      <c r="F561" s="122" t="s">
        <v>1756</v>
      </c>
      <c r="G561" s="129" t="s">
        <v>1756</v>
      </c>
    </row>
    <row r="562" spans="1:7">
      <c r="A562" s="211" t="s">
        <v>2019</v>
      </c>
      <c r="B562" s="122" t="s">
        <v>1756</v>
      </c>
      <c r="C562" s="122" t="s">
        <v>1756</v>
      </c>
      <c r="D562" s="122" t="s">
        <v>1756</v>
      </c>
      <c r="E562" s="122" t="s">
        <v>1756</v>
      </c>
      <c r="F562" s="122" t="s">
        <v>1756</v>
      </c>
      <c r="G562" s="122" t="s">
        <v>1756</v>
      </c>
    </row>
    <row r="563" spans="1:7">
      <c r="A563" s="212" t="s">
        <v>2044</v>
      </c>
      <c r="B563" s="122" t="s">
        <v>1756</v>
      </c>
      <c r="C563" s="162">
        <v>1009.85201955034</v>
      </c>
      <c r="D563" s="162">
        <v>42.1527640391284</v>
      </c>
      <c r="E563" s="122" t="s">
        <v>1756</v>
      </c>
      <c r="F563" s="122" t="s">
        <v>1756</v>
      </c>
      <c r="G563" s="129" t="s">
        <v>1752</v>
      </c>
    </row>
    <row r="564" spans="1:7">
      <c r="A564" s="213" t="s">
        <v>2045</v>
      </c>
      <c r="B564" s="122" t="s">
        <v>1756</v>
      </c>
      <c r="C564" s="162" t="s">
        <v>1730</v>
      </c>
      <c r="D564" s="162" t="s">
        <v>1730</v>
      </c>
      <c r="E564" s="122" t="s">
        <v>1756</v>
      </c>
      <c r="F564" s="122" t="s">
        <v>1756</v>
      </c>
      <c r="G564" s="129" t="s">
        <v>1752</v>
      </c>
    </row>
    <row r="565" spans="1:7">
      <c r="A565" s="213" t="s">
        <v>2046</v>
      </c>
      <c r="B565" s="122" t="s">
        <v>1756</v>
      </c>
      <c r="C565" s="162" t="s">
        <v>1730</v>
      </c>
      <c r="D565" s="162" t="s">
        <v>1730</v>
      </c>
      <c r="E565" s="122" t="s">
        <v>1756</v>
      </c>
      <c r="F565" s="122" t="s">
        <v>1756</v>
      </c>
      <c r="G565" s="129" t="s">
        <v>1752</v>
      </c>
    </row>
    <row r="566" spans="1:7">
      <c r="A566" s="213" t="s">
        <v>2021</v>
      </c>
      <c r="B566" s="122" t="s">
        <v>1756</v>
      </c>
      <c r="C566" s="162">
        <v>4.21264182318886</v>
      </c>
      <c r="D566" s="162" t="s">
        <v>1730</v>
      </c>
      <c r="E566" s="122" t="s">
        <v>1756</v>
      </c>
      <c r="F566" s="122" t="s">
        <v>1756</v>
      </c>
      <c r="G566" s="129" t="s">
        <v>1752</v>
      </c>
    </row>
    <row r="567" spans="1:7">
      <c r="A567" s="213" t="s">
        <v>2022</v>
      </c>
      <c r="B567" s="122" t="s">
        <v>1756</v>
      </c>
      <c r="C567" s="162">
        <v>2.79025463892711</v>
      </c>
      <c r="D567" s="162" t="s">
        <v>1730</v>
      </c>
      <c r="E567" s="122" t="s">
        <v>1756</v>
      </c>
      <c r="F567" s="122" t="s">
        <v>1756</v>
      </c>
      <c r="G567" s="129" t="s">
        <v>1752</v>
      </c>
    </row>
    <row r="568" spans="1:7">
      <c r="A568" s="213" t="s">
        <v>2023</v>
      </c>
      <c r="B568" s="122" t="s">
        <v>1756</v>
      </c>
      <c r="C568" s="162">
        <v>28.4977172982406</v>
      </c>
      <c r="D568" s="162" t="s">
        <v>1730</v>
      </c>
      <c r="E568" s="122" t="s">
        <v>1756</v>
      </c>
      <c r="F568" s="122" t="s">
        <v>1756</v>
      </c>
      <c r="G568" s="129" t="s">
        <v>1752</v>
      </c>
    </row>
    <row r="569" spans="1:7">
      <c r="A569" s="213" t="s">
        <v>2024</v>
      </c>
      <c r="B569" s="122" t="s">
        <v>1756</v>
      </c>
      <c r="C569" s="162">
        <v>6.66034512616306</v>
      </c>
      <c r="D569" s="162">
        <v>7.84251125987207</v>
      </c>
      <c r="E569" s="122" t="s">
        <v>1756</v>
      </c>
      <c r="F569" s="122" t="s">
        <v>1756</v>
      </c>
      <c r="G569" s="129" t="s">
        <v>1752</v>
      </c>
    </row>
    <row r="570" spans="1:7">
      <c r="A570" s="213" t="s">
        <v>2025</v>
      </c>
      <c r="B570" s="122" t="s">
        <v>1756</v>
      </c>
      <c r="C570" s="162">
        <v>2.52263043402202</v>
      </c>
      <c r="D570" s="162" t="s">
        <v>1730</v>
      </c>
      <c r="E570" s="122" t="s">
        <v>1756</v>
      </c>
      <c r="F570" s="122" t="s">
        <v>1756</v>
      </c>
      <c r="G570" s="129" t="s">
        <v>1752</v>
      </c>
    </row>
    <row r="571" spans="1:7">
      <c r="A571" s="213" t="s">
        <v>2026</v>
      </c>
      <c r="B571" s="122" t="s">
        <v>1756</v>
      </c>
      <c r="C571" s="162">
        <v>15.2782754227578</v>
      </c>
      <c r="D571" s="162">
        <v>15.5246349384815</v>
      </c>
      <c r="E571" s="122" t="s">
        <v>1756</v>
      </c>
      <c r="F571" s="122" t="s">
        <v>1756</v>
      </c>
      <c r="G571" s="129" t="s">
        <v>1752</v>
      </c>
    </row>
    <row r="572" spans="1:7">
      <c r="A572" s="213" t="s">
        <v>2027</v>
      </c>
      <c r="B572" s="122" t="s">
        <v>1756</v>
      </c>
      <c r="C572" s="162">
        <v>8.80169244523177</v>
      </c>
      <c r="D572" s="162">
        <v>8.48939568274766</v>
      </c>
      <c r="E572" s="122" t="s">
        <v>1756</v>
      </c>
      <c r="F572" s="122" t="s">
        <v>1756</v>
      </c>
      <c r="G572" s="129" t="s">
        <v>1752</v>
      </c>
    </row>
    <row r="573" spans="1:7">
      <c r="A573" s="213" t="s">
        <v>2028</v>
      </c>
      <c r="B573" s="122" t="s">
        <v>1756</v>
      </c>
      <c r="C573" s="162">
        <v>2.01377921524806</v>
      </c>
      <c r="D573" s="162" t="s">
        <v>1730</v>
      </c>
      <c r="E573" s="122" t="s">
        <v>1756</v>
      </c>
      <c r="F573" s="122" t="s">
        <v>1756</v>
      </c>
      <c r="G573" s="129" t="s">
        <v>1752</v>
      </c>
    </row>
    <row r="574" spans="1:7">
      <c r="A574" s="213" t="s">
        <v>2029</v>
      </c>
      <c r="B574" s="122" t="s">
        <v>1756</v>
      </c>
      <c r="C574" s="162">
        <v>935.450987343379</v>
      </c>
      <c r="D574" s="162">
        <v>10.2962221580272</v>
      </c>
      <c r="E574" s="122" t="s">
        <v>1756</v>
      </c>
      <c r="F574" s="122" t="s">
        <v>1756</v>
      </c>
      <c r="G574" s="129" t="s">
        <v>1752</v>
      </c>
    </row>
    <row r="575" spans="1:7">
      <c r="A575" s="213" t="s">
        <v>2030</v>
      </c>
      <c r="B575" s="122" t="s">
        <v>1756</v>
      </c>
      <c r="C575" s="162">
        <v>2.84526374758499</v>
      </c>
      <c r="D575" s="162" t="s">
        <v>1730</v>
      </c>
      <c r="E575" s="122" t="s">
        <v>1756</v>
      </c>
      <c r="F575" s="122" t="s">
        <v>1756</v>
      </c>
      <c r="G575" s="129" t="s">
        <v>1752</v>
      </c>
    </row>
    <row r="576" spans="1:7">
      <c r="A576" s="213" t="s">
        <v>2031</v>
      </c>
      <c r="B576" s="122" t="s">
        <v>1756</v>
      </c>
      <c r="C576" s="162">
        <v>0.77843205560165</v>
      </c>
      <c r="D576" s="162" t="s">
        <v>1730</v>
      </c>
      <c r="E576" s="122" t="s">
        <v>1756</v>
      </c>
      <c r="F576" s="122" t="s">
        <v>1756</v>
      </c>
      <c r="G576" s="129" t="s">
        <v>1752</v>
      </c>
    </row>
    <row r="577" spans="1:7">
      <c r="A577" s="210" t="s">
        <v>2032</v>
      </c>
      <c r="B577" s="122" t="s">
        <v>1756</v>
      </c>
      <c r="C577" s="162">
        <v>2.33929947528482</v>
      </c>
      <c r="D577" s="162">
        <v>1.16065025717818</v>
      </c>
      <c r="E577" s="122" t="s">
        <v>1756</v>
      </c>
      <c r="F577" s="122" t="s">
        <v>1756</v>
      </c>
      <c r="G577" s="129" t="s">
        <v>1752</v>
      </c>
    </row>
    <row r="578" spans="1:7">
      <c r="A578" s="210" t="s">
        <v>2033</v>
      </c>
      <c r="B578" s="122" t="s">
        <v>1756</v>
      </c>
      <c r="C578" s="162">
        <v>811.935146061864</v>
      </c>
      <c r="D578" s="162">
        <v>5.45807857362613</v>
      </c>
      <c r="E578" s="122" t="s">
        <v>1756</v>
      </c>
      <c r="F578" s="122" t="s">
        <v>1756</v>
      </c>
      <c r="G578" s="129" t="s">
        <v>1752</v>
      </c>
    </row>
    <row r="579" spans="1:7">
      <c r="A579" s="210" t="s">
        <v>2034</v>
      </c>
      <c r="B579" s="122" t="s">
        <v>1756</v>
      </c>
      <c r="C579" s="162">
        <v>135.70381953581</v>
      </c>
      <c r="D579" s="162">
        <v>5.92343761089339</v>
      </c>
      <c r="E579" s="122" t="s">
        <v>1756</v>
      </c>
      <c r="F579" s="122" t="s">
        <v>1756</v>
      </c>
      <c r="G579" s="162" t="s">
        <v>1752</v>
      </c>
    </row>
    <row r="580" spans="1:7">
      <c r="A580" s="214" t="s">
        <v>2035</v>
      </c>
      <c r="B580" s="122" t="s">
        <v>1756</v>
      </c>
      <c r="C580" s="162" t="s">
        <v>1772</v>
      </c>
      <c r="D580" s="162" t="s">
        <v>1772</v>
      </c>
      <c r="E580" s="122" t="s">
        <v>1756</v>
      </c>
      <c r="F580" s="122" t="s">
        <v>1756</v>
      </c>
      <c r="G580" s="129" t="s">
        <v>1752</v>
      </c>
    </row>
    <row r="581" spans="1:7">
      <c r="A581" s="214" t="s">
        <v>2036</v>
      </c>
      <c r="B581" s="122" t="s">
        <v>1756</v>
      </c>
      <c r="C581" s="162">
        <v>0.39070037091767</v>
      </c>
      <c r="D581" s="162">
        <v>0.08605344306328</v>
      </c>
      <c r="E581" s="122" t="s">
        <v>1756</v>
      </c>
      <c r="F581" s="122" t="s">
        <v>1756</v>
      </c>
      <c r="G581" s="129" t="s">
        <v>1752</v>
      </c>
    </row>
    <row r="582" spans="1:7">
      <c r="A582" s="214" t="s">
        <v>2037</v>
      </c>
      <c r="B582" s="122" t="s">
        <v>1756</v>
      </c>
      <c r="C582" s="162">
        <v>5.34206480535232</v>
      </c>
      <c r="D582" s="162">
        <v>0.46691353425823</v>
      </c>
      <c r="E582" s="122" t="s">
        <v>1756</v>
      </c>
      <c r="F582" s="122" t="s">
        <v>1756</v>
      </c>
      <c r="G582" s="129" t="s">
        <v>1752</v>
      </c>
    </row>
    <row r="583" spans="1:7">
      <c r="A583" s="214" t="s">
        <v>2038</v>
      </c>
      <c r="B583" s="122" t="s">
        <v>1756</v>
      </c>
      <c r="C583" s="162">
        <v>0.08516940512022</v>
      </c>
      <c r="D583" s="162">
        <v>0.00848308138656</v>
      </c>
      <c r="E583" s="122" t="s">
        <v>1756</v>
      </c>
      <c r="F583" s="122" t="s">
        <v>1756</v>
      </c>
      <c r="G583" s="129" t="s">
        <v>1752</v>
      </c>
    </row>
    <row r="584" spans="1:7">
      <c r="A584" s="214" t="s">
        <v>2039</v>
      </c>
      <c r="B584" s="122" t="s">
        <v>1756</v>
      </c>
      <c r="C584" s="162">
        <v>129.698664250798</v>
      </c>
      <c r="D584" s="162">
        <v>5.36198755218532</v>
      </c>
      <c r="E584" s="122" t="s">
        <v>1756</v>
      </c>
      <c r="F584" s="122" t="s">
        <v>1756</v>
      </c>
      <c r="G584" s="129" t="s">
        <v>1752</v>
      </c>
    </row>
    <row r="585" spans="1:7">
      <c r="A585" s="215" t="s">
        <v>2040</v>
      </c>
      <c r="B585" s="122" t="s">
        <v>1756</v>
      </c>
      <c r="C585" s="162">
        <v>0.18722070362138</v>
      </c>
      <c r="D585" s="162" t="s">
        <v>1730</v>
      </c>
      <c r="E585" s="122" t="s">
        <v>1756</v>
      </c>
      <c r="F585" s="122" t="s">
        <v>1756</v>
      </c>
      <c r="G585" s="162" t="s">
        <v>1752</v>
      </c>
    </row>
    <row r="586" spans="1:7">
      <c r="A586" s="216" t="s">
        <v>2041</v>
      </c>
      <c r="B586" s="122" t="s">
        <v>1756</v>
      </c>
      <c r="C586" s="162">
        <v>0.18722070362138</v>
      </c>
      <c r="D586" s="162" t="s">
        <v>1730</v>
      </c>
      <c r="E586" s="122" t="s">
        <v>1756</v>
      </c>
      <c r="F586" s="122" t="s">
        <v>1756</v>
      </c>
      <c r="G586" s="129" t="s">
        <v>1752</v>
      </c>
    </row>
    <row r="587" ht="15.75" spans="1:7">
      <c r="A587" s="210" t="s">
        <v>2047</v>
      </c>
      <c r="B587" s="122" t="s">
        <v>1756</v>
      </c>
      <c r="C587" s="122" t="s">
        <v>1756</v>
      </c>
      <c r="D587" s="162" t="s">
        <v>1730</v>
      </c>
      <c r="E587" s="122" t="s">
        <v>1756</v>
      </c>
      <c r="F587" s="122" t="s">
        <v>1756</v>
      </c>
      <c r="G587" s="122" t="s">
        <v>1756</v>
      </c>
    </row>
    <row r="588" s="60" customFormat="1" ht="12.75" customHeight="1" spans="1:7">
      <c r="A588" s="218" t="s">
        <v>2048</v>
      </c>
      <c r="B588" s="122" t="s">
        <v>1756</v>
      </c>
      <c r="C588" s="162">
        <v>719.884576940842</v>
      </c>
      <c r="D588" s="122" t="s">
        <v>1756</v>
      </c>
      <c r="E588" s="122" t="s">
        <v>1756</v>
      </c>
      <c r="F588" s="122" t="s">
        <v>1756</v>
      </c>
      <c r="G588" s="162" t="s">
        <v>1752</v>
      </c>
    </row>
    <row r="589" s="60" customFormat="1" ht="12.75" customHeight="1" spans="1:7">
      <c r="A589" s="219" t="s">
        <v>2049</v>
      </c>
      <c r="B589" s="122" t="s">
        <v>1756</v>
      </c>
      <c r="C589" s="129" t="s">
        <v>1752</v>
      </c>
      <c r="D589" s="162">
        <v>1053.09359794152</v>
      </c>
      <c r="E589" s="129" t="s">
        <v>1752</v>
      </c>
      <c r="F589" s="129" t="s">
        <v>1752</v>
      </c>
      <c r="G589" s="129" t="s">
        <v>1752</v>
      </c>
    </row>
    <row r="590" s="60" customFormat="1" ht="12.75" customHeight="1" spans="1:7">
      <c r="A590" s="219" t="s">
        <v>2050</v>
      </c>
      <c r="B590" s="122" t="s">
        <v>1756</v>
      </c>
      <c r="C590" s="162" t="s">
        <v>1730</v>
      </c>
      <c r="D590" s="162" t="s">
        <v>1730</v>
      </c>
      <c r="E590" s="129" t="s">
        <v>1730</v>
      </c>
      <c r="F590" s="129" t="s">
        <v>1730</v>
      </c>
      <c r="G590" s="129" t="s">
        <v>1752</v>
      </c>
    </row>
    <row r="591" s="60" customFormat="1" ht="12.75" customHeight="1" spans="1:7">
      <c r="A591" s="219" t="s">
        <v>2051</v>
      </c>
      <c r="B591" s="122" t="s">
        <v>1756</v>
      </c>
      <c r="C591" s="162">
        <v>17.3183264509657</v>
      </c>
      <c r="D591" s="162">
        <v>0.632066528893</v>
      </c>
      <c r="E591" s="129">
        <v>14.9106798011469</v>
      </c>
      <c r="F591" s="129">
        <v>363.406666109221</v>
      </c>
      <c r="G591" s="129" t="s">
        <v>1752</v>
      </c>
    </row>
    <row r="592" s="60" customFormat="1" ht="14.25" customHeight="1" spans="1:7">
      <c r="A592" s="172" t="s">
        <v>2052</v>
      </c>
      <c r="B592" s="162">
        <v>4349.24866468587</v>
      </c>
      <c r="C592" s="122" t="s">
        <v>1756</v>
      </c>
      <c r="D592" s="122" t="s">
        <v>1756</v>
      </c>
      <c r="E592" s="122" t="s">
        <v>1756</v>
      </c>
      <c r="F592" s="122" t="s">
        <v>1756</v>
      </c>
      <c r="G592" s="122" t="s">
        <v>1756</v>
      </c>
    </row>
    <row r="593" s="60" customFormat="1" ht="12" customHeight="1" spans="1:7">
      <c r="A593" s="172" t="s">
        <v>2053</v>
      </c>
      <c r="B593" s="162">
        <v>3504.46039456893</v>
      </c>
      <c r="C593" s="122" t="s">
        <v>1756</v>
      </c>
      <c r="D593" s="122" t="s">
        <v>1756</v>
      </c>
      <c r="E593" s="122" t="s">
        <v>1756</v>
      </c>
      <c r="F593" s="122" t="s">
        <v>1756</v>
      </c>
      <c r="G593" s="122" t="s">
        <v>1756</v>
      </c>
    </row>
    <row r="594" s="60" customFormat="1" ht="12" customHeight="1" spans="1:7">
      <c r="A594" s="169" t="s">
        <v>2054</v>
      </c>
      <c r="B594" s="162" t="s">
        <v>1752</v>
      </c>
      <c r="C594" s="122" t="s">
        <v>1756</v>
      </c>
      <c r="D594" s="122" t="s">
        <v>1756</v>
      </c>
      <c r="E594" s="122" t="s">
        <v>1756</v>
      </c>
      <c r="F594" s="122" t="s">
        <v>1756</v>
      </c>
      <c r="G594" s="122" t="s">
        <v>1756</v>
      </c>
    </row>
    <row r="595" s="60" customFormat="1" ht="13.5" customHeight="1" spans="1:7">
      <c r="A595" s="220" t="s">
        <v>2055</v>
      </c>
      <c r="B595" s="162" t="s">
        <v>1752</v>
      </c>
      <c r="C595" s="162" t="s">
        <v>1752</v>
      </c>
      <c r="D595" s="162" t="s">
        <v>1752</v>
      </c>
      <c r="E595" s="162" t="s">
        <v>1752</v>
      </c>
      <c r="F595" s="162" t="s">
        <v>1752</v>
      </c>
      <c r="G595" s="162" t="s">
        <v>1752</v>
      </c>
    </row>
    <row r="596" spans="1:7">
      <c r="A596"/>
      <c r="B596"/>
      <c r="C596"/>
      <c r="D596"/>
      <c r="E596"/>
    </row>
    <row r="597" spans="1:7">
      <c r="A597" s="221" t="s">
        <v>2056</v>
      </c>
      <c r="B597" s="222">
        <f>B519</f>
        <v>7853.7090592548</v>
      </c>
      <c r="C597" s="222">
        <f t="shared" ref="C597:G597" si="10">C519</f>
        <v>9418.76065500768</v>
      </c>
      <c r="D597" s="222">
        <f t="shared" si="10"/>
        <v>1108.42059495123</v>
      </c>
      <c r="E597" s="222">
        <f t="shared" si="10"/>
        <v>14.9106798011469</v>
      </c>
      <c r="F597" s="222">
        <f t="shared" si="10"/>
        <v>363.406666109221</v>
      </c>
      <c r="G597" s="222" t="str">
        <f t="shared" si="10"/>
        <v>NA</v>
      </c>
    </row>
    <row r="598" spans="1:7">
      <c r="A598"/>
      <c r="B598"/>
      <c r="C598"/>
      <c r="D598"/>
      <c r="E598"/>
    </row>
    <row r="600" ht="15" spans="1:7">
      <c r="A600" s="64" t="s">
        <v>2057</v>
      </c>
      <c r="B600" s="147"/>
      <c r="C600" s="147"/>
      <c r="D600" s="147"/>
      <c r="E600" s="147"/>
      <c r="F600" s="147"/>
      <c r="G600" s="65" t="s">
        <v>1712</v>
      </c>
    </row>
    <row r="601" ht="15" spans="1:7">
      <c r="A601" s="64" t="s">
        <v>1943</v>
      </c>
      <c r="B601" s="147"/>
      <c r="C601" s="147"/>
      <c r="D601" s="147"/>
      <c r="E601" s="147"/>
      <c r="F601" s="147"/>
      <c r="G601" s="65" t="s">
        <v>1714</v>
      </c>
    </row>
    <row r="602" spans="1:7">
      <c r="A602" s="147"/>
      <c r="B602" s="147"/>
      <c r="C602" s="147"/>
      <c r="D602" s="147"/>
      <c r="E602" s="147"/>
      <c r="F602" s="147"/>
      <c r="G602" s="65" t="s">
        <v>1715</v>
      </c>
    </row>
    <row r="603" spans="1:7">
      <c r="A603" s="147"/>
      <c r="B603" s="147"/>
      <c r="C603" s="147"/>
      <c r="D603" s="147"/>
      <c r="E603" s="147"/>
      <c r="F603" s="147"/>
      <c r="G603" s="223"/>
    </row>
    <row r="604" ht="54" customHeight="1" spans="1:7">
      <c r="A604" s="224" t="s">
        <v>1716</v>
      </c>
      <c r="B604" s="225" t="s">
        <v>2058</v>
      </c>
      <c r="C604" s="225" t="s">
        <v>2059</v>
      </c>
      <c r="D604" s="225" t="s">
        <v>2060</v>
      </c>
      <c r="E604" s="225" t="s">
        <v>1890</v>
      </c>
      <c r="F604" s="225" t="s">
        <v>649</v>
      </c>
      <c r="G604" s="225" t="s">
        <v>1721</v>
      </c>
    </row>
    <row r="605" ht="14.6" spans="1:7">
      <c r="A605" s="226"/>
      <c r="B605" s="227" t="s">
        <v>1723</v>
      </c>
      <c r="C605" s="228"/>
      <c r="D605" s="228"/>
      <c r="E605" s="228"/>
      <c r="F605" s="228"/>
      <c r="G605" s="229"/>
    </row>
    <row r="606" ht="14.6" spans="1:7">
      <c r="A606" s="230" t="s">
        <v>2061</v>
      </c>
      <c r="B606" s="162">
        <v>-831125.536385044</v>
      </c>
      <c r="C606" s="162">
        <v>1234.73946025711</v>
      </c>
      <c r="D606" s="162">
        <v>35.1136989964704</v>
      </c>
      <c r="E606" s="162">
        <v>141.5949963</v>
      </c>
      <c r="F606" s="162">
        <v>7641.660641</v>
      </c>
      <c r="G606" s="162" t="s">
        <v>1876</v>
      </c>
    </row>
    <row r="607" spans="1:7">
      <c r="A607" s="231" t="s">
        <v>2062</v>
      </c>
      <c r="B607" s="162">
        <v>-680293.34243706</v>
      </c>
      <c r="C607" s="162">
        <v>260.141967320659</v>
      </c>
      <c r="D607" s="162">
        <v>22.501521677555</v>
      </c>
      <c r="E607" s="162">
        <v>120.1226453</v>
      </c>
      <c r="F607" s="162">
        <v>7283.788183</v>
      </c>
      <c r="G607" s="162" t="s">
        <v>1876</v>
      </c>
    </row>
    <row r="608" spans="1:7">
      <c r="A608" s="232" t="s">
        <v>2063</v>
      </c>
      <c r="B608" s="162">
        <v>-581225.217124322</v>
      </c>
      <c r="C608" s="162">
        <v>259.5865657</v>
      </c>
      <c r="D608" s="162">
        <v>22.303775677555</v>
      </c>
      <c r="E608" s="129">
        <v>120.1226453</v>
      </c>
      <c r="F608" s="129">
        <v>7283.788183</v>
      </c>
      <c r="G608" s="129" t="s">
        <v>1772</v>
      </c>
    </row>
    <row r="609" spans="1:7">
      <c r="A609" s="233" t="s">
        <v>2064</v>
      </c>
      <c r="B609" s="162">
        <v>-99068.1253127371</v>
      </c>
      <c r="C609" s="162" t="s">
        <v>1730</v>
      </c>
      <c r="D609" s="162" t="s">
        <v>1991</v>
      </c>
      <c r="E609" s="129" t="s">
        <v>1752</v>
      </c>
      <c r="F609" s="129" t="s">
        <v>1752</v>
      </c>
      <c r="G609" s="129" t="s">
        <v>1752</v>
      </c>
    </row>
    <row r="610" spans="1:7">
      <c r="A610" s="234" t="s">
        <v>2065</v>
      </c>
      <c r="B610" s="162">
        <v>23030.5248051715</v>
      </c>
      <c r="C610" s="162" t="s">
        <v>2066</v>
      </c>
      <c r="D610" s="162" t="s">
        <v>2066</v>
      </c>
      <c r="E610" s="162" t="s">
        <v>1752</v>
      </c>
      <c r="F610" s="162" t="s">
        <v>1752</v>
      </c>
      <c r="G610" s="162" t="s">
        <v>1752</v>
      </c>
    </row>
    <row r="611" spans="1:7">
      <c r="A611" s="232" t="s">
        <v>2067</v>
      </c>
      <c r="B611" s="162">
        <v>-29001.50383515</v>
      </c>
      <c r="C611" s="162" t="s">
        <v>1858</v>
      </c>
      <c r="D611" s="162" t="s">
        <v>1858</v>
      </c>
      <c r="E611" s="129" t="s">
        <v>1752</v>
      </c>
      <c r="F611" s="129" t="s">
        <v>1752</v>
      </c>
      <c r="G611" s="129" t="s">
        <v>1752</v>
      </c>
    </row>
    <row r="612" spans="1:7">
      <c r="A612" s="232" t="s">
        <v>2068</v>
      </c>
      <c r="B612" s="162">
        <v>52032.0286403216</v>
      </c>
      <c r="C612" s="162" t="s">
        <v>1858</v>
      </c>
      <c r="D612" s="162" t="s">
        <v>1858</v>
      </c>
      <c r="E612" s="129" t="s">
        <v>1752</v>
      </c>
      <c r="F612" s="129" t="s">
        <v>1752</v>
      </c>
      <c r="G612" s="129" t="s">
        <v>1752</v>
      </c>
    </row>
    <row r="613" spans="1:7">
      <c r="A613" s="231" t="s">
        <v>2069</v>
      </c>
      <c r="B613" s="162">
        <v>-28216.1026863574</v>
      </c>
      <c r="C613" s="162">
        <v>12.663181</v>
      </c>
      <c r="D613" s="162">
        <v>1.156203</v>
      </c>
      <c r="E613" s="162">
        <v>21.472351</v>
      </c>
      <c r="F613" s="162">
        <v>357.872458</v>
      </c>
      <c r="G613" s="162" t="s">
        <v>1752</v>
      </c>
    </row>
    <row r="614" spans="1:7">
      <c r="A614" s="232" t="s">
        <v>2070</v>
      </c>
      <c r="B614" s="162">
        <v>8734.48400519143</v>
      </c>
      <c r="C614" s="162">
        <v>12.663181</v>
      </c>
      <c r="D614" s="162">
        <v>1.156203</v>
      </c>
      <c r="E614" s="129">
        <v>21.472351</v>
      </c>
      <c r="F614" s="129">
        <v>357.872458</v>
      </c>
      <c r="G614" s="129" t="s">
        <v>1752</v>
      </c>
    </row>
    <row r="615" spans="1:7">
      <c r="A615" s="233" t="s">
        <v>2071</v>
      </c>
      <c r="B615" s="162">
        <v>-36950.5866915488</v>
      </c>
      <c r="C615" s="162" t="s">
        <v>1772</v>
      </c>
      <c r="D615" s="162" t="s">
        <v>1858</v>
      </c>
      <c r="E615" s="129" t="s">
        <v>1752</v>
      </c>
      <c r="F615" s="129" t="s">
        <v>1752</v>
      </c>
      <c r="G615" s="129" t="s">
        <v>1752</v>
      </c>
    </row>
    <row r="616" spans="1:7">
      <c r="A616" s="234" t="s">
        <v>2072</v>
      </c>
      <c r="B616" s="162">
        <v>-5742.22515563538</v>
      </c>
      <c r="C616" s="162">
        <v>961.934311936453</v>
      </c>
      <c r="D616" s="162">
        <v>0.59525414428571</v>
      </c>
      <c r="E616" s="162" t="s">
        <v>1752</v>
      </c>
      <c r="F616" s="162" t="s">
        <v>1752</v>
      </c>
      <c r="G616" s="162" t="s">
        <v>1752</v>
      </c>
    </row>
    <row r="617" spans="1:7">
      <c r="A617" s="232" t="s">
        <v>2073</v>
      </c>
      <c r="B617" s="162">
        <v>-10133.6155437266</v>
      </c>
      <c r="C617" s="162" t="s">
        <v>1772</v>
      </c>
      <c r="D617" s="162">
        <v>0.59215403</v>
      </c>
      <c r="E617" s="129" t="s">
        <v>1752</v>
      </c>
      <c r="F617" s="129" t="s">
        <v>1752</v>
      </c>
      <c r="G617" s="129" t="s">
        <v>1752</v>
      </c>
    </row>
    <row r="618" spans="1:7">
      <c r="A618" s="232" t="s">
        <v>2074</v>
      </c>
      <c r="B618" s="162">
        <v>469.440609097625</v>
      </c>
      <c r="C618" s="162" t="s">
        <v>1772</v>
      </c>
      <c r="D618" s="162" t="s">
        <v>1876</v>
      </c>
      <c r="E618" s="129" t="s">
        <v>1752</v>
      </c>
      <c r="F618" s="129" t="s">
        <v>1752</v>
      </c>
      <c r="G618" s="129" t="s">
        <v>1752</v>
      </c>
    </row>
    <row r="619" spans="1:7">
      <c r="A619" s="231" t="s">
        <v>2075</v>
      </c>
      <c r="B619" s="162">
        <v>-33858.5198444961</v>
      </c>
      <c r="C619" s="162" t="s">
        <v>1772</v>
      </c>
      <c r="D619" s="162">
        <v>6.0475778530394</v>
      </c>
      <c r="E619" s="162" t="s">
        <v>1772</v>
      </c>
      <c r="F619" s="162" t="s">
        <v>1772</v>
      </c>
      <c r="G619" s="162" t="s">
        <v>1752</v>
      </c>
    </row>
    <row r="620" spans="1:7">
      <c r="A620" s="232" t="s">
        <v>2076</v>
      </c>
      <c r="B620" s="162">
        <v>-116642.375079453</v>
      </c>
      <c r="C620" s="162" t="s">
        <v>1772</v>
      </c>
      <c r="D620" s="162">
        <v>6.0475778530394</v>
      </c>
      <c r="E620" s="129" t="s">
        <v>1772</v>
      </c>
      <c r="F620" s="129" t="s">
        <v>1772</v>
      </c>
      <c r="G620" s="129" t="s">
        <v>1752</v>
      </c>
    </row>
    <row r="621" spans="1:7">
      <c r="A621" s="233" t="s">
        <v>2077</v>
      </c>
      <c r="B621" s="162">
        <v>82783.8552349565</v>
      </c>
      <c r="C621" s="162" t="s">
        <v>1772</v>
      </c>
      <c r="D621" s="162" t="s">
        <v>1858</v>
      </c>
      <c r="E621" s="129" t="s">
        <v>1772</v>
      </c>
      <c r="F621" s="129" t="s">
        <v>1772</v>
      </c>
      <c r="G621" s="129" t="s">
        <v>1752</v>
      </c>
    </row>
    <row r="622" spans="1:7">
      <c r="A622" s="234" t="s">
        <v>2078</v>
      </c>
      <c r="B622" s="162" t="s">
        <v>1772</v>
      </c>
      <c r="C622" s="162" t="s">
        <v>1772</v>
      </c>
      <c r="D622" s="162" t="s">
        <v>1772</v>
      </c>
      <c r="E622" s="162" t="s">
        <v>1752</v>
      </c>
      <c r="F622" s="162" t="s">
        <v>1752</v>
      </c>
      <c r="G622" s="162" t="s">
        <v>1752</v>
      </c>
    </row>
    <row r="623" spans="1:7">
      <c r="A623" s="232" t="s">
        <v>2079</v>
      </c>
      <c r="B623" s="122" t="s">
        <v>1756</v>
      </c>
      <c r="C623" s="122" t="s">
        <v>1756</v>
      </c>
      <c r="D623" s="122" t="s">
        <v>1756</v>
      </c>
      <c r="E623" s="122" t="s">
        <v>1756</v>
      </c>
      <c r="F623" s="122" t="s">
        <v>1756</v>
      </c>
      <c r="G623" s="122" t="s">
        <v>1756</v>
      </c>
    </row>
    <row r="624" spans="1:7">
      <c r="A624" s="232" t="s">
        <v>2080</v>
      </c>
      <c r="B624" s="162" t="s">
        <v>1772</v>
      </c>
      <c r="C624" s="162" t="s">
        <v>1772</v>
      </c>
      <c r="D624" s="162" t="s">
        <v>1772</v>
      </c>
      <c r="E624" s="129" t="s">
        <v>1752</v>
      </c>
      <c r="F624" s="129" t="s">
        <v>1752</v>
      </c>
      <c r="G624" s="129" t="s">
        <v>1752</v>
      </c>
    </row>
    <row r="625" spans="1:8">
      <c r="A625" s="231" t="s">
        <v>2081</v>
      </c>
      <c r="B625" s="162">
        <v>-106045.871066667</v>
      </c>
      <c r="C625" s="122" t="s">
        <v>1756</v>
      </c>
      <c r="D625" s="122" t="s">
        <v>1756</v>
      </c>
      <c r="E625" s="122" t="s">
        <v>1756</v>
      </c>
      <c r="F625" s="122" t="s">
        <v>1756</v>
      </c>
      <c r="G625" s="122" t="s">
        <v>1756</v>
      </c>
    </row>
    <row r="626" spans="1:8">
      <c r="A626" s="235" t="s">
        <v>2082</v>
      </c>
      <c r="B626" s="162" t="s">
        <v>2066</v>
      </c>
      <c r="C626" s="162" t="s">
        <v>1876</v>
      </c>
      <c r="D626" s="162">
        <v>2.41583792</v>
      </c>
      <c r="E626" s="162" t="s">
        <v>1752</v>
      </c>
      <c r="F626" s="162" t="s">
        <v>1752</v>
      </c>
      <c r="G626" s="162" t="s">
        <v>1752</v>
      </c>
    </row>
    <row r="627" spans="1:8">
      <c r="A627" s="197" t="s">
        <v>2083</v>
      </c>
      <c r="B627" s="162" t="s">
        <v>2066</v>
      </c>
      <c r="C627" s="162" t="s">
        <v>1876</v>
      </c>
      <c r="D627" s="162">
        <v>2.41583792</v>
      </c>
      <c r="E627" s="162" t="s">
        <v>1752</v>
      </c>
      <c r="F627" s="162" t="s">
        <v>1752</v>
      </c>
      <c r="G627" s="162" t="s">
        <v>1752</v>
      </c>
    </row>
    <row r="629" ht="13.9" spans="1:8">
      <c r="A629" s="90" t="s">
        <v>2084</v>
      </c>
      <c r="B629" s="91">
        <f>B606</f>
        <v>-831125.536385044</v>
      </c>
      <c r="C629" s="146">
        <f t="shared" ref="C629:G629" si="11">C606</f>
        <v>1234.73946025711</v>
      </c>
      <c r="D629" s="146">
        <f t="shared" si="11"/>
        <v>35.1136989964704</v>
      </c>
      <c r="E629" s="146">
        <f t="shared" si="11"/>
        <v>141.5949963</v>
      </c>
      <c r="F629" s="146">
        <f t="shared" si="11"/>
        <v>7641.660641</v>
      </c>
      <c r="G629" s="146" t="str">
        <f t="shared" si="11"/>
        <v>NE,NA</v>
      </c>
    </row>
    <row r="632" ht="15" spans="1:8">
      <c r="A632" s="236" t="s">
        <v>2085</v>
      </c>
      <c r="B632" s="236"/>
      <c r="C632" s="147"/>
      <c r="D632" s="147"/>
      <c r="E632" s="147"/>
      <c r="F632" s="147"/>
      <c r="G632" s="147"/>
      <c r="H632" s="65" t="s">
        <v>1712</v>
      </c>
    </row>
    <row r="633" ht="15.35" spans="1:8">
      <c r="A633" s="176" t="s">
        <v>1943</v>
      </c>
      <c r="B633" s="98"/>
      <c r="C633" s="147"/>
      <c r="D633" s="147"/>
      <c r="E633" s="147"/>
      <c r="F633" s="147"/>
      <c r="G633" s="147"/>
      <c r="H633" s="65" t="s">
        <v>1714</v>
      </c>
    </row>
    <row r="634" spans="1:8">
      <c r="A634" s="147"/>
      <c r="B634" s="147"/>
      <c r="C634" s="147"/>
      <c r="D634" s="147"/>
      <c r="E634" s="147"/>
      <c r="F634" s="147"/>
      <c r="G634" s="147"/>
      <c r="H634" s="65" t="s">
        <v>1715</v>
      </c>
    </row>
    <row r="635" spans="1:8">
      <c r="A635" s="147"/>
      <c r="B635" s="147"/>
      <c r="C635" s="147"/>
      <c r="D635" s="147"/>
      <c r="E635" s="147"/>
      <c r="F635" s="147"/>
      <c r="G635" s="147"/>
      <c r="H635" s="237"/>
    </row>
    <row r="636" ht="14.65" spans="1:8">
      <c r="A636" s="238" t="s">
        <v>2086</v>
      </c>
      <c r="B636" s="441" t="s">
        <v>2087</v>
      </c>
      <c r="C636" s="442" t="s">
        <v>1718</v>
      </c>
      <c r="D636" s="442" t="s">
        <v>1719</v>
      </c>
      <c r="E636" s="442" t="s">
        <v>1890</v>
      </c>
      <c r="F636" s="240" t="s">
        <v>649</v>
      </c>
      <c r="G636" s="241" t="s">
        <v>1721</v>
      </c>
      <c r="H636" s="240" t="s">
        <v>1891</v>
      </c>
    </row>
    <row r="637" ht="14.6" spans="1:8">
      <c r="A637" s="242"/>
      <c r="B637" s="243" t="s">
        <v>1723</v>
      </c>
      <c r="C637" s="244"/>
      <c r="D637" s="244"/>
      <c r="E637" s="244"/>
      <c r="F637" s="244"/>
      <c r="G637" s="244"/>
      <c r="H637" s="245"/>
    </row>
    <row r="638" ht="14.6" spans="1:8">
      <c r="A638" s="246" t="s">
        <v>2088</v>
      </c>
      <c r="B638" s="162" t="s">
        <v>1806</v>
      </c>
      <c r="C638" s="162">
        <v>6143.82661274884</v>
      </c>
      <c r="D638" s="162">
        <v>73.7575206585806</v>
      </c>
      <c r="E638" s="162">
        <v>2.34601902195671</v>
      </c>
      <c r="F638" s="162">
        <v>6.54834635979466</v>
      </c>
      <c r="G638" s="162">
        <v>114.395604148513</v>
      </c>
      <c r="H638" s="162">
        <v>0.74349333311908</v>
      </c>
    </row>
    <row r="639" spans="1:8">
      <c r="A639" s="247" t="s">
        <v>2089</v>
      </c>
      <c r="B639" s="162" t="s">
        <v>1774</v>
      </c>
      <c r="C639" s="162">
        <v>5261.89938888363</v>
      </c>
      <c r="D639" s="122" t="s">
        <v>1756</v>
      </c>
      <c r="E639" s="162">
        <v>2.34601902195671</v>
      </c>
      <c r="F639" s="162">
        <v>6.11178993580835</v>
      </c>
      <c r="G639" s="162">
        <v>21.6957180281663</v>
      </c>
      <c r="H639" s="122" t="s">
        <v>1756</v>
      </c>
    </row>
    <row r="640" spans="1:8">
      <c r="A640" s="192" t="s">
        <v>2090</v>
      </c>
      <c r="B640" s="162" t="s">
        <v>1774</v>
      </c>
      <c r="C640" s="162">
        <v>5261.89938888363</v>
      </c>
      <c r="D640" s="122" t="s">
        <v>1756</v>
      </c>
      <c r="E640" s="129">
        <v>2.34601902195671</v>
      </c>
      <c r="F640" s="129">
        <v>6.11178993580835</v>
      </c>
      <c r="G640" s="129">
        <v>21.6957180281663</v>
      </c>
      <c r="H640" s="122" t="s">
        <v>1756</v>
      </c>
    </row>
    <row r="641" spans="1:8">
      <c r="A641" s="192" t="s">
        <v>2091</v>
      </c>
      <c r="B641" s="162" t="s">
        <v>1759</v>
      </c>
      <c r="C641" s="162" t="s">
        <v>1759</v>
      </c>
      <c r="D641" s="122" t="s">
        <v>1756</v>
      </c>
      <c r="E641" s="129" t="s">
        <v>1759</v>
      </c>
      <c r="F641" s="129" t="s">
        <v>1759</v>
      </c>
      <c r="G641" s="129" t="s">
        <v>1759</v>
      </c>
      <c r="H641" s="122" t="s">
        <v>1756</v>
      </c>
    </row>
    <row r="642" spans="1:8">
      <c r="A642" s="248" t="s">
        <v>2092</v>
      </c>
      <c r="B642" s="162" t="s">
        <v>1759</v>
      </c>
      <c r="C642" s="162" t="s">
        <v>1759</v>
      </c>
      <c r="D642" s="122" t="s">
        <v>1756</v>
      </c>
      <c r="E642" s="162" t="s">
        <v>1759</v>
      </c>
      <c r="F642" s="162" t="s">
        <v>1759</v>
      </c>
      <c r="G642" s="162" t="s">
        <v>1759</v>
      </c>
      <c r="H642" s="122" t="s">
        <v>1756</v>
      </c>
    </row>
    <row r="643" spans="1:8">
      <c r="A643" s="247" t="s">
        <v>2093</v>
      </c>
      <c r="B643" s="122" t="s">
        <v>1756</v>
      </c>
      <c r="C643" s="162">
        <v>76.3652229307079</v>
      </c>
      <c r="D643" s="162">
        <v>5.5964614608</v>
      </c>
      <c r="E643" s="162" t="s">
        <v>1772</v>
      </c>
      <c r="F643" s="162" t="s">
        <v>1772</v>
      </c>
      <c r="G643" s="162" t="s">
        <v>1772</v>
      </c>
      <c r="H643" s="122" t="s">
        <v>1756</v>
      </c>
    </row>
    <row r="644" spans="1:8">
      <c r="A644" s="249" t="s">
        <v>2094</v>
      </c>
      <c r="B644" s="122" t="s">
        <v>1756</v>
      </c>
      <c r="C644" s="162">
        <v>74.619486144</v>
      </c>
      <c r="D644" s="162">
        <v>5.5964614608</v>
      </c>
      <c r="E644" s="129" t="s">
        <v>1772</v>
      </c>
      <c r="F644" s="129" t="s">
        <v>1772</v>
      </c>
      <c r="G644" s="129" t="s">
        <v>1772</v>
      </c>
      <c r="H644" s="122" t="s">
        <v>1756</v>
      </c>
    </row>
    <row r="645" spans="1:8">
      <c r="A645" s="249" t="s">
        <v>2095</v>
      </c>
      <c r="B645" s="122" t="s">
        <v>1756</v>
      </c>
      <c r="C645" s="162">
        <v>1.74573678670787</v>
      </c>
      <c r="D645" s="162" t="s">
        <v>1816</v>
      </c>
      <c r="E645" s="129" t="s">
        <v>1772</v>
      </c>
      <c r="F645" s="129" t="s">
        <v>1772</v>
      </c>
      <c r="G645" s="129" t="s">
        <v>1772</v>
      </c>
      <c r="H645" s="122" t="s">
        <v>1756</v>
      </c>
    </row>
    <row r="646" spans="1:8">
      <c r="A646" s="247" t="s">
        <v>2096</v>
      </c>
      <c r="B646" s="162" t="s">
        <v>1766</v>
      </c>
      <c r="C646" s="162" t="s">
        <v>1766</v>
      </c>
      <c r="D646" s="162" t="s">
        <v>1766</v>
      </c>
      <c r="E646" s="162" t="s">
        <v>1766</v>
      </c>
      <c r="F646" s="162" t="s">
        <v>1766</v>
      </c>
      <c r="G646" s="162" t="s">
        <v>1766</v>
      </c>
      <c r="H646" s="162" t="s">
        <v>1766</v>
      </c>
    </row>
    <row r="647" spans="1:8">
      <c r="A647" s="192" t="s">
        <v>2097</v>
      </c>
      <c r="B647" s="162" t="s">
        <v>1730</v>
      </c>
      <c r="C647" s="162" t="s">
        <v>1766</v>
      </c>
      <c r="D647" s="162" t="s">
        <v>1766</v>
      </c>
      <c r="E647" s="129" t="s">
        <v>1730</v>
      </c>
      <c r="F647" s="129" t="s">
        <v>1730</v>
      </c>
      <c r="G647" s="129" t="s">
        <v>1730</v>
      </c>
      <c r="H647" s="129" t="s">
        <v>1730</v>
      </c>
    </row>
    <row r="648" spans="1:8">
      <c r="A648" s="192" t="s">
        <v>2098</v>
      </c>
      <c r="B648" s="162" t="s">
        <v>1752</v>
      </c>
      <c r="C648" s="162" t="s">
        <v>1752</v>
      </c>
      <c r="D648" s="162" t="s">
        <v>1752</v>
      </c>
      <c r="E648" s="129" t="s">
        <v>1752</v>
      </c>
      <c r="F648" s="129" t="s">
        <v>1752</v>
      </c>
      <c r="G648" s="129" t="s">
        <v>1752</v>
      </c>
      <c r="H648" s="129" t="s">
        <v>1752</v>
      </c>
    </row>
    <row r="649" spans="1:8">
      <c r="A649" s="247" t="s">
        <v>2099</v>
      </c>
      <c r="B649" s="122" t="s">
        <v>1756</v>
      </c>
      <c r="C649" s="162">
        <v>805.562000934504</v>
      </c>
      <c r="D649" s="162">
        <v>68.1610591977806</v>
      </c>
      <c r="E649" s="162" t="s">
        <v>1816</v>
      </c>
      <c r="F649" s="162">
        <v>0.43655642398631</v>
      </c>
      <c r="G649" s="162">
        <v>49.3084500640142</v>
      </c>
      <c r="H649" s="122" t="s">
        <v>1756</v>
      </c>
    </row>
    <row r="650" spans="1:8">
      <c r="A650" s="192" t="s">
        <v>2100</v>
      </c>
      <c r="B650" s="122" t="s">
        <v>1756</v>
      </c>
      <c r="C650" s="162">
        <v>566.946602012971</v>
      </c>
      <c r="D650" s="162">
        <v>66.504112399504</v>
      </c>
      <c r="E650" s="129" t="s">
        <v>1759</v>
      </c>
      <c r="F650" s="129">
        <v>0.43655642398631</v>
      </c>
      <c r="G650" s="129">
        <v>33.5297460435297</v>
      </c>
      <c r="H650" s="122" t="s">
        <v>1756</v>
      </c>
    </row>
    <row r="651" spans="1:8">
      <c r="A651" s="192" t="s">
        <v>2101</v>
      </c>
      <c r="B651" s="122" t="s">
        <v>1756</v>
      </c>
      <c r="C651" s="162">
        <v>238.615398921533</v>
      </c>
      <c r="D651" s="162">
        <v>1.65694679827657</v>
      </c>
      <c r="E651" s="129" t="s">
        <v>1759</v>
      </c>
      <c r="F651" s="129" t="s">
        <v>1759</v>
      </c>
      <c r="G651" s="129">
        <v>15.7787040204846</v>
      </c>
      <c r="H651" s="122" t="s">
        <v>1756</v>
      </c>
    </row>
    <row r="652" spans="1:8">
      <c r="A652" s="192" t="s">
        <v>2102</v>
      </c>
      <c r="B652" s="122" t="s">
        <v>1756</v>
      </c>
      <c r="C652" s="162" t="s">
        <v>1730</v>
      </c>
      <c r="D652" s="162" t="s">
        <v>1730</v>
      </c>
      <c r="E652" s="162" t="s">
        <v>1730</v>
      </c>
      <c r="F652" s="162" t="s">
        <v>1730</v>
      </c>
      <c r="G652" s="162" t="s">
        <v>1730</v>
      </c>
      <c r="H652" s="122" t="s">
        <v>1756</v>
      </c>
    </row>
    <row r="653" spans="1:8">
      <c r="A653" s="247" t="s">
        <v>2103</v>
      </c>
      <c r="B653" s="162" t="s">
        <v>1752</v>
      </c>
      <c r="C653" s="162" t="s">
        <v>1752</v>
      </c>
      <c r="D653" s="162" t="s">
        <v>1752</v>
      </c>
      <c r="E653" s="162" t="s">
        <v>1759</v>
      </c>
      <c r="F653" s="162" t="s">
        <v>1759</v>
      </c>
      <c r="G653" s="162">
        <v>43.3914360563325</v>
      </c>
      <c r="H653" s="162">
        <v>0.74349333311908</v>
      </c>
    </row>
    <row r="654" spans="1:8">
      <c r="A654" s="197" t="s">
        <v>1828</v>
      </c>
      <c r="B654" s="129" t="s">
        <v>1752</v>
      </c>
      <c r="C654" s="129" t="s">
        <v>1752</v>
      </c>
      <c r="D654" s="129" t="s">
        <v>1752</v>
      </c>
      <c r="E654" s="129" t="s">
        <v>1759</v>
      </c>
      <c r="F654" s="129" t="s">
        <v>1759</v>
      </c>
      <c r="G654" s="129">
        <v>43.3914360563325</v>
      </c>
      <c r="H654" s="129">
        <v>0.74349333311908</v>
      </c>
    </row>
    <row r="655" spans="1:8">
      <c r="A655" s="247" t="s">
        <v>2104</v>
      </c>
      <c r="B655" s="122" t="s">
        <v>1756</v>
      </c>
      <c r="C655" s="122" t="s">
        <v>1756</v>
      </c>
      <c r="D655" s="122" t="s">
        <v>1756</v>
      </c>
      <c r="E655" s="122" t="s">
        <v>1756</v>
      </c>
      <c r="F655" s="122" t="s">
        <v>1756</v>
      </c>
      <c r="G655" s="122" t="s">
        <v>1756</v>
      </c>
      <c r="H655" s="122" t="s">
        <v>1756</v>
      </c>
    </row>
    <row r="656" spans="1:8">
      <c r="A656" s="249" t="s">
        <v>2105</v>
      </c>
      <c r="B656" s="129">
        <v>11397.9296302793</v>
      </c>
      <c r="C656" s="122" t="s">
        <v>1756</v>
      </c>
      <c r="D656" s="122" t="s">
        <v>1756</v>
      </c>
      <c r="E656" s="122" t="s">
        <v>1756</v>
      </c>
      <c r="F656" s="122" t="s">
        <v>1756</v>
      </c>
      <c r="G656" s="122" t="s">
        <v>1756</v>
      </c>
      <c r="H656" s="122" t="s">
        <v>1756</v>
      </c>
    </row>
    <row r="657" spans="1:8">
      <c r="A657" s="249" t="s">
        <v>2106</v>
      </c>
      <c r="B657" s="129" t="s">
        <v>1752</v>
      </c>
      <c r="C657" s="122" t="s">
        <v>1756</v>
      </c>
      <c r="D657" s="122" t="s">
        <v>1756</v>
      </c>
      <c r="E657" s="122" t="s">
        <v>1756</v>
      </c>
      <c r="F657" s="122" t="s">
        <v>1756</v>
      </c>
      <c r="G657" s="122" t="s">
        <v>1756</v>
      </c>
      <c r="H657" s="122" t="s">
        <v>1756</v>
      </c>
    </row>
    <row r="658" spans="1:8">
      <c r="A658" s="250" t="s">
        <v>2107</v>
      </c>
      <c r="B658" s="129" t="s">
        <v>1752</v>
      </c>
      <c r="C658" s="122" t="s">
        <v>1756</v>
      </c>
      <c r="D658" s="122" t="s">
        <v>1756</v>
      </c>
      <c r="E658" s="122" t="s">
        <v>1756</v>
      </c>
      <c r="F658" s="122" t="s">
        <v>1756</v>
      </c>
      <c r="G658" s="122" t="s">
        <v>1756</v>
      </c>
      <c r="H658" s="122" t="s">
        <v>1756</v>
      </c>
    </row>
    <row r="660" ht="13.9" spans="1:8">
      <c r="A660" s="90" t="s">
        <v>2108</v>
      </c>
      <c r="B660" s="146" t="str">
        <f>B638</f>
        <v>NO,IE,NA</v>
      </c>
      <c r="C660" s="146">
        <f t="shared" ref="C660:H660" si="12">C638</f>
        <v>6143.82661274884</v>
      </c>
      <c r="D660" s="146">
        <f t="shared" si="12"/>
        <v>73.7575206585806</v>
      </c>
      <c r="E660" s="146">
        <f t="shared" si="12"/>
        <v>2.34601902195671</v>
      </c>
      <c r="F660" s="146">
        <f t="shared" si="12"/>
        <v>6.54834635979466</v>
      </c>
      <c r="G660" s="146">
        <f t="shared" si="12"/>
        <v>114.395604148513</v>
      </c>
      <c r="H660" s="146">
        <f t="shared" si="12"/>
        <v>0.74349333311908</v>
      </c>
    </row>
    <row r="663" ht="16.9" spans="1:8">
      <c r="A663" s="90" t="s">
        <v>2109</v>
      </c>
      <c r="B663" s="251" t="s">
        <v>2110</v>
      </c>
      <c r="C663" s="251" t="s">
        <v>2111</v>
      </c>
      <c r="D663" s="251" t="s">
        <v>2112</v>
      </c>
      <c r="E663" s="251" t="s">
        <v>2113</v>
      </c>
      <c r="F663" s="251" t="s">
        <v>649</v>
      </c>
      <c r="G663" s="251" t="s">
        <v>1721</v>
      </c>
      <c r="H663" s="251" t="s">
        <v>2114</v>
      </c>
    </row>
    <row r="664" s="18" customFormat="1" ht="13.9" spans="1:8">
      <c r="A664" s="252" t="s">
        <v>2115</v>
      </c>
      <c r="B664" s="253">
        <f t="shared" ref="B664:H670" si="13">B59</f>
        <v>6048689.04147117</v>
      </c>
      <c r="C664" s="253">
        <f t="shared" si="13"/>
        <v>12336.6480606511</v>
      </c>
      <c r="D664" s="253">
        <f t="shared" si="13"/>
        <v>258.662285199928</v>
      </c>
      <c r="E664" s="253">
        <f t="shared" si="13"/>
        <v>18301.0736997679</v>
      </c>
      <c r="F664" s="253">
        <f t="shared" si="13"/>
        <v>65115.2329682268</v>
      </c>
      <c r="G664" s="253">
        <f t="shared" si="13"/>
        <v>7399.08752635331</v>
      </c>
      <c r="H664" s="253">
        <f t="shared" si="13"/>
        <v>12364.0910487709</v>
      </c>
    </row>
    <row r="665" s="61" customFormat="1" ht="13.9" spans="1:8">
      <c r="A665" s="254" t="s">
        <v>851</v>
      </c>
      <c r="B665" s="255">
        <f t="shared" si="13"/>
        <v>2400057.48564065</v>
      </c>
      <c r="C665" s="255">
        <f t="shared" si="13"/>
        <v>34.8234794195705</v>
      </c>
      <c r="D665" s="255">
        <f t="shared" si="13"/>
        <v>100.865385691591</v>
      </c>
      <c r="E665" s="255">
        <f t="shared" si="13"/>
        <v>3434.42909967477</v>
      </c>
      <c r="F665" s="255">
        <f t="shared" si="13"/>
        <v>581.838672350059</v>
      </c>
      <c r="G665" s="255">
        <f t="shared" si="13"/>
        <v>43.7013954200345</v>
      </c>
      <c r="H665" s="255">
        <f t="shared" si="13"/>
        <v>9439.04327466022</v>
      </c>
    </row>
    <row r="666" s="61" customFormat="1" ht="13.9" spans="1:8">
      <c r="A666" s="254" t="s">
        <v>58</v>
      </c>
      <c r="B666" s="255">
        <f>B61</f>
        <v>1911442.81055523</v>
      </c>
      <c r="C666" s="255">
        <f t="shared" si="13"/>
        <v>165.572912858663</v>
      </c>
      <c r="D666" s="255">
        <f t="shared" si="13"/>
        <v>141.221383006607</v>
      </c>
      <c r="E666" s="255">
        <f t="shared" si="13"/>
        <v>11993.9682079609</v>
      </c>
      <c r="F666" s="255">
        <f t="shared" si="13"/>
        <v>58745.5195062439</v>
      </c>
      <c r="G666" s="255">
        <f t="shared" si="13"/>
        <v>5777.25453341535</v>
      </c>
      <c r="H666" s="255">
        <f t="shared" si="13"/>
        <v>618.630772033616</v>
      </c>
    </row>
    <row r="667" s="61" customFormat="1" ht="13.9" spans="1:8">
      <c r="A667" s="254" t="s">
        <v>1064</v>
      </c>
      <c r="B667" s="255">
        <f t="shared" si="13"/>
        <v>586027.533701791</v>
      </c>
      <c r="C667" s="255">
        <f t="shared" si="13"/>
        <v>205.335128778058</v>
      </c>
      <c r="D667" s="255">
        <f t="shared" si="13"/>
        <v>4.09832747710965</v>
      </c>
      <c r="E667" s="255">
        <f t="shared" si="13"/>
        <v>908.263731486725</v>
      </c>
      <c r="F667" s="255">
        <f t="shared" si="13"/>
        <v>3021.64543736223</v>
      </c>
      <c r="G667" s="255">
        <f t="shared" si="13"/>
        <v>706.600965242962</v>
      </c>
      <c r="H667" s="255">
        <f t="shared" si="13"/>
        <v>527.575853555532</v>
      </c>
    </row>
    <row r="668" s="61" customFormat="1" ht="13.9" spans="1:8">
      <c r="A668" s="254" t="s">
        <v>333</v>
      </c>
      <c r="B668" s="255">
        <f t="shared" si="13"/>
        <v>1137620.38588515</v>
      </c>
      <c r="C668" s="255">
        <f t="shared" si="13"/>
        <v>11930.8983397828</v>
      </c>
      <c r="D668" s="255">
        <f t="shared" si="13"/>
        <v>11.1766345907889</v>
      </c>
      <c r="E668" s="255">
        <f t="shared" si="13"/>
        <v>1964.41266064552</v>
      </c>
      <c r="F668" s="255">
        <f t="shared" si="13"/>
        <v>2766.22935227054</v>
      </c>
      <c r="G668" s="255">
        <f t="shared" si="13"/>
        <v>871.530632274958</v>
      </c>
      <c r="H668" s="255">
        <f t="shared" si="13"/>
        <v>1778.84114852154</v>
      </c>
    </row>
    <row r="669" s="61" customFormat="1" ht="13.9" spans="1:8">
      <c r="A669" s="254" t="s">
        <v>1062</v>
      </c>
      <c r="B669" s="255">
        <f t="shared" si="13"/>
        <v>257.909768904593</v>
      </c>
      <c r="C669" s="255">
        <f t="shared" si="13"/>
        <v>0.01300499353749</v>
      </c>
      <c r="D669" s="255">
        <f t="shared" si="13"/>
        <v>0.00187845249299</v>
      </c>
      <c r="E669" s="255" t="str">
        <f t="shared" si="13"/>
        <v>IE</v>
      </c>
      <c r="F669" s="255" t="str">
        <f t="shared" si="13"/>
        <v>IE</v>
      </c>
      <c r="G669" s="255" t="str">
        <f t="shared" si="13"/>
        <v>IE</v>
      </c>
      <c r="H669" s="255" t="str">
        <f t="shared" si="13"/>
        <v>IE</v>
      </c>
    </row>
    <row r="670" s="61" customFormat="1" ht="13.9" spans="1:8">
      <c r="A670" s="254" t="s">
        <v>1782</v>
      </c>
      <c r="B670" s="255">
        <f>B65</f>
        <v>13282.9159194568</v>
      </c>
      <c r="C670" s="255">
        <f t="shared" si="13"/>
        <v>0.00519481844957</v>
      </c>
      <c r="D670" s="255">
        <f t="shared" si="13"/>
        <v>1.29867598133739</v>
      </c>
      <c r="E670" s="255">
        <f t="shared" si="13"/>
        <v>0</v>
      </c>
      <c r="F670" s="255">
        <f t="shared" si="13"/>
        <v>0</v>
      </c>
      <c r="G670" s="255">
        <f t="shared" si="13"/>
        <v>0</v>
      </c>
      <c r="H670" s="255">
        <f t="shared" si="13"/>
        <v>0</v>
      </c>
    </row>
    <row r="671" ht="13.9" spans="1:8">
      <c r="A671" s="252" t="s">
        <v>2116</v>
      </c>
      <c r="B671" s="255">
        <f>G407</f>
        <v>22472.091458331</v>
      </c>
      <c r="C671" s="255">
        <f>H407</f>
        <v>0.00469258473663</v>
      </c>
      <c r="D671" s="255">
        <f>I407</f>
        <v>0.00483324371222</v>
      </c>
      <c r="E671" s="255"/>
      <c r="F671" s="256"/>
      <c r="G671" s="256"/>
      <c r="H671" s="256"/>
    </row>
    <row r="672" ht="13.9" spans="1:8">
      <c r="A672" s="252" t="s">
        <v>2117</v>
      </c>
      <c r="B672" s="255">
        <f>B464</f>
        <v>194388.531204011</v>
      </c>
      <c r="C672" s="255">
        <f>C464</f>
        <v>4.422839664</v>
      </c>
      <c r="D672" s="255">
        <f>D464</f>
        <v>83.6553097497663</v>
      </c>
      <c r="E672" s="255">
        <f>J464</f>
        <v>572.165144953274</v>
      </c>
      <c r="F672" s="255">
        <f>K464</f>
        <v>1557.19399101959</v>
      </c>
      <c r="G672" s="255">
        <f>L464</f>
        <v>5849.21971214434</v>
      </c>
      <c r="H672" s="255">
        <f>M464</f>
        <v>830.759872282037</v>
      </c>
    </row>
    <row r="673" ht="13.9" spans="1:36">
      <c r="A673" s="252" t="s">
        <v>2118</v>
      </c>
      <c r="B673" s="255">
        <f t="shared" ref="B673:H673" si="14">B597</f>
        <v>7853.7090592548</v>
      </c>
      <c r="C673" s="255">
        <f t="shared" si="14"/>
        <v>9418.76065500768</v>
      </c>
      <c r="D673" s="255">
        <f t="shared" si="14"/>
        <v>1108.42059495123</v>
      </c>
      <c r="E673" s="255">
        <f t="shared" si="14"/>
        <v>14.9106798011469</v>
      </c>
      <c r="F673" s="255">
        <f t="shared" si="14"/>
        <v>363.406666109221</v>
      </c>
      <c r="G673" s="255" t="str">
        <f t="shared" si="14"/>
        <v>NA</v>
      </c>
      <c r="H673" s="255">
        <f t="shared" si="14"/>
        <v>0</v>
      </c>
    </row>
    <row r="674" ht="13.9" spans="1:36">
      <c r="A674" s="252" t="s">
        <v>2119</v>
      </c>
      <c r="B674" s="255">
        <f>B629</f>
        <v>-831125.536385044</v>
      </c>
      <c r="C674" s="255">
        <f t="shared" ref="C674:H674" si="15">C629</f>
        <v>1234.73946025711</v>
      </c>
      <c r="D674" s="255">
        <f t="shared" si="15"/>
        <v>35.1136989964704</v>
      </c>
      <c r="E674" s="255">
        <f t="shared" si="15"/>
        <v>141.5949963</v>
      </c>
      <c r="F674" s="255">
        <f t="shared" si="15"/>
        <v>7641.660641</v>
      </c>
      <c r="G674" s="255" t="str">
        <f t="shared" si="15"/>
        <v>NE,NA</v>
      </c>
      <c r="H674" s="255">
        <f t="shared" si="15"/>
        <v>0</v>
      </c>
    </row>
    <row r="675" ht="13.9" spans="1:36">
      <c r="A675" s="252" t="s">
        <v>2120</v>
      </c>
      <c r="B675" s="257" t="str">
        <f>B660</f>
        <v>NO,IE,NA</v>
      </c>
      <c r="C675" s="257">
        <f t="shared" ref="C675:H675" si="16">C660</f>
        <v>6143.82661274884</v>
      </c>
      <c r="D675" s="257">
        <f t="shared" si="16"/>
        <v>73.7575206585806</v>
      </c>
      <c r="E675" s="257">
        <f t="shared" si="16"/>
        <v>2.34601902195671</v>
      </c>
      <c r="F675" s="257">
        <f t="shared" si="16"/>
        <v>6.54834635979466</v>
      </c>
      <c r="G675" s="257">
        <f t="shared" si="16"/>
        <v>114.395604148513</v>
      </c>
      <c r="H675" s="257">
        <f t="shared" si="16"/>
        <v>0.74349333311908</v>
      </c>
    </row>
    <row r="676" ht="13.9" spans="1:36">
      <c r="A676" s="61" t="s">
        <v>2121</v>
      </c>
      <c r="B676" s="258">
        <f>SUM(B664,B672:B675)</f>
        <v>5419805.7453494</v>
      </c>
      <c r="C676" s="258">
        <f t="shared" ref="C676:H676" si="17">SUM(C664,C672:C675)</f>
        <v>29138.3976283288</v>
      </c>
      <c r="D676" s="258">
        <f t="shared" si="17"/>
        <v>1559.60940955598</v>
      </c>
      <c r="E676" s="258">
        <f t="shared" si="17"/>
        <v>19032.0905398443</v>
      </c>
      <c r="F676" s="258">
        <f t="shared" si="17"/>
        <v>74684.0426127153</v>
      </c>
      <c r="G676" s="258">
        <f t="shared" si="17"/>
        <v>13362.7028426462</v>
      </c>
      <c r="H676" s="258">
        <f t="shared" si="17"/>
        <v>13195.5944143861</v>
      </c>
    </row>
    <row r="678" ht="13.9" spans="1:36">
      <c r="A678" s="90" t="s">
        <v>2122</v>
      </c>
      <c r="B678" s="90" t="s">
        <v>1944</v>
      </c>
      <c r="C678" s="90" t="s">
        <v>1945</v>
      </c>
      <c r="D678" s="90" t="s">
        <v>1946</v>
      </c>
      <c r="E678" s="90" t="s">
        <v>1947</v>
      </c>
      <c r="F678" s="259" t="s">
        <v>1948</v>
      </c>
      <c r="G678" s="259" t="s">
        <v>1949</v>
      </c>
      <c r="H678" s="259" t="s">
        <v>1950</v>
      </c>
      <c r="I678" s="259" t="s">
        <v>1951</v>
      </c>
      <c r="J678" s="259" t="s">
        <v>1952</v>
      </c>
      <c r="K678" s="259" t="s">
        <v>1953</v>
      </c>
      <c r="L678" s="259" t="s">
        <v>1954</v>
      </c>
      <c r="M678" s="259" t="s">
        <v>1955</v>
      </c>
      <c r="N678" s="259" t="s">
        <v>1956</v>
      </c>
      <c r="O678" s="259" t="s">
        <v>1957</v>
      </c>
      <c r="P678" s="259" t="s">
        <v>1958</v>
      </c>
      <c r="Q678" s="259" t="s">
        <v>1959</v>
      </c>
      <c r="R678" s="259" t="s">
        <v>1960</v>
      </c>
      <c r="S678" s="259" t="s">
        <v>1961</v>
      </c>
      <c r="T678" s="259" t="s">
        <v>1962</v>
      </c>
      <c r="U678" s="259" t="s">
        <v>2123</v>
      </c>
      <c r="V678" s="259" t="s">
        <v>1964</v>
      </c>
      <c r="W678" s="259" t="s">
        <v>2124</v>
      </c>
      <c r="X678" s="259" t="s">
        <v>2125</v>
      </c>
      <c r="Y678" s="259" t="s">
        <v>2126</v>
      </c>
      <c r="Z678" s="259" t="s">
        <v>2127</v>
      </c>
      <c r="AA678" s="259" t="s">
        <v>2128</v>
      </c>
      <c r="AB678" s="259" t="s">
        <v>2129</v>
      </c>
      <c r="AC678" s="259" t="s">
        <v>2130</v>
      </c>
      <c r="AD678" s="259" t="s">
        <v>2131</v>
      </c>
      <c r="AE678" s="259" t="s">
        <v>2132</v>
      </c>
      <c r="AF678" s="259" t="s">
        <v>2133</v>
      </c>
      <c r="AG678" s="259" t="s">
        <v>1975</v>
      </c>
      <c r="AH678" s="259" t="s">
        <v>2134</v>
      </c>
      <c r="AI678" s="259" t="s">
        <v>2135</v>
      </c>
      <c r="AJ678" s="259" t="s">
        <v>2136</v>
      </c>
    </row>
    <row r="679" ht="13.9" spans="1:36">
      <c r="A679" s="28" t="s">
        <v>2137</v>
      </c>
      <c r="B679" s="92">
        <f>B472</f>
        <v>1368.64076228549</v>
      </c>
      <c r="C679" s="92">
        <f>C472</f>
        <v>398.219977747436</v>
      </c>
      <c r="D679" s="92">
        <v>0</v>
      </c>
      <c r="E679" s="92">
        <v>0</v>
      </c>
      <c r="F679" s="92">
        <f>F472</f>
        <v>2580.44234</v>
      </c>
      <c r="G679" s="92">
        <v>0</v>
      </c>
      <c r="H679" s="92">
        <f>H472</f>
        <v>56029.164606594</v>
      </c>
      <c r="I679" s="92">
        <v>0</v>
      </c>
      <c r="J679" s="92">
        <f>J472</f>
        <v>2093.1476</v>
      </c>
      <c r="K679" s="92">
        <v>0</v>
      </c>
      <c r="L679" s="92">
        <v>0</v>
      </c>
      <c r="M679" s="92">
        <v>0</v>
      </c>
      <c r="N679" s="92">
        <v>0</v>
      </c>
      <c r="O679" s="92">
        <v>0</v>
      </c>
      <c r="P679" s="92">
        <v>0</v>
      </c>
      <c r="Q679" s="92">
        <f>Q472</f>
        <v>117.73</v>
      </c>
      <c r="R679" s="92">
        <v>0</v>
      </c>
      <c r="S679" s="92">
        <v>0</v>
      </c>
      <c r="T679" s="92">
        <v>0</v>
      </c>
      <c r="U679" s="92">
        <v>0</v>
      </c>
      <c r="V679" s="92" t="str">
        <f>V472</f>
        <v/>
      </c>
      <c r="W679" s="92">
        <f>W472</f>
        <v>540.069167170327</v>
      </c>
      <c r="X679" s="92">
        <f>X472</f>
        <v>206.857076869443</v>
      </c>
      <c r="Y679" s="92">
        <f>Y472</f>
        <v>9.02767031621966</v>
      </c>
      <c r="Z679" s="92">
        <v>0</v>
      </c>
      <c r="AA679" s="92">
        <f>AA472</f>
        <v>11.4791217091971</v>
      </c>
      <c r="AB679" s="92">
        <v>0</v>
      </c>
      <c r="AC679" s="92">
        <v>0</v>
      </c>
      <c r="AD679" s="92">
        <v>0</v>
      </c>
      <c r="AE679" s="92">
        <v>0</v>
      </c>
      <c r="AF679" s="92">
        <v>0</v>
      </c>
      <c r="AG679" s="92" t="str">
        <f>AG472</f>
        <v/>
      </c>
      <c r="AH679" s="92">
        <f>AH472</f>
        <v>7230.4559118</v>
      </c>
      <c r="AI679" s="92">
        <f>AI472</f>
        <v>517.71056610324</v>
      </c>
      <c r="AJ679" s="92">
        <f>AJ472</f>
        <v>28.5301500257</v>
      </c>
    </row>
    <row r="680" ht="13.9" spans="1:36">
      <c r="A680" s="28" t="s">
        <v>2138</v>
      </c>
      <c r="B680" s="28">
        <f t="shared" ref="B680:T680" si="18">B679*IFERROR(INDEX($H$711:$H$917,MATCH(B678,$A$711:$A$917,0),1),INDEX($H$711:$H$917,MATCH(B678,$B$711:$B$917,0),1))/1000</f>
        <v>16971.1454523401</v>
      </c>
      <c r="C680" s="28">
        <f t="shared" si="18"/>
        <v>269.594924935014</v>
      </c>
      <c r="D680" s="28">
        <f t="shared" si="18"/>
        <v>0</v>
      </c>
      <c r="E680" s="28">
        <f t="shared" si="18"/>
        <v>0</v>
      </c>
      <c r="F680" s="28">
        <f t="shared" si="18"/>
        <v>8180.0022178</v>
      </c>
      <c r="G680" s="28">
        <f t="shared" si="18"/>
        <v>0</v>
      </c>
      <c r="H680" s="28">
        <f t="shared" si="18"/>
        <v>72837.9139885722</v>
      </c>
      <c r="I680" s="28">
        <f t="shared" si="18"/>
        <v>0</v>
      </c>
      <c r="J680" s="28">
        <f t="shared" si="18"/>
        <v>10047.10848</v>
      </c>
      <c r="K680" s="28">
        <f t="shared" si="18"/>
        <v>0</v>
      </c>
      <c r="L680" s="28">
        <f t="shared" si="18"/>
        <v>0</v>
      </c>
      <c r="M680" s="28">
        <f t="shared" si="18"/>
        <v>0</v>
      </c>
      <c r="N680" s="28">
        <f t="shared" si="18"/>
        <v>0</v>
      </c>
      <c r="O680" s="28">
        <f t="shared" si="18"/>
        <v>0</v>
      </c>
      <c r="P680" s="28">
        <f t="shared" si="18"/>
        <v>0</v>
      </c>
      <c r="Q680" s="28">
        <f t="shared" si="18"/>
        <v>948.9038</v>
      </c>
      <c r="R680" s="28">
        <f t="shared" si="18"/>
        <v>0</v>
      </c>
      <c r="S680" s="28">
        <f t="shared" si="18"/>
        <v>0</v>
      </c>
      <c r="T680" s="28">
        <f t="shared" si="18"/>
        <v>0</v>
      </c>
      <c r="U680" s="28"/>
      <c r="V680" s="28"/>
      <c r="W680" s="28">
        <f>W679*IFERROR(INDEX($H$711:$H$917,MATCH(W678,$A$711:$A$917,0),1),INDEX($H$711:$H$917,MATCH(W678,$B$711:$B$917,0),1))/1000</f>
        <v>3580.65857833926</v>
      </c>
      <c r="X680" s="28">
        <f>X679*IFERROR(INDEX($H$711:$H$917,MATCH(X678,$A$711:$A$917,0),1),INDEX($H$711:$H$917,MATCH(X678,$B$711:$B$917,0),1))/1000</f>
        <v>2296.11355325082</v>
      </c>
      <c r="Y680" s="28">
        <f>Y679*IFERROR(INDEX($H$711:$H$917,MATCH(Y678,$A$711:$A$917,0),1),INDEX($H$711:$H$917,MATCH(Y678,$B$711:$B$917,0),1))/1000</f>
        <v>80.346265814355</v>
      </c>
      <c r="Z680" s="28">
        <f>Z679*IFERROR(INDEX($H$711:$H$917,MATCH(Z678,$A$711:$A$917,0),1),INDEX($H$711:$H$917,MATCH(Z678,$B$711:$B$917,0),1))/1000</f>
        <v>0</v>
      </c>
      <c r="AA680" s="28">
        <f>AA679*IFERROR(INDEX($H$711:$H$917,MATCH(AA678,$A$711:$A$917,0),1),INDEX($H$711:$H$917,MATCH(AA678,$B$711:$B$917,0),1))/1000</f>
        <v>109.51082110574</v>
      </c>
      <c r="AB680" s="28">
        <v>0</v>
      </c>
      <c r="AC680" s="28">
        <v>0</v>
      </c>
      <c r="AD680" s="28">
        <f>AD679*IFERROR(INDEX($H$711:$H$917,MATCH(AD678,$A$711:$A$917,0),1),INDEX($H$711:$H$917,MATCH(AD678,$B$711:$B$917,0),1))/1000</f>
        <v>0</v>
      </c>
      <c r="AE680" s="28">
        <f>AE679*IFERROR(INDEX($H$711:$H$917,MATCH(AE678,$A$711:$A$917,0),1),INDEX($H$711:$H$917,MATCH(AE678,$B$711:$B$917,0),1))/1000</f>
        <v>0</v>
      </c>
      <c r="AF680" s="28">
        <v>0</v>
      </c>
      <c r="AG680" s="28">
        <v>0</v>
      </c>
      <c r="AH680" s="92">
        <f>AH679</f>
        <v>7230.4559118</v>
      </c>
      <c r="AI680" s="28">
        <f>AI679*IFERROR(INDEX($H$711:$H$917,MATCH(AI678,$A$711:$A$917,0),1),INDEX($H$711:$H$917,MATCH(AI678,$B$711:$B$917,0),1))/1000</f>
        <v>12166.1983034261</v>
      </c>
      <c r="AJ680" s="28">
        <f>AJ679*IFERROR(INDEX($H$711:$H$917,MATCH(AJ678,$A$711:$A$917,0),1),INDEX($H$711:$H$917,MATCH(AJ678,$B$711:$B$917,0),1))/1000</f>
        <v>459.33541541377</v>
      </c>
    </row>
    <row r="682" ht="13.9" spans="1:36">
      <c r="A682" s="61" t="s">
        <v>2121</v>
      </c>
      <c r="B682" s="61">
        <f>SUM(B680:AJ680)</f>
        <v>135177.287712797</v>
      </c>
    </row>
    <row r="683" spans="1:36">
      <c r="K683" s="28"/>
      <c r="L683" s="28"/>
      <c r="M683" s="28"/>
      <c r="N683" s="28"/>
      <c r="O683" s="28"/>
      <c r="P683" s="28"/>
      <c r="Q683" s="28"/>
      <c r="R683" s="28"/>
      <c r="S683" s="28"/>
      <c r="T683" s="28"/>
      <c r="U683" s="28"/>
      <c r="V683" s="28"/>
      <c r="W683" s="28"/>
      <c r="X683" s="28"/>
      <c r="Y683" s="28"/>
      <c r="Z683" s="28"/>
      <c r="AA683" s="28"/>
      <c r="AB683" s="28"/>
    </row>
    <row r="684" ht="16.9" spans="1:36">
      <c r="A684" s="90" t="s">
        <v>2139</v>
      </c>
      <c r="B684" s="251" t="s">
        <v>2110</v>
      </c>
      <c r="C684" s="251" t="s">
        <v>2111</v>
      </c>
      <c r="D684" s="251" t="s">
        <v>2112</v>
      </c>
      <c r="E684" s="251" t="s">
        <v>2113</v>
      </c>
      <c r="F684" s="251" t="s">
        <v>649</v>
      </c>
      <c r="G684" s="251" t="s">
        <v>1721</v>
      </c>
      <c r="H684" s="251" t="s">
        <v>2114</v>
      </c>
      <c r="I684" s="251" t="s">
        <v>1609</v>
      </c>
      <c r="J684" s="251" t="s">
        <v>1115</v>
      </c>
      <c r="K684" s="28"/>
      <c r="L684" s="28"/>
      <c r="M684" s="28"/>
      <c r="N684" s="28"/>
      <c r="O684" s="28"/>
      <c r="P684" s="28"/>
      <c r="Q684" s="28"/>
      <c r="R684" s="28"/>
      <c r="S684" s="28"/>
      <c r="T684" s="28"/>
      <c r="U684" s="28"/>
      <c r="V684" s="28"/>
      <c r="W684" s="28"/>
      <c r="X684" s="28"/>
      <c r="Y684" s="28"/>
      <c r="Z684" s="28"/>
      <c r="AA684" s="28"/>
      <c r="AB684" s="28"/>
    </row>
    <row r="685" ht="13.9" spans="1:36">
      <c r="A685" s="28" t="s">
        <v>2140</v>
      </c>
      <c r="B685" s="89">
        <f>B676/1000</f>
        <v>5419.8057453494</v>
      </c>
      <c r="C685" s="28">
        <f>C676*$H$712/1000</f>
        <v>815.875133593205</v>
      </c>
      <c r="D685" s="28">
        <f>D676*$H$714/1000</f>
        <v>413.296493532335</v>
      </c>
      <c r="E685" s="28">
        <f>E676*$C$923/1000</f>
        <v>-156.063142426723</v>
      </c>
      <c r="F685">
        <f>F676*$C$922/1000</f>
        <v>134.431276702888</v>
      </c>
      <c r="G685">
        <f>G676*$C$921/1000</f>
        <v>66.8135142132308</v>
      </c>
      <c r="H685">
        <f t="shared" ref="H685:H692" si="19">$C$926/1000</f>
        <v>0</v>
      </c>
      <c r="I685">
        <f>B682/1000</f>
        <v>135.177287712797</v>
      </c>
      <c r="J685" s="260">
        <f>SUM(B685:I685)</f>
        <v>6829.33630867713</v>
      </c>
      <c r="K685" s="28"/>
      <c r="L685" s="28"/>
      <c r="M685" s="28"/>
      <c r="N685" s="28"/>
      <c r="O685" s="28"/>
      <c r="P685" s="28"/>
      <c r="Q685" s="28"/>
      <c r="R685" s="28"/>
      <c r="S685" s="28"/>
      <c r="T685" s="28"/>
      <c r="U685" s="28"/>
      <c r="V685" s="28"/>
      <c r="W685" s="28"/>
      <c r="X685" s="28"/>
      <c r="Y685" s="28"/>
      <c r="Z685" s="28"/>
      <c r="AA685" s="28"/>
      <c r="AB685" s="28"/>
    </row>
    <row r="686" ht="13.9" spans="1:36">
      <c r="A686" s="28" t="s">
        <v>851</v>
      </c>
      <c r="B686" s="89">
        <f>B665/1000</f>
        <v>2400.05748564065</v>
      </c>
      <c r="C686" s="28">
        <f>C665*$H$712/1000</f>
        <v>0.975057423747973</v>
      </c>
      <c r="D686" s="28">
        <f>D665*$H$714/1000</f>
        <v>26.7293272082717</v>
      </c>
      <c r="E686" s="28">
        <f>E665*$C$923/1000</f>
        <v>-28.1623186173331</v>
      </c>
      <c r="F686">
        <f>F665*$C$922/1000</f>
        <v>1.04730961023011</v>
      </c>
      <c r="G686">
        <f>G665*$C$921/1000</f>
        <v>0.218506977100172</v>
      </c>
      <c r="H686">
        <f t="shared" si="19"/>
        <v>0</v>
      </c>
      <c r="I686">
        <f>0</f>
        <v>0</v>
      </c>
      <c r="J686" s="260">
        <f t="shared" ref="J686:J692" si="20">SUM(B686:I686)</f>
        <v>2400.86536824266</v>
      </c>
      <c r="K686" s="28"/>
      <c r="L686" s="28"/>
      <c r="M686" s="28"/>
      <c r="N686" s="28"/>
      <c r="O686" s="28"/>
      <c r="P686" s="28"/>
      <c r="Q686" s="28"/>
      <c r="R686" s="28"/>
      <c r="S686" s="28"/>
      <c r="T686" s="28"/>
      <c r="U686" s="28"/>
      <c r="V686" s="28"/>
      <c r="W686" s="28"/>
      <c r="X686" s="28"/>
      <c r="Y686" s="28"/>
      <c r="Z686" s="28"/>
      <c r="AA686" s="28"/>
      <c r="AB686" s="28"/>
    </row>
    <row r="687" ht="13.9" spans="1:36">
      <c r="A687" s="28" t="s">
        <v>58</v>
      </c>
      <c r="B687" s="89">
        <f>B666/1000</f>
        <v>1911.44281055523</v>
      </c>
      <c r="C687" s="89">
        <f t="shared" ref="C687:I687" si="21">C666/1000</f>
        <v>0.165572912858663</v>
      </c>
      <c r="D687" s="89">
        <f t="shared" si="21"/>
        <v>0.141221383006607</v>
      </c>
      <c r="E687" s="89">
        <f t="shared" si="21"/>
        <v>11.9939682079609</v>
      </c>
      <c r="F687" s="89">
        <f t="shared" si="21"/>
        <v>58.7455195062439</v>
      </c>
      <c r="G687" s="89">
        <f t="shared" si="21"/>
        <v>5.77725453341535</v>
      </c>
      <c r="H687" s="89">
        <f t="shared" si="21"/>
        <v>0.618630772033616</v>
      </c>
      <c r="I687" s="89">
        <f t="shared" si="21"/>
        <v>0</v>
      </c>
      <c r="J687" s="260">
        <f t="shared" si="20"/>
        <v>1988.88497787074</v>
      </c>
      <c r="K687" s="28"/>
      <c r="L687" s="28"/>
      <c r="M687" s="28"/>
      <c r="N687" s="28"/>
      <c r="O687" s="28"/>
      <c r="P687" s="28"/>
      <c r="Q687" s="28"/>
      <c r="R687" s="28"/>
      <c r="S687" s="28"/>
      <c r="T687" s="28"/>
      <c r="U687" s="28"/>
      <c r="V687" s="28"/>
      <c r="W687" s="28"/>
      <c r="X687" s="28"/>
      <c r="Y687" s="28"/>
      <c r="Z687" s="28"/>
      <c r="AA687" s="28"/>
      <c r="AB687" s="28"/>
    </row>
    <row r="688" ht="13.9" spans="1:36">
      <c r="A688" s="28" t="s">
        <v>1064</v>
      </c>
      <c r="B688" s="89">
        <f>B667/1000</f>
        <v>586.027533701791</v>
      </c>
      <c r="C688" s="28">
        <f>C667*$H$712/1000</f>
        <v>5.74938360578564</v>
      </c>
      <c r="D688" s="28">
        <f>D667*$H$714/1000</f>
        <v>1.08605678143406</v>
      </c>
      <c r="E688" s="28">
        <f>E667*$C$923/1000</f>
        <v>-7.44776259819114</v>
      </c>
      <c r="F688">
        <f>F667*$C$922/1000</f>
        <v>5.43896178725201</v>
      </c>
      <c r="G688">
        <f>G667*$C$921/1000</f>
        <v>3.53300482621481</v>
      </c>
      <c r="H688">
        <f t="shared" si="19"/>
        <v>0</v>
      </c>
      <c r="I688">
        <f>0</f>
        <v>0</v>
      </c>
      <c r="J688" s="260">
        <f t="shared" si="20"/>
        <v>594.387178104287</v>
      </c>
      <c r="K688" s="28"/>
      <c r="L688" s="28"/>
      <c r="M688" s="28"/>
      <c r="N688" s="28"/>
      <c r="O688" s="28"/>
      <c r="P688" s="28"/>
      <c r="Q688" s="28"/>
      <c r="R688" s="28"/>
      <c r="S688" s="28"/>
      <c r="T688" s="28"/>
      <c r="U688" s="28"/>
      <c r="V688" s="28"/>
      <c r="W688" s="28"/>
      <c r="X688" s="28"/>
      <c r="Y688" s="28"/>
      <c r="Z688" s="28"/>
      <c r="AA688" s="28"/>
      <c r="AB688" s="28"/>
    </row>
    <row r="689" ht="13.9" spans="1:28">
      <c r="A689" s="28" t="s">
        <v>333</v>
      </c>
      <c r="B689" s="89">
        <f>B668/1000+B672/1000</f>
        <v>1332.00891708916</v>
      </c>
      <c r="C689" s="28">
        <f>C668*$H$712/1000+C672*$H$712/1000</f>
        <v>334.188993024512</v>
      </c>
      <c r="D689" s="28">
        <f>D668*$H$714/1000+D672*$H$714/1000</f>
        <v>25.1304652502471</v>
      </c>
      <c r="E689" s="28">
        <f>E668*$C$923/1000+E672*$C$923/1000</f>
        <v>-20.7999380059101</v>
      </c>
      <c r="F689">
        <f>F668*$C$922/1000+F672*$C$922/1000</f>
        <v>7.78216201792223</v>
      </c>
      <c r="G689">
        <f>G668*$C$921/1000+G672*$C$921/1000</f>
        <v>33.6037517220965</v>
      </c>
      <c r="H689">
        <f t="shared" si="19"/>
        <v>0</v>
      </c>
      <c r="I689">
        <f>I685</f>
        <v>135.177287712797</v>
      </c>
      <c r="J689" s="260">
        <f t="shared" si="20"/>
        <v>1847.09163881082</v>
      </c>
      <c r="K689" s="28"/>
      <c r="L689" s="28"/>
      <c r="M689" s="28"/>
      <c r="N689" s="28"/>
      <c r="O689" s="28"/>
      <c r="P689" s="28"/>
      <c r="Q689" s="28"/>
      <c r="R689" s="28"/>
      <c r="S689" s="28"/>
      <c r="T689" s="28"/>
      <c r="U689" s="28"/>
      <c r="V689" s="28"/>
      <c r="W689" s="28"/>
      <c r="X689" s="28"/>
      <c r="Y689" s="28"/>
      <c r="Z689" s="28"/>
      <c r="AA689" s="28"/>
      <c r="AB689" s="28"/>
    </row>
    <row r="690" ht="13.9" spans="1:28">
      <c r="A690" s="28" t="s">
        <v>1062</v>
      </c>
      <c r="B690" s="89">
        <f>B669/1000+B673/1000</f>
        <v>8.11161882815939</v>
      </c>
      <c r="C690" s="28">
        <f>C669*$H$712/1000+C673*$H$712/1000</f>
        <v>263.725662480034</v>
      </c>
      <c r="D690" s="28">
        <f>D669*$H$714/1000+D673*$H$714/1000</f>
        <v>293.731955451988</v>
      </c>
      <c r="E690" s="28">
        <f>E673*$C$923/1000</f>
        <v>-0.122267574369404</v>
      </c>
      <c r="F690">
        <f>F673*$C$922/1000</f>
        <v>0.654131998996597</v>
      </c>
      <c r="H690">
        <f t="shared" si="19"/>
        <v>0</v>
      </c>
      <c r="I690">
        <f>0</f>
        <v>0</v>
      </c>
      <c r="J690" s="260">
        <f t="shared" si="20"/>
        <v>566.101101184809</v>
      </c>
      <c r="K690" s="28"/>
      <c r="L690" s="28"/>
      <c r="M690" s="28"/>
      <c r="N690" s="28"/>
      <c r="O690" s="28"/>
      <c r="P690" s="28"/>
      <c r="Q690" s="28"/>
      <c r="R690" s="28"/>
      <c r="S690" s="28"/>
      <c r="T690" s="28"/>
      <c r="U690" s="28"/>
      <c r="V690" s="28"/>
      <c r="W690" s="28"/>
      <c r="X690" s="28"/>
      <c r="Y690" s="28"/>
      <c r="Z690" s="28"/>
      <c r="AA690" s="28"/>
      <c r="AB690" s="28"/>
    </row>
    <row r="691" ht="13.9" spans="1:28">
      <c r="A691" s="28" t="s">
        <v>1073</v>
      </c>
      <c r="B691" s="89">
        <f>B670/1000</f>
        <v>13.2829159194568</v>
      </c>
      <c r="C691" s="28">
        <f>C675*$H$712/1000+C670*$H$712/1000</f>
        <v>172.027290611884</v>
      </c>
      <c r="D691" s="28">
        <f>D670*$H$714/1000+D675*$H$714/1000</f>
        <v>19.8898921095783</v>
      </c>
      <c r="E691" s="28">
        <f>E675*$C$923/1000</f>
        <v>-0.019237355980045</v>
      </c>
      <c r="F691">
        <f>F675*$C$922/1000</f>
        <v>0.0117870234476304</v>
      </c>
      <c r="G691">
        <f>G675*$C$921/1000</f>
        <v>0.571978020742565</v>
      </c>
      <c r="H691">
        <f t="shared" si="19"/>
        <v>0</v>
      </c>
      <c r="I691">
        <f>0</f>
        <v>0</v>
      </c>
      <c r="J691" s="260">
        <f t="shared" si="20"/>
        <v>205.764626329129</v>
      </c>
      <c r="K691" s="28"/>
      <c r="L691" s="28"/>
      <c r="M691" s="28"/>
      <c r="N691" s="28"/>
      <c r="O691" s="28"/>
      <c r="P691" s="28"/>
      <c r="Q691" s="28"/>
      <c r="R691" s="28"/>
      <c r="S691" s="28"/>
      <c r="T691" s="28"/>
      <c r="U691" s="28"/>
      <c r="V691" s="28"/>
      <c r="W691" s="28"/>
      <c r="X691" s="28"/>
      <c r="Y691" s="28"/>
      <c r="Z691" s="28"/>
      <c r="AA691" s="28"/>
      <c r="AB691" s="28"/>
    </row>
    <row r="692" ht="13.9" spans="1:28">
      <c r="A692" s="28" t="s">
        <v>2141</v>
      </c>
      <c r="B692" s="89">
        <f>B674/1000</f>
        <v>-831.125536385044</v>
      </c>
      <c r="C692" s="28">
        <f>C674*$H$712/1000</f>
        <v>34.5727048871991</v>
      </c>
      <c r="D692" s="28">
        <f>D674*$H$714/1000+D670*$H$714/1000</f>
        <v>9.64927936911906</v>
      </c>
      <c r="E692" s="28">
        <f>E674*$C$923/1000+D670*$H$714/1000</f>
        <v>-0.816929834605591</v>
      </c>
      <c r="F692">
        <f>F674*$C$922/1000+F670*$C$922/1000</f>
        <v>13.7549891538</v>
      </c>
      <c r="H692">
        <f t="shared" si="19"/>
        <v>0</v>
      </c>
      <c r="I692">
        <f>0</f>
        <v>0</v>
      </c>
      <c r="J692" s="260">
        <f t="shared" si="20"/>
        <v>-773.965492809531</v>
      </c>
      <c r="K692" s="28"/>
      <c r="L692" s="28"/>
      <c r="M692" s="28"/>
      <c r="N692" s="28"/>
      <c r="O692" s="28"/>
      <c r="P692" s="28"/>
      <c r="Q692" s="28"/>
      <c r="R692" s="28"/>
      <c r="S692" s="28"/>
      <c r="T692" s="28"/>
      <c r="U692" s="28"/>
      <c r="V692" s="28"/>
      <c r="W692" s="28"/>
      <c r="X692" s="28"/>
      <c r="Y692" s="28"/>
      <c r="Z692" s="28"/>
      <c r="AA692" s="28"/>
      <c r="AB692" s="28"/>
    </row>
    <row r="693" spans="1:28">
      <c r="B693" s="89"/>
      <c r="C693" s="89"/>
      <c r="D693" s="89"/>
      <c r="E693" s="89"/>
      <c r="F693" s="89"/>
      <c r="G693" s="89"/>
      <c r="H693" s="89"/>
      <c r="I693" s="89"/>
      <c r="K693" s="28"/>
      <c r="L693" s="28"/>
      <c r="M693" s="28"/>
      <c r="N693" s="28"/>
      <c r="O693" s="28"/>
      <c r="P693" s="28"/>
      <c r="Q693" s="28"/>
      <c r="R693" s="28"/>
      <c r="S693" s="28"/>
      <c r="T693" s="28"/>
      <c r="U693" s="28"/>
      <c r="V693" s="28"/>
      <c r="W693" s="28"/>
      <c r="X693" s="28"/>
      <c r="Y693" s="28"/>
      <c r="Z693" s="28"/>
      <c r="AA693" s="28"/>
      <c r="AB693" s="28"/>
    </row>
    <row r="694" ht="14.6" spans="1:28">
      <c r="B694" s="89"/>
      <c r="C694" s="89"/>
      <c r="D694" s="89"/>
      <c r="E694" s="89"/>
      <c r="F694" s="89"/>
      <c r="G694" s="89"/>
      <c r="H694" s="89"/>
      <c r="I694" s="89"/>
      <c r="K694" s="28"/>
      <c r="L694" s="28"/>
      <c r="M694" s="28"/>
      <c r="N694" s="28"/>
      <c r="O694" s="28"/>
      <c r="P694" s="28"/>
      <c r="Q694" s="28"/>
      <c r="R694" s="28"/>
      <c r="S694" s="28"/>
      <c r="T694" s="28"/>
      <c r="U694" s="28"/>
      <c r="V694" s="28"/>
      <c r="W694" s="28"/>
      <c r="X694" s="28"/>
      <c r="Y694" s="28"/>
      <c r="Z694" s="28"/>
      <c r="AA694" s="28"/>
      <c r="AB694" s="28"/>
    </row>
    <row r="695" ht="14.65" spans="1:28">
      <c r="A695" s="261" t="s">
        <v>2142</v>
      </c>
      <c r="B695" s="262">
        <f>SUM(B685:I685)</f>
        <v>6829.33630867713</v>
      </c>
      <c r="D695" s="263"/>
      <c r="K695" s="28"/>
      <c r="L695" s="28"/>
      <c r="M695" s="28"/>
      <c r="N695" s="28"/>
      <c r="O695" s="28"/>
      <c r="P695" s="28"/>
      <c r="Q695" s="28"/>
      <c r="R695" s="28"/>
      <c r="S695" s="28"/>
      <c r="T695" s="28"/>
      <c r="U695" s="28"/>
      <c r="V695" s="28"/>
      <c r="W695" s="28"/>
      <c r="X695" s="28"/>
      <c r="Y695" s="28"/>
      <c r="Z695" s="28"/>
      <c r="AA695" s="28"/>
      <c r="AB695" s="28"/>
    </row>
    <row r="696" spans="1:28">
      <c r="A696" s="61"/>
      <c r="B696" s="89"/>
      <c r="K696" s="28"/>
      <c r="L696" s="28"/>
      <c r="M696" s="28"/>
      <c r="N696" s="28"/>
      <c r="O696" s="28"/>
      <c r="P696" s="28"/>
      <c r="Q696" s="28"/>
      <c r="R696" s="28"/>
      <c r="S696" s="28"/>
      <c r="T696" s="28"/>
      <c r="U696" s="28"/>
      <c r="V696" s="28"/>
      <c r="W696" s="28"/>
      <c r="X696" s="28"/>
      <c r="Y696" s="28"/>
      <c r="Z696" s="28"/>
      <c r="AA696" s="28"/>
      <c r="AB696" s="28"/>
    </row>
    <row r="697" ht="13.9" spans="1:28">
      <c r="A697" s="28" t="s">
        <v>851</v>
      </c>
      <c r="B697" s="89">
        <f>SUM(B686:I686)</f>
        <v>2400.86536824266</v>
      </c>
      <c r="K697" s="28"/>
      <c r="L697" s="28"/>
      <c r="M697" s="28"/>
      <c r="N697" s="28"/>
      <c r="O697" s="28"/>
      <c r="P697" s="28"/>
      <c r="Q697" s="28"/>
      <c r="R697" s="28"/>
      <c r="S697" s="28"/>
      <c r="T697" s="28"/>
      <c r="U697" s="28"/>
      <c r="V697" s="28"/>
      <c r="W697" s="28"/>
      <c r="X697" s="28"/>
      <c r="Y697" s="28"/>
      <c r="Z697" s="28"/>
      <c r="AA697" s="28"/>
      <c r="AB697" s="28"/>
    </row>
    <row r="698" ht="13.9" spans="1:28">
      <c r="A698" s="28" t="s">
        <v>58</v>
      </c>
      <c r="B698" s="89">
        <f t="shared" ref="B698:B703" si="22">SUM(B687:I687)</f>
        <v>1988.88497787074</v>
      </c>
      <c r="K698" s="28"/>
      <c r="L698" s="28"/>
      <c r="M698" s="28"/>
      <c r="N698" s="28"/>
      <c r="O698" s="28"/>
      <c r="P698" s="28"/>
      <c r="Q698" s="28"/>
      <c r="R698" s="28"/>
      <c r="S698" s="28"/>
      <c r="T698" s="28"/>
      <c r="U698" s="28"/>
      <c r="V698" s="28"/>
      <c r="W698" s="28"/>
      <c r="X698" s="28"/>
      <c r="Y698" s="28"/>
      <c r="Z698" s="28"/>
      <c r="AA698" s="28"/>
      <c r="AB698" s="28"/>
    </row>
    <row r="699" ht="13.9" spans="1:28">
      <c r="A699" s="28" t="s">
        <v>1064</v>
      </c>
      <c r="B699" s="89">
        <f t="shared" si="22"/>
        <v>594.387178104287</v>
      </c>
      <c r="K699" s="28"/>
      <c r="L699" s="28"/>
      <c r="M699" s="28"/>
      <c r="N699" s="28"/>
      <c r="O699" s="28"/>
      <c r="P699" s="28"/>
      <c r="Q699" s="28"/>
      <c r="R699" s="28"/>
      <c r="S699" s="28"/>
      <c r="T699" s="28"/>
      <c r="U699" s="28"/>
      <c r="V699" s="28"/>
      <c r="W699" s="28"/>
      <c r="X699" s="28"/>
      <c r="Y699" s="28"/>
      <c r="Z699" s="28"/>
      <c r="AA699" s="28"/>
      <c r="AB699" s="28"/>
    </row>
    <row r="700" ht="13.9" spans="1:28">
      <c r="A700" s="28" t="s">
        <v>333</v>
      </c>
      <c r="B700" s="89">
        <f t="shared" si="22"/>
        <v>1847.09163881082</v>
      </c>
      <c r="K700" s="28"/>
      <c r="L700" s="28"/>
      <c r="M700" s="28"/>
      <c r="N700" s="28"/>
      <c r="O700" s="28"/>
      <c r="P700" s="28"/>
      <c r="Q700" s="28"/>
      <c r="R700" s="28"/>
      <c r="S700" s="28"/>
      <c r="T700" s="28"/>
      <c r="U700" s="28"/>
      <c r="V700" s="28"/>
      <c r="W700" s="28"/>
      <c r="X700" s="28"/>
      <c r="Y700" s="28"/>
      <c r="Z700" s="28"/>
      <c r="AA700" s="28"/>
      <c r="AB700" s="28"/>
    </row>
    <row r="701" ht="13.9" spans="1:28">
      <c r="A701" s="28" t="s">
        <v>1062</v>
      </c>
      <c r="B701" s="89">
        <f t="shared" si="22"/>
        <v>566.101101184809</v>
      </c>
      <c r="K701" s="28"/>
      <c r="L701" s="28"/>
      <c r="M701" s="28"/>
      <c r="N701" s="28"/>
      <c r="O701" s="28"/>
      <c r="P701" s="28"/>
      <c r="Q701" s="28"/>
      <c r="R701" s="28"/>
      <c r="S701" s="28"/>
      <c r="T701" s="28"/>
      <c r="U701" s="28"/>
      <c r="V701" s="28"/>
      <c r="W701" s="28"/>
      <c r="X701" s="28"/>
      <c r="Y701" s="28"/>
      <c r="Z701" s="28"/>
      <c r="AA701" s="28"/>
      <c r="AB701" s="28"/>
    </row>
    <row r="702" ht="13.9" spans="1:28">
      <c r="A702" s="28" t="s">
        <v>1073</v>
      </c>
      <c r="B702" s="89">
        <f t="shared" si="22"/>
        <v>205.764626329129</v>
      </c>
      <c r="K702" s="28"/>
      <c r="L702" s="28"/>
      <c r="M702" s="28"/>
      <c r="N702" s="28"/>
      <c r="O702" s="28"/>
      <c r="P702" s="28"/>
      <c r="Q702" s="28"/>
      <c r="R702" s="28"/>
      <c r="S702" s="28"/>
      <c r="T702" s="28"/>
      <c r="U702" s="28"/>
      <c r="V702" s="28"/>
      <c r="W702" s="28"/>
      <c r="X702" s="28"/>
      <c r="Y702" s="28"/>
      <c r="Z702" s="28"/>
      <c r="AA702" s="28"/>
      <c r="AB702" s="28"/>
    </row>
    <row r="703" ht="13.9" spans="1:28">
      <c r="A703" s="28" t="s">
        <v>2141</v>
      </c>
      <c r="B703" s="89">
        <f t="shared" si="22"/>
        <v>-773.965492809531</v>
      </c>
      <c r="C703" s="89"/>
      <c r="D703" s="89"/>
      <c r="K703" s="28"/>
      <c r="L703" s="28"/>
      <c r="M703" s="28"/>
      <c r="N703" s="28"/>
      <c r="O703" s="28"/>
      <c r="P703" s="28"/>
      <c r="Q703" s="28"/>
      <c r="R703" s="28"/>
      <c r="S703" s="28"/>
      <c r="T703" s="28"/>
      <c r="U703" s="28"/>
      <c r="V703" s="28"/>
      <c r="W703" s="28"/>
      <c r="X703" s="28"/>
      <c r="Y703" s="28"/>
      <c r="Z703" s="28"/>
      <c r="AA703" s="28"/>
      <c r="AB703" s="28"/>
    </row>
    <row r="704" spans="1:28">
      <c r="A704" s="61"/>
      <c r="B704" s="89"/>
      <c r="C704" s="89"/>
      <c r="K704" s="28"/>
      <c r="L704" s="28"/>
      <c r="M704" s="28"/>
      <c r="N704" s="28"/>
      <c r="O704" s="28"/>
      <c r="P704" s="28"/>
      <c r="Q704" s="28"/>
      <c r="R704" s="28"/>
      <c r="S704" s="28"/>
      <c r="T704" s="28"/>
      <c r="U704" s="28"/>
      <c r="V704" s="28"/>
      <c r="W704" s="28"/>
      <c r="X704" s="28"/>
      <c r="Y704" s="28"/>
      <c r="Z704" s="28"/>
      <c r="AA704" s="28"/>
      <c r="AB704" s="28"/>
    </row>
    <row r="705" spans="1:28">
      <c r="A705" s="61"/>
      <c r="B705" s="89"/>
      <c r="K705" s="28"/>
      <c r="L705" s="28"/>
      <c r="M705" s="28"/>
      <c r="N705" s="28"/>
      <c r="O705" s="28"/>
      <c r="P705" s="28"/>
      <c r="Q705" s="28"/>
      <c r="R705" s="28"/>
      <c r="S705" s="28"/>
      <c r="T705" s="28"/>
      <c r="U705" s="28"/>
      <c r="V705" s="28"/>
      <c r="W705" s="28"/>
      <c r="X705" s="28"/>
      <c r="Y705" s="28"/>
      <c r="Z705" s="28"/>
      <c r="AA705" s="28"/>
      <c r="AB705" s="28"/>
    </row>
    <row r="706" spans="1:28">
      <c r="A706" s="61"/>
      <c r="B706" s="89"/>
      <c r="K706" s="28"/>
      <c r="L706" s="28"/>
      <c r="M706" s="28"/>
      <c r="N706" s="28"/>
      <c r="O706" s="28"/>
      <c r="P706" s="28"/>
      <c r="Q706" s="28"/>
      <c r="R706" s="28"/>
      <c r="S706" s="28"/>
      <c r="T706" s="28"/>
      <c r="U706" s="28"/>
      <c r="V706" s="28"/>
      <c r="W706" s="28"/>
      <c r="X706" s="28"/>
      <c r="Y706" s="28"/>
      <c r="Z706" s="28"/>
      <c r="AA706" s="28"/>
      <c r="AB706" s="28"/>
    </row>
    <row r="707" ht="15" spans="1:28">
      <c r="A707" s="264" t="s">
        <v>2143</v>
      </c>
      <c r="B707" s="265"/>
      <c r="C707" s="265"/>
      <c r="D707" s="265"/>
      <c r="E707" s="265"/>
      <c r="F707" s="265"/>
      <c r="G707" s="265"/>
      <c r="H707" s="265"/>
      <c r="I707" s="265"/>
      <c r="J707" s="265"/>
      <c r="K707" s="265"/>
      <c r="L707" s="265"/>
      <c r="M707" s="265"/>
      <c r="N707" s="265"/>
    </row>
    <row r="708" spans="1:28">
      <c r="A708" s="265" t="s">
        <v>2144</v>
      </c>
      <c r="B708" s="265"/>
      <c r="C708" s="265"/>
      <c r="D708" s="265"/>
      <c r="E708" s="265"/>
      <c r="F708" s="265"/>
      <c r="G708" s="265"/>
      <c r="H708" s="265"/>
      <c r="I708" s="265"/>
      <c r="J708" s="265"/>
      <c r="K708" s="265"/>
      <c r="L708" s="265"/>
      <c r="M708" s="265"/>
      <c r="N708" s="265"/>
    </row>
    <row r="709" spans="1:28">
      <c r="A709" s="265" t="s">
        <v>2145</v>
      </c>
      <c r="B709" s="265"/>
      <c r="C709" s="265"/>
      <c r="D709" s="265"/>
      <c r="E709" s="265"/>
      <c r="F709" s="265"/>
      <c r="G709" s="265"/>
      <c r="H709" s="265"/>
      <c r="I709" s="265"/>
      <c r="J709" s="265"/>
      <c r="K709" s="265"/>
      <c r="L709" s="265"/>
      <c r="M709" s="265"/>
      <c r="N709" s="265"/>
    </row>
    <row r="710" ht="31.5" spans="1:28">
      <c r="A710" s="266" t="s">
        <v>2146</v>
      </c>
      <c r="B710" s="267" t="s">
        <v>2147</v>
      </c>
      <c r="C710" s="268" t="s">
        <v>2148</v>
      </c>
      <c r="D710" s="269" t="s">
        <v>2149</v>
      </c>
      <c r="E710" s="269" t="s">
        <v>2150</v>
      </c>
      <c r="F710" s="270" t="s">
        <v>2151</v>
      </c>
      <c r="G710" s="269" t="s">
        <v>2152</v>
      </c>
      <c r="H710" s="270" t="s">
        <v>2153</v>
      </c>
      <c r="I710" s="269" t="s">
        <v>2154</v>
      </c>
      <c r="J710" s="270" t="s">
        <v>2155</v>
      </c>
      <c r="K710" s="269" t="s">
        <v>2156</v>
      </c>
      <c r="L710" s="270" t="s">
        <v>2157</v>
      </c>
      <c r="M710" s="270" t="s">
        <v>2158</v>
      </c>
      <c r="N710" s="270" t="s">
        <v>2159</v>
      </c>
    </row>
    <row r="711" spans="1:28">
      <c r="A711" s="271" t="s">
        <v>2160</v>
      </c>
      <c r="B711" s="272" t="s">
        <v>2161</v>
      </c>
      <c r="C711" s="273" t="s">
        <v>2162</v>
      </c>
      <c r="D711" s="271" t="s">
        <v>2163</v>
      </c>
      <c r="E711" s="271" t="s">
        <v>2164</v>
      </c>
      <c r="F711" s="274">
        <v>1</v>
      </c>
      <c r="G711" s="271" t="s">
        <v>2165</v>
      </c>
      <c r="H711" s="274">
        <v>1</v>
      </c>
      <c r="I711" s="271" t="s">
        <v>2166</v>
      </c>
      <c r="J711" s="274">
        <v>1</v>
      </c>
      <c r="K711" s="271" t="s">
        <v>2167</v>
      </c>
      <c r="L711" s="274">
        <v>1</v>
      </c>
      <c r="M711" s="271" t="s">
        <v>2168</v>
      </c>
      <c r="N711" s="274">
        <v>1</v>
      </c>
    </row>
    <row r="712" spans="1:28">
      <c r="A712" s="275" t="s">
        <v>2169</v>
      </c>
      <c r="B712" s="276" t="s">
        <v>2170</v>
      </c>
      <c r="C712" s="276" t="s">
        <v>2171</v>
      </c>
      <c r="D712" s="275" t="s">
        <v>2172</v>
      </c>
      <c r="E712" s="275" t="s">
        <v>2173</v>
      </c>
      <c r="F712" s="277">
        <v>84</v>
      </c>
      <c r="G712" s="275" t="s">
        <v>2174</v>
      </c>
      <c r="H712" s="277">
        <v>28</v>
      </c>
      <c r="I712" s="275" t="s">
        <v>2175</v>
      </c>
      <c r="J712" s="277">
        <v>67</v>
      </c>
      <c r="K712" s="275" t="s">
        <v>2176</v>
      </c>
      <c r="L712" s="277">
        <v>14</v>
      </c>
      <c r="M712" s="275" t="s">
        <v>2177</v>
      </c>
      <c r="N712" s="277">
        <v>4</v>
      </c>
    </row>
    <row r="713" spans="1:28">
      <c r="A713" s="278" t="s">
        <v>2178</v>
      </c>
      <c r="B713" s="279" t="s">
        <v>2170</v>
      </c>
      <c r="C713" s="279" t="s">
        <v>2171</v>
      </c>
      <c r="D713" s="278" t="s">
        <v>2172</v>
      </c>
      <c r="E713" s="278" t="s">
        <v>2179</v>
      </c>
      <c r="F713" s="280">
        <v>85</v>
      </c>
      <c r="G713" s="278" t="s">
        <v>2180</v>
      </c>
      <c r="H713" s="280">
        <v>30</v>
      </c>
      <c r="I713" s="278" t="s">
        <v>2181</v>
      </c>
      <c r="J713" s="280">
        <v>68</v>
      </c>
      <c r="K713" s="278" t="s">
        <v>2182</v>
      </c>
      <c r="L713" s="280">
        <v>15</v>
      </c>
      <c r="M713" s="278" t="s">
        <v>2183</v>
      </c>
      <c r="N713" s="280">
        <v>6</v>
      </c>
    </row>
    <row r="714" spans="1:28">
      <c r="A714" s="281" t="s">
        <v>2184</v>
      </c>
      <c r="B714" s="282" t="s">
        <v>2185</v>
      </c>
      <c r="C714" s="282" t="s">
        <v>2186</v>
      </c>
      <c r="D714" s="281" t="s">
        <v>2187</v>
      </c>
      <c r="E714" s="281" t="s">
        <v>2188</v>
      </c>
      <c r="F714" s="283">
        <v>264</v>
      </c>
      <c r="G714" s="281" t="s">
        <v>2189</v>
      </c>
      <c r="H714" s="283">
        <v>265</v>
      </c>
      <c r="I714" s="281" t="s">
        <v>2190</v>
      </c>
      <c r="J714" s="283">
        <v>277</v>
      </c>
      <c r="K714" s="281" t="s">
        <v>2191</v>
      </c>
      <c r="L714" s="283">
        <v>282</v>
      </c>
      <c r="M714" s="281" t="s">
        <v>2192</v>
      </c>
      <c r="N714" s="283">
        <v>234</v>
      </c>
    </row>
    <row r="715" spans="1:28">
      <c r="A715" s="271" t="s">
        <v>2193</v>
      </c>
      <c r="B715" s="272" t="s">
        <v>2194</v>
      </c>
      <c r="C715" s="284">
        <v>45</v>
      </c>
      <c r="D715" s="285">
        <v>0.26</v>
      </c>
      <c r="E715" s="271" t="s">
        <v>2195</v>
      </c>
      <c r="F715" s="274">
        <v>6900</v>
      </c>
      <c r="G715" s="271" t="s">
        <v>2196</v>
      </c>
      <c r="H715" s="274">
        <v>4660</v>
      </c>
      <c r="I715" s="271" t="s">
        <v>2197</v>
      </c>
      <c r="J715" s="274">
        <v>6890</v>
      </c>
      <c r="K715" s="271" t="s">
        <v>2198</v>
      </c>
      <c r="L715" s="274">
        <v>4890</v>
      </c>
      <c r="M715" s="271" t="s">
        <v>2199</v>
      </c>
      <c r="N715" s="274">
        <v>2340</v>
      </c>
    </row>
    <row r="716" spans="1:28">
      <c r="A716" s="275" t="s">
        <v>2200</v>
      </c>
      <c r="B716" s="276" t="s">
        <v>2201</v>
      </c>
      <c r="C716" s="286">
        <v>100</v>
      </c>
      <c r="D716" s="287">
        <v>0.32</v>
      </c>
      <c r="E716" s="275" t="s">
        <v>2202</v>
      </c>
      <c r="F716" s="288">
        <v>10800</v>
      </c>
      <c r="G716" s="275" t="s">
        <v>2203</v>
      </c>
      <c r="H716" s="288">
        <v>10200</v>
      </c>
      <c r="I716" s="275" t="s">
        <v>2204</v>
      </c>
      <c r="J716" s="288">
        <v>11300</v>
      </c>
      <c r="K716" s="275" t="s">
        <v>2205</v>
      </c>
      <c r="L716" s="288">
        <v>11000</v>
      </c>
      <c r="M716" s="275" t="s">
        <v>2206</v>
      </c>
      <c r="N716" s="277">
        <v>8450</v>
      </c>
    </row>
    <row r="717" spans="1:28">
      <c r="A717" s="278" t="s">
        <v>2207</v>
      </c>
      <c r="B717" s="279" t="s">
        <v>2208</v>
      </c>
      <c r="C717" s="289">
        <v>640</v>
      </c>
      <c r="D717" s="290">
        <v>0.25</v>
      </c>
      <c r="E717" s="278" t="s">
        <v>2209</v>
      </c>
      <c r="F717" s="291">
        <v>10900</v>
      </c>
      <c r="G717" s="278" t="s">
        <v>2210</v>
      </c>
      <c r="H717" s="291">
        <v>13900</v>
      </c>
      <c r="I717" s="278" t="s">
        <v>2211</v>
      </c>
      <c r="J717" s="291">
        <v>11700</v>
      </c>
      <c r="K717" s="278" t="s">
        <v>2212</v>
      </c>
      <c r="L717" s="291">
        <v>14200</v>
      </c>
      <c r="M717" s="278" t="s">
        <v>2213</v>
      </c>
      <c r="N717" s="291">
        <v>15900</v>
      </c>
    </row>
    <row r="718" spans="1:28">
      <c r="A718" s="275" t="s">
        <v>2214</v>
      </c>
      <c r="B718" s="292" t="s">
        <v>2215</v>
      </c>
      <c r="C718" s="293">
        <v>85</v>
      </c>
      <c r="D718" s="287">
        <v>0.3</v>
      </c>
      <c r="E718" s="275" t="s">
        <v>2216</v>
      </c>
      <c r="F718" s="277">
        <v>6490</v>
      </c>
      <c r="G718" s="275" t="s">
        <v>2217</v>
      </c>
      <c r="H718" s="277">
        <v>5820</v>
      </c>
      <c r="I718" s="275" t="s">
        <v>2218</v>
      </c>
      <c r="J718" s="277">
        <v>6730</v>
      </c>
      <c r="K718" s="275" t="s">
        <v>2219</v>
      </c>
      <c r="L718" s="277">
        <v>6250</v>
      </c>
      <c r="M718" s="275" t="s">
        <v>2220</v>
      </c>
      <c r="N718" s="277">
        <v>4470</v>
      </c>
    </row>
    <row r="719" spans="1:28">
      <c r="A719" s="278" t="s">
        <v>2221</v>
      </c>
      <c r="B719" s="294" t="s">
        <v>2222</v>
      </c>
      <c r="C719" s="289">
        <v>190</v>
      </c>
      <c r="D719" s="290">
        <v>0.31</v>
      </c>
      <c r="E719" s="278" t="s">
        <v>2223</v>
      </c>
      <c r="F719" s="280">
        <v>7710</v>
      </c>
      <c r="G719" s="278" t="s">
        <v>2224</v>
      </c>
      <c r="H719" s="280">
        <v>8590</v>
      </c>
      <c r="I719" s="278" t="s">
        <v>2225</v>
      </c>
      <c r="J719" s="280">
        <v>8190</v>
      </c>
      <c r="K719" s="278" t="s">
        <v>2226</v>
      </c>
      <c r="L719" s="280">
        <v>9020</v>
      </c>
      <c r="M719" s="278" t="s">
        <v>2227</v>
      </c>
      <c r="N719" s="280">
        <v>8550</v>
      </c>
    </row>
    <row r="720" spans="1:28">
      <c r="A720" s="281" t="s">
        <v>2228</v>
      </c>
      <c r="B720" s="295" t="s">
        <v>2229</v>
      </c>
      <c r="C720" s="296">
        <v>1020</v>
      </c>
      <c r="D720" s="297">
        <v>0.2</v>
      </c>
      <c r="E720" s="281" t="s">
        <v>2230</v>
      </c>
      <c r="F720" s="283">
        <v>5860</v>
      </c>
      <c r="G720" s="281" t="s">
        <v>2231</v>
      </c>
      <c r="H720" s="283">
        <v>7670</v>
      </c>
      <c r="I720" s="281" t="s">
        <v>2232</v>
      </c>
      <c r="J720" s="283">
        <v>6310</v>
      </c>
      <c r="K720" s="281" t="s">
        <v>2233</v>
      </c>
      <c r="L720" s="283">
        <v>7810</v>
      </c>
      <c r="M720" s="281" t="s">
        <v>2234</v>
      </c>
      <c r="N720" s="283">
        <v>8980</v>
      </c>
    </row>
    <row r="721" spans="1:14">
      <c r="A721" s="271" t="s">
        <v>2235</v>
      </c>
      <c r="B721" s="272" t="s">
        <v>2236</v>
      </c>
      <c r="C721" s="284">
        <v>1.7</v>
      </c>
      <c r="D721" s="285">
        <v>0.15</v>
      </c>
      <c r="E721" s="271" t="s">
        <v>2237</v>
      </c>
      <c r="F721" s="274">
        <v>543</v>
      </c>
      <c r="G721" s="271" t="s">
        <v>2237</v>
      </c>
      <c r="H721" s="274">
        <v>148</v>
      </c>
      <c r="I721" s="271" t="s">
        <v>2238</v>
      </c>
      <c r="J721" s="274">
        <v>192</v>
      </c>
      <c r="K721" s="271" t="s">
        <v>2239</v>
      </c>
      <c r="L721" s="274">
        <v>26</v>
      </c>
      <c r="M721" s="271" t="s">
        <v>2240</v>
      </c>
      <c r="N721" s="274">
        <v>20</v>
      </c>
    </row>
    <row r="722" spans="1:14">
      <c r="A722" s="275" t="s">
        <v>2241</v>
      </c>
      <c r="B722" s="276" t="s">
        <v>2242</v>
      </c>
      <c r="C722" s="293">
        <v>11.9</v>
      </c>
      <c r="D722" s="287">
        <v>0.21</v>
      </c>
      <c r="E722" s="275" t="s">
        <v>2243</v>
      </c>
      <c r="F722" s="277">
        <v>5280</v>
      </c>
      <c r="G722" s="275" t="s">
        <v>2216</v>
      </c>
      <c r="H722" s="277">
        <v>1760</v>
      </c>
      <c r="I722" s="275" t="s">
        <v>2244</v>
      </c>
      <c r="J722" s="277">
        <v>4200</v>
      </c>
      <c r="K722" s="275" t="s">
        <v>2245</v>
      </c>
      <c r="L722" s="277">
        <v>832</v>
      </c>
      <c r="M722" s="275" t="s">
        <v>2246</v>
      </c>
      <c r="N722" s="277">
        <v>262</v>
      </c>
    </row>
    <row r="723" spans="1:14">
      <c r="A723" s="278" t="s">
        <v>2247</v>
      </c>
      <c r="B723" s="294" t="s">
        <v>2248</v>
      </c>
      <c r="C723" s="298">
        <v>1</v>
      </c>
      <c r="D723" s="290">
        <v>0.17</v>
      </c>
      <c r="E723" s="278" t="s">
        <v>2249</v>
      </c>
      <c r="F723" s="280">
        <v>218</v>
      </c>
      <c r="G723" s="278" t="s">
        <v>2249</v>
      </c>
      <c r="H723" s="280">
        <v>59</v>
      </c>
      <c r="I723" s="278" t="s">
        <v>2250</v>
      </c>
      <c r="J723" s="280">
        <v>70</v>
      </c>
      <c r="K723" s="278" t="s">
        <v>2251</v>
      </c>
      <c r="L723" s="280">
        <v>10</v>
      </c>
      <c r="M723" s="278" t="s">
        <v>2252</v>
      </c>
      <c r="N723" s="280">
        <v>8</v>
      </c>
    </row>
    <row r="724" spans="1:14">
      <c r="A724" s="275" t="s">
        <v>2253</v>
      </c>
      <c r="B724" s="292" t="s">
        <v>2254</v>
      </c>
      <c r="C724" s="293">
        <v>3.4</v>
      </c>
      <c r="D724" s="287">
        <v>0.21</v>
      </c>
      <c r="E724" s="275" t="s">
        <v>2255</v>
      </c>
      <c r="F724" s="277">
        <v>945</v>
      </c>
      <c r="G724" s="275" t="s">
        <v>2256</v>
      </c>
      <c r="H724" s="277">
        <v>258</v>
      </c>
      <c r="I724" s="275" t="s">
        <v>2257</v>
      </c>
      <c r="J724" s="277">
        <v>426</v>
      </c>
      <c r="K724" s="275" t="s">
        <v>2258</v>
      </c>
      <c r="L724" s="277">
        <v>48</v>
      </c>
      <c r="M724" s="275" t="s">
        <v>2259</v>
      </c>
      <c r="N724" s="277">
        <v>36</v>
      </c>
    </row>
    <row r="725" spans="1:14">
      <c r="A725" s="278" t="s">
        <v>2260</v>
      </c>
      <c r="B725" s="294" t="s">
        <v>2261</v>
      </c>
      <c r="C725" s="298">
        <v>1.3</v>
      </c>
      <c r="D725" s="290">
        <v>0.15</v>
      </c>
      <c r="E725" s="278" t="s">
        <v>2262</v>
      </c>
      <c r="F725" s="280">
        <v>292</v>
      </c>
      <c r="G725" s="278" t="s">
        <v>2262</v>
      </c>
      <c r="H725" s="280">
        <v>79</v>
      </c>
      <c r="I725" s="278" t="s">
        <v>2263</v>
      </c>
      <c r="J725" s="280">
        <v>98</v>
      </c>
      <c r="K725" s="278" t="s">
        <v>2264</v>
      </c>
      <c r="L725" s="280">
        <v>14</v>
      </c>
      <c r="M725" s="278" t="s">
        <v>2265</v>
      </c>
      <c r="N725" s="280">
        <v>11</v>
      </c>
    </row>
    <row r="726" spans="1:14">
      <c r="A726" s="275" t="s">
        <v>2266</v>
      </c>
      <c r="B726" s="292" t="s">
        <v>2267</v>
      </c>
      <c r="C726" s="293">
        <v>4</v>
      </c>
      <c r="D726" s="287">
        <v>0.23</v>
      </c>
      <c r="E726" s="275" t="s">
        <v>2268</v>
      </c>
      <c r="F726" s="277">
        <v>1350</v>
      </c>
      <c r="G726" s="275" t="s">
        <v>2269</v>
      </c>
      <c r="H726" s="277">
        <v>370</v>
      </c>
      <c r="I726" s="275" t="s">
        <v>2270</v>
      </c>
      <c r="J726" s="277">
        <v>659</v>
      </c>
      <c r="K726" s="275" t="s">
        <v>2271</v>
      </c>
      <c r="L726" s="277">
        <v>72</v>
      </c>
      <c r="M726" s="275" t="s">
        <v>2272</v>
      </c>
      <c r="N726" s="277">
        <v>51</v>
      </c>
    </row>
    <row r="727" spans="1:14">
      <c r="A727" s="278" t="s">
        <v>2273</v>
      </c>
      <c r="B727" s="294" t="s">
        <v>2274</v>
      </c>
      <c r="C727" s="298">
        <v>5.9</v>
      </c>
      <c r="D727" s="290">
        <v>0.2</v>
      </c>
      <c r="E727" s="278" t="s">
        <v>2275</v>
      </c>
      <c r="F727" s="280">
        <v>1870</v>
      </c>
      <c r="G727" s="278" t="s">
        <v>2276</v>
      </c>
      <c r="H727" s="280">
        <v>527</v>
      </c>
      <c r="I727" s="278" t="s">
        <v>2277</v>
      </c>
      <c r="J727" s="280">
        <v>1120</v>
      </c>
      <c r="K727" s="278" t="s">
        <v>2278</v>
      </c>
      <c r="L727" s="280">
        <v>121</v>
      </c>
      <c r="M727" s="278" t="s">
        <v>2279</v>
      </c>
      <c r="N727" s="280">
        <v>74</v>
      </c>
    </row>
    <row r="728" spans="1:14">
      <c r="A728" s="275" t="s">
        <v>2280</v>
      </c>
      <c r="B728" s="292" t="s">
        <v>2281</v>
      </c>
      <c r="C728" s="293">
        <v>4.3</v>
      </c>
      <c r="D728" s="287">
        <v>0.17</v>
      </c>
      <c r="E728" s="275" t="s">
        <v>2282</v>
      </c>
      <c r="F728" s="277">
        <v>1230</v>
      </c>
      <c r="G728" s="275" t="s">
        <v>2283</v>
      </c>
      <c r="H728" s="277">
        <v>338</v>
      </c>
      <c r="I728" s="275" t="s">
        <v>2284</v>
      </c>
      <c r="J728" s="277">
        <v>624</v>
      </c>
      <c r="K728" s="275" t="s">
        <v>2285</v>
      </c>
      <c r="L728" s="277">
        <v>67</v>
      </c>
      <c r="M728" s="275" t="s">
        <v>2286</v>
      </c>
      <c r="N728" s="277">
        <v>47</v>
      </c>
    </row>
    <row r="729" spans="1:14">
      <c r="A729" s="278" t="s">
        <v>2287</v>
      </c>
      <c r="B729" s="294" t="s">
        <v>2288</v>
      </c>
      <c r="C729" s="298">
        <v>9.2</v>
      </c>
      <c r="D729" s="290">
        <v>0.16</v>
      </c>
      <c r="E729" s="278" t="s">
        <v>2289</v>
      </c>
      <c r="F729" s="280">
        <v>2550</v>
      </c>
      <c r="G729" s="278" t="s">
        <v>2290</v>
      </c>
      <c r="H729" s="280">
        <v>782</v>
      </c>
      <c r="I729" s="278" t="s">
        <v>2291</v>
      </c>
      <c r="J729" s="280">
        <v>1850</v>
      </c>
      <c r="K729" s="278" t="s">
        <v>2292</v>
      </c>
      <c r="L729" s="280">
        <v>271</v>
      </c>
      <c r="M729" s="278" t="s">
        <v>2293</v>
      </c>
      <c r="N729" s="280">
        <v>111</v>
      </c>
    </row>
    <row r="730" spans="1:14">
      <c r="A730" s="275" t="s">
        <v>2294</v>
      </c>
      <c r="B730" s="292" t="s">
        <v>2295</v>
      </c>
      <c r="C730" s="293">
        <v>17.2</v>
      </c>
      <c r="D730" s="287">
        <v>0.19</v>
      </c>
      <c r="E730" s="275" t="s">
        <v>2296</v>
      </c>
      <c r="F730" s="277">
        <v>5020</v>
      </c>
      <c r="G730" s="275" t="s">
        <v>2297</v>
      </c>
      <c r="H730" s="277">
        <v>1980</v>
      </c>
      <c r="I730" s="275" t="s">
        <v>2198</v>
      </c>
      <c r="J730" s="277">
        <v>4390</v>
      </c>
      <c r="K730" s="275" t="s">
        <v>2298</v>
      </c>
      <c r="L730" s="277">
        <v>1370</v>
      </c>
      <c r="M730" s="275" t="s">
        <v>2299</v>
      </c>
      <c r="N730" s="277">
        <v>356</v>
      </c>
    </row>
    <row r="731" spans="1:14">
      <c r="A731" s="278" t="s">
        <v>2300</v>
      </c>
      <c r="B731" s="294" t="s">
        <v>2301</v>
      </c>
      <c r="C731" s="298">
        <v>1.9</v>
      </c>
      <c r="D731" s="290">
        <v>0.22</v>
      </c>
      <c r="E731" s="278" t="s">
        <v>2302</v>
      </c>
      <c r="F731" s="280">
        <v>469</v>
      </c>
      <c r="G731" s="278" t="s">
        <v>2302</v>
      </c>
      <c r="H731" s="280">
        <v>127</v>
      </c>
      <c r="I731" s="278" t="s">
        <v>2303</v>
      </c>
      <c r="J731" s="280">
        <v>170</v>
      </c>
      <c r="K731" s="278" t="s">
        <v>2304</v>
      </c>
      <c r="L731" s="280">
        <v>22</v>
      </c>
      <c r="M731" s="278" t="s">
        <v>2305</v>
      </c>
      <c r="N731" s="280">
        <v>18</v>
      </c>
    </row>
    <row r="732" spans="1:14">
      <c r="A732" s="275" t="s">
        <v>2306</v>
      </c>
      <c r="B732" s="292" t="s">
        <v>2307</v>
      </c>
      <c r="C732" s="293">
        <v>5.9</v>
      </c>
      <c r="D732" s="287">
        <v>0.29</v>
      </c>
      <c r="E732" s="275" t="s">
        <v>2308</v>
      </c>
      <c r="F732" s="277">
        <v>1860</v>
      </c>
      <c r="G732" s="275" t="s">
        <v>2309</v>
      </c>
      <c r="H732" s="277">
        <v>525</v>
      </c>
      <c r="I732" s="275" t="s">
        <v>2310</v>
      </c>
      <c r="J732" s="277">
        <v>1110</v>
      </c>
      <c r="K732" s="275" t="s">
        <v>2311</v>
      </c>
      <c r="L732" s="277">
        <v>120</v>
      </c>
      <c r="M732" s="275" t="s">
        <v>2312</v>
      </c>
      <c r="N732" s="277">
        <v>73</v>
      </c>
    </row>
    <row r="733" ht="18.75" spans="1:14">
      <c r="A733" s="299" t="s">
        <v>2313</v>
      </c>
      <c r="B733" s="299" t="s">
        <v>2314</v>
      </c>
      <c r="C733" s="300" t="s">
        <v>2315</v>
      </c>
      <c r="D733" s="301">
        <v>0.04</v>
      </c>
      <c r="E733" s="300" t="s">
        <v>2316</v>
      </c>
      <c r="F733" s="302">
        <v>5</v>
      </c>
      <c r="G733" s="300" t="s">
        <v>2316</v>
      </c>
      <c r="H733" s="302">
        <v>1</v>
      </c>
      <c r="I733" s="300" t="s">
        <v>2317</v>
      </c>
      <c r="J733" s="302">
        <v>2</v>
      </c>
      <c r="K733" s="300" t="s">
        <v>2318</v>
      </c>
      <c r="L733" s="303" t="s">
        <v>2319</v>
      </c>
      <c r="M733" s="300" t="s">
        <v>2320</v>
      </c>
      <c r="N733" s="303" t="s">
        <v>2319</v>
      </c>
    </row>
    <row r="734" spans="1:14">
      <c r="A734" s="271" t="s">
        <v>2321</v>
      </c>
      <c r="B734" s="272" t="s">
        <v>2322</v>
      </c>
      <c r="C734" s="304">
        <v>222</v>
      </c>
      <c r="D734" s="285">
        <v>0.18</v>
      </c>
      <c r="E734" s="271" t="s">
        <v>2323</v>
      </c>
      <c r="F734" s="305">
        <v>10800</v>
      </c>
      <c r="G734" s="271" t="s">
        <v>2324</v>
      </c>
      <c r="H734" s="305">
        <v>12400</v>
      </c>
      <c r="I734" s="271" t="s">
        <v>2325</v>
      </c>
      <c r="J734" s="305">
        <v>11500</v>
      </c>
      <c r="K734" s="271" t="s">
        <v>2211</v>
      </c>
      <c r="L734" s="305">
        <v>13000</v>
      </c>
      <c r="M734" s="271" t="s">
        <v>2326</v>
      </c>
      <c r="N734" s="305">
        <v>12700</v>
      </c>
    </row>
    <row r="735" spans="1:14">
      <c r="A735" s="275" t="s">
        <v>2327</v>
      </c>
      <c r="B735" s="276" t="s">
        <v>2328</v>
      </c>
      <c r="C735" s="293">
        <v>5.2</v>
      </c>
      <c r="D735" s="287">
        <v>0.11</v>
      </c>
      <c r="E735" s="275" t="s">
        <v>2329</v>
      </c>
      <c r="F735" s="306">
        <v>2430</v>
      </c>
      <c r="G735" s="275" t="s">
        <v>2330</v>
      </c>
      <c r="H735" s="306">
        <v>677</v>
      </c>
      <c r="I735" s="275" t="s">
        <v>2331</v>
      </c>
      <c r="J735" s="307">
        <v>1360</v>
      </c>
      <c r="K735" s="275" t="s">
        <v>2332</v>
      </c>
      <c r="L735" s="306">
        <v>145</v>
      </c>
      <c r="M735" s="275" t="s">
        <v>2333</v>
      </c>
      <c r="N735" s="306">
        <v>94</v>
      </c>
    </row>
    <row r="736" spans="1:14">
      <c r="A736" s="278" t="s">
        <v>2334</v>
      </c>
      <c r="B736" s="279" t="s">
        <v>2335</v>
      </c>
      <c r="C736" s="298">
        <v>2.8</v>
      </c>
      <c r="D736" s="290">
        <v>0.02</v>
      </c>
      <c r="E736" s="278" t="s">
        <v>2336</v>
      </c>
      <c r="F736" s="308">
        <v>427</v>
      </c>
      <c r="G736" s="278" t="s">
        <v>2336</v>
      </c>
      <c r="H736" s="308">
        <v>116</v>
      </c>
      <c r="I736" s="278" t="s">
        <v>2337</v>
      </c>
      <c r="J736" s="308">
        <v>177</v>
      </c>
      <c r="K736" s="278" t="s">
        <v>2338</v>
      </c>
      <c r="L736" s="308">
        <v>21</v>
      </c>
      <c r="M736" s="278" t="s">
        <v>2339</v>
      </c>
      <c r="N736" s="308">
        <v>16</v>
      </c>
    </row>
    <row r="737" spans="1:14">
      <c r="A737" s="275" t="s">
        <v>2340</v>
      </c>
      <c r="B737" s="292" t="s">
        <v>2341</v>
      </c>
      <c r="C737" s="293">
        <v>28.2</v>
      </c>
      <c r="D737" s="287">
        <v>0.23</v>
      </c>
      <c r="E737" s="275" t="s">
        <v>2342</v>
      </c>
      <c r="F737" s="306">
        <v>6090</v>
      </c>
      <c r="G737" s="275" t="s">
        <v>2343</v>
      </c>
      <c r="H737" s="307">
        <v>3170</v>
      </c>
      <c r="I737" s="275" t="s">
        <v>2344</v>
      </c>
      <c r="J737" s="307">
        <v>5800</v>
      </c>
      <c r="K737" s="275" t="s">
        <v>2345</v>
      </c>
      <c r="L737" s="306">
        <v>2980</v>
      </c>
      <c r="M737" s="275" t="s">
        <v>2346</v>
      </c>
      <c r="N737" s="306">
        <v>967</v>
      </c>
    </row>
    <row r="738" spans="1:14">
      <c r="A738" s="278" t="s">
        <v>2347</v>
      </c>
      <c r="B738" s="294" t="s">
        <v>2348</v>
      </c>
      <c r="C738" s="298">
        <v>9.7</v>
      </c>
      <c r="D738" s="290">
        <v>0.19</v>
      </c>
      <c r="E738" s="278" t="s">
        <v>2349</v>
      </c>
      <c r="F738" s="308">
        <v>3580</v>
      </c>
      <c r="G738" s="278" t="s">
        <v>2350</v>
      </c>
      <c r="H738" s="309">
        <v>1120</v>
      </c>
      <c r="I738" s="278" t="s">
        <v>2351</v>
      </c>
      <c r="J738" s="309">
        <v>2660</v>
      </c>
      <c r="K738" s="278" t="s">
        <v>2352</v>
      </c>
      <c r="L738" s="308">
        <v>412</v>
      </c>
      <c r="M738" s="278" t="s">
        <v>2353</v>
      </c>
      <c r="N738" s="308">
        <v>160</v>
      </c>
    </row>
    <row r="739" spans="1:14">
      <c r="A739" s="275" t="s">
        <v>2354</v>
      </c>
      <c r="B739" s="292" t="s">
        <v>2355</v>
      </c>
      <c r="C739" s="293">
        <v>13.4</v>
      </c>
      <c r="D739" s="287">
        <v>0.16</v>
      </c>
      <c r="E739" s="275" t="s">
        <v>2356</v>
      </c>
      <c r="F739" s="306">
        <v>3710</v>
      </c>
      <c r="G739" s="275" t="s">
        <v>2357</v>
      </c>
      <c r="H739" s="307">
        <v>1300</v>
      </c>
      <c r="I739" s="275" t="s">
        <v>2173</v>
      </c>
      <c r="J739" s="307">
        <v>3050</v>
      </c>
      <c r="K739" s="275" t="s">
        <v>2358</v>
      </c>
      <c r="L739" s="306">
        <v>703</v>
      </c>
      <c r="M739" s="275" t="s">
        <v>2359</v>
      </c>
      <c r="N739" s="306">
        <v>201</v>
      </c>
    </row>
    <row r="740" spans="1:14">
      <c r="A740" s="278" t="s">
        <v>2360</v>
      </c>
      <c r="B740" s="294" t="s">
        <v>2361</v>
      </c>
      <c r="C740" s="298">
        <v>3.5</v>
      </c>
      <c r="D740" s="290">
        <v>0.13</v>
      </c>
      <c r="E740" s="278" t="s">
        <v>2362</v>
      </c>
      <c r="F740" s="308">
        <v>1200</v>
      </c>
      <c r="G740" s="278" t="s">
        <v>2363</v>
      </c>
      <c r="H740" s="308">
        <v>328</v>
      </c>
      <c r="I740" s="278" t="s">
        <v>2364</v>
      </c>
      <c r="J740" s="308">
        <v>549</v>
      </c>
      <c r="K740" s="278" t="s">
        <v>2365</v>
      </c>
      <c r="L740" s="308">
        <v>62</v>
      </c>
      <c r="M740" s="278" t="s">
        <v>2164</v>
      </c>
      <c r="N740" s="308">
        <v>46</v>
      </c>
    </row>
    <row r="741" spans="1:14">
      <c r="A741" s="275" t="s">
        <v>2366</v>
      </c>
      <c r="B741" s="276" t="s">
        <v>2367</v>
      </c>
      <c r="C741" s="293">
        <v>47.1</v>
      </c>
      <c r="D741" s="287">
        <v>0.16</v>
      </c>
      <c r="E741" s="275" t="s">
        <v>2368</v>
      </c>
      <c r="F741" s="306">
        <v>6940</v>
      </c>
      <c r="G741" s="275" t="s">
        <v>2369</v>
      </c>
      <c r="H741" s="307">
        <v>4800</v>
      </c>
      <c r="I741" s="275" t="s">
        <v>2370</v>
      </c>
      <c r="J741" s="307">
        <v>6960</v>
      </c>
      <c r="K741" s="275" t="s">
        <v>2371</v>
      </c>
      <c r="L741" s="306">
        <v>5060</v>
      </c>
      <c r="M741" s="275" t="s">
        <v>2372</v>
      </c>
      <c r="N741" s="307">
        <v>2500</v>
      </c>
    </row>
    <row r="742" spans="1:14">
      <c r="A742" s="278" t="s">
        <v>2373</v>
      </c>
      <c r="B742" s="294" t="s">
        <v>2374</v>
      </c>
      <c r="C742" s="298">
        <v>0.4</v>
      </c>
      <c r="D742" s="290">
        <v>0.04</v>
      </c>
      <c r="E742" s="278" t="s">
        <v>2375</v>
      </c>
      <c r="F742" s="308">
        <v>60</v>
      </c>
      <c r="G742" s="278" t="s">
        <v>2375</v>
      </c>
      <c r="H742" s="308">
        <v>16</v>
      </c>
      <c r="I742" s="278" t="s">
        <v>2376</v>
      </c>
      <c r="J742" s="308">
        <v>18</v>
      </c>
      <c r="K742" s="278" t="s">
        <v>2377</v>
      </c>
      <c r="L742" s="308">
        <v>3</v>
      </c>
      <c r="M742" s="278" t="s">
        <v>2378</v>
      </c>
      <c r="N742" s="308">
        <v>2</v>
      </c>
    </row>
    <row r="743" spans="1:14">
      <c r="A743" s="275" t="s">
        <v>2379</v>
      </c>
      <c r="B743" s="292" t="s">
        <v>2380</v>
      </c>
      <c r="C743" s="293">
        <v>1.5</v>
      </c>
      <c r="D743" s="287">
        <v>0.1</v>
      </c>
      <c r="E743" s="275" t="s">
        <v>2381</v>
      </c>
      <c r="F743" s="306">
        <v>506</v>
      </c>
      <c r="G743" s="275" t="s">
        <v>2381</v>
      </c>
      <c r="H743" s="306">
        <v>138</v>
      </c>
      <c r="I743" s="275" t="s">
        <v>2382</v>
      </c>
      <c r="J743" s="306">
        <v>174</v>
      </c>
      <c r="K743" s="275" t="s">
        <v>2383</v>
      </c>
      <c r="L743" s="306">
        <v>24</v>
      </c>
      <c r="M743" s="275" t="s">
        <v>2384</v>
      </c>
      <c r="N743" s="306">
        <v>19</v>
      </c>
    </row>
    <row r="744" spans="1:14">
      <c r="A744" s="278" t="s">
        <v>2385</v>
      </c>
      <c r="B744" s="294" t="s">
        <v>2386</v>
      </c>
      <c r="C744" s="278" t="s">
        <v>2387</v>
      </c>
      <c r="D744" s="290">
        <v>0.02</v>
      </c>
      <c r="E744" s="278" t="s">
        <v>2388</v>
      </c>
      <c r="F744" s="308">
        <v>13</v>
      </c>
      <c r="G744" s="278" t="s">
        <v>2388</v>
      </c>
      <c r="H744" s="308">
        <v>4</v>
      </c>
      <c r="I744" s="278" t="s">
        <v>2389</v>
      </c>
      <c r="J744" s="308">
        <v>4</v>
      </c>
      <c r="K744" s="278" t="s">
        <v>2390</v>
      </c>
      <c r="L744" s="310" t="s">
        <v>2391</v>
      </c>
      <c r="M744" s="278" t="s">
        <v>2392</v>
      </c>
      <c r="N744" s="310" t="s">
        <v>2391</v>
      </c>
    </row>
    <row r="745" spans="1:14">
      <c r="A745" s="275" t="s">
        <v>2393</v>
      </c>
      <c r="B745" s="292" t="s">
        <v>2394</v>
      </c>
      <c r="C745" s="293">
        <v>28.2</v>
      </c>
      <c r="D745" s="287">
        <v>0.27</v>
      </c>
      <c r="E745" s="275" t="s">
        <v>2395</v>
      </c>
      <c r="F745" s="306">
        <v>5080</v>
      </c>
      <c r="G745" s="275" t="s">
        <v>2396</v>
      </c>
      <c r="H745" s="307">
        <v>2640</v>
      </c>
      <c r="I745" s="275" t="s">
        <v>2397</v>
      </c>
      <c r="J745" s="307">
        <v>4830</v>
      </c>
      <c r="K745" s="275" t="s">
        <v>2398</v>
      </c>
      <c r="L745" s="306">
        <v>2480</v>
      </c>
      <c r="M745" s="275" t="s">
        <v>2399</v>
      </c>
      <c r="N745" s="306">
        <v>806</v>
      </c>
    </row>
    <row r="746" spans="1:14">
      <c r="A746" s="278" t="s">
        <v>2400</v>
      </c>
      <c r="B746" s="294" t="s">
        <v>2401</v>
      </c>
      <c r="C746" s="298">
        <v>38.9</v>
      </c>
      <c r="D746" s="290">
        <v>0.26</v>
      </c>
      <c r="E746" s="278" t="s">
        <v>2402</v>
      </c>
      <c r="F746" s="308">
        <v>5360</v>
      </c>
      <c r="G746" s="278" t="s">
        <v>2403</v>
      </c>
      <c r="H746" s="309">
        <v>3350</v>
      </c>
      <c r="I746" s="278" t="s">
        <v>2404</v>
      </c>
      <c r="J746" s="309">
        <v>5280</v>
      </c>
      <c r="K746" s="278" t="s">
        <v>2405</v>
      </c>
      <c r="L746" s="308">
        <v>3440</v>
      </c>
      <c r="M746" s="278" t="s">
        <v>2406</v>
      </c>
      <c r="N746" s="309">
        <v>1460</v>
      </c>
    </row>
    <row r="747" spans="1:14">
      <c r="A747" s="275" t="s">
        <v>2407</v>
      </c>
      <c r="B747" s="292" t="s">
        <v>2408</v>
      </c>
      <c r="C747" s="293">
        <v>13.1</v>
      </c>
      <c r="D747" s="287">
        <v>0.23</v>
      </c>
      <c r="E747" s="275" t="s">
        <v>2409</v>
      </c>
      <c r="F747" s="306">
        <v>3480</v>
      </c>
      <c r="G747" s="275" t="s">
        <v>2410</v>
      </c>
      <c r="H747" s="307">
        <v>1210</v>
      </c>
      <c r="I747" s="275" t="s">
        <v>2411</v>
      </c>
      <c r="J747" s="307">
        <v>2840</v>
      </c>
      <c r="K747" s="275" t="s">
        <v>2412</v>
      </c>
      <c r="L747" s="306">
        <v>636</v>
      </c>
      <c r="M747" s="275" t="s">
        <v>2413</v>
      </c>
      <c r="N747" s="306">
        <v>185</v>
      </c>
    </row>
    <row r="748" spans="1:14">
      <c r="A748" s="278" t="s">
        <v>2414</v>
      </c>
      <c r="B748" s="294" t="s">
        <v>2415</v>
      </c>
      <c r="C748" s="298">
        <v>11</v>
      </c>
      <c r="D748" s="279" t="s">
        <v>2416</v>
      </c>
      <c r="E748" s="278" t="s">
        <v>2417</v>
      </c>
      <c r="F748" s="308">
        <v>4110</v>
      </c>
      <c r="G748" s="278" t="s">
        <v>2418</v>
      </c>
      <c r="H748" s="309">
        <v>1330</v>
      </c>
      <c r="I748" s="278" t="s">
        <v>2419</v>
      </c>
      <c r="J748" s="309">
        <v>3190</v>
      </c>
      <c r="K748" s="278" t="s">
        <v>2420</v>
      </c>
      <c r="L748" s="308">
        <v>573</v>
      </c>
      <c r="M748" s="278" t="s">
        <v>2421</v>
      </c>
      <c r="N748" s="308">
        <v>195</v>
      </c>
    </row>
    <row r="749" spans="1:14">
      <c r="A749" s="275" t="s">
        <v>2422</v>
      </c>
      <c r="B749" s="292" t="s">
        <v>2423</v>
      </c>
      <c r="C749" s="286">
        <v>242</v>
      </c>
      <c r="D749" s="287">
        <v>0.24</v>
      </c>
      <c r="E749" s="275" t="s">
        <v>2368</v>
      </c>
      <c r="F749" s="306">
        <v>6940</v>
      </c>
      <c r="G749" s="275" t="s">
        <v>2424</v>
      </c>
      <c r="H749" s="307">
        <v>8060</v>
      </c>
      <c r="I749" s="275" t="s">
        <v>2425</v>
      </c>
      <c r="J749" s="307">
        <v>7400</v>
      </c>
      <c r="K749" s="275" t="s">
        <v>2426</v>
      </c>
      <c r="L749" s="306">
        <v>8400</v>
      </c>
      <c r="M749" s="275" t="s">
        <v>2427</v>
      </c>
      <c r="N749" s="307">
        <v>8380</v>
      </c>
    </row>
    <row r="750" spans="1:14">
      <c r="A750" s="278" t="s">
        <v>2428</v>
      </c>
      <c r="B750" s="294" t="s">
        <v>2429</v>
      </c>
      <c r="C750" s="298">
        <v>6.5</v>
      </c>
      <c r="D750" s="279" t="s">
        <v>2430</v>
      </c>
      <c r="E750" s="278" t="s">
        <v>2431</v>
      </c>
      <c r="F750" s="308">
        <v>2510</v>
      </c>
      <c r="G750" s="278" t="s">
        <v>2432</v>
      </c>
      <c r="H750" s="308">
        <v>716</v>
      </c>
      <c r="I750" s="278" t="s">
        <v>2433</v>
      </c>
      <c r="J750" s="309">
        <v>1570</v>
      </c>
      <c r="K750" s="278" t="s">
        <v>2434</v>
      </c>
      <c r="L750" s="308">
        <v>176</v>
      </c>
      <c r="M750" s="278" t="s">
        <v>2435</v>
      </c>
      <c r="N750" s="308">
        <v>100</v>
      </c>
    </row>
    <row r="751" spans="1:14">
      <c r="A751" s="275" t="s">
        <v>2436</v>
      </c>
      <c r="B751" s="292" t="s">
        <v>2437</v>
      </c>
      <c r="C751" s="293">
        <v>47.1</v>
      </c>
      <c r="D751" s="287">
        <v>0.24</v>
      </c>
      <c r="E751" s="275" t="s">
        <v>2438</v>
      </c>
      <c r="F751" s="306">
        <v>6680</v>
      </c>
      <c r="G751" s="275" t="s">
        <v>2439</v>
      </c>
      <c r="H751" s="307">
        <v>4620</v>
      </c>
      <c r="I751" s="275" t="s">
        <v>2427</v>
      </c>
      <c r="J751" s="307">
        <v>6690</v>
      </c>
      <c r="K751" s="275" t="s">
        <v>2440</v>
      </c>
      <c r="L751" s="306">
        <v>4870</v>
      </c>
      <c r="M751" s="275" t="s">
        <v>2441</v>
      </c>
      <c r="N751" s="307">
        <v>2410</v>
      </c>
    </row>
    <row r="752" spans="1:14">
      <c r="A752" s="278" t="s">
        <v>2442</v>
      </c>
      <c r="B752" s="294" t="s">
        <v>2443</v>
      </c>
      <c r="C752" s="298">
        <v>3.2</v>
      </c>
      <c r="D752" s="279" t="s">
        <v>2444</v>
      </c>
      <c r="E752" s="278" t="s">
        <v>2445</v>
      </c>
      <c r="F752" s="308">
        <v>863</v>
      </c>
      <c r="G752" s="278" t="s">
        <v>2446</v>
      </c>
      <c r="H752" s="308">
        <v>235</v>
      </c>
      <c r="I752" s="278" t="s">
        <v>2447</v>
      </c>
      <c r="J752" s="308">
        <v>378</v>
      </c>
      <c r="K752" s="278" t="s">
        <v>2448</v>
      </c>
      <c r="L752" s="308">
        <v>44</v>
      </c>
      <c r="M752" s="278" t="s">
        <v>2449</v>
      </c>
      <c r="N752" s="308">
        <v>33</v>
      </c>
    </row>
    <row r="753" spans="1:14">
      <c r="A753" s="275" t="s">
        <v>2450</v>
      </c>
      <c r="B753" s="292" t="s">
        <v>2451</v>
      </c>
      <c r="C753" s="293">
        <v>3.1</v>
      </c>
      <c r="D753" s="276" t="s">
        <v>2452</v>
      </c>
      <c r="E753" s="275" t="s">
        <v>2453</v>
      </c>
      <c r="F753" s="306">
        <v>1070</v>
      </c>
      <c r="G753" s="275" t="s">
        <v>2453</v>
      </c>
      <c r="H753" s="306">
        <v>290</v>
      </c>
      <c r="I753" s="275" t="s">
        <v>2454</v>
      </c>
      <c r="J753" s="306">
        <v>460</v>
      </c>
      <c r="K753" s="275" t="s">
        <v>2455</v>
      </c>
      <c r="L753" s="306">
        <v>54</v>
      </c>
      <c r="M753" s="275" t="s">
        <v>2456</v>
      </c>
      <c r="N753" s="306">
        <v>40</v>
      </c>
    </row>
    <row r="754" spans="1:14">
      <c r="A754" s="278" t="s">
        <v>2457</v>
      </c>
      <c r="B754" s="294" t="s">
        <v>2458</v>
      </c>
      <c r="C754" s="298">
        <v>7.7</v>
      </c>
      <c r="D754" s="290">
        <v>0.24</v>
      </c>
      <c r="E754" s="278" t="s">
        <v>2459</v>
      </c>
      <c r="F754" s="308">
        <v>2920</v>
      </c>
      <c r="G754" s="278" t="s">
        <v>2460</v>
      </c>
      <c r="H754" s="308">
        <v>858</v>
      </c>
      <c r="I754" s="278" t="s">
        <v>2461</v>
      </c>
      <c r="J754" s="309">
        <v>1970</v>
      </c>
      <c r="K754" s="278" t="s">
        <v>2462</v>
      </c>
      <c r="L754" s="308">
        <v>245</v>
      </c>
      <c r="M754" s="278" t="s">
        <v>2463</v>
      </c>
      <c r="N754" s="308">
        <v>121</v>
      </c>
    </row>
    <row r="755" spans="1:14">
      <c r="A755" s="275" t="s">
        <v>2464</v>
      </c>
      <c r="B755" s="292" t="s">
        <v>2465</v>
      </c>
      <c r="C755" s="293">
        <v>1.2</v>
      </c>
      <c r="D755" s="276" t="s">
        <v>2466</v>
      </c>
      <c r="E755" s="275" t="s">
        <v>2467</v>
      </c>
      <c r="F755" s="306">
        <v>278</v>
      </c>
      <c r="G755" s="275" t="s">
        <v>2467</v>
      </c>
      <c r="H755" s="306">
        <v>76</v>
      </c>
      <c r="I755" s="275" t="s">
        <v>2468</v>
      </c>
      <c r="J755" s="306">
        <v>92</v>
      </c>
      <c r="K755" s="275" t="s">
        <v>2469</v>
      </c>
      <c r="L755" s="306">
        <v>13</v>
      </c>
      <c r="M755" s="275" t="s">
        <v>2470</v>
      </c>
      <c r="N755" s="306">
        <v>10</v>
      </c>
    </row>
    <row r="756" spans="1:14">
      <c r="A756" s="278" t="s">
        <v>2471</v>
      </c>
      <c r="B756" s="294" t="s">
        <v>2472</v>
      </c>
      <c r="C756" s="298">
        <v>2.6</v>
      </c>
      <c r="D756" s="290">
        <v>0.07</v>
      </c>
      <c r="E756" s="278" t="s">
        <v>2473</v>
      </c>
      <c r="F756" s="308">
        <v>530</v>
      </c>
      <c r="G756" s="278" t="s">
        <v>2473</v>
      </c>
      <c r="H756" s="308">
        <v>144</v>
      </c>
      <c r="I756" s="278" t="s">
        <v>2474</v>
      </c>
      <c r="J756" s="308">
        <v>213</v>
      </c>
      <c r="K756" s="278" t="s">
        <v>2475</v>
      </c>
      <c r="L756" s="308">
        <v>26</v>
      </c>
      <c r="M756" s="278" t="s">
        <v>2476</v>
      </c>
      <c r="N756" s="308">
        <v>20</v>
      </c>
    </row>
    <row r="757" spans="1:14">
      <c r="A757" s="275" t="s">
        <v>2477</v>
      </c>
      <c r="B757" s="292" t="s">
        <v>2478</v>
      </c>
      <c r="C757" s="293">
        <v>28.4</v>
      </c>
      <c r="D757" s="287">
        <v>0.31</v>
      </c>
      <c r="E757" s="275" t="s">
        <v>2479</v>
      </c>
      <c r="F757" s="306">
        <v>4510</v>
      </c>
      <c r="G757" s="275" t="s">
        <v>2480</v>
      </c>
      <c r="H757" s="307">
        <v>2360</v>
      </c>
      <c r="I757" s="275" t="s">
        <v>2481</v>
      </c>
      <c r="J757" s="307">
        <v>4290</v>
      </c>
      <c r="K757" s="275" t="s">
        <v>2372</v>
      </c>
      <c r="L757" s="306">
        <v>2220</v>
      </c>
      <c r="M757" s="275" t="s">
        <v>2482</v>
      </c>
      <c r="N757" s="306">
        <v>725</v>
      </c>
    </row>
    <row r="758" spans="1:14">
      <c r="A758" s="278" t="s">
        <v>2483</v>
      </c>
      <c r="B758" s="294" t="s">
        <v>2484</v>
      </c>
      <c r="C758" s="298">
        <v>8.7</v>
      </c>
      <c r="D758" s="290">
        <v>0.22</v>
      </c>
      <c r="E758" s="278" t="s">
        <v>2485</v>
      </c>
      <c r="F758" s="308">
        <v>2660</v>
      </c>
      <c r="G758" s="278" t="s">
        <v>2486</v>
      </c>
      <c r="H758" s="308">
        <v>804</v>
      </c>
      <c r="I758" s="278" t="s">
        <v>2487</v>
      </c>
      <c r="J758" s="309">
        <v>1890</v>
      </c>
      <c r="K758" s="278" t="s">
        <v>2488</v>
      </c>
      <c r="L758" s="308">
        <v>262</v>
      </c>
      <c r="M758" s="278" t="s">
        <v>2489</v>
      </c>
      <c r="N758" s="308">
        <v>114</v>
      </c>
    </row>
    <row r="759" spans="1:14">
      <c r="A759" s="275" t="s">
        <v>2490</v>
      </c>
      <c r="B759" s="292" t="s">
        <v>2491</v>
      </c>
      <c r="C759" s="293">
        <v>16.1</v>
      </c>
      <c r="D759" s="276" t="s">
        <v>2492</v>
      </c>
      <c r="E759" s="275" t="s">
        <v>2493</v>
      </c>
      <c r="F759" s="306">
        <v>4310</v>
      </c>
      <c r="G759" s="275" t="s">
        <v>2494</v>
      </c>
      <c r="H759" s="307">
        <v>1650</v>
      </c>
      <c r="I759" s="275" t="s">
        <v>2495</v>
      </c>
      <c r="J759" s="307">
        <v>3720</v>
      </c>
      <c r="K759" s="275" t="s">
        <v>2496</v>
      </c>
      <c r="L759" s="306">
        <v>1070</v>
      </c>
      <c r="M759" s="275" t="s">
        <v>2497</v>
      </c>
      <c r="N759" s="306">
        <v>281</v>
      </c>
    </row>
    <row r="760" spans="1:14">
      <c r="A760" s="278" t="s">
        <v>2498</v>
      </c>
      <c r="B760" s="294" t="s">
        <v>2499</v>
      </c>
      <c r="C760" s="278" t="s">
        <v>2500</v>
      </c>
      <c r="D760" s="294" t="s">
        <v>2501</v>
      </c>
      <c r="E760" s="278" t="s">
        <v>2502</v>
      </c>
      <c r="F760" s="310" t="s">
        <v>2391</v>
      </c>
      <c r="G760" s="278" t="s">
        <v>2502</v>
      </c>
      <c r="H760" s="310" t="s">
        <v>2391</v>
      </c>
      <c r="I760" s="278" t="s">
        <v>2503</v>
      </c>
      <c r="J760" s="310" t="s">
        <v>2391</v>
      </c>
      <c r="K760" s="278" t="s">
        <v>2504</v>
      </c>
      <c r="L760" s="310" t="s">
        <v>2391</v>
      </c>
      <c r="M760" s="278" t="s">
        <v>2505</v>
      </c>
      <c r="N760" s="310" t="s">
        <v>2391</v>
      </c>
    </row>
    <row r="761" spans="1:14">
      <c r="A761" s="275" t="s">
        <v>2506</v>
      </c>
      <c r="B761" s="292" t="s">
        <v>2507</v>
      </c>
      <c r="C761" s="275" t="s">
        <v>2508</v>
      </c>
      <c r="D761" s="292" t="s">
        <v>2509</v>
      </c>
      <c r="E761" s="275" t="s">
        <v>2510</v>
      </c>
      <c r="F761" s="311" t="s">
        <v>2391</v>
      </c>
      <c r="G761" s="275" t="s">
        <v>2510</v>
      </c>
      <c r="H761" s="311" t="s">
        <v>2391</v>
      </c>
      <c r="I761" s="275" t="s">
        <v>2511</v>
      </c>
      <c r="J761" s="311" t="s">
        <v>2391</v>
      </c>
      <c r="K761" s="275" t="s">
        <v>2512</v>
      </c>
      <c r="L761" s="311" t="s">
        <v>2391</v>
      </c>
      <c r="M761" s="275" t="s">
        <v>2513</v>
      </c>
      <c r="N761" s="311" t="s">
        <v>2391</v>
      </c>
    </row>
    <row r="762" spans="1:14">
      <c r="A762" s="278" t="s">
        <v>2514</v>
      </c>
      <c r="B762" s="294" t="s">
        <v>2515</v>
      </c>
      <c r="C762" s="278" t="s">
        <v>2516</v>
      </c>
      <c r="D762" s="290">
        <v>0.02</v>
      </c>
      <c r="E762" s="278" t="s">
        <v>2517</v>
      </c>
      <c r="F762" s="310" t="s">
        <v>2391</v>
      </c>
      <c r="G762" s="278" t="s">
        <v>2517</v>
      </c>
      <c r="H762" s="310" t="s">
        <v>2391</v>
      </c>
      <c r="I762" s="278" t="s">
        <v>2518</v>
      </c>
      <c r="J762" s="310" t="s">
        <v>2391</v>
      </c>
      <c r="K762" s="278" t="s">
        <v>2519</v>
      </c>
      <c r="L762" s="310" t="s">
        <v>2391</v>
      </c>
      <c r="M762" s="278" t="s">
        <v>2520</v>
      </c>
      <c r="N762" s="310" t="s">
        <v>2391</v>
      </c>
    </row>
    <row r="763" spans="1:14">
      <c r="A763" s="275" t="s">
        <v>2521</v>
      </c>
      <c r="B763" s="292" t="s">
        <v>2522</v>
      </c>
      <c r="C763" s="275" t="s">
        <v>2523</v>
      </c>
      <c r="D763" s="287">
        <v>0.01</v>
      </c>
      <c r="E763" s="275" t="s">
        <v>2524</v>
      </c>
      <c r="F763" s="311" t="s">
        <v>2391</v>
      </c>
      <c r="G763" s="275" t="s">
        <v>2524</v>
      </c>
      <c r="H763" s="311" t="s">
        <v>2391</v>
      </c>
      <c r="I763" s="275" t="s">
        <v>2525</v>
      </c>
      <c r="J763" s="311" t="s">
        <v>2391</v>
      </c>
      <c r="K763" s="275" t="s">
        <v>2526</v>
      </c>
      <c r="L763" s="311" t="s">
        <v>2391</v>
      </c>
      <c r="M763" s="275" t="s">
        <v>2527</v>
      </c>
      <c r="N763" s="311" t="s">
        <v>2391</v>
      </c>
    </row>
    <row r="764" spans="1:14">
      <c r="A764" s="278" t="s">
        <v>2528</v>
      </c>
      <c r="B764" s="294" t="s">
        <v>2529</v>
      </c>
      <c r="C764" s="278" t="s">
        <v>2530</v>
      </c>
      <c r="D764" s="290">
        <v>0.02</v>
      </c>
      <c r="E764" s="278" t="s">
        <v>2531</v>
      </c>
      <c r="F764" s="308">
        <v>1</v>
      </c>
      <c r="G764" s="278" t="s">
        <v>2531</v>
      </c>
      <c r="H764" s="310" t="s">
        <v>2391</v>
      </c>
      <c r="I764" s="278" t="s">
        <v>2532</v>
      </c>
      <c r="J764" s="310" t="s">
        <v>2391</v>
      </c>
      <c r="K764" s="278" t="s">
        <v>2533</v>
      </c>
      <c r="L764" s="310" t="s">
        <v>2391</v>
      </c>
      <c r="M764" s="278" t="s">
        <v>2534</v>
      </c>
      <c r="N764" s="310" t="s">
        <v>2391</v>
      </c>
    </row>
    <row r="765" spans="1:14">
      <c r="A765" s="275" t="s">
        <v>2535</v>
      </c>
      <c r="B765" s="292" t="s">
        <v>2536</v>
      </c>
      <c r="C765" s="275" t="s">
        <v>2537</v>
      </c>
      <c r="D765" s="287">
        <v>0.02</v>
      </c>
      <c r="E765" s="275" t="s">
        <v>2538</v>
      </c>
      <c r="F765" s="306">
        <v>1</v>
      </c>
      <c r="G765" s="275" t="s">
        <v>2538</v>
      </c>
      <c r="H765" s="311" t="s">
        <v>2391</v>
      </c>
      <c r="I765" s="275" t="s">
        <v>2539</v>
      </c>
      <c r="J765" s="311" t="s">
        <v>2391</v>
      </c>
      <c r="K765" s="275" t="s">
        <v>2540</v>
      </c>
      <c r="L765" s="311" t="s">
        <v>2391</v>
      </c>
      <c r="M765" s="275" t="s">
        <v>2541</v>
      </c>
      <c r="N765" s="311" t="s">
        <v>2391</v>
      </c>
    </row>
    <row r="766" spans="1:14">
      <c r="A766" s="278" t="s">
        <v>2542</v>
      </c>
      <c r="B766" s="294" t="s">
        <v>2543</v>
      </c>
      <c r="C766" s="278" t="s">
        <v>2544</v>
      </c>
      <c r="D766" s="290">
        <v>0.04</v>
      </c>
      <c r="E766" s="278" t="s">
        <v>2545</v>
      </c>
      <c r="F766" s="308">
        <v>4</v>
      </c>
      <c r="G766" s="278" t="s">
        <v>2545</v>
      </c>
      <c r="H766" s="310" t="s">
        <v>2391</v>
      </c>
      <c r="I766" s="278" t="s">
        <v>2546</v>
      </c>
      <c r="J766" s="310" t="s">
        <v>2391</v>
      </c>
      <c r="K766" s="278" t="s">
        <v>2547</v>
      </c>
      <c r="L766" s="310" t="s">
        <v>2391</v>
      </c>
      <c r="M766" s="278" t="s">
        <v>2548</v>
      </c>
      <c r="N766" s="310" t="s">
        <v>2391</v>
      </c>
    </row>
    <row r="767" spans="1:14">
      <c r="A767" s="281" t="s">
        <v>2549</v>
      </c>
      <c r="B767" s="295" t="s">
        <v>2550</v>
      </c>
      <c r="C767" s="281" t="s">
        <v>2551</v>
      </c>
      <c r="D767" s="282" t="s">
        <v>2552</v>
      </c>
      <c r="E767" s="281" t="s">
        <v>2497</v>
      </c>
      <c r="F767" s="312">
        <v>6</v>
      </c>
      <c r="G767" s="281" t="s">
        <v>2497</v>
      </c>
      <c r="H767" s="312">
        <v>2</v>
      </c>
      <c r="I767" s="281" t="s">
        <v>2553</v>
      </c>
      <c r="J767" s="312">
        <v>2</v>
      </c>
      <c r="K767" s="281" t="s">
        <v>2554</v>
      </c>
      <c r="L767" s="313" t="s">
        <v>2391</v>
      </c>
      <c r="M767" s="281" t="s">
        <v>2555</v>
      </c>
      <c r="N767" s="313" t="s">
        <v>2391</v>
      </c>
    </row>
    <row r="768" spans="1:14">
      <c r="A768" s="271" t="s">
        <v>2556</v>
      </c>
      <c r="B768" s="314" t="s">
        <v>2557</v>
      </c>
      <c r="C768" s="271" t="s">
        <v>2558</v>
      </c>
      <c r="D768" s="315">
        <v>0.01</v>
      </c>
      <c r="E768" s="271" t="s">
        <v>2559</v>
      </c>
      <c r="F768" s="316">
        <v>1</v>
      </c>
      <c r="G768" s="271" t="s">
        <v>2559</v>
      </c>
      <c r="H768" s="317" t="s">
        <v>2391</v>
      </c>
      <c r="I768" s="271" t="s">
        <v>2560</v>
      </c>
      <c r="J768" s="317" t="s">
        <v>2391</v>
      </c>
      <c r="K768" s="271" t="s">
        <v>2561</v>
      </c>
      <c r="L768" s="317" t="s">
        <v>2391</v>
      </c>
      <c r="M768" s="271" t="s">
        <v>2562</v>
      </c>
      <c r="N768" s="317" t="s">
        <v>2391</v>
      </c>
    </row>
    <row r="769" spans="1:14">
      <c r="A769" s="275" t="s">
        <v>2563</v>
      </c>
      <c r="B769" s="292" t="s">
        <v>2564</v>
      </c>
      <c r="C769" s="275" t="s">
        <v>2565</v>
      </c>
      <c r="D769" s="318">
        <v>0.01</v>
      </c>
      <c r="E769" s="275" t="s">
        <v>2566</v>
      </c>
      <c r="F769" s="311" t="s">
        <v>2391</v>
      </c>
      <c r="G769" s="275" t="s">
        <v>2566</v>
      </c>
      <c r="H769" s="311" t="s">
        <v>2391</v>
      </c>
      <c r="I769" s="275" t="s">
        <v>2567</v>
      </c>
      <c r="J769" s="311" t="s">
        <v>2391</v>
      </c>
      <c r="K769" s="275" t="s">
        <v>2568</v>
      </c>
      <c r="L769" s="311" t="s">
        <v>2391</v>
      </c>
      <c r="M769" s="275" t="s">
        <v>2569</v>
      </c>
      <c r="N769" s="311" t="s">
        <v>2391</v>
      </c>
    </row>
    <row r="770" spans="1:14">
      <c r="A770" s="278" t="s">
        <v>2570</v>
      </c>
      <c r="B770" s="294" t="s">
        <v>2571</v>
      </c>
      <c r="C770" s="278" t="s">
        <v>2565</v>
      </c>
      <c r="D770" s="319">
        <v>0.03</v>
      </c>
      <c r="E770" s="278" t="s">
        <v>2376</v>
      </c>
      <c r="F770" s="310" t="s">
        <v>2391</v>
      </c>
      <c r="G770" s="278" t="s">
        <v>2376</v>
      </c>
      <c r="H770" s="310" t="s">
        <v>2391</v>
      </c>
      <c r="I770" s="278" t="s">
        <v>2572</v>
      </c>
      <c r="J770" s="310" t="s">
        <v>2391</v>
      </c>
      <c r="K770" s="278" t="s">
        <v>2573</v>
      </c>
      <c r="L770" s="310" t="s">
        <v>2391</v>
      </c>
      <c r="M770" s="278" t="s">
        <v>2574</v>
      </c>
      <c r="N770" s="310" t="s">
        <v>2391</v>
      </c>
    </row>
    <row r="771" spans="1:14">
      <c r="A771" s="275" t="s">
        <v>2575</v>
      </c>
      <c r="B771" s="292" t="s">
        <v>2576</v>
      </c>
      <c r="C771" s="275" t="s">
        <v>2565</v>
      </c>
      <c r="D771" s="318">
        <v>0.03</v>
      </c>
      <c r="E771" s="275" t="s">
        <v>2577</v>
      </c>
      <c r="F771" s="311" t="s">
        <v>2391</v>
      </c>
      <c r="G771" s="275" t="s">
        <v>2577</v>
      </c>
      <c r="H771" s="311" t="s">
        <v>2391</v>
      </c>
      <c r="I771" s="275" t="s">
        <v>2578</v>
      </c>
      <c r="J771" s="311" t="s">
        <v>2391</v>
      </c>
      <c r="K771" s="275" t="s">
        <v>2579</v>
      </c>
      <c r="L771" s="311" t="s">
        <v>2391</v>
      </c>
      <c r="M771" s="275" t="s">
        <v>2580</v>
      </c>
      <c r="N771" s="311" t="s">
        <v>2391</v>
      </c>
    </row>
    <row r="772" ht="18.75" spans="1:14">
      <c r="A772" s="299" t="s">
        <v>2581</v>
      </c>
      <c r="B772" s="299" t="s">
        <v>2582</v>
      </c>
      <c r="C772" s="300" t="s">
        <v>2565</v>
      </c>
      <c r="D772" s="320">
        <v>0.03</v>
      </c>
      <c r="E772" s="300" t="s">
        <v>2583</v>
      </c>
      <c r="F772" s="321" t="s">
        <v>2391</v>
      </c>
      <c r="G772" s="300" t="s">
        <v>2583</v>
      </c>
      <c r="H772" s="321" t="s">
        <v>2391</v>
      </c>
      <c r="I772" s="300" t="s">
        <v>2584</v>
      </c>
      <c r="J772" s="321" t="s">
        <v>2391</v>
      </c>
      <c r="K772" s="300" t="s">
        <v>2585</v>
      </c>
      <c r="L772" s="321" t="s">
        <v>2391</v>
      </c>
      <c r="M772" s="300" t="s">
        <v>2586</v>
      </c>
      <c r="N772" s="321" t="s">
        <v>2391</v>
      </c>
    </row>
    <row r="773" spans="1:14">
      <c r="A773" s="271" t="s">
        <v>2587</v>
      </c>
      <c r="B773" s="272" t="s">
        <v>2588</v>
      </c>
      <c r="C773" s="284">
        <v>5</v>
      </c>
      <c r="D773" s="315">
        <v>0.07</v>
      </c>
      <c r="E773" s="271" t="s">
        <v>2589</v>
      </c>
      <c r="F773" s="316">
        <v>578</v>
      </c>
      <c r="G773" s="271" t="s">
        <v>2590</v>
      </c>
      <c r="H773" s="316">
        <v>160</v>
      </c>
      <c r="I773" s="271" t="s">
        <v>2591</v>
      </c>
      <c r="J773" s="316">
        <v>317</v>
      </c>
      <c r="K773" s="271" t="s">
        <v>2592</v>
      </c>
      <c r="L773" s="316">
        <v>34</v>
      </c>
      <c r="M773" s="271" t="s">
        <v>2593</v>
      </c>
      <c r="N773" s="316">
        <v>22</v>
      </c>
    </row>
    <row r="774" spans="1:14">
      <c r="A774" s="275" t="s">
        <v>2594</v>
      </c>
      <c r="B774" s="276" t="s">
        <v>2595</v>
      </c>
      <c r="C774" s="286">
        <v>26</v>
      </c>
      <c r="D774" s="318">
        <v>0.17</v>
      </c>
      <c r="E774" s="275" t="s">
        <v>2596</v>
      </c>
      <c r="F774" s="307">
        <v>3480</v>
      </c>
      <c r="G774" s="275" t="s">
        <v>2597</v>
      </c>
      <c r="H774" s="307">
        <v>1730</v>
      </c>
      <c r="I774" s="275" t="s">
        <v>2598</v>
      </c>
      <c r="J774" s="307">
        <v>3280</v>
      </c>
      <c r="K774" s="275" t="s">
        <v>2599</v>
      </c>
      <c r="L774" s="307">
        <v>1570</v>
      </c>
      <c r="M774" s="275" t="s">
        <v>2600</v>
      </c>
      <c r="N774" s="306">
        <v>479</v>
      </c>
    </row>
    <row r="775" spans="1:14">
      <c r="A775" s="278" t="s">
        <v>2601</v>
      </c>
      <c r="B775" s="279" t="s">
        <v>2602</v>
      </c>
      <c r="C775" s="298">
        <v>1</v>
      </c>
      <c r="D775" s="294" t="s">
        <v>2603</v>
      </c>
      <c r="E775" s="278" t="s">
        <v>2604</v>
      </c>
      <c r="F775" s="308">
        <v>45</v>
      </c>
      <c r="G775" s="278" t="s">
        <v>2604</v>
      </c>
      <c r="H775" s="308">
        <v>12</v>
      </c>
      <c r="I775" s="278" t="s">
        <v>2605</v>
      </c>
      <c r="J775" s="308">
        <v>15</v>
      </c>
      <c r="K775" s="278" t="s">
        <v>2606</v>
      </c>
      <c r="L775" s="308">
        <v>2</v>
      </c>
      <c r="M775" s="278" t="s">
        <v>2607</v>
      </c>
      <c r="N775" s="308">
        <v>2</v>
      </c>
    </row>
    <row r="776" spans="1:14">
      <c r="A776" s="275" t="s">
        <v>2608</v>
      </c>
      <c r="B776" s="276" t="s">
        <v>2609</v>
      </c>
      <c r="C776" s="293">
        <v>0.4</v>
      </c>
      <c r="D776" s="292" t="s">
        <v>2610</v>
      </c>
      <c r="E776" s="275" t="s">
        <v>2611</v>
      </c>
      <c r="F776" s="306">
        <v>33</v>
      </c>
      <c r="G776" s="275" t="s">
        <v>2611</v>
      </c>
      <c r="H776" s="306">
        <v>9</v>
      </c>
      <c r="I776" s="275" t="s">
        <v>2612</v>
      </c>
      <c r="J776" s="306">
        <v>10</v>
      </c>
      <c r="K776" s="275" t="s">
        <v>2613</v>
      </c>
      <c r="L776" s="306">
        <v>2</v>
      </c>
      <c r="M776" s="275" t="s">
        <v>2614</v>
      </c>
      <c r="N776" s="306">
        <v>1</v>
      </c>
    </row>
    <row r="777" spans="1:14">
      <c r="A777" s="278" t="s">
        <v>2615</v>
      </c>
      <c r="B777" s="279" t="s">
        <v>2616</v>
      </c>
      <c r="C777" s="298">
        <v>0.4</v>
      </c>
      <c r="D777" s="319">
        <v>0.08</v>
      </c>
      <c r="E777" s="278" t="s">
        <v>2617</v>
      </c>
      <c r="F777" s="308">
        <v>60</v>
      </c>
      <c r="G777" s="278" t="s">
        <v>2617</v>
      </c>
      <c r="H777" s="308">
        <v>16</v>
      </c>
      <c r="I777" s="278" t="s">
        <v>2376</v>
      </c>
      <c r="J777" s="308">
        <v>18</v>
      </c>
      <c r="K777" s="278" t="s">
        <v>2618</v>
      </c>
      <c r="L777" s="308">
        <v>3</v>
      </c>
      <c r="M777" s="278" t="s">
        <v>2378</v>
      </c>
      <c r="N777" s="308">
        <v>2</v>
      </c>
    </row>
    <row r="778" spans="1:14">
      <c r="A778" s="281" t="s">
        <v>2619</v>
      </c>
      <c r="B778" s="295" t="s">
        <v>2620</v>
      </c>
      <c r="C778" s="281" t="s">
        <v>2621</v>
      </c>
      <c r="D778" s="322">
        <v>0.01</v>
      </c>
      <c r="E778" s="281" t="s">
        <v>2622</v>
      </c>
      <c r="F778" s="312">
        <v>3</v>
      </c>
      <c r="G778" s="281" t="s">
        <v>2622</v>
      </c>
      <c r="H778" s="313" t="s">
        <v>2391</v>
      </c>
      <c r="I778" s="281" t="s">
        <v>2623</v>
      </c>
      <c r="J778" s="313" t="s">
        <v>2391</v>
      </c>
      <c r="K778" s="281" t="s">
        <v>2624</v>
      </c>
      <c r="L778" s="313" t="s">
        <v>2391</v>
      </c>
      <c r="M778" s="281" t="s">
        <v>2625</v>
      </c>
      <c r="N778" s="313" t="s">
        <v>2391</v>
      </c>
    </row>
    <row r="779" spans="1:14">
      <c r="A779" s="271" t="s">
        <v>2626</v>
      </c>
      <c r="B779" s="272" t="s">
        <v>2627</v>
      </c>
      <c r="C779" s="284">
        <v>0.8</v>
      </c>
      <c r="D779" s="323">
        <v>0.004</v>
      </c>
      <c r="E779" s="271" t="s">
        <v>2628</v>
      </c>
      <c r="F779" s="316">
        <v>9</v>
      </c>
      <c r="G779" s="271" t="s">
        <v>2628</v>
      </c>
      <c r="H779" s="316">
        <v>2</v>
      </c>
      <c r="I779" s="271" t="s">
        <v>2629</v>
      </c>
      <c r="J779" s="316">
        <v>3</v>
      </c>
      <c r="K779" s="271" t="s">
        <v>2630</v>
      </c>
      <c r="L779" s="317" t="s">
        <v>2391</v>
      </c>
      <c r="M779" s="271" t="s">
        <v>2631</v>
      </c>
      <c r="N779" s="317" t="s">
        <v>2391</v>
      </c>
    </row>
    <row r="780" spans="1:14">
      <c r="A780" s="275" t="s">
        <v>2632</v>
      </c>
      <c r="B780" s="276" t="s">
        <v>2633</v>
      </c>
      <c r="C780" s="293">
        <v>0.3</v>
      </c>
      <c r="D780" s="318">
        <v>0.01</v>
      </c>
      <c r="E780" s="275" t="s">
        <v>2634</v>
      </c>
      <c r="F780" s="306">
        <v>4</v>
      </c>
      <c r="G780" s="275" t="s">
        <v>2634</v>
      </c>
      <c r="H780" s="306">
        <v>1</v>
      </c>
      <c r="I780" s="275" t="s">
        <v>2635</v>
      </c>
      <c r="J780" s="306">
        <v>1</v>
      </c>
      <c r="K780" s="275" t="s">
        <v>2636</v>
      </c>
      <c r="L780" s="311" t="s">
        <v>2391</v>
      </c>
      <c r="M780" s="275" t="s">
        <v>2637</v>
      </c>
      <c r="N780" s="311" t="s">
        <v>2391</v>
      </c>
    </row>
    <row r="781" spans="1:14">
      <c r="A781" s="278" t="s">
        <v>2638</v>
      </c>
      <c r="B781" s="279" t="s">
        <v>2639</v>
      </c>
      <c r="C781" s="298">
        <v>5.2</v>
      </c>
      <c r="D781" s="319">
        <v>0.15</v>
      </c>
      <c r="E781" s="278" t="s">
        <v>2268</v>
      </c>
      <c r="F781" s="309">
        <v>1350</v>
      </c>
      <c r="G781" s="278" t="s">
        <v>2640</v>
      </c>
      <c r="H781" s="308">
        <v>376</v>
      </c>
      <c r="I781" s="278" t="s">
        <v>2641</v>
      </c>
      <c r="J781" s="308">
        <v>756</v>
      </c>
      <c r="K781" s="278" t="s">
        <v>2642</v>
      </c>
      <c r="L781" s="308">
        <v>80</v>
      </c>
      <c r="M781" s="278" t="s">
        <v>2643</v>
      </c>
      <c r="N781" s="308">
        <v>52</v>
      </c>
    </row>
    <row r="782" spans="1:14">
      <c r="A782" s="275" t="s">
        <v>2644</v>
      </c>
      <c r="B782" s="276" t="s">
        <v>2645</v>
      </c>
      <c r="C782" s="293">
        <v>2.9</v>
      </c>
      <c r="D782" s="318">
        <v>0.27</v>
      </c>
      <c r="E782" s="275" t="s">
        <v>2646</v>
      </c>
      <c r="F782" s="306">
        <v>848</v>
      </c>
      <c r="G782" s="275" t="s">
        <v>2646</v>
      </c>
      <c r="H782" s="306">
        <v>231</v>
      </c>
      <c r="I782" s="275" t="s">
        <v>2647</v>
      </c>
      <c r="J782" s="306">
        <v>356</v>
      </c>
      <c r="K782" s="275" t="s">
        <v>2531</v>
      </c>
      <c r="L782" s="306">
        <v>42</v>
      </c>
      <c r="M782" s="275" t="s">
        <v>2648</v>
      </c>
      <c r="N782" s="306">
        <v>32</v>
      </c>
    </row>
    <row r="783" spans="1:14">
      <c r="A783" s="278" t="s">
        <v>2649</v>
      </c>
      <c r="B783" s="279" t="s">
        <v>2650</v>
      </c>
      <c r="C783" s="289">
        <v>16</v>
      </c>
      <c r="D783" s="319">
        <v>0.29</v>
      </c>
      <c r="E783" s="278" t="s">
        <v>2651</v>
      </c>
      <c r="F783" s="309">
        <v>4590</v>
      </c>
      <c r="G783" s="278" t="s">
        <v>2652</v>
      </c>
      <c r="H783" s="309">
        <v>1750</v>
      </c>
      <c r="I783" s="278" t="s">
        <v>2653</v>
      </c>
      <c r="J783" s="309">
        <v>3950</v>
      </c>
      <c r="K783" s="278" t="s">
        <v>2654</v>
      </c>
      <c r="L783" s="309">
        <v>1130</v>
      </c>
      <c r="M783" s="278" t="s">
        <v>2488</v>
      </c>
      <c r="N783" s="308">
        <v>297</v>
      </c>
    </row>
    <row r="784" spans="1:14">
      <c r="A784" s="275" t="s">
        <v>2655</v>
      </c>
      <c r="B784" s="276" t="s">
        <v>2656</v>
      </c>
      <c r="C784" s="286">
        <v>65</v>
      </c>
      <c r="D784" s="318">
        <v>0.3</v>
      </c>
      <c r="E784" s="275" t="s">
        <v>2657</v>
      </c>
      <c r="F784" s="307">
        <v>7800</v>
      </c>
      <c r="G784" s="275" t="s">
        <v>2658</v>
      </c>
      <c r="H784" s="307">
        <v>6290</v>
      </c>
      <c r="I784" s="275" t="s">
        <v>2659</v>
      </c>
      <c r="J784" s="307">
        <v>7990</v>
      </c>
      <c r="K784" s="275" t="s">
        <v>2660</v>
      </c>
      <c r="L784" s="307">
        <v>6750</v>
      </c>
      <c r="M784" s="275" t="s">
        <v>2661</v>
      </c>
      <c r="N784" s="306">
        <v>4170</v>
      </c>
    </row>
    <row r="785" spans="1:14">
      <c r="A785" s="278" t="s">
        <v>2662</v>
      </c>
      <c r="B785" s="294" t="s">
        <v>2663</v>
      </c>
      <c r="C785" s="298">
        <v>3.4</v>
      </c>
      <c r="D785" s="319">
        <v>0.14</v>
      </c>
      <c r="E785" s="278" t="s">
        <v>2664</v>
      </c>
      <c r="F785" s="308">
        <v>635</v>
      </c>
      <c r="G785" s="278" t="s">
        <v>2664</v>
      </c>
      <c r="H785" s="308">
        <v>173</v>
      </c>
      <c r="I785" s="278" t="s">
        <v>2665</v>
      </c>
      <c r="J785" s="308">
        <v>286</v>
      </c>
      <c r="K785" s="278" t="s">
        <v>2666</v>
      </c>
      <c r="L785" s="308">
        <v>33</v>
      </c>
      <c r="M785" s="278" t="s">
        <v>2667</v>
      </c>
      <c r="N785" s="308">
        <v>24</v>
      </c>
    </row>
    <row r="786" spans="1:14">
      <c r="A786" s="275" t="s">
        <v>2668</v>
      </c>
      <c r="B786" s="292" t="s">
        <v>2669</v>
      </c>
      <c r="C786" s="293">
        <v>1</v>
      </c>
      <c r="D786" s="318">
        <v>0.13</v>
      </c>
      <c r="E786" s="275" t="s">
        <v>2670</v>
      </c>
      <c r="F786" s="306">
        <v>151</v>
      </c>
      <c r="G786" s="275" t="s">
        <v>2670</v>
      </c>
      <c r="H786" s="306">
        <v>41</v>
      </c>
      <c r="I786" s="275" t="s">
        <v>2671</v>
      </c>
      <c r="J786" s="306">
        <v>49</v>
      </c>
      <c r="K786" s="275" t="s">
        <v>2672</v>
      </c>
      <c r="L786" s="306">
        <v>7</v>
      </c>
      <c r="M786" s="275" t="s">
        <v>2673</v>
      </c>
      <c r="N786" s="306">
        <v>6</v>
      </c>
    </row>
    <row r="787" spans="1:14">
      <c r="A787" s="278" t="s">
        <v>2674</v>
      </c>
      <c r="B787" s="294" t="s">
        <v>2675</v>
      </c>
      <c r="C787" s="298">
        <v>2.9</v>
      </c>
      <c r="D787" s="319">
        <v>0.19</v>
      </c>
      <c r="E787" s="278" t="s">
        <v>2676</v>
      </c>
      <c r="F787" s="308">
        <v>674</v>
      </c>
      <c r="G787" s="278" t="s">
        <v>2676</v>
      </c>
      <c r="H787" s="308">
        <v>184</v>
      </c>
      <c r="I787" s="278" t="s">
        <v>2677</v>
      </c>
      <c r="J787" s="308">
        <v>283</v>
      </c>
      <c r="K787" s="278" t="s">
        <v>2592</v>
      </c>
      <c r="L787" s="308">
        <v>34</v>
      </c>
      <c r="M787" s="278" t="s">
        <v>2678</v>
      </c>
      <c r="N787" s="308">
        <v>25</v>
      </c>
    </row>
    <row r="788" spans="1:14">
      <c r="A788" s="281" t="s">
        <v>2679</v>
      </c>
      <c r="B788" s="295" t="s">
        <v>2680</v>
      </c>
      <c r="C788" s="324">
        <v>20</v>
      </c>
      <c r="D788" s="322">
        <v>0.31</v>
      </c>
      <c r="E788" s="281" t="s">
        <v>2681</v>
      </c>
      <c r="F788" s="325">
        <v>3440</v>
      </c>
      <c r="G788" s="281" t="s">
        <v>2682</v>
      </c>
      <c r="H788" s="325">
        <v>1470</v>
      </c>
      <c r="I788" s="281" t="s">
        <v>2405</v>
      </c>
      <c r="J788" s="325">
        <v>3100</v>
      </c>
      <c r="K788" s="281" t="s">
        <v>2683</v>
      </c>
      <c r="L788" s="325">
        <v>1150</v>
      </c>
      <c r="M788" s="281" t="s">
        <v>2684</v>
      </c>
      <c r="N788" s="312">
        <v>304</v>
      </c>
    </row>
    <row r="789" spans="1:14">
      <c r="A789" s="271" t="s">
        <v>2685</v>
      </c>
      <c r="B789" s="272" t="s">
        <v>2686</v>
      </c>
      <c r="C789" s="304">
        <v>500</v>
      </c>
      <c r="D789" s="315">
        <v>0.2</v>
      </c>
      <c r="E789" s="271" t="s">
        <v>2687</v>
      </c>
      <c r="F789" s="305">
        <v>12800</v>
      </c>
      <c r="G789" s="271" t="s">
        <v>2688</v>
      </c>
      <c r="H789" s="305">
        <v>16100</v>
      </c>
      <c r="I789" s="271" t="s">
        <v>2689</v>
      </c>
      <c r="J789" s="305">
        <v>13700</v>
      </c>
      <c r="K789" s="271" t="s">
        <v>2690</v>
      </c>
      <c r="L789" s="305">
        <v>16500</v>
      </c>
      <c r="M789" s="271" t="s">
        <v>2691</v>
      </c>
      <c r="N789" s="305">
        <v>18100</v>
      </c>
    </row>
    <row r="790" spans="1:14">
      <c r="A790" s="275" t="s">
        <v>2692</v>
      </c>
      <c r="B790" s="276" t="s">
        <v>2693</v>
      </c>
      <c r="C790" s="326">
        <v>3200</v>
      </c>
      <c r="D790" s="318">
        <v>0.57</v>
      </c>
      <c r="E790" s="275" t="s">
        <v>2694</v>
      </c>
      <c r="F790" s="327">
        <v>17500</v>
      </c>
      <c r="G790" s="275" t="s">
        <v>2695</v>
      </c>
      <c r="H790" s="327">
        <v>23500</v>
      </c>
      <c r="I790" s="275" t="s">
        <v>2696</v>
      </c>
      <c r="J790" s="327">
        <v>18900</v>
      </c>
      <c r="K790" s="275" t="s">
        <v>2590</v>
      </c>
      <c r="L790" s="327">
        <v>23800</v>
      </c>
      <c r="M790" s="275" t="s">
        <v>2697</v>
      </c>
      <c r="N790" s="327">
        <v>28200</v>
      </c>
    </row>
    <row r="791" spans="1:14">
      <c r="A791" s="278" t="s">
        <v>2698</v>
      </c>
      <c r="B791" s="279" t="s">
        <v>2699</v>
      </c>
      <c r="C791" s="289">
        <v>800</v>
      </c>
      <c r="D791" s="319">
        <v>0.59</v>
      </c>
      <c r="E791" s="278" t="s">
        <v>2700</v>
      </c>
      <c r="F791" s="328">
        <v>13500</v>
      </c>
      <c r="G791" s="278" t="s">
        <v>2701</v>
      </c>
      <c r="H791" s="328">
        <v>17400</v>
      </c>
      <c r="I791" s="278" t="s">
        <v>2702</v>
      </c>
      <c r="J791" s="328">
        <v>14500</v>
      </c>
      <c r="K791" s="278" t="s">
        <v>2703</v>
      </c>
      <c r="L791" s="328">
        <v>17800</v>
      </c>
      <c r="M791" s="278" t="s">
        <v>2704</v>
      </c>
      <c r="N791" s="328">
        <v>20200</v>
      </c>
    </row>
    <row r="792" spans="1:14">
      <c r="A792" s="275" t="s">
        <v>2705</v>
      </c>
      <c r="B792" s="276" t="s">
        <v>2706</v>
      </c>
      <c r="C792" s="286">
        <v>36</v>
      </c>
      <c r="D792" s="318">
        <v>0.2</v>
      </c>
      <c r="E792" s="275" t="s">
        <v>2707</v>
      </c>
      <c r="F792" s="307">
        <v>6840</v>
      </c>
      <c r="G792" s="275" t="s">
        <v>2708</v>
      </c>
      <c r="H792" s="307">
        <v>4090</v>
      </c>
      <c r="I792" s="275" t="s">
        <v>2427</v>
      </c>
      <c r="J792" s="307">
        <v>6690</v>
      </c>
      <c r="K792" s="275" t="s">
        <v>2709</v>
      </c>
      <c r="L792" s="307">
        <v>4140</v>
      </c>
      <c r="M792" s="275" t="s">
        <v>2710</v>
      </c>
      <c r="N792" s="306">
        <v>1650</v>
      </c>
    </row>
    <row r="793" spans="1:14">
      <c r="A793" s="278" t="s">
        <v>2711</v>
      </c>
      <c r="B793" s="279" t="s">
        <v>2712</v>
      </c>
      <c r="C793" s="329">
        <v>50000</v>
      </c>
      <c r="D793" s="319">
        <v>0.09</v>
      </c>
      <c r="E793" s="278" t="s">
        <v>2418</v>
      </c>
      <c r="F793" s="309">
        <v>4880</v>
      </c>
      <c r="G793" s="278" t="s">
        <v>2713</v>
      </c>
      <c r="H793" s="309">
        <v>6630</v>
      </c>
      <c r="I793" s="278" t="s">
        <v>2404</v>
      </c>
      <c r="J793" s="309">
        <v>5270</v>
      </c>
      <c r="K793" s="278" t="s">
        <v>2714</v>
      </c>
      <c r="L793" s="309">
        <v>6690</v>
      </c>
      <c r="M793" s="278" t="s">
        <v>2715</v>
      </c>
      <c r="N793" s="308">
        <v>8040</v>
      </c>
    </row>
    <row r="794" spans="1:14">
      <c r="A794" s="275" t="s">
        <v>2716</v>
      </c>
      <c r="B794" s="276" t="s">
        <v>2717</v>
      </c>
      <c r="C794" s="326">
        <v>10000</v>
      </c>
      <c r="D794" s="318">
        <v>0.25</v>
      </c>
      <c r="E794" s="275" t="s">
        <v>2718</v>
      </c>
      <c r="F794" s="307">
        <v>8210</v>
      </c>
      <c r="G794" s="275" t="s">
        <v>2719</v>
      </c>
      <c r="H794" s="327">
        <v>11100</v>
      </c>
      <c r="I794" s="275" t="s">
        <v>2720</v>
      </c>
      <c r="J794" s="307">
        <v>8880</v>
      </c>
      <c r="K794" s="275" t="s">
        <v>2467</v>
      </c>
      <c r="L794" s="327">
        <v>11200</v>
      </c>
      <c r="M794" s="275" t="s">
        <v>2721</v>
      </c>
      <c r="N794" s="327">
        <v>13500</v>
      </c>
    </row>
    <row r="795" spans="1:14">
      <c r="A795" s="278" t="s">
        <v>2722</v>
      </c>
      <c r="B795" s="279" t="s">
        <v>2723</v>
      </c>
      <c r="C795" s="329">
        <v>3000</v>
      </c>
      <c r="D795" s="294" t="s">
        <v>2724</v>
      </c>
      <c r="E795" s="278" t="s">
        <v>2707</v>
      </c>
      <c r="F795" s="309">
        <v>6850</v>
      </c>
      <c r="G795" s="278" t="s">
        <v>2725</v>
      </c>
      <c r="H795" s="309">
        <v>9200</v>
      </c>
      <c r="I795" s="278" t="s">
        <v>2425</v>
      </c>
      <c r="J795" s="309">
        <v>7400</v>
      </c>
      <c r="K795" s="278" t="s">
        <v>2726</v>
      </c>
      <c r="L795" s="309">
        <v>9310</v>
      </c>
      <c r="M795" s="278" t="s">
        <v>2727</v>
      </c>
      <c r="N795" s="328">
        <v>11000</v>
      </c>
    </row>
    <row r="796" spans="1:14">
      <c r="A796" s="275" t="s">
        <v>2728</v>
      </c>
      <c r="B796" s="276" t="s">
        <v>2729</v>
      </c>
      <c r="C796" s="326">
        <v>2600</v>
      </c>
      <c r="D796" s="318">
        <v>0.28</v>
      </c>
      <c r="E796" s="275" t="s">
        <v>2730</v>
      </c>
      <c r="F796" s="307">
        <v>6640</v>
      </c>
      <c r="G796" s="275" t="s">
        <v>2731</v>
      </c>
      <c r="H796" s="307">
        <v>8900</v>
      </c>
      <c r="I796" s="275" t="s">
        <v>2234</v>
      </c>
      <c r="J796" s="307">
        <v>7180</v>
      </c>
      <c r="K796" s="275" t="s">
        <v>2226</v>
      </c>
      <c r="L796" s="307">
        <v>9010</v>
      </c>
      <c r="M796" s="275" t="s">
        <v>2732</v>
      </c>
      <c r="N796" s="327">
        <v>10700</v>
      </c>
    </row>
    <row r="797" spans="1:14">
      <c r="A797" s="300" t="s">
        <v>2733</v>
      </c>
      <c r="B797" s="330" t="s">
        <v>2734</v>
      </c>
      <c r="C797" s="331">
        <v>3200</v>
      </c>
      <c r="D797" s="320">
        <v>0.32</v>
      </c>
      <c r="E797" s="300" t="s">
        <v>2735</v>
      </c>
      <c r="F797" s="332">
        <v>7110</v>
      </c>
      <c r="G797" s="300" t="s">
        <v>2736</v>
      </c>
      <c r="H797" s="332">
        <v>9540</v>
      </c>
      <c r="I797" s="300" t="s">
        <v>2737</v>
      </c>
      <c r="J797" s="332">
        <v>7680</v>
      </c>
      <c r="K797" s="300" t="s">
        <v>2738</v>
      </c>
      <c r="L797" s="332">
        <v>9660</v>
      </c>
      <c r="M797" s="300" t="s">
        <v>2739</v>
      </c>
      <c r="N797" s="333">
        <v>11500</v>
      </c>
    </row>
    <row r="798" spans="1:14">
      <c r="A798" s="271" t="s">
        <v>2740</v>
      </c>
      <c r="B798" s="272" t="s">
        <v>2741</v>
      </c>
      <c r="C798" s="334">
        <v>2600</v>
      </c>
      <c r="D798" s="315">
        <v>0.36</v>
      </c>
      <c r="E798" s="271" t="s">
        <v>2707</v>
      </c>
      <c r="F798" s="335">
        <v>6870</v>
      </c>
      <c r="G798" s="271" t="s">
        <v>2725</v>
      </c>
      <c r="H798" s="335">
        <v>9200</v>
      </c>
      <c r="I798" s="271" t="s">
        <v>2742</v>
      </c>
      <c r="J798" s="335">
        <v>7420</v>
      </c>
      <c r="K798" s="271" t="s">
        <v>2743</v>
      </c>
      <c r="L798" s="335">
        <v>9320</v>
      </c>
      <c r="M798" s="271" t="s">
        <v>2744</v>
      </c>
      <c r="N798" s="305">
        <v>11000</v>
      </c>
    </row>
    <row r="799" spans="1:14">
      <c r="A799" s="275" t="s">
        <v>2745</v>
      </c>
      <c r="B799" s="276" t="s">
        <v>2746</v>
      </c>
      <c r="C799" s="275" t="s">
        <v>2747</v>
      </c>
      <c r="D799" s="292" t="s">
        <v>2748</v>
      </c>
      <c r="E799" s="275" t="s">
        <v>2749</v>
      </c>
      <c r="F799" s="306">
        <v>7</v>
      </c>
      <c r="G799" s="275" t="s">
        <v>2749</v>
      </c>
      <c r="H799" s="306">
        <v>2</v>
      </c>
      <c r="I799" s="275" t="s">
        <v>2750</v>
      </c>
      <c r="J799" s="306">
        <v>2</v>
      </c>
      <c r="K799" s="275" t="s">
        <v>2751</v>
      </c>
      <c r="L799" s="311" t="s">
        <v>2391</v>
      </c>
      <c r="M799" s="275" t="s">
        <v>2752</v>
      </c>
      <c r="N799" s="311" t="s">
        <v>2391</v>
      </c>
    </row>
    <row r="800" spans="1:14">
      <c r="A800" s="278" t="s">
        <v>2753</v>
      </c>
      <c r="B800" s="279" t="s">
        <v>2754</v>
      </c>
      <c r="C800" s="329">
        <v>4100</v>
      </c>
      <c r="D800" s="319">
        <v>0.41</v>
      </c>
      <c r="E800" s="278" t="s">
        <v>2755</v>
      </c>
      <c r="F800" s="309">
        <v>6350</v>
      </c>
      <c r="G800" s="278" t="s">
        <v>2756</v>
      </c>
      <c r="H800" s="309">
        <v>8550</v>
      </c>
      <c r="I800" s="278" t="s">
        <v>2757</v>
      </c>
      <c r="J800" s="309">
        <v>6860</v>
      </c>
      <c r="K800" s="278" t="s">
        <v>2758</v>
      </c>
      <c r="L800" s="309">
        <v>8650</v>
      </c>
      <c r="M800" s="278" t="s">
        <v>2759</v>
      </c>
      <c r="N800" s="328">
        <v>10300</v>
      </c>
    </row>
    <row r="801" spans="1:14">
      <c r="A801" s="275" t="s">
        <v>2760</v>
      </c>
      <c r="B801" s="276" t="s">
        <v>2761</v>
      </c>
      <c r="C801" s="326">
        <v>3100</v>
      </c>
      <c r="D801" s="318">
        <v>0.44</v>
      </c>
      <c r="E801" s="275" t="s">
        <v>2762</v>
      </c>
      <c r="F801" s="307">
        <v>5890</v>
      </c>
      <c r="G801" s="275" t="s">
        <v>2763</v>
      </c>
      <c r="H801" s="307">
        <v>7910</v>
      </c>
      <c r="I801" s="275" t="s">
        <v>2764</v>
      </c>
      <c r="J801" s="307">
        <v>6370</v>
      </c>
      <c r="K801" s="275" t="s">
        <v>2765</v>
      </c>
      <c r="L801" s="307">
        <v>8010</v>
      </c>
      <c r="M801" s="275" t="s">
        <v>2766</v>
      </c>
      <c r="N801" s="306">
        <v>9490</v>
      </c>
    </row>
    <row r="802" spans="1:14">
      <c r="A802" s="278" t="s">
        <v>2767</v>
      </c>
      <c r="B802" s="279" t="s">
        <v>2768</v>
      </c>
      <c r="C802" s="329">
        <v>3000</v>
      </c>
      <c r="D802" s="319">
        <v>0.5</v>
      </c>
      <c r="E802" s="278" t="s">
        <v>2769</v>
      </c>
      <c r="F802" s="309">
        <v>5830</v>
      </c>
      <c r="G802" s="278" t="s">
        <v>2770</v>
      </c>
      <c r="H802" s="309">
        <v>7820</v>
      </c>
      <c r="I802" s="278" t="s">
        <v>2771</v>
      </c>
      <c r="J802" s="309">
        <v>6290</v>
      </c>
      <c r="K802" s="278" t="s">
        <v>2772</v>
      </c>
      <c r="L802" s="309">
        <v>7920</v>
      </c>
      <c r="M802" s="278" t="s">
        <v>2773</v>
      </c>
      <c r="N802" s="308">
        <v>9380</v>
      </c>
    </row>
    <row r="803" spans="1:14">
      <c r="A803" s="275" t="s">
        <v>2774</v>
      </c>
      <c r="B803" s="276" t="s">
        <v>2775</v>
      </c>
      <c r="C803" s="326">
        <v>3000</v>
      </c>
      <c r="D803" s="318">
        <v>0.55</v>
      </c>
      <c r="E803" s="275" t="s">
        <v>2776</v>
      </c>
      <c r="F803" s="307">
        <v>5680</v>
      </c>
      <c r="G803" s="275" t="s">
        <v>2777</v>
      </c>
      <c r="H803" s="307">
        <v>7620</v>
      </c>
      <c r="I803" s="275" t="s">
        <v>2778</v>
      </c>
      <c r="J803" s="307">
        <v>6130</v>
      </c>
      <c r="K803" s="275" t="s">
        <v>2370</v>
      </c>
      <c r="L803" s="307">
        <v>7710</v>
      </c>
      <c r="M803" s="275" t="s">
        <v>2779</v>
      </c>
      <c r="N803" s="306">
        <v>9140</v>
      </c>
    </row>
    <row r="804" spans="1:14">
      <c r="A804" s="278" t="s">
        <v>2780</v>
      </c>
      <c r="B804" s="279" t="s">
        <v>2781</v>
      </c>
      <c r="C804" s="329">
        <v>2000</v>
      </c>
      <c r="D804" s="319">
        <v>0.55</v>
      </c>
      <c r="E804" s="278" t="s">
        <v>2402</v>
      </c>
      <c r="F804" s="309">
        <v>5390</v>
      </c>
      <c r="G804" s="278" t="s">
        <v>2782</v>
      </c>
      <c r="H804" s="309">
        <v>7190</v>
      </c>
      <c r="I804" s="278" t="s">
        <v>2783</v>
      </c>
      <c r="J804" s="309">
        <v>5820</v>
      </c>
      <c r="K804" s="278" t="s">
        <v>2784</v>
      </c>
      <c r="L804" s="309">
        <v>7290</v>
      </c>
      <c r="M804" s="278" t="s">
        <v>2227</v>
      </c>
      <c r="N804" s="308">
        <v>8570</v>
      </c>
    </row>
    <row r="805" spans="1:14">
      <c r="A805" s="275" t="s">
        <v>2785</v>
      </c>
      <c r="B805" s="276" t="s">
        <v>2786</v>
      </c>
      <c r="C805" s="326">
        <v>2000</v>
      </c>
      <c r="D805" s="318">
        <v>0.56</v>
      </c>
      <c r="E805" s="275" t="s">
        <v>2682</v>
      </c>
      <c r="F805" s="307">
        <v>5430</v>
      </c>
      <c r="G805" s="275" t="s">
        <v>2787</v>
      </c>
      <c r="H805" s="307">
        <v>7240</v>
      </c>
      <c r="I805" s="275" t="s">
        <v>2788</v>
      </c>
      <c r="J805" s="307">
        <v>5860</v>
      </c>
      <c r="K805" s="275" t="s">
        <v>2789</v>
      </c>
      <c r="L805" s="307">
        <v>7340</v>
      </c>
      <c r="M805" s="275" t="s">
        <v>2790</v>
      </c>
      <c r="N805" s="306">
        <v>8630</v>
      </c>
    </row>
    <row r="806" spans="1:14">
      <c r="A806" s="278" t="s">
        <v>2791</v>
      </c>
      <c r="B806" s="279" t="s">
        <v>2792</v>
      </c>
      <c r="C806" s="329">
        <v>2000</v>
      </c>
      <c r="D806" s="319">
        <v>0.48</v>
      </c>
      <c r="E806" s="278" t="s">
        <v>2793</v>
      </c>
      <c r="F806" s="309">
        <v>4720</v>
      </c>
      <c r="G806" s="278" t="s">
        <v>2658</v>
      </c>
      <c r="H806" s="309">
        <v>6290</v>
      </c>
      <c r="I806" s="278" t="s">
        <v>2794</v>
      </c>
      <c r="J806" s="309">
        <v>5090</v>
      </c>
      <c r="K806" s="278" t="s">
        <v>2795</v>
      </c>
      <c r="L806" s="309">
        <v>6380</v>
      </c>
      <c r="M806" s="278" t="s">
        <v>2796</v>
      </c>
      <c r="N806" s="308">
        <v>7500</v>
      </c>
    </row>
    <row r="807" spans="1:14">
      <c r="A807" s="275" t="s">
        <v>2797</v>
      </c>
      <c r="B807" s="276" t="s">
        <v>2798</v>
      </c>
      <c r="C807" s="275" t="s">
        <v>2799</v>
      </c>
      <c r="D807" s="336">
        <v>0.002</v>
      </c>
      <c r="E807" s="275" t="s">
        <v>2800</v>
      </c>
      <c r="F807" s="311" t="s">
        <v>2391</v>
      </c>
      <c r="G807" s="275" t="s">
        <v>2800</v>
      </c>
      <c r="H807" s="311" t="s">
        <v>2391</v>
      </c>
      <c r="I807" s="275" t="s">
        <v>2801</v>
      </c>
      <c r="J807" s="311" t="s">
        <v>2391</v>
      </c>
      <c r="K807" s="275" t="s">
        <v>2802</v>
      </c>
      <c r="L807" s="311" t="s">
        <v>2391</v>
      </c>
      <c r="M807" s="275" t="s">
        <v>2803</v>
      </c>
      <c r="N807" s="311" t="s">
        <v>2391</v>
      </c>
    </row>
    <row r="808" spans="1:14">
      <c r="A808" s="278" t="s">
        <v>2804</v>
      </c>
      <c r="B808" s="294" t="s">
        <v>2805</v>
      </c>
      <c r="C808" s="278" t="s">
        <v>2523</v>
      </c>
      <c r="D808" s="319">
        <v>0.01</v>
      </c>
      <c r="E808" s="278" t="s">
        <v>2806</v>
      </c>
      <c r="F808" s="310" t="s">
        <v>2391</v>
      </c>
      <c r="G808" s="278" t="s">
        <v>2806</v>
      </c>
      <c r="H808" s="310" t="s">
        <v>2391</v>
      </c>
      <c r="I808" s="278" t="s">
        <v>2807</v>
      </c>
      <c r="J808" s="310" t="s">
        <v>2391</v>
      </c>
      <c r="K808" s="278" t="s">
        <v>2808</v>
      </c>
      <c r="L808" s="310" t="s">
        <v>2391</v>
      </c>
      <c r="M808" s="278" t="s">
        <v>2809</v>
      </c>
      <c r="N808" s="310" t="s">
        <v>2391</v>
      </c>
    </row>
    <row r="809" spans="1:14">
      <c r="A809" s="275" t="s">
        <v>2810</v>
      </c>
      <c r="B809" s="292" t="s">
        <v>2811</v>
      </c>
      <c r="C809" s="275" t="s">
        <v>2799</v>
      </c>
      <c r="D809" s="336">
        <v>0.003</v>
      </c>
      <c r="E809" s="275" t="s">
        <v>2812</v>
      </c>
      <c r="F809" s="311" t="s">
        <v>2391</v>
      </c>
      <c r="G809" s="275" t="s">
        <v>2812</v>
      </c>
      <c r="H809" s="311" t="s">
        <v>2391</v>
      </c>
      <c r="I809" s="275" t="s">
        <v>2813</v>
      </c>
      <c r="J809" s="311" t="s">
        <v>2391</v>
      </c>
      <c r="K809" s="275" t="s">
        <v>2814</v>
      </c>
      <c r="L809" s="311" t="s">
        <v>2391</v>
      </c>
      <c r="M809" s="275" t="s">
        <v>2815</v>
      </c>
      <c r="N809" s="311" t="s">
        <v>2391</v>
      </c>
    </row>
    <row r="810" spans="1:14">
      <c r="A810" s="278" t="s">
        <v>2816</v>
      </c>
      <c r="B810" s="294" t="s">
        <v>2817</v>
      </c>
      <c r="C810" s="278" t="s">
        <v>2818</v>
      </c>
      <c r="D810" s="319">
        <v>0.02</v>
      </c>
      <c r="E810" s="278" t="s">
        <v>2819</v>
      </c>
      <c r="F810" s="310" t="s">
        <v>2391</v>
      </c>
      <c r="G810" s="278" t="s">
        <v>2819</v>
      </c>
      <c r="H810" s="310" t="s">
        <v>2391</v>
      </c>
      <c r="I810" s="278" t="s">
        <v>2820</v>
      </c>
      <c r="J810" s="310" t="s">
        <v>2391</v>
      </c>
      <c r="K810" s="278" t="s">
        <v>2821</v>
      </c>
      <c r="L810" s="310" t="s">
        <v>2391</v>
      </c>
      <c r="M810" s="278" t="s">
        <v>2822</v>
      </c>
      <c r="N810" s="310" t="s">
        <v>2391</v>
      </c>
    </row>
    <row r="811" spans="1:14">
      <c r="A811" s="281" t="s">
        <v>2823</v>
      </c>
      <c r="B811" s="295" t="s">
        <v>2824</v>
      </c>
      <c r="C811" s="281" t="s">
        <v>2747</v>
      </c>
      <c r="D811" s="322">
        <v>0.07</v>
      </c>
      <c r="E811" s="281" t="s">
        <v>2488</v>
      </c>
      <c r="F811" s="312">
        <v>6</v>
      </c>
      <c r="G811" s="281" t="s">
        <v>2488</v>
      </c>
      <c r="H811" s="312">
        <v>2</v>
      </c>
      <c r="I811" s="281" t="s">
        <v>2825</v>
      </c>
      <c r="J811" s="312">
        <v>2</v>
      </c>
      <c r="K811" s="281" t="s">
        <v>2826</v>
      </c>
      <c r="L811" s="313" t="s">
        <v>2391</v>
      </c>
      <c r="M811" s="281" t="s">
        <v>2827</v>
      </c>
      <c r="N811" s="313" t="s">
        <v>2391</v>
      </c>
    </row>
    <row r="812" spans="1:14">
      <c r="A812" s="271" t="s">
        <v>2828</v>
      </c>
      <c r="B812" s="314" t="s">
        <v>2829</v>
      </c>
      <c r="C812" s="304">
        <v>119</v>
      </c>
      <c r="D812" s="315">
        <v>0.41</v>
      </c>
      <c r="E812" s="271" t="s">
        <v>2830</v>
      </c>
      <c r="F812" s="305">
        <v>12400</v>
      </c>
      <c r="G812" s="271" t="s">
        <v>2324</v>
      </c>
      <c r="H812" s="305">
        <v>12400</v>
      </c>
      <c r="I812" s="271" t="s">
        <v>2831</v>
      </c>
      <c r="J812" s="305">
        <v>13000</v>
      </c>
      <c r="K812" s="271" t="s">
        <v>2832</v>
      </c>
      <c r="L812" s="305">
        <v>13200</v>
      </c>
      <c r="M812" s="271" t="s">
        <v>2833</v>
      </c>
      <c r="N812" s="305">
        <v>10900</v>
      </c>
    </row>
    <row r="813" spans="1:14">
      <c r="A813" s="275" t="s">
        <v>2834</v>
      </c>
      <c r="B813" s="292" t="s">
        <v>2835</v>
      </c>
      <c r="C813" s="286">
        <v>24.4</v>
      </c>
      <c r="D813" s="318">
        <v>0.44</v>
      </c>
      <c r="E813" s="275" t="s">
        <v>2836</v>
      </c>
      <c r="F813" s="327">
        <v>11600</v>
      </c>
      <c r="G813" s="275" t="s">
        <v>2837</v>
      </c>
      <c r="H813" s="307">
        <v>5560</v>
      </c>
      <c r="I813" s="275" t="s">
        <v>2838</v>
      </c>
      <c r="J813" s="327">
        <v>10800</v>
      </c>
      <c r="K813" s="275" t="s">
        <v>2839</v>
      </c>
      <c r="L813" s="307">
        <v>4900</v>
      </c>
      <c r="M813" s="275" t="s">
        <v>2840</v>
      </c>
      <c r="N813" s="306">
        <v>1430</v>
      </c>
    </row>
    <row r="814" spans="1:14">
      <c r="A814" s="278" t="s">
        <v>2841</v>
      </c>
      <c r="B814" s="279" t="s">
        <v>2842</v>
      </c>
      <c r="C814" s="298">
        <v>4.8</v>
      </c>
      <c r="D814" s="319">
        <v>0.18</v>
      </c>
      <c r="E814" s="278" t="s">
        <v>2843</v>
      </c>
      <c r="F814" s="309">
        <v>1890</v>
      </c>
      <c r="G814" s="278" t="s">
        <v>2844</v>
      </c>
      <c r="H814" s="308">
        <v>523</v>
      </c>
      <c r="I814" s="278" t="s">
        <v>2845</v>
      </c>
      <c r="J814" s="309">
        <v>1020</v>
      </c>
      <c r="K814" s="278" t="s">
        <v>2846</v>
      </c>
      <c r="L814" s="308">
        <v>108</v>
      </c>
      <c r="M814" s="278" t="s">
        <v>2847</v>
      </c>
      <c r="N814" s="308">
        <v>73</v>
      </c>
    </row>
    <row r="815" spans="1:14">
      <c r="A815" s="275" t="s">
        <v>2848</v>
      </c>
      <c r="B815" s="292" t="s">
        <v>2849</v>
      </c>
      <c r="C815" s="286">
        <v>51.6</v>
      </c>
      <c r="D815" s="318">
        <v>0.44</v>
      </c>
      <c r="E815" s="275" t="s">
        <v>2850</v>
      </c>
      <c r="F815" s="307">
        <v>8900</v>
      </c>
      <c r="G815" s="275" t="s">
        <v>2851</v>
      </c>
      <c r="H815" s="307">
        <v>6450</v>
      </c>
      <c r="I815" s="275" t="s">
        <v>2852</v>
      </c>
      <c r="J815" s="307">
        <v>8980</v>
      </c>
      <c r="K815" s="275" t="s">
        <v>2853</v>
      </c>
      <c r="L815" s="307">
        <v>6850</v>
      </c>
      <c r="M815" s="275" t="s">
        <v>2854</v>
      </c>
      <c r="N815" s="306">
        <v>3630</v>
      </c>
    </row>
    <row r="816" spans="1:14">
      <c r="A816" s="278" t="s">
        <v>2855</v>
      </c>
      <c r="B816" s="294" t="s">
        <v>2856</v>
      </c>
      <c r="C816" s="298">
        <v>4.3</v>
      </c>
      <c r="D816" s="319">
        <v>0.41</v>
      </c>
      <c r="E816" s="278" t="s">
        <v>2857</v>
      </c>
      <c r="F816" s="309">
        <v>2120</v>
      </c>
      <c r="G816" s="278" t="s">
        <v>2858</v>
      </c>
      <c r="H816" s="308">
        <v>583</v>
      </c>
      <c r="I816" s="278" t="s">
        <v>2859</v>
      </c>
      <c r="J816" s="309">
        <v>1080</v>
      </c>
      <c r="K816" s="278" t="s">
        <v>2860</v>
      </c>
      <c r="L816" s="308">
        <v>116</v>
      </c>
      <c r="M816" s="278" t="s">
        <v>2271</v>
      </c>
      <c r="N816" s="308">
        <v>81</v>
      </c>
    </row>
    <row r="817" spans="1:14">
      <c r="A817" s="275" t="s">
        <v>2861</v>
      </c>
      <c r="B817" s="292" t="s">
        <v>2862</v>
      </c>
      <c r="C817" s="293">
        <v>3.5</v>
      </c>
      <c r="D817" s="318">
        <v>0.42</v>
      </c>
      <c r="E817" s="275" t="s">
        <v>2863</v>
      </c>
      <c r="F817" s="307">
        <v>1800</v>
      </c>
      <c r="G817" s="275" t="s">
        <v>2864</v>
      </c>
      <c r="H817" s="306">
        <v>491</v>
      </c>
      <c r="I817" s="275" t="s">
        <v>2865</v>
      </c>
      <c r="J817" s="306">
        <v>822</v>
      </c>
      <c r="K817" s="275" t="s">
        <v>2866</v>
      </c>
      <c r="L817" s="306">
        <v>93</v>
      </c>
      <c r="M817" s="275" t="s">
        <v>2867</v>
      </c>
      <c r="N817" s="306">
        <v>68</v>
      </c>
    </row>
    <row r="818" spans="1:14">
      <c r="A818" s="278" t="s">
        <v>2868</v>
      </c>
      <c r="B818" s="294" t="s">
        <v>2869</v>
      </c>
      <c r="C818" s="289">
        <v>20.8</v>
      </c>
      <c r="D818" s="294" t="s">
        <v>2870</v>
      </c>
      <c r="E818" s="278" t="s">
        <v>2396</v>
      </c>
      <c r="F818" s="309">
        <v>9710</v>
      </c>
      <c r="G818" s="278" t="s">
        <v>2871</v>
      </c>
      <c r="H818" s="309">
        <v>4240</v>
      </c>
      <c r="I818" s="278" t="s">
        <v>2727</v>
      </c>
      <c r="J818" s="309">
        <v>8820</v>
      </c>
      <c r="K818" s="278" t="s">
        <v>2872</v>
      </c>
      <c r="L818" s="309">
        <v>3400</v>
      </c>
      <c r="M818" s="278" t="s">
        <v>2873</v>
      </c>
      <c r="N818" s="308">
        <v>912</v>
      </c>
    </row>
    <row r="819" spans="1:14">
      <c r="A819" s="275" t="s">
        <v>2874</v>
      </c>
      <c r="B819" s="292" t="s">
        <v>2875</v>
      </c>
      <c r="C819" s="286">
        <v>10.8</v>
      </c>
      <c r="D819" s="318">
        <v>0.45</v>
      </c>
      <c r="E819" s="275" t="s">
        <v>2876</v>
      </c>
      <c r="F819" s="307">
        <v>5550</v>
      </c>
      <c r="G819" s="275" t="s">
        <v>2877</v>
      </c>
      <c r="H819" s="307">
        <v>1790</v>
      </c>
      <c r="I819" s="275" t="s">
        <v>2878</v>
      </c>
      <c r="J819" s="307">
        <v>4280</v>
      </c>
      <c r="K819" s="275" t="s">
        <v>2879</v>
      </c>
      <c r="L819" s="306">
        <v>753</v>
      </c>
      <c r="M819" s="275" t="s">
        <v>2880</v>
      </c>
      <c r="N819" s="306">
        <v>260</v>
      </c>
    </row>
    <row r="820" spans="1:14">
      <c r="A820" s="278" t="s">
        <v>2881</v>
      </c>
      <c r="B820" s="294" t="s">
        <v>2882</v>
      </c>
      <c r="C820" s="298">
        <v>7.5</v>
      </c>
      <c r="D820" s="319">
        <v>0.36</v>
      </c>
      <c r="E820" s="278" t="s">
        <v>2883</v>
      </c>
      <c r="F820" s="309">
        <v>3350</v>
      </c>
      <c r="G820" s="278" t="s">
        <v>2884</v>
      </c>
      <c r="H820" s="308">
        <v>979</v>
      </c>
      <c r="I820" s="278" t="s">
        <v>2398</v>
      </c>
      <c r="J820" s="309">
        <v>2240</v>
      </c>
      <c r="K820" s="278" t="s">
        <v>2885</v>
      </c>
      <c r="L820" s="308">
        <v>273</v>
      </c>
      <c r="M820" s="278" t="s">
        <v>2886</v>
      </c>
      <c r="N820" s="308">
        <v>138</v>
      </c>
    </row>
    <row r="821" spans="1:14">
      <c r="A821" s="275" t="s">
        <v>2887</v>
      </c>
      <c r="B821" s="292" t="s">
        <v>2888</v>
      </c>
      <c r="C821" s="293">
        <v>4.9</v>
      </c>
      <c r="D821" s="318">
        <v>0.33</v>
      </c>
      <c r="E821" s="275" t="s">
        <v>2889</v>
      </c>
      <c r="F821" s="307">
        <v>2360</v>
      </c>
      <c r="G821" s="275" t="s">
        <v>2890</v>
      </c>
      <c r="H821" s="306">
        <v>654</v>
      </c>
      <c r="I821" s="275" t="s">
        <v>2891</v>
      </c>
      <c r="J821" s="307">
        <v>1280</v>
      </c>
      <c r="K821" s="275" t="s">
        <v>2892</v>
      </c>
      <c r="L821" s="306">
        <v>136</v>
      </c>
      <c r="M821" s="275" t="s">
        <v>2893</v>
      </c>
      <c r="N821" s="306">
        <v>91</v>
      </c>
    </row>
    <row r="822" spans="1:14">
      <c r="A822" s="278" t="s">
        <v>2894</v>
      </c>
      <c r="B822" s="294" t="s">
        <v>2895</v>
      </c>
      <c r="C822" s="298">
        <v>6.6</v>
      </c>
      <c r="D822" s="319">
        <v>0.31</v>
      </c>
      <c r="E822" s="278" t="s">
        <v>2896</v>
      </c>
      <c r="F822" s="309">
        <v>2900</v>
      </c>
      <c r="G822" s="278" t="s">
        <v>2897</v>
      </c>
      <c r="H822" s="308">
        <v>828</v>
      </c>
      <c r="I822" s="278" t="s">
        <v>2898</v>
      </c>
      <c r="J822" s="309">
        <v>1820</v>
      </c>
      <c r="K822" s="278" t="s">
        <v>2899</v>
      </c>
      <c r="L822" s="308">
        <v>206</v>
      </c>
      <c r="M822" s="278" t="s">
        <v>2900</v>
      </c>
      <c r="N822" s="308">
        <v>116</v>
      </c>
    </row>
    <row r="823" spans="1:14">
      <c r="A823" s="275" t="s">
        <v>2901</v>
      </c>
      <c r="B823" s="292" t="s">
        <v>2902</v>
      </c>
      <c r="C823" s="293">
        <v>5.5</v>
      </c>
      <c r="D823" s="318">
        <v>0.36</v>
      </c>
      <c r="E823" s="275" t="s">
        <v>2903</v>
      </c>
      <c r="F823" s="307">
        <v>2910</v>
      </c>
      <c r="G823" s="275" t="s">
        <v>2904</v>
      </c>
      <c r="H823" s="306">
        <v>812</v>
      </c>
      <c r="I823" s="275" t="s">
        <v>2905</v>
      </c>
      <c r="J823" s="307">
        <v>1670</v>
      </c>
      <c r="K823" s="275" t="s">
        <v>2359</v>
      </c>
      <c r="L823" s="306">
        <v>179</v>
      </c>
      <c r="M823" s="275" t="s">
        <v>2906</v>
      </c>
      <c r="N823" s="306">
        <v>114</v>
      </c>
    </row>
    <row r="824" spans="1:14">
      <c r="A824" s="278" t="s">
        <v>2907</v>
      </c>
      <c r="B824" s="294" t="s">
        <v>2908</v>
      </c>
      <c r="C824" s="298">
        <v>0.3</v>
      </c>
      <c r="D824" s="319">
        <v>0.14</v>
      </c>
      <c r="E824" s="278" t="s">
        <v>2909</v>
      </c>
      <c r="F824" s="308">
        <v>69</v>
      </c>
      <c r="G824" s="278" t="s">
        <v>2909</v>
      </c>
      <c r="H824" s="308">
        <v>19</v>
      </c>
      <c r="I824" s="278" t="s">
        <v>2910</v>
      </c>
      <c r="J824" s="308">
        <v>21</v>
      </c>
      <c r="K824" s="278" t="s">
        <v>2911</v>
      </c>
      <c r="L824" s="308">
        <v>3</v>
      </c>
      <c r="M824" s="278" t="s">
        <v>2912</v>
      </c>
      <c r="N824" s="308">
        <v>3</v>
      </c>
    </row>
    <row r="825" spans="1:14">
      <c r="A825" s="275" t="s">
        <v>2913</v>
      </c>
      <c r="B825" s="292" t="s">
        <v>2914</v>
      </c>
      <c r="C825" s="293">
        <v>2.5</v>
      </c>
      <c r="D825" s="318">
        <v>0.26</v>
      </c>
      <c r="E825" s="275" t="s">
        <v>2915</v>
      </c>
      <c r="F825" s="307">
        <v>1110</v>
      </c>
      <c r="G825" s="275" t="s">
        <v>2915</v>
      </c>
      <c r="H825" s="306">
        <v>301</v>
      </c>
      <c r="I825" s="275" t="s">
        <v>2916</v>
      </c>
      <c r="J825" s="306">
        <v>438</v>
      </c>
      <c r="K825" s="275" t="s">
        <v>2917</v>
      </c>
      <c r="L825" s="306">
        <v>54</v>
      </c>
      <c r="M825" s="275" t="s">
        <v>2918</v>
      </c>
      <c r="N825" s="306">
        <v>42</v>
      </c>
    </row>
    <row r="826" spans="1:14">
      <c r="A826" s="278" t="s">
        <v>2919</v>
      </c>
      <c r="B826" s="294" t="s">
        <v>2920</v>
      </c>
      <c r="C826" s="278" t="s">
        <v>2921</v>
      </c>
      <c r="D826" s="319">
        <v>0.04</v>
      </c>
      <c r="E826" s="278" t="s">
        <v>2922</v>
      </c>
      <c r="F826" s="308">
        <v>5</v>
      </c>
      <c r="G826" s="278" t="s">
        <v>2922</v>
      </c>
      <c r="H826" s="308">
        <v>1</v>
      </c>
      <c r="I826" s="278" t="s">
        <v>2923</v>
      </c>
      <c r="J826" s="308">
        <v>1</v>
      </c>
      <c r="K826" s="278" t="s">
        <v>2924</v>
      </c>
      <c r="L826" s="310" t="s">
        <v>2391</v>
      </c>
      <c r="M826" s="278" t="s">
        <v>2925</v>
      </c>
      <c r="N826" s="310" t="s">
        <v>2391</v>
      </c>
    </row>
    <row r="827" spans="1:14">
      <c r="A827" s="275" t="s">
        <v>2926</v>
      </c>
      <c r="B827" s="292" t="s">
        <v>2927</v>
      </c>
      <c r="C827" s="293">
        <v>0.4</v>
      </c>
      <c r="D827" s="318">
        <v>0.13</v>
      </c>
      <c r="E827" s="275" t="s">
        <v>2653</v>
      </c>
      <c r="F827" s="306">
        <v>108</v>
      </c>
      <c r="G827" s="275" t="s">
        <v>2653</v>
      </c>
      <c r="H827" s="306">
        <v>29</v>
      </c>
      <c r="I827" s="275" t="s">
        <v>2928</v>
      </c>
      <c r="J827" s="306">
        <v>33</v>
      </c>
      <c r="K827" s="275" t="s">
        <v>2929</v>
      </c>
      <c r="L827" s="306">
        <v>5</v>
      </c>
      <c r="M827" s="275" t="s">
        <v>2930</v>
      </c>
      <c r="N827" s="306">
        <v>4</v>
      </c>
    </row>
    <row r="828" spans="1:14">
      <c r="A828" s="278" t="s">
        <v>2931</v>
      </c>
      <c r="B828" s="294" t="s">
        <v>2932</v>
      </c>
      <c r="C828" s="278" t="s">
        <v>2933</v>
      </c>
      <c r="D828" s="319">
        <v>0.02</v>
      </c>
      <c r="E828" s="278" t="s">
        <v>2934</v>
      </c>
      <c r="F828" s="308">
        <v>1</v>
      </c>
      <c r="G828" s="278" t="s">
        <v>2934</v>
      </c>
      <c r="H828" s="310" t="s">
        <v>2391</v>
      </c>
      <c r="I828" s="278" t="s">
        <v>2935</v>
      </c>
      <c r="J828" s="310" t="s">
        <v>2391</v>
      </c>
      <c r="K828" s="278" t="s">
        <v>2936</v>
      </c>
      <c r="L828" s="310" t="s">
        <v>2391</v>
      </c>
      <c r="M828" s="278" t="s">
        <v>2533</v>
      </c>
      <c r="N828" s="310" t="s">
        <v>2391</v>
      </c>
    </row>
    <row r="829" spans="1:14">
      <c r="A829" s="275" t="s">
        <v>2937</v>
      </c>
      <c r="B829" s="292" t="s">
        <v>2938</v>
      </c>
      <c r="C829" s="286">
        <v>22.5</v>
      </c>
      <c r="D829" s="318">
        <v>0.53</v>
      </c>
      <c r="E829" s="275" t="s">
        <v>2939</v>
      </c>
      <c r="F829" s="307">
        <v>6720</v>
      </c>
      <c r="G829" s="275" t="s">
        <v>2940</v>
      </c>
      <c r="H829" s="307">
        <v>3070</v>
      </c>
      <c r="I829" s="275" t="s">
        <v>2941</v>
      </c>
      <c r="J829" s="307">
        <v>6180</v>
      </c>
      <c r="K829" s="275" t="s">
        <v>2942</v>
      </c>
      <c r="L829" s="307">
        <v>2580</v>
      </c>
      <c r="M829" s="275" t="s">
        <v>2943</v>
      </c>
      <c r="N829" s="306">
        <v>718</v>
      </c>
    </row>
    <row r="830" spans="1:14">
      <c r="A830" s="300" t="s">
        <v>2944</v>
      </c>
      <c r="B830" s="299" t="s">
        <v>2945</v>
      </c>
      <c r="C830" s="337">
        <v>21.2</v>
      </c>
      <c r="D830" s="320">
        <v>0.44</v>
      </c>
      <c r="E830" s="300" t="s">
        <v>2946</v>
      </c>
      <c r="F830" s="332">
        <v>5940</v>
      </c>
      <c r="G830" s="300" t="s">
        <v>2947</v>
      </c>
      <c r="H830" s="332">
        <v>2620</v>
      </c>
      <c r="I830" s="300" t="s">
        <v>2948</v>
      </c>
      <c r="J830" s="332">
        <v>5410</v>
      </c>
      <c r="K830" s="300" t="s">
        <v>2949</v>
      </c>
      <c r="L830" s="332">
        <v>2130</v>
      </c>
      <c r="M830" s="300" t="s">
        <v>2950</v>
      </c>
      <c r="N830" s="338">
        <v>575</v>
      </c>
    </row>
    <row r="831" spans="1:14">
      <c r="A831" s="271" t="s">
        <v>2951</v>
      </c>
      <c r="B831" s="314" t="s">
        <v>2952</v>
      </c>
      <c r="C831" s="284">
        <v>7.5</v>
      </c>
      <c r="D831" s="315">
        <v>0.44</v>
      </c>
      <c r="E831" s="271" t="s">
        <v>2953</v>
      </c>
      <c r="F831" s="335">
        <v>3180</v>
      </c>
      <c r="G831" s="271" t="s">
        <v>2954</v>
      </c>
      <c r="H831" s="316">
        <v>929</v>
      </c>
      <c r="I831" s="271" t="s">
        <v>2955</v>
      </c>
      <c r="J831" s="335">
        <v>2120</v>
      </c>
      <c r="K831" s="271" t="s">
        <v>2956</v>
      </c>
      <c r="L831" s="316">
        <v>259</v>
      </c>
      <c r="M831" s="271" t="s">
        <v>2957</v>
      </c>
      <c r="N831" s="316">
        <v>131</v>
      </c>
    </row>
    <row r="832" spans="1:14">
      <c r="A832" s="275" t="s">
        <v>2958</v>
      </c>
      <c r="B832" s="292" t="s">
        <v>2959</v>
      </c>
      <c r="C832" s="293">
        <v>2.2</v>
      </c>
      <c r="D832" s="318">
        <v>0.32</v>
      </c>
      <c r="E832" s="275" t="s">
        <v>2960</v>
      </c>
      <c r="F832" s="306">
        <v>795</v>
      </c>
      <c r="G832" s="275" t="s">
        <v>2960</v>
      </c>
      <c r="H832" s="306">
        <v>216</v>
      </c>
      <c r="I832" s="275" t="s">
        <v>2961</v>
      </c>
      <c r="J832" s="306">
        <v>302</v>
      </c>
      <c r="K832" s="275" t="s">
        <v>2962</v>
      </c>
      <c r="L832" s="306">
        <v>38</v>
      </c>
      <c r="M832" s="275" t="s">
        <v>2963</v>
      </c>
      <c r="N832" s="306">
        <v>30</v>
      </c>
    </row>
    <row r="833" spans="1:14">
      <c r="A833" s="278" t="s">
        <v>2964</v>
      </c>
      <c r="B833" s="294" t="s">
        <v>2965</v>
      </c>
      <c r="C833" s="298">
        <v>5</v>
      </c>
      <c r="D833" s="319">
        <v>0.35</v>
      </c>
      <c r="E833" s="278" t="s">
        <v>2966</v>
      </c>
      <c r="F833" s="309">
        <v>1910</v>
      </c>
      <c r="G833" s="278" t="s">
        <v>2967</v>
      </c>
      <c r="H833" s="308">
        <v>530</v>
      </c>
      <c r="I833" s="278" t="s">
        <v>2968</v>
      </c>
      <c r="J833" s="309">
        <v>1050</v>
      </c>
      <c r="K833" s="278" t="s">
        <v>2969</v>
      </c>
      <c r="L833" s="308">
        <v>111</v>
      </c>
      <c r="M833" s="278" t="s">
        <v>2970</v>
      </c>
      <c r="N833" s="308">
        <v>74</v>
      </c>
    </row>
    <row r="834" spans="1:14">
      <c r="A834" s="275" t="s">
        <v>2971</v>
      </c>
      <c r="B834" s="292" t="s">
        <v>2972</v>
      </c>
      <c r="C834" s="293">
        <v>6.6</v>
      </c>
      <c r="D834" s="318">
        <v>0.42</v>
      </c>
      <c r="E834" s="275" t="s">
        <v>2904</v>
      </c>
      <c r="F834" s="307">
        <v>2990</v>
      </c>
      <c r="G834" s="275" t="s">
        <v>2973</v>
      </c>
      <c r="H834" s="306">
        <v>854</v>
      </c>
      <c r="I834" s="275" t="s">
        <v>2974</v>
      </c>
      <c r="J834" s="307">
        <v>1880</v>
      </c>
      <c r="K834" s="275" t="s">
        <v>2238</v>
      </c>
      <c r="L834" s="306">
        <v>212</v>
      </c>
      <c r="M834" s="275" t="s">
        <v>2975</v>
      </c>
      <c r="N834" s="306">
        <v>120</v>
      </c>
    </row>
    <row r="835" spans="1:14">
      <c r="A835" s="278" t="s">
        <v>2976</v>
      </c>
      <c r="B835" s="294" t="s">
        <v>2977</v>
      </c>
      <c r="C835" s="298">
        <v>6</v>
      </c>
      <c r="D835" s="294" t="s">
        <v>2978</v>
      </c>
      <c r="E835" s="278" t="s">
        <v>2979</v>
      </c>
      <c r="F835" s="309">
        <v>3150</v>
      </c>
      <c r="G835" s="278" t="s">
        <v>2980</v>
      </c>
      <c r="H835" s="308">
        <v>889</v>
      </c>
      <c r="I835" s="278" t="s">
        <v>2487</v>
      </c>
      <c r="J835" s="309">
        <v>1900</v>
      </c>
      <c r="K835" s="278" t="s">
        <v>2899</v>
      </c>
      <c r="L835" s="308">
        <v>206</v>
      </c>
      <c r="M835" s="278" t="s">
        <v>2981</v>
      </c>
      <c r="N835" s="308">
        <v>124</v>
      </c>
    </row>
    <row r="836" spans="1:14">
      <c r="A836" s="275" t="s">
        <v>2982</v>
      </c>
      <c r="B836" s="292" t="s">
        <v>2983</v>
      </c>
      <c r="C836" s="293">
        <v>3.7</v>
      </c>
      <c r="D836" s="318">
        <v>0.32</v>
      </c>
      <c r="E836" s="275" t="s">
        <v>2984</v>
      </c>
      <c r="F836" s="307">
        <v>1330</v>
      </c>
      <c r="G836" s="275" t="s">
        <v>2985</v>
      </c>
      <c r="H836" s="306">
        <v>363</v>
      </c>
      <c r="I836" s="275" t="s">
        <v>2284</v>
      </c>
      <c r="J836" s="306">
        <v>624</v>
      </c>
      <c r="K836" s="275" t="s">
        <v>2986</v>
      </c>
      <c r="L836" s="306">
        <v>69</v>
      </c>
      <c r="M836" s="275" t="s">
        <v>2987</v>
      </c>
      <c r="N836" s="306">
        <v>51</v>
      </c>
    </row>
    <row r="837" spans="1:14">
      <c r="A837" s="278" t="s">
        <v>2988</v>
      </c>
      <c r="B837" s="294" t="s">
        <v>2989</v>
      </c>
      <c r="C837" s="298">
        <v>3.8</v>
      </c>
      <c r="D837" s="319">
        <v>0.3</v>
      </c>
      <c r="E837" s="278" t="s">
        <v>2990</v>
      </c>
      <c r="F837" s="309">
        <v>1410</v>
      </c>
      <c r="G837" s="278" t="s">
        <v>2991</v>
      </c>
      <c r="H837" s="308">
        <v>387</v>
      </c>
      <c r="I837" s="278" t="s">
        <v>2992</v>
      </c>
      <c r="J837" s="308">
        <v>673</v>
      </c>
      <c r="K837" s="278" t="s">
        <v>2993</v>
      </c>
      <c r="L837" s="308">
        <v>74</v>
      </c>
      <c r="M837" s="278" t="s">
        <v>2994</v>
      </c>
      <c r="N837" s="308">
        <v>54</v>
      </c>
    </row>
    <row r="838" ht="18.75" spans="1:14">
      <c r="A838" s="275" t="s">
        <v>2995</v>
      </c>
      <c r="B838" s="292" t="s">
        <v>2996</v>
      </c>
      <c r="C838" s="292" t="s">
        <v>2997</v>
      </c>
      <c r="D838" s="318">
        <v>0.17</v>
      </c>
      <c r="E838" s="275" t="s">
        <v>2998</v>
      </c>
      <c r="F838" s="306">
        <v>62</v>
      </c>
      <c r="G838" s="275" t="s">
        <v>2998</v>
      </c>
      <c r="H838" s="306">
        <v>17</v>
      </c>
      <c r="I838" s="275" t="s">
        <v>2999</v>
      </c>
      <c r="J838" s="306">
        <v>18</v>
      </c>
      <c r="K838" s="275" t="s">
        <v>3000</v>
      </c>
      <c r="L838" s="306">
        <v>3</v>
      </c>
      <c r="M838" s="275" t="s">
        <v>3001</v>
      </c>
      <c r="N838" s="306">
        <v>2</v>
      </c>
    </row>
    <row r="839" spans="1:14">
      <c r="A839" s="278" t="s">
        <v>3002</v>
      </c>
      <c r="B839" s="294" t="s">
        <v>3003</v>
      </c>
      <c r="C839" s="298">
        <v>5.7</v>
      </c>
      <c r="D839" s="319">
        <v>0.37</v>
      </c>
      <c r="E839" s="278" t="s">
        <v>3004</v>
      </c>
      <c r="F839" s="309">
        <v>2560</v>
      </c>
      <c r="G839" s="278" t="s">
        <v>3005</v>
      </c>
      <c r="H839" s="308">
        <v>719</v>
      </c>
      <c r="I839" s="278" t="s">
        <v>3006</v>
      </c>
      <c r="J839" s="309">
        <v>1500</v>
      </c>
      <c r="K839" s="278" t="s">
        <v>3007</v>
      </c>
      <c r="L839" s="308">
        <v>162</v>
      </c>
      <c r="M839" s="278" t="s">
        <v>3008</v>
      </c>
      <c r="N839" s="308">
        <v>101</v>
      </c>
    </row>
    <row r="840" spans="1:14">
      <c r="A840" s="275" t="s">
        <v>3009</v>
      </c>
      <c r="B840" s="292" t="s">
        <v>3010</v>
      </c>
      <c r="C840" s="293">
        <v>3.5</v>
      </c>
      <c r="D840" s="318">
        <v>0.38</v>
      </c>
      <c r="E840" s="275" t="s">
        <v>3011</v>
      </c>
      <c r="F840" s="307">
        <v>1640</v>
      </c>
      <c r="G840" s="275" t="s">
        <v>3012</v>
      </c>
      <c r="H840" s="306">
        <v>446</v>
      </c>
      <c r="I840" s="275" t="s">
        <v>3013</v>
      </c>
      <c r="J840" s="306">
        <v>747</v>
      </c>
      <c r="K840" s="275" t="s">
        <v>3014</v>
      </c>
      <c r="L840" s="306">
        <v>84</v>
      </c>
      <c r="M840" s="275" t="s">
        <v>3015</v>
      </c>
      <c r="N840" s="306">
        <v>62</v>
      </c>
    </row>
    <row r="841" spans="1:14">
      <c r="A841" s="278" t="s">
        <v>3016</v>
      </c>
      <c r="B841" s="294" t="s">
        <v>3017</v>
      </c>
      <c r="C841" s="298">
        <v>3.8</v>
      </c>
      <c r="D841" s="319">
        <v>0.32</v>
      </c>
      <c r="E841" s="278" t="s">
        <v>3018</v>
      </c>
      <c r="F841" s="309">
        <v>1510</v>
      </c>
      <c r="G841" s="278" t="s">
        <v>3019</v>
      </c>
      <c r="H841" s="308">
        <v>413</v>
      </c>
      <c r="I841" s="278" t="s">
        <v>3020</v>
      </c>
      <c r="J841" s="308">
        <v>718</v>
      </c>
      <c r="K841" s="278" t="s">
        <v>3021</v>
      </c>
      <c r="L841" s="308">
        <v>79</v>
      </c>
      <c r="M841" s="278" t="s">
        <v>3022</v>
      </c>
      <c r="N841" s="308">
        <v>57</v>
      </c>
    </row>
    <row r="842" spans="1:14">
      <c r="A842" s="275" t="s">
        <v>3023</v>
      </c>
      <c r="B842" s="292" t="s">
        <v>3024</v>
      </c>
      <c r="C842" s="275" t="s">
        <v>3025</v>
      </c>
      <c r="D842" s="318">
        <v>0.15</v>
      </c>
      <c r="E842" s="275" t="s">
        <v>2898</v>
      </c>
      <c r="F842" s="306">
        <v>50</v>
      </c>
      <c r="G842" s="275" t="s">
        <v>2898</v>
      </c>
      <c r="H842" s="306">
        <v>14</v>
      </c>
      <c r="I842" s="275" t="s">
        <v>3026</v>
      </c>
      <c r="J842" s="306">
        <v>15</v>
      </c>
      <c r="K842" s="275" t="s">
        <v>3027</v>
      </c>
      <c r="L842" s="306">
        <v>2</v>
      </c>
      <c r="M842" s="275" t="s">
        <v>3028</v>
      </c>
      <c r="N842" s="306">
        <v>2</v>
      </c>
    </row>
    <row r="843" spans="1:14">
      <c r="A843" s="278" t="s">
        <v>3029</v>
      </c>
      <c r="B843" s="294" t="s">
        <v>3030</v>
      </c>
      <c r="C843" s="278" t="s">
        <v>3031</v>
      </c>
      <c r="D843" s="319">
        <v>0.05</v>
      </c>
      <c r="E843" s="278" t="s">
        <v>3032</v>
      </c>
      <c r="F843" s="308">
        <v>3</v>
      </c>
      <c r="G843" s="278" t="s">
        <v>3032</v>
      </c>
      <c r="H843" s="310" t="s">
        <v>2391</v>
      </c>
      <c r="I843" s="278" t="s">
        <v>3033</v>
      </c>
      <c r="J843" s="310" t="s">
        <v>2391</v>
      </c>
      <c r="K843" s="278" t="s">
        <v>3034</v>
      </c>
      <c r="L843" s="310" t="s">
        <v>2391</v>
      </c>
      <c r="M843" s="278" t="s">
        <v>3035</v>
      </c>
      <c r="N843" s="310" t="s">
        <v>2391</v>
      </c>
    </row>
    <row r="844" spans="1:14">
      <c r="A844" s="275" t="s">
        <v>3036</v>
      </c>
      <c r="B844" s="292" t="s">
        <v>3037</v>
      </c>
      <c r="C844" s="293">
        <v>0.6</v>
      </c>
      <c r="D844" s="292" t="s">
        <v>3038</v>
      </c>
      <c r="E844" s="275" t="s">
        <v>3039</v>
      </c>
      <c r="F844" s="306">
        <v>215</v>
      </c>
      <c r="G844" s="275" t="s">
        <v>3039</v>
      </c>
      <c r="H844" s="306">
        <v>58</v>
      </c>
      <c r="I844" s="275" t="s">
        <v>3040</v>
      </c>
      <c r="J844" s="306">
        <v>66</v>
      </c>
      <c r="K844" s="275" t="s">
        <v>3041</v>
      </c>
      <c r="L844" s="306">
        <v>10</v>
      </c>
      <c r="M844" s="275" t="s">
        <v>3042</v>
      </c>
      <c r="N844" s="306">
        <v>8</v>
      </c>
    </row>
    <row r="845" spans="1:14">
      <c r="A845" s="278" t="s">
        <v>3043</v>
      </c>
      <c r="B845" s="294" t="s">
        <v>3044</v>
      </c>
      <c r="C845" s="298">
        <v>5</v>
      </c>
      <c r="D845" s="319">
        <v>0.3</v>
      </c>
      <c r="E845" s="278" t="s">
        <v>3045</v>
      </c>
      <c r="F845" s="309">
        <v>2260</v>
      </c>
      <c r="G845" s="278" t="s">
        <v>3046</v>
      </c>
      <c r="H845" s="308">
        <v>627</v>
      </c>
      <c r="I845" s="278" t="s">
        <v>3047</v>
      </c>
      <c r="J845" s="309">
        <v>1240</v>
      </c>
      <c r="K845" s="278" t="s">
        <v>3048</v>
      </c>
      <c r="L845" s="308">
        <v>132</v>
      </c>
      <c r="M845" s="278" t="s">
        <v>3049</v>
      </c>
      <c r="N845" s="308">
        <v>88</v>
      </c>
    </row>
    <row r="846" spans="1:14">
      <c r="A846" s="275" t="s">
        <v>3050</v>
      </c>
      <c r="B846" s="292" t="s">
        <v>3051</v>
      </c>
      <c r="C846" s="275" t="s">
        <v>2500</v>
      </c>
      <c r="D846" s="318">
        <v>0.01</v>
      </c>
      <c r="E846" s="275" t="s">
        <v>3052</v>
      </c>
      <c r="F846" s="311" t="s">
        <v>2391</v>
      </c>
      <c r="G846" s="275" t="s">
        <v>3052</v>
      </c>
      <c r="H846" s="311" t="s">
        <v>2391</v>
      </c>
      <c r="I846" s="275" t="s">
        <v>3053</v>
      </c>
      <c r="J846" s="311" t="s">
        <v>2391</v>
      </c>
      <c r="K846" s="275" t="s">
        <v>3054</v>
      </c>
      <c r="L846" s="311" t="s">
        <v>2391</v>
      </c>
      <c r="M846" s="275" t="s">
        <v>3055</v>
      </c>
      <c r="N846" s="311" t="s">
        <v>2391</v>
      </c>
    </row>
    <row r="847" spans="1:14">
      <c r="A847" s="278" t="s">
        <v>3056</v>
      </c>
      <c r="B847" s="294" t="s">
        <v>3057</v>
      </c>
      <c r="C847" s="298">
        <v>0.3</v>
      </c>
      <c r="D847" s="319">
        <v>0.16</v>
      </c>
      <c r="E847" s="278" t="s">
        <v>3058</v>
      </c>
      <c r="F847" s="308">
        <v>47</v>
      </c>
      <c r="G847" s="278" t="s">
        <v>3058</v>
      </c>
      <c r="H847" s="308">
        <v>13</v>
      </c>
      <c r="I847" s="278" t="s">
        <v>3059</v>
      </c>
      <c r="J847" s="308">
        <v>14</v>
      </c>
      <c r="K847" s="278" t="s">
        <v>3060</v>
      </c>
      <c r="L847" s="308">
        <v>2</v>
      </c>
      <c r="M847" s="278" t="s">
        <v>3061</v>
      </c>
      <c r="N847" s="308">
        <v>2</v>
      </c>
    </row>
    <row r="848" ht="18.75" spans="1:14">
      <c r="A848" s="275" t="s">
        <v>3062</v>
      </c>
      <c r="B848" s="292" t="s">
        <v>3063</v>
      </c>
      <c r="C848" s="286">
        <v>13.5</v>
      </c>
      <c r="D848" s="318">
        <v>1.02</v>
      </c>
      <c r="E848" s="275" t="s">
        <v>3064</v>
      </c>
      <c r="F848" s="307">
        <v>8010</v>
      </c>
      <c r="G848" s="275" t="s">
        <v>3065</v>
      </c>
      <c r="H848" s="307">
        <v>2820</v>
      </c>
      <c r="I848" s="275" t="s">
        <v>2789</v>
      </c>
      <c r="J848" s="307">
        <v>6600</v>
      </c>
      <c r="K848" s="275" t="s">
        <v>3066</v>
      </c>
      <c r="L848" s="307">
        <v>1530</v>
      </c>
      <c r="M848" s="275" t="s">
        <v>3067</v>
      </c>
      <c r="N848" s="306">
        <v>436</v>
      </c>
    </row>
    <row r="849" spans="1:14">
      <c r="A849" s="278" t="s">
        <v>3068</v>
      </c>
      <c r="B849" s="294" t="s">
        <v>3069</v>
      </c>
      <c r="C849" s="298">
        <v>4.7</v>
      </c>
      <c r="D849" s="319">
        <v>0.36</v>
      </c>
      <c r="E849" s="278" t="s">
        <v>3070</v>
      </c>
      <c r="F849" s="309">
        <v>1530</v>
      </c>
      <c r="G849" s="278" t="s">
        <v>3071</v>
      </c>
      <c r="H849" s="308">
        <v>421</v>
      </c>
      <c r="I849" s="278" t="s">
        <v>3072</v>
      </c>
      <c r="J849" s="308">
        <v>809</v>
      </c>
      <c r="K849" s="278" t="s">
        <v>3073</v>
      </c>
      <c r="L849" s="308">
        <v>86</v>
      </c>
      <c r="M849" s="278" t="s">
        <v>3074</v>
      </c>
      <c r="N849" s="308">
        <v>59</v>
      </c>
    </row>
    <row r="850" spans="1:14">
      <c r="A850" s="275" t="s">
        <v>3075</v>
      </c>
      <c r="B850" s="292" t="s">
        <v>3076</v>
      </c>
      <c r="C850" s="293">
        <v>4.7</v>
      </c>
      <c r="D850" s="318">
        <v>0.42</v>
      </c>
      <c r="E850" s="275" t="s">
        <v>3077</v>
      </c>
      <c r="F850" s="307">
        <v>1760</v>
      </c>
      <c r="G850" s="275" t="s">
        <v>3078</v>
      </c>
      <c r="H850" s="306">
        <v>486</v>
      </c>
      <c r="I850" s="275" t="s">
        <v>3079</v>
      </c>
      <c r="J850" s="306">
        <v>934</v>
      </c>
      <c r="K850" s="275" t="s">
        <v>3080</v>
      </c>
      <c r="L850" s="306">
        <v>99</v>
      </c>
      <c r="M850" s="275" t="s">
        <v>3081</v>
      </c>
      <c r="N850" s="306">
        <v>68</v>
      </c>
    </row>
    <row r="851" spans="1:14">
      <c r="A851" s="278" t="s">
        <v>3082</v>
      </c>
      <c r="B851" s="294" t="s">
        <v>3083</v>
      </c>
      <c r="C851" s="298">
        <v>4.7</v>
      </c>
      <c r="D851" s="319">
        <v>0.35</v>
      </c>
      <c r="E851" s="278" t="s">
        <v>3084</v>
      </c>
      <c r="F851" s="309">
        <v>1480</v>
      </c>
      <c r="G851" s="278" t="s">
        <v>3085</v>
      </c>
      <c r="H851" s="308">
        <v>407</v>
      </c>
      <c r="I851" s="278" t="s">
        <v>3086</v>
      </c>
      <c r="J851" s="308">
        <v>783</v>
      </c>
      <c r="K851" s="278" t="s">
        <v>3087</v>
      </c>
      <c r="L851" s="308">
        <v>83</v>
      </c>
      <c r="M851" s="278" t="s">
        <v>3088</v>
      </c>
      <c r="N851" s="308">
        <v>57</v>
      </c>
    </row>
    <row r="852" spans="1:14">
      <c r="A852" s="275" t="s">
        <v>3089</v>
      </c>
      <c r="B852" s="292" t="s">
        <v>3090</v>
      </c>
      <c r="C852" s="293">
        <v>0.8</v>
      </c>
      <c r="D852" s="318">
        <v>0.3</v>
      </c>
      <c r="E852" s="275" t="s">
        <v>3091</v>
      </c>
      <c r="F852" s="306">
        <v>209</v>
      </c>
      <c r="G852" s="275" t="s">
        <v>3091</v>
      </c>
      <c r="H852" s="306">
        <v>57</v>
      </c>
      <c r="I852" s="275" t="s">
        <v>3092</v>
      </c>
      <c r="J852" s="306">
        <v>66</v>
      </c>
      <c r="K852" s="275" t="s">
        <v>3093</v>
      </c>
      <c r="L852" s="306">
        <v>10</v>
      </c>
      <c r="M852" s="275" t="s">
        <v>3094</v>
      </c>
      <c r="N852" s="306">
        <v>8</v>
      </c>
    </row>
    <row r="853" spans="1:14">
      <c r="A853" s="278" t="s">
        <v>3095</v>
      </c>
      <c r="B853" s="294" t="s">
        <v>3096</v>
      </c>
      <c r="C853" s="298">
        <v>0.8</v>
      </c>
      <c r="D853" s="294" t="s">
        <v>3097</v>
      </c>
      <c r="E853" s="278" t="s">
        <v>3098</v>
      </c>
      <c r="F853" s="308">
        <v>237</v>
      </c>
      <c r="G853" s="278" t="s">
        <v>3098</v>
      </c>
      <c r="H853" s="308">
        <v>65</v>
      </c>
      <c r="I853" s="278" t="s">
        <v>3087</v>
      </c>
      <c r="J853" s="308">
        <v>75</v>
      </c>
      <c r="K853" s="278" t="s">
        <v>2612</v>
      </c>
      <c r="L853" s="308">
        <v>11</v>
      </c>
      <c r="M853" s="278" t="s">
        <v>3099</v>
      </c>
      <c r="N853" s="308">
        <v>9</v>
      </c>
    </row>
    <row r="854" spans="1:14">
      <c r="A854" s="275" t="s">
        <v>3100</v>
      </c>
      <c r="B854" s="292" t="s">
        <v>3101</v>
      </c>
      <c r="C854" s="293">
        <v>0.8</v>
      </c>
      <c r="D854" s="318">
        <v>0.24</v>
      </c>
      <c r="E854" s="275" t="s">
        <v>3102</v>
      </c>
      <c r="F854" s="306">
        <v>163</v>
      </c>
      <c r="G854" s="275" t="s">
        <v>3102</v>
      </c>
      <c r="H854" s="306">
        <v>44</v>
      </c>
      <c r="I854" s="275" t="s">
        <v>3103</v>
      </c>
      <c r="J854" s="306">
        <v>52</v>
      </c>
      <c r="K854" s="275" t="s">
        <v>3104</v>
      </c>
      <c r="L854" s="306">
        <v>8</v>
      </c>
      <c r="M854" s="275" t="s">
        <v>3105</v>
      </c>
      <c r="N854" s="306">
        <v>6</v>
      </c>
    </row>
    <row r="855" spans="1:14">
      <c r="A855" s="278" t="s">
        <v>3106</v>
      </c>
      <c r="B855" s="294" t="s">
        <v>3107</v>
      </c>
      <c r="C855" s="289">
        <v>25</v>
      </c>
      <c r="D855" s="319">
        <v>0.65</v>
      </c>
      <c r="E855" s="278" t="s">
        <v>3108</v>
      </c>
      <c r="F855" s="328">
        <v>11000</v>
      </c>
      <c r="G855" s="278" t="s">
        <v>3109</v>
      </c>
      <c r="H855" s="309">
        <v>5350</v>
      </c>
      <c r="I855" s="278" t="s">
        <v>3110</v>
      </c>
      <c r="J855" s="328">
        <v>10300</v>
      </c>
      <c r="K855" s="278" t="s">
        <v>2481</v>
      </c>
      <c r="L855" s="309">
        <v>4770</v>
      </c>
      <c r="M855" s="278" t="s">
        <v>3111</v>
      </c>
      <c r="N855" s="308">
        <v>1420</v>
      </c>
    </row>
    <row r="856" ht="15" spans="1:14">
      <c r="A856" s="275" t="s">
        <v>3112</v>
      </c>
      <c r="B856" s="292" t="s">
        <v>3113</v>
      </c>
      <c r="C856" s="286">
        <v>12.9</v>
      </c>
      <c r="D856" s="318">
        <v>0.86</v>
      </c>
      <c r="E856" s="275" t="s">
        <v>3114</v>
      </c>
      <c r="F856" s="307">
        <v>8430</v>
      </c>
      <c r="G856" s="275" t="s">
        <v>3115</v>
      </c>
      <c r="H856" s="307">
        <v>2910</v>
      </c>
      <c r="I856" s="275" t="s">
        <v>2757</v>
      </c>
      <c r="J856" s="307">
        <v>6860</v>
      </c>
      <c r="K856" s="275" t="s">
        <v>3116</v>
      </c>
      <c r="L856" s="307">
        <v>1500</v>
      </c>
      <c r="M856" s="275" t="s">
        <v>3117</v>
      </c>
      <c r="N856" s="306">
        <v>442</v>
      </c>
    </row>
    <row r="857" spans="1:14">
      <c r="A857" s="278" t="s">
        <v>3118</v>
      </c>
      <c r="B857" s="294" t="s">
        <v>3119</v>
      </c>
      <c r="C857" s="298">
        <v>1.9</v>
      </c>
      <c r="D857" s="319">
        <v>0.26</v>
      </c>
      <c r="E857" s="278" t="s">
        <v>3120</v>
      </c>
      <c r="F857" s="308">
        <v>668</v>
      </c>
      <c r="G857" s="278" t="s">
        <v>3120</v>
      </c>
      <c r="H857" s="308">
        <v>182</v>
      </c>
      <c r="I857" s="278" t="s">
        <v>2684</v>
      </c>
      <c r="J857" s="308">
        <v>243</v>
      </c>
      <c r="K857" s="278" t="s">
        <v>3121</v>
      </c>
      <c r="L857" s="308">
        <v>32</v>
      </c>
      <c r="M857" s="278" t="s">
        <v>2304</v>
      </c>
      <c r="N857" s="308">
        <v>25</v>
      </c>
    </row>
    <row r="858" ht="18.75" spans="1:14">
      <c r="A858" s="275" t="s">
        <v>3122</v>
      </c>
      <c r="B858" s="292" t="s">
        <v>3123</v>
      </c>
      <c r="C858" s="286">
        <v>12.9</v>
      </c>
      <c r="D858" s="292" t="s">
        <v>3124</v>
      </c>
      <c r="E858" s="275" t="s">
        <v>3125</v>
      </c>
      <c r="F858" s="307">
        <v>7900</v>
      </c>
      <c r="G858" s="275" t="s">
        <v>3126</v>
      </c>
      <c r="H858" s="307">
        <v>2730</v>
      </c>
      <c r="I858" s="275" t="s">
        <v>2715</v>
      </c>
      <c r="J858" s="307">
        <v>6430</v>
      </c>
      <c r="K858" s="275" t="s">
        <v>3127</v>
      </c>
      <c r="L858" s="307">
        <v>1410</v>
      </c>
      <c r="M858" s="275" t="s">
        <v>3128</v>
      </c>
      <c r="N858" s="306">
        <v>415</v>
      </c>
    </row>
    <row r="859" ht="18.75" spans="1:14">
      <c r="A859" s="278" t="s">
        <v>3129</v>
      </c>
      <c r="B859" s="294" t="s">
        <v>3130</v>
      </c>
      <c r="C859" s="289">
        <v>12.9</v>
      </c>
      <c r="D859" s="294" t="s">
        <v>3131</v>
      </c>
      <c r="E859" s="278" t="s">
        <v>3132</v>
      </c>
      <c r="F859" s="309">
        <v>8270</v>
      </c>
      <c r="G859" s="278" t="s">
        <v>3133</v>
      </c>
      <c r="H859" s="309">
        <v>2850</v>
      </c>
      <c r="I859" s="278" t="s">
        <v>2218</v>
      </c>
      <c r="J859" s="309">
        <v>6730</v>
      </c>
      <c r="K859" s="278" t="s">
        <v>3134</v>
      </c>
      <c r="L859" s="309">
        <v>1480</v>
      </c>
      <c r="M859" s="278" t="s">
        <v>3135</v>
      </c>
      <c r="N859" s="308">
        <v>434</v>
      </c>
    </row>
    <row r="860" ht="18.75" spans="1:14">
      <c r="A860" s="275" t="s">
        <v>3136</v>
      </c>
      <c r="B860" s="292" t="s">
        <v>3137</v>
      </c>
      <c r="C860" s="286">
        <v>25</v>
      </c>
      <c r="D860" s="292" t="s">
        <v>3138</v>
      </c>
      <c r="E860" s="275" t="s">
        <v>3139</v>
      </c>
      <c r="F860" s="327">
        <v>10900</v>
      </c>
      <c r="G860" s="275" t="s">
        <v>3140</v>
      </c>
      <c r="H860" s="307">
        <v>5300</v>
      </c>
      <c r="I860" s="275" t="s">
        <v>3141</v>
      </c>
      <c r="J860" s="327">
        <v>10200</v>
      </c>
      <c r="K860" s="275" t="s">
        <v>3142</v>
      </c>
      <c r="L860" s="307">
        <v>4730</v>
      </c>
      <c r="M860" s="275" t="s">
        <v>3143</v>
      </c>
      <c r="N860" s="306">
        <v>1400</v>
      </c>
    </row>
    <row r="861" ht="18.75" spans="1:14">
      <c r="A861" s="300" t="s">
        <v>3144</v>
      </c>
      <c r="B861" s="299" t="s">
        <v>3145</v>
      </c>
      <c r="C861" s="337">
        <v>13.5</v>
      </c>
      <c r="D861" s="299" t="s">
        <v>3146</v>
      </c>
      <c r="E861" s="300" t="s">
        <v>3147</v>
      </c>
      <c r="F861" s="333">
        <v>11100</v>
      </c>
      <c r="G861" s="300" t="s">
        <v>3148</v>
      </c>
      <c r="H861" s="332">
        <v>3890</v>
      </c>
      <c r="I861" s="300" t="s">
        <v>3149</v>
      </c>
      <c r="J861" s="332">
        <v>9110</v>
      </c>
      <c r="K861" s="300" t="s">
        <v>2949</v>
      </c>
      <c r="L861" s="332">
        <v>2120</v>
      </c>
      <c r="M861" s="300" t="s">
        <v>3150</v>
      </c>
      <c r="N861" s="338">
        <v>602</v>
      </c>
    </row>
    <row r="862" ht="18.75" spans="1:14">
      <c r="A862" s="271" t="s">
        <v>3151</v>
      </c>
      <c r="B862" s="314" t="s">
        <v>3152</v>
      </c>
      <c r="C862" s="304">
        <v>25</v>
      </c>
      <c r="D862" s="314" t="s">
        <v>3153</v>
      </c>
      <c r="E862" s="271" t="s">
        <v>3154</v>
      </c>
      <c r="F862" s="305">
        <v>15100</v>
      </c>
      <c r="G862" s="271" t="s">
        <v>3155</v>
      </c>
      <c r="H862" s="335">
        <v>7330</v>
      </c>
      <c r="I862" s="271" t="s">
        <v>3156</v>
      </c>
      <c r="J862" s="305">
        <v>14100</v>
      </c>
      <c r="K862" s="271" t="s">
        <v>3157</v>
      </c>
      <c r="L862" s="335">
        <v>6530</v>
      </c>
      <c r="M862" s="271" t="s">
        <v>3158</v>
      </c>
      <c r="N862" s="316">
        <v>1940</v>
      </c>
    </row>
    <row r="863" spans="1:14">
      <c r="A863" s="275" t="s">
        <v>3159</v>
      </c>
      <c r="B863" s="292" t="s">
        <v>3160</v>
      </c>
      <c r="C863" s="293">
        <v>0.8</v>
      </c>
      <c r="D863" s="292" t="s">
        <v>3161</v>
      </c>
      <c r="E863" s="275" t="s">
        <v>2226</v>
      </c>
      <c r="F863" s="306">
        <v>223</v>
      </c>
      <c r="G863" s="275" t="s">
        <v>2226</v>
      </c>
      <c r="H863" s="306">
        <v>61</v>
      </c>
      <c r="I863" s="275" t="s">
        <v>3162</v>
      </c>
      <c r="J863" s="306">
        <v>70</v>
      </c>
      <c r="K863" s="275" t="s">
        <v>3163</v>
      </c>
      <c r="L863" s="306">
        <v>10</v>
      </c>
      <c r="M863" s="275" t="s">
        <v>3164</v>
      </c>
      <c r="N863" s="306">
        <v>8</v>
      </c>
    </row>
    <row r="864" spans="1:14">
      <c r="A864" s="278" t="s">
        <v>3165</v>
      </c>
      <c r="B864" s="294" t="s">
        <v>3166</v>
      </c>
      <c r="C864" s="278" t="s">
        <v>3167</v>
      </c>
      <c r="D864" s="294" t="s">
        <v>3168</v>
      </c>
      <c r="E864" s="278" t="s">
        <v>3169</v>
      </c>
      <c r="F864" s="310" t="s">
        <v>2391</v>
      </c>
      <c r="G864" s="278" t="s">
        <v>3169</v>
      </c>
      <c r="H864" s="310" t="s">
        <v>2391</v>
      </c>
      <c r="I864" s="278" t="s">
        <v>3170</v>
      </c>
      <c r="J864" s="310" t="s">
        <v>2391</v>
      </c>
      <c r="K864" s="278" t="s">
        <v>3171</v>
      </c>
      <c r="L864" s="310" t="s">
        <v>2391</v>
      </c>
      <c r="M864" s="278" t="s">
        <v>3172</v>
      </c>
      <c r="N864" s="310" t="s">
        <v>2391</v>
      </c>
    </row>
    <row r="865" spans="1:14">
      <c r="A865" s="275" t="s">
        <v>3173</v>
      </c>
      <c r="B865" s="292" t="s">
        <v>3174</v>
      </c>
      <c r="C865" s="293">
        <v>6.2</v>
      </c>
      <c r="D865" s="292" t="s">
        <v>3175</v>
      </c>
      <c r="E865" s="275" t="s">
        <v>3176</v>
      </c>
      <c r="F865" s="307">
        <v>3080</v>
      </c>
      <c r="G865" s="275" t="s">
        <v>3177</v>
      </c>
      <c r="H865" s="306">
        <v>871</v>
      </c>
      <c r="I865" s="275" t="s">
        <v>2974</v>
      </c>
      <c r="J865" s="307">
        <v>1880</v>
      </c>
      <c r="K865" s="275" t="s">
        <v>2192</v>
      </c>
      <c r="L865" s="306">
        <v>207</v>
      </c>
      <c r="M865" s="275" t="s">
        <v>3178</v>
      </c>
      <c r="N865" s="306">
        <v>122</v>
      </c>
    </row>
    <row r="866" ht="18.75" spans="1:14">
      <c r="A866" s="278" t="s">
        <v>3179</v>
      </c>
      <c r="B866" s="294" t="s">
        <v>3180</v>
      </c>
      <c r="C866" s="298">
        <v>1</v>
      </c>
      <c r="D866" s="294" t="s">
        <v>3181</v>
      </c>
      <c r="E866" s="278" t="s">
        <v>3182</v>
      </c>
      <c r="F866" s="308">
        <v>204</v>
      </c>
      <c r="G866" s="278" t="s">
        <v>3182</v>
      </c>
      <c r="H866" s="308">
        <v>56</v>
      </c>
      <c r="I866" s="278" t="s">
        <v>3040</v>
      </c>
      <c r="J866" s="308">
        <v>66</v>
      </c>
      <c r="K866" s="278" t="s">
        <v>3183</v>
      </c>
      <c r="L866" s="308">
        <v>10</v>
      </c>
      <c r="M866" s="278" t="s">
        <v>3184</v>
      </c>
      <c r="N866" s="308">
        <v>8</v>
      </c>
    </row>
    <row r="867" spans="1:14">
      <c r="A867" s="275" t="s">
        <v>3185</v>
      </c>
      <c r="B867" s="292" t="s">
        <v>3186</v>
      </c>
      <c r="C867" s="275" t="s">
        <v>3187</v>
      </c>
      <c r="D867" s="292" t="s">
        <v>3188</v>
      </c>
      <c r="E867" s="275" t="s">
        <v>2905</v>
      </c>
      <c r="F867" s="306">
        <v>46</v>
      </c>
      <c r="G867" s="275" t="s">
        <v>2905</v>
      </c>
      <c r="H867" s="306">
        <v>13</v>
      </c>
      <c r="I867" s="275" t="s">
        <v>3189</v>
      </c>
      <c r="J867" s="306">
        <v>14</v>
      </c>
      <c r="K867" s="275" t="s">
        <v>2825</v>
      </c>
      <c r="L867" s="306">
        <v>2</v>
      </c>
      <c r="M867" s="275" t="s">
        <v>3190</v>
      </c>
      <c r="N867" s="306">
        <v>2</v>
      </c>
    </row>
    <row r="868" spans="1:14">
      <c r="A868" s="278" t="s">
        <v>3191</v>
      </c>
      <c r="B868" s="294" t="s">
        <v>3192</v>
      </c>
      <c r="C868" s="298">
        <v>1.1</v>
      </c>
      <c r="D868" s="294" t="s">
        <v>3193</v>
      </c>
      <c r="E868" s="278" t="s">
        <v>2473</v>
      </c>
      <c r="F868" s="308">
        <v>528</v>
      </c>
      <c r="G868" s="278" t="s">
        <v>2473</v>
      </c>
      <c r="H868" s="308">
        <v>144</v>
      </c>
      <c r="I868" s="278" t="s">
        <v>3194</v>
      </c>
      <c r="J868" s="308">
        <v>173</v>
      </c>
      <c r="K868" s="278" t="s">
        <v>3195</v>
      </c>
      <c r="L868" s="308">
        <v>25</v>
      </c>
      <c r="M868" s="278" t="s">
        <v>3196</v>
      </c>
      <c r="N868" s="308">
        <v>20</v>
      </c>
    </row>
    <row r="869" spans="1:14">
      <c r="A869" s="275" t="s">
        <v>3197</v>
      </c>
      <c r="B869" s="292" t="s">
        <v>3198</v>
      </c>
      <c r="C869" s="293">
        <v>0.9</v>
      </c>
      <c r="D869" s="292" t="s">
        <v>3199</v>
      </c>
      <c r="E869" s="275" t="s">
        <v>3200</v>
      </c>
      <c r="F869" s="306">
        <v>479</v>
      </c>
      <c r="G869" s="275" t="s">
        <v>3200</v>
      </c>
      <c r="H869" s="306">
        <v>130</v>
      </c>
      <c r="I869" s="275" t="s">
        <v>3201</v>
      </c>
      <c r="J869" s="306">
        <v>153</v>
      </c>
      <c r="K869" s="275" t="s">
        <v>2559</v>
      </c>
      <c r="L869" s="306">
        <v>22</v>
      </c>
      <c r="M869" s="275" t="s">
        <v>3202</v>
      </c>
      <c r="N869" s="306">
        <v>18</v>
      </c>
    </row>
    <row r="870" spans="1:14">
      <c r="A870" s="278" t="s">
        <v>3203</v>
      </c>
      <c r="B870" s="294" t="s">
        <v>3204</v>
      </c>
      <c r="C870" s="298">
        <v>3.3</v>
      </c>
      <c r="D870" s="294" t="s">
        <v>3205</v>
      </c>
      <c r="E870" s="278" t="s">
        <v>3045</v>
      </c>
      <c r="F870" s="309">
        <v>2260</v>
      </c>
      <c r="G870" s="278" t="s">
        <v>3206</v>
      </c>
      <c r="H870" s="308">
        <v>617</v>
      </c>
      <c r="I870" s="278" t="s">
        <v>3207</v>
      </c>
      <c r="J870" s="309">
        <v>1010</v>
      </c>
      <c r="K870" s="278" t="s">
        <v>3208</v>
      </c>
      <c r="L870" s="308">
        <v>115</v>
      </c>
      <c r="M870" s="278" t="s">
        <v>3209</v>
      </c>
      <c r="N870" s="308">
        <v>86</v>
      </c>
    </row>
    <row r="871" spans="1:14">
      <c r="A871" s="275" t="s">
        <v>3210</v>
      </c>
      <c r="B871" s="292" t="s">
        <v>3211</v>
      </c>
      <c r="C871" s="293">
        <v>4.4</v>
      </c>
      <c r="D871" s="292" t="s">
        <v>3212</v>
      </c>
      <c r="E871" s="275" t="s">
        <v>3213</v>
      </c>
      <c r="F871" s="307">
        <v>2730</v>
      </c>
      <c r="G871" s="275" t="s">
        <v>3214</v>
      </c>
      <c r="H871" s="306">
        <v>751</v>
      </c>
      <c r="I871" s="275" t="s">
        <v>3215</v>
      </c>
      <c r="J871" s="307">
        <v>1400</v>
      </c>
      <c r="K871" s="275" t="s">
        <v>3216</v>
      </c>
      <c r="L871" s="306">
        <v>150</v>
      </c>
      <c r="M871" s="275" t="s">
        <v>2866</v>
      </c>
      <c r="N871" s="306">
        <v>105</v>
      </c>
    </row>
    <row r="872" spans="1:14">
      <c r="A872" s="278" t="s">
        <v>3217</v>
      </c>
      <c r="B872" s="294" t="s">
        <v>3218</v>
      </c>
      <c r="C872" s="298">
        <v>2</v>
      </c>
      <c r="D872" s="319">
        <v>0.29</v>
      </c>
      <c r="E872" s="278" t="s">
        <v>3219</v>
      </c>
      <c r="F872" s="308">
        <v>815</v>
      </c>
      <c r="G872" s="278" t="s">
        <v>3219</v>
      </c>
      <c r="H872" s="308">
        <v>222</v>
      </c>
      <c r="I872" s="278" t="s">
        <v>2961</v>
      </c>
      <c r="J872" s="308">
        <v>301</v>
      </c>
      <c r="K872" s="278" t="s">
        <v>3220</v>
      </c>
      <c r="L872" s="308">
        <v>39</v>
      </c>
      <c r="M872" s="278" t="s">
        <v>3221</v>
      </c>
      <c r="N872" s="308">
        <v>31</v>
      </c>
    </row>
    <row r="873" ht="15" spans="1:14">
      <c r="A873" s="275" t="s">
        <v>3222</v>
      </c>
      <c r="B873" s="292" t="s">
        <v>3223</v>
      </c>
      <c r="C873" s="293">
        <v>2</v>
      </c>
      <c r="D873" s="318">
        <v>0.56</v>
      </c>
      <c r="E873" s="275" t="s">
        <v>2446</v>
      </c>
      <c r="F873" s="306">
        <v>868</v>
      </c>
      <c r="G873" s="275" t="s">
        <v>2446</v>
      </c>
      <c r="H873" s="306">
        <v>236</v>
      </c>
      <c r="I873" s="275" t="s">
        <v>3224</v>
      </c>
      <c r="J873" s="306">
        <v>320</v>
      </c>
      <c r="K873" s="275" t="s">
        <v>3225</v>
      </c>
      <c r="L873" s="306">
        <v>42</v>
      </c>
      <c r="M873" s="275" t="s">
        <v>2449</v>
      </c>
      <c r="N873" s="306">
        <v>33</v>
      </c>
    </row>
    <row r="874" ht="15" spans="1:14">
      <c r="A874" s="278" t="s">
        <v>3226</v>
      </c>
      <c r="B874" s="294" t="s">
        <v>3227</v>
      </c>
      <c r="C874" s="298">
        <v>2</v>
      </c>
      <c r="D874" s="319">
        <v>0.76</v>
      </c>
      <c r="E874" s="278" t="s">
        <v>3219</v>
      </c>
      <c r="F874" s="308">
        <v>812</v>
      </c>
      <c r="G874" s="278" t="s">
        <v>3219</v>
      </c>
      <c r="H874" s="308">
        <v>221</v>
      </c>
      <c r="I874" s="278" t="s">
        <v>3228</v>
      </c>
      <c r="J874" s="308">
        <v>299</v>
      </c>
      <c r="K874" s="278" t="s">
        <v>3229</v>
      </c>
      <c r="L874" s="308">
        <v>39</v>
      </c>
      <c r="M874" s="278" t="s">
        <v>3230</v>
      </c>
      <c r="N874" s="308">
        <v>31</v>
      </c>
    </row>
    <row r="875" spans="1:14">
      <c r="A875" s="275" t="s">
        <v>3231</v>
      </c>
      <c r="B875" s="292" t="s">
        <v>3232</v>
      </c>
      <c r="C875" s="286">
        <v>40</v>
      </c>
      <c r="D875" s="318">
        <v>0.48</v>
      </c>
      <c r="E875" s="275" t="s">
        <v>3233</v>
      </c>
      <c r="F875" s="307">
        <v>7170</v>
      </c>
      <c r="G875" s="275" t="s">
        <v>3234</v>
      </c>
      <c r="H875" s="307">
        <v>4550</v>
      </c>
      <c r="I875" s="275" t="s">
        <v>3235</v>
      </c>
      <c r="J875" s="307">
        <v>7090</v>
      </c>
      <c r="K875" s="275" t="s">
        <v>3236</v>
      </c>
      <c r="L875" s="307">
        <v>4690</v>
      </c>
      <c r="M875" s="275" t="s">
        <v>2604</v>
      </c>
      <c r="N875" s="306">
        <v>2040</v>
      </c>
    </row>
    <row r="876" ht="18.75" spans="1:14">
      <c r="A876" s="278" t="s">
        <v>3237</v>
      </c>
      <c r="B876" s="294" t="s">
        <v>3238</v>
      </c>
      <c r="C876" s="278" t="s">
        <v>3239</v>
      </c>
      <c r="D876" s="319">
        <v>0.06</v>
      </c>
      <c r="E876" s="278" t="s">
        <v>3240</v>
      </c>
      <c r="F876" s="308">
        <v>2</v>
      </c>
      <c r="G876" s="278" t="s">
        <v>3240</v>
      </c>
      <c r="H876" s="310" t="s">
        <v>2391</v>
      </c>
      <c r="I876" s="278" t="s">
        <v>3241</v>
      </c>
      <c r="J876" s="310" t="s">
        <v>2391</v>
      </c>
      <c r="K876" s="278" t="s">
        <v>3242</v>
      </c>
      <c r="L876" s="310" t="s">
        <v>2391</v>
      </c>
      <c r="M876" s="278" t="s">
        <v>3243</v>
      </c>
      <c r="N876" s="310" t="s">
        <v>2391</v>
      </c>
    </row>
    <row r="877" ht="18.75" spans="1:14">
      <c r="A877" s="275" t="s">
        <v>3244</v>
      </c>
      <c r="B877" s="292" t="s">
        <v>3245</v>
      </c>
      <c r="C877" s="275" t="s">
        <v>3239</v>
      </c>
      <c r="D877" s="318">
        <v>0.07</v>
      </c>
      <c r="E877" s="275" t="s">
        <v>3246</v>
      </c>
      <c r="F877" s="306">
        <v>1</v>
      </c>
      <c r="G877" s="275" t="s">
        <v>3246</v>
      </c>
      <c r="H877" s="311" t="s">
        <v>2391</v>
      </c>
      <c r="I877" s="275" t="s">
        <v>3247</v>
      </c>
      <c r="J877" s="311" t="s">
        <v>2391</v>
      </c>
      <c r="K877" s="275" t="s">
        <v>3248</v>
      </c>
      <c r="L877" s="311" t="s">
        <v>2391</v>
      </c>
      <c r="M877" s="275" t="s">
        <v>3249</v>
      </c>
      <c r="N877" s="311" t="s">
        <v>2391</v>
      </c>
    </row>
    <row r="878" ht="18.75" spans="1:14">
      <c r="A878" s="294" t="s">
        <v>3250</v>
      </c>
      <c r="B878" s="294" t="s">
        <v>3251</v>
      </c>
      <c r="C878" s="278" t="s">
        <v>3239</v>
      </c>
      <c r="D878" s="319">
        <v>0.05</v>
      </c>
      <c r="E878" s="278" t="s">
        <v>3252</v>
      </c>
      <c r="F878" s="310" t="s">
        <v>2391</v>
      </c>
      <c r="G878" s="278" t="s">
        <v>3252</v>
      </c>
      <c r="H878" s="310" t="s">
        <v>2391</v>
      </c>
      <c r="I878" s="278" t="s">
        <v>2924</v>
      </c>
      <c r="J878" s="310" t="s">
        <v>2391</v>
      </c>
      <c r="K878" s="278" t="s">
        <v>3253</v>
      </c>
      <c r="L878" s="310" t="s">
        <v>2391</v>
      </c>
      <c r="M878" s="278" t="s">
        <v>3254</v>
      </c>
      <c r="N878" s="310" t="s">
        <v>2391</v>
      </c>
    </row>
    <row r="879" spans="1:14">
      <c r="A879" s="275" t="s">
        <v>3255</v>
      </c>
      <c r="B879" s="292" t="s">
        <v>3256</v>
      </c>
      <c r="C879" s="293">
        <v>1.4</v>
      </c>
      <c r="D879" s="318">
        <v>0.21</v>
      </c>
      <c r="E879" s="275" t="s">
        <v>3257</v>
      </c>
      <c r="F879" s="306">
        <v>449</v>
      </c>
      <c r="G879" s="275" t="s">
        <v>3257</v>
      </c>
      <c r="H879" s="306">
        <v>122</v>
      </c>
      <c r="I879" s="275" t="s">
        <v>3201</v>
      </c>
      <c r="J879" s="306">
        <v>153</v>
      </c>
      <c r="K879" s="275" t="s">
        <v>2338</v>
      </c>
      <c r="L879" s="306">
        <v>21</v>
      </c>
      <c r="M879" s="275" t="s">
        <v>3258</v>
      </c>
      <c r="N879" s="306">
        <v>17</v>
      </c>
    </row>
    <row r="880" ht="18.75" spans="1:14">
      <c r="A880" s="278" t="s">
        <v>3259</v>
      </c>
      <c r="B880" s="294" t="s">
        <v>3260</v>
      </c>
      <c r="C880" s="289">
        <v>800</v>
      </c>
      <c r="D880" s="319">
        <v>0.65</v>
      </c>
      <c r="E880" s="278" t="s">
        <v>3261</v>
      </c>
      <c r="F880" s="309">
        <v>7500</v>
      </c>
      <c r="G880" s="278" t="s">
        <v>3262</v>
      </c>
      <c r="H880" s="309">
        <v>9710</v>
      </c>
      <c r="I880" s="278" t="s">
        <v>3263</v>
      </c>
      <c r="J880" s="309">
        <v>8070</v>
      </c>
      <c r="K880" s="278" t="s">
        <v>3264</v>
      </c>
      <c r="L880" s="309">
        <v>9910</v>
      </c>
      <c r="M880" s="278" t="s">
        <v>2852</v>
      </c>
      <c r="N880" s="328">
        <v>11300</v>
      </c>
    </row>
    <row r="881" spans="1:14">
      <c r="A881" s="275" t="s">
        <v>3265</v>
      </c>
      <c r="B881" s="292" t="s">
        <v>3266</v>
      </c>
      <c r="C881" s="275" t="s">
        <v>3267</v>
      </c>
      <c r="D881" s="318">
        <v>0.02</v>
      </c>
      <c r="E881" s="275" t="s">
        <v>3268</v>
      </c>
      <c r="F881" s="311" t="s">
        <v>2391</v>
      </c>
      <c r="G881" s="275" t="s">
        <v>3268</v>
      </c>
      <c r="H881" s="311" t="s">
        <v>2391</v>
      </c>
      <c r="I881" s="275" t="s">
        <v>3269</v>
      </c>
      <c r="J881" s="311" t="s">
        <v>2391</v>
      </c>
      <c r="K881" s="275" t="s">
        <v>3270</v>
      </c>
      <c r="L881" s="311" t="s">
        <v>2391</v>
      </c>
      <c r="M881" s="275" t="s">
        <v>3271</v>
      </c>
      <c r="N881" s="311" t="s">
        <v>2391</v>
      </c>
    </row>
    <row r="882" spans="1:14">
      <c r="A882" s="278" t="s">
        <v>3272</v>
      </c>
      <c r="B882" s="294" t="s">
        <v>3273</v>
      </c>
      <c r="C882" s="298">
        <v>3.5</v>
      </c>
      <c r="D882" s="294" t="s">
        <v>3274</v>
      </c>
      <c r="E882" s="278" t="s">
        <v>3275</v>
      </c>
      <c r="F882" s="309">
        <v>2150</v>
      </c>
      <c r="G882" s="278" t="s">
        <v>3276</v>
      </c>
      <c r="H882" s="308">
        <v>588</v>
      </c>
      <c r="I882" s="278" t="s">
        <v>3277</v>
      </c>
      <c r="J882" s="308">
        <v>984</v>
      </c>
      <c r="K882" s="278" t="s">
        <v>3278</v>
      </c>
      <c r="L882" s="308">
        <v>111</v>
      </c>
      <c r="M882" s="278" t="s">
        <v>3279</v>
      </c>
      <c r="N882" s="308">
        <v>82</v>
      </c>
    </row>
    <row r="883" spans="1:14">
      <c r="A883" s="275" t="s">
        <v>3280</v>
      </c>
      <c r="B883" s="292" t="s">
        <v>3281</v>
      </c>
      <c r="C883" s="293">
        <v>3.5</v>
      </c>
      <c r="D883" s="292" t="s">
        <v>3282</v>
      </c>
      <c r="E883" s="275" t="s">
        <v>2857</v>
      </c>
      <c r="F883" s="307">
        <v>2130</v>
      </c>
      <c r="G883" s="275" t="s">
        <v>3283</v>
      </c>
      <c r="H883" s="306">
        <v>580</v>
      </c>
      <c r="I883" s="275" t="s">
        <v>3284</v>
      </c>
      <c r="J883" s="306">
        <v>971</v>
      </c>
      <c r="K883" s="275" t="s">
        <v>3285</v>
      </c>
      <c r="L883" s="306">
        <v>110</v>
      </c>
      <c r="M883" s="275" t="s">
        <v>3286</v>
      </c>
      <c r="N883" s="306">
        <v>81</v>
      </c>
    </row>
    <row r="884" spans="1:14">
      <c r="A884" s="278" t="s">
        <v>3287</v>
      </c>
      <c r="B884" s="294" t="s">
        <v>3288</v>
      </c>
      <c r="C884" s="298">
        <v>2.6</v>
      </c>
      <c r="D884" s="294" t="s">
        <v>3289</v>
      </c>
      <c r="E884" s="278" t="s">
        <v>2640</v>
      </c>
      <c r="F884" s="309">
        <v>1380</v>
      </c>
      <c r="G884" s="278" t="s">
        <v>2640</v>
      </c>
      <c r="H884" s="308">
        <v>376</v>
      </c>
      <c r="I884" s="278" t="s">
        <v>3290</v>
      </c>
      <c r="J884" s="308">
        <v>555</v>
      </c>
      <c r="K884" s="278" t="s">
        <v>3291</v>
      </c>
      <c r="L884" s="308">
        <v>68</v>
      </c>
      <c r="M884" s="278" t="s">
        <v>3292</v>
      </c>
      <c r="N884" s="308">
        <v>52</v>
      </c>
    </row>
    <row r="885" ht="15" spans="1:14">
      <c r="A885" s="275" t="s">
        <v>3293</v>
      </c>
      <c r="B885" s="292" t="s">
        <v>3294</v>
      </c>
      <c r="C885" s="293">
        <v>3</v>
      </c>
      <c r="D885" s="292" t="s">
        <v>3295</v>
      </c>
      <c r="E885" s="275" t="s">
        <v>3296</v>
      </c>
      <c r="F885" s="307">
        <v>1440</v>
      </c>
      <c r="G885" s="275" t="s">
        <v>3296</v>
      </c>
      <c r="H885" s="306">
        <v>392</v>
      </c>
      <c r="I885" s="275" t="s">
        <v>3297</v>
      </c>
      <c r="J885" s="306">
        <v>613</v>
      </c>
      <c r="K885" s="275" t="s">
        <v>3298</v>
      </c>
      <c r="L885" s="306">
        <v>72</v>
      </c>
      <c r="M885" s="275" t="s">
        <v>3299</v>
      </c>
      <c r="N885" s="306">
        <v>54</v>
      </c>
    </row>
    <row r="886" spans="1:14">
      <c r="A886" s="278" t="s">
        <v>3300</v>
      </c>
      <c r="B886" s="294" t="s">
        <v>3301</v>
      </c>
      <c r="C886" s="298">
        <v>0.4</v>
      </c>
      <c r="D886" s="294" t="s">
        <v>3302</v>
      </c>
      <c r="E886" s="278" t="s">
        <v>3303</v>
      </c>
      <c r="F886" s="308">
        <v>123</v>
      </c>
      <c r="G886" s="278" t="s">
        <v>3303</v>
      </c>
      <c r="H886" s="308">
        <v>33</v>
      </c>
      <c r="I886" s="278" t="s">
        <v>3304</v>
      </c>
      <c r="J886" s="308">
        <v>37</v>
      </c>
      <c r="K886" s="278" t="s">
        <v>3305</v>
      </c>
      <c r="L886" s="308">
        <v>6</v>
      </c>
      <c r="M886" s="278" t="s">
        <v>3306</v>
      </c>
      <c r="N886" s="308">
        <v>5</v>
      </c>
    </row>
    <row r="887" spans="1:14">
      <c r="A887" s="275" t="s">
        <v>3307</v>
      </c>
      <c r="B887" s="292" t="s">
        <v>3308</v>
      </c>
      <c r="C887" s="293">
        <v>0.3</v>
      </c>
      <c r="D887" s="292" t="s">
        <v>3309</v>
      </c>
      <c r="E887" s="275" t="s">
        <v>3310</v>
      </c>
      <c r="F887" s="306">
        <v>64</v>
      </c>
      <c r="G887" s="275" t="s">
        <v>3310</v>
      </c>
      <c r="H887" s="306">
        <v>17</v>
      </c>
      <c r="I887" s="275" t="s">
        <v>2338</v>
      </c>
      <c r="J887" s="306">
        <v>19</v>
      </c>
      <c r="K887" s="275" t="s">
        <v>3311</v>
      </c>
      <c r="L887" s="306">
        <v>3</v>
      </c>
      <c r="M887" s="275" t="s">
        <v>3312</v>
      </c>
      <c r="N887" s="306">
        <v>2</v>
      </c>
    </row>
    <row r="888" spans="1:14">
      <c r="A888" s="278" t="s">
        <v>3313</v>
      </c>
      <c r="B888" s="294" t="s">
        <v>3314</v>
      </c>
      <c r="C888" s="298">
        <v>3.2</v>
      </c>
      <c r="D888" s="294" t="s">
        <v>3097</v>
      </c>
      <c r="E888" s="278" t="s">
        <v>3315</v>
      </c>
      <c r="F888" s="309">
        <v>1720</v>
      </c>
      <c r="G888" s="278" t="s">
        <v>3316</v>
      </c>
      <c r="H888" s="308">
        <v>470</v>
      </c>
      <c r="I888" s="278" t="s">
        <v>2641</v>
      </c>
      <c r="J888" s="308">
        <v>755</v>
      </c>
      <c r="K888" s="278" t="s">
        <v>3317</v>
      </c>
      <c r="L888" s="308">
        <v>87</v>
      </c>
      <c r="M888" s="278" t="s">
        <v>2934</v>
      </c>
      <c r="N888" s="308">
        <v>65</v>
      </c>
    </row>
    <row r="889" spans="1:14">
      <c r="A889" s="275" t="s">
        <v>3318</v>
      </c>
      <c r="B889" s="292" t="s">
        <v>3319</v>
      </c>
      <c r="C889" s="293">
        <v>3.2</v>
      </c>
      <c r="D889" s="292" t="s">
        <v>3320</v>
      </c>
      <c r="E889" s="275" t="s">
        <v>3321</v>
      </c>
      <c r="F889" s="307">
        <v>1220</v>
      </c>
      <c r="G889" s="275" t="s">
        <v>3321</v>
      </c>
      <c r="H889" s="306">
        <v>333</v>
      </c>
      <c r="I889" s="275" t="s">
        <v>3322</v>
      </c>
      <c r="J889" s="306">
        <v>535</v>
      </c>
      <c r="K889" s="275" t="s">
        <v>3323</v>
      </c>
      <c r="L889" s="306">
        <v>62</v>
      </c>
      <c r="M889" s="275" t="s">
        <v>3324</v>
      </c>
      <c r="N889" s="306">
        <v>46</v>
      </c>
    </row>
    <row r="890" ht="18.75" spans="1:14">
      <c r="A890" s="278" t="s">
        <v>3325</v>
      </c>
      <c r="B890" s="294" t="s">
        <v>3326</v>
      </c>
      <c r="C890" s="278" t="s">
        <v>3327</v>
      </c>
      <c r="D890" s="294" t="s">
        <v>3328</v>
      </c>
      <c r="E890" s="278" t="s">
        <v>3329</v>
      </c>
      <c r="F890" s="308">
        <v>6</v>
      </c>
      <c r="G890" s="278" t="s">
        <v>3329</v>
      </c>
      <c r="H890" s="308">
        <v>2</v>
      </c>
      <c r="I890" s="278" t="s">
        <v>3330</v>
      </c>
      <c r="J890" s="308">
        <v>2</v>
      </c>
      <c r="K890" s="278" t="s">
        <v>3331</v>
      </c>
      <c r="L890" s="310" t="s">
        <v>2391</v>
      </c>
      <c r="M890" s="278" t="s">
        <v>3332</v>
      </c>
      <c r="N890" s="310" t="s">
        <v>2391</v>
      </c>
    </row>
    <row r="891" spans="1:14">
      <c r="A891" s="275" t="s">
        <v>3333</v>
      </c>
      <c r="B891" s="292" t="s">
        <v>3334</v>
      </c>
      <c r="C891" s="275" t="s">
        <v>3327</v>
      </c>
      <c r="D891" s="292" t="s">
        <v>3335</v>
      </c>
      <c r="E891" s="275" t="s">
        <v>3336</v>
      </c>
      <c r="F891" s="306">
        <v>6</v>
      </c>
      <c r="G891" s="275" t="s">
        <v>3336</v>
      </c>
      <c r="H891" s="306">
        <v>2</v>
      </c>
      <c r="I891" s="275" t="s">
        <v>3337</v>
      </c>
      <c r="J891" s="306">
        <v>2</v>
      </c>
      <c r="K891" s="275" t="s">
        <v>2631</v>
      </c>
      <c r="L891" s="311" t="s">
        <v>2391</v>
      </c>
      <c r="M891" s="275" t="s">
        <v>3338</v>
      </c>
      <c r="N891" s="311" t="s">
        <v>2391</v>
      </c>
    </row>
    <row r="892" spans="1:14">
      <c r="A892" s="278" t="s">
        <v>3339</v>
      </c>
      <c r="B892" s="294" t="s">
        <v>3340</v>
      </c>
      <c r="C892" s="278" t="s">
        <v>3327</v>
      </c>
      <c r="D892" s="294" t="s">
        <v>3341</v>
      </c>
      <c r="E892" s="278" t="s">
        <v>2190</v>
      </c>
      <c r="F892" s="308">
        <v>8</v>
      </c>
      <c r="G892" s="278" t="s">
        <v>2190</v>
      </c>
      <c r="H892" s="308">
        <v>2</v>
      </c>
      <c r="I892" s="278" t="s">
        <v>3342</v>
      </c>
      <c r="J892" s="308">
        <v>2</v>
      </c>
      <c r="K892" s="278" t="s">
        <v>3343</v>
      </c>
      <c r="L892" s="310" t="s">
        <v>2391</v>
      </c>
      <c r="M892" s="278" t="s">
        <v>3344</v>
      </c>
      <c r="N892" s="310" t="s">
        <v>2391</v>
      </c>
    </row>
    <row r="893" spans="1:14">
      <c r="A893" s="281" t="s">
        <v>3345</v>
      </c>
      <c r="B893" s="295" t="s">
        <v>3346</v>
      </c>
      <c r="C893" s="281" t="s">
        <v>3327</v>
      </c>
      <c r="D893" s="295" t="s">
        <v>3347</v>
      </c>
      <c r="E893" s="281" t="s">
        <v>3348</v>
      </c>
      <c r="F893" s="312">
        <v>8</v>
      </c>
      <c r="G893" s="281" t="s">
        <v>3348</v>
      </c>
      <c r="H893" s="312">
        <v>2</v>
      </c>
      <c r="I893" s="281" t="s">
        <v>3349</v>
      </c>
      <c r="J893" s="312">
        <v>2</v>
      </c>
      <c r="K893" s="281" t="s">
        <v>3350</v>
      </c>
      <c r="L893" s="313" t="s">
        <v>2391</v>
      </c>
      <c r="M893" s="281" t="s">
        <v>3351</v>
      </c>
      <c r="N893" s="313" t="s">
        <v>2391</v>
      </c>
    </row>
    <row r="894" spans="1:14">
      <c r="A894" s="271" t="s">
        <v>3352</v>
      </c>
      <c r="B894" s="314" t="s">
        <v>3353</v>
      </c>
      <c r="C894" s="284">
        <v>1.8</v>
      </c>
      <c r="D894" s="314" t="s">
        <v>3347</v>
      </c>
      <c r="E894" s="271" t="s">
        <v>3354</v>
      </c>
      <c r="F894" s="316">
        <v>350</v>
      </c>
      <c r="G894" s="271" t="s">
        <v>3354</v>
      </c>
      <c r="H894" s="316">
        <v>95</v>
      </c>
      <c r="I894" s="271" t="s">
        <v>3355</v>
      </c>
      <c r="J894" s="316">
        <v>126</v>
      </c>
      <c r="K894" s="271" t="s">
        <v>3356</v>
      </c>
      <c r="L894" s="316">
        <v>17</v>
      </c>
      <c r="M894" s="271" t="s">
        <v>3357</v>
      </c>
      <c r="N894" s="316">
        <v>13</v>
      </c>
    </row>
    <row r="895" spans="1:14">
      <c r="A895" s="275" t="s">
        <v>3358</v>
      </c>
      <c r="B895" s="292" t="s">
        <v>3359</v>
      </c>
      <c r="C895" s="293">
        <v>0.3</v>
      </c>
      <c r="D895" s="292" t="s">
        <v>3360</v>
      </c>
      <c r="E895" s="275" t="s">
        <v>3361</v>
      </c>
      <c r="F895" s="306">
        <v>99</v>
      </c>
      <c r="G895" s="275" t="s">
        <v>3361</v>
      </c>
      <c r="H895" s="306">
        <v>27</v>
      </c>
      <c r="I895" s="275" t="s">
        <v>3362</v>
      </c>
      <c r="J895" s="306">
        <v>30</v>
      </c>
      <c r="K895" s="275" t="s">
        <v>3363</v>
      </c>
      <c r="L895" s="306">
        <v>5</v>
      </c>
      <c r="M895" s="275" t="s">
        <v>3364</v>
      </c>
      <c r="N895" s="306">
        <v>4</v>
      </c>
    </row>
    <row r="896" spans="1:14">
      <c r="A896" s="278" t="s">
        <v>3365</v>
      </c>
      <c r="B896" s="294" t="s">
        <v>3366</v>
      </c>
      <c r="C896" s="298">
        <v>0.3</v>
      </c>
      <c r="D896" s="294" t="s">
        <v>3367</v>
      </c>
      <c r="E896" s="278" t="s">
        <v>3368</v>
      </c>
      <c r="F896" s="308">
        <v>113</v>
      </c>
      <c r="G896" s="278" t="s">
        <v>3368</v>
      </c>
      <c r="H896" s="308">
        <v>31</v>
      </c>
      <c r="I896" s="278" t="s">
        <v>3369</v>
      </c>
      <c r="J896" s="308">
        <v>34</v>
      </c>
      <c r="K896" s="278" t="s">
        <v>3370</v>
      </c>
      <c r="L896" s="308">
        <v>5</v>
      </c>
      <c r="M896" s="278" t="s">
        <v>3371</v>
      </c>
      <c r="N896" s="308">
        <v>4</v>
      </c>
    </row>
    <row r="897" spans="1:14">
      <c r="A897" s="275" t="s">
        <v>3372</v>
      </c>
      <c r="B897" s="292" t="s">
        <v>3373</v>
      </c>
      <c r="C897" s="275" t="s">
        <v>3327</v>
      </c>
      <c r="D897" s="292" t="s">
        <v>3374</v>
      </c>
      <c r="E897" s="275" t="s">
        <v>3375</v>
      </c>
      <c r="F897" s="306">
        <v>5</v>
      </c>
      <c r="G897" s="275" t="s">
        <v>3375</v>
      </c>
      <c r="H897" s="306">
        <v>1</v>
      </c>
      <c r="I897" s="275" t="s">
        <v>3376</v>
      </c>
      <c r="J897" s="306">
        <v>1</v>
      </c>
      <c r="K897" s="275" t="s">
        <v>3377</v>
      </c>
      <c r="L897" s="311" t="s">
        <v>2391</v>
      </c>
      <c r="M897" s="275" t="s">
        <v>3378</v>
      </c>
      <c r="N897" s="311" t="s">
        <v>2391</v>
      </c>
    </row>
    <row r="898" spans="1:14">
      <c r="A898" s="278" t="s">
        <v>3379</v>
      </c>
      <c r="B898" s="294" t="s">
        <v>3380</v>
      </c>
      <c r="C898" s="278" t="s">
        <v>3381</v>
      </c>
      <c r="D898" s="294" t="s">
        <v>3382</v>
      </c>
      <c r="E898" s="278" t="s">
        <v>3383</v>
      </c>
      <c r="F898" s="308">
        <v>25</v>
      </c>
      <c r="G898" s="278" t="s">
        <v>3383</v>
      </c>
      <c r="H898" s="308">
        <v>7</v>
      </c>
      <c r="I898" s="278" t="s">
        <v>3384</v>
      </c>
      <c r="J898" s="308">
        <v>7</v>
      </c>
      <c r="K898" s="278" t="s">
        <v>3385</v>
      </c>
      <c r="L898" s="308">
        <v>1</v>
      </c>
      <c r="M898" s="278" t="s">
        <v>3386</v>
      </c>
      <c r="N898" s="310" t="s">
        <v>2391</v>
      </c>
    </row>
    <row r="899" spans="1:14">
      <c r="A899" s="275" t="s">
        <v>3387</v>
      </c>
      <c r="B899" s="292" t="s">
        <v>3388</v>
      </c>
      <c r="C899" s="293">
        <v>0.6</v>
      </c>
      <c r="D899" s="292" t="s">
        <v>3389</v>
      </c>
      <c r="E899" s="275" t="s">
        <v>3390</v>
      </c>
      <c r="F899" s="306">
        <v>192</v>
      </c>
      <c r="G899" s="275" t="s">
        <v>3390</v>
      </c>
      <c r="H899" s="306">
        <v>52</v>
      </c>
      <c r="I899" s="275" t="s">
        <v>3391</v>
      </c>
      <c r="J899" s="306">
        <v>60</v>
      </c>
      <c r="K899" s="275" t="s">
        <v>3392</v>
      </c>
      <c r="L899" s="306">
        <v>9</v>
      </c>
      <c r="M899" s="275" t="s">
        <v>3393</v>
      </c>
      <c r="N899" s="306">
        <v>7</v>
      </c>
    </row>
    <row r="900" spans="1:14">
      <c r="A900" s="278" t="s">
        <v>3394</v>
      </c>
      <c r="B900" s="294" t="s">
        <v>3395</v>
      </c>
      <c r="C900" s="278" t="s">
        <v>3396</v>
      </c>
      <c r="D900" s="294" t="s">
        <v>3374</v>
      </c>
      <c r="E900" s="278" t="s">
        <v>3397</v>
      </c>
      <c r="F900" s="308">
        <v>12</v>
      </c>
      <c r="G900" s="278" t="s">
        <v>3397</v>
      </c>
      <c r="H900" s="308">
        <v>3</v>
      </c>
      <c r="I900" s="278" t="s">
        <v>3398</v>
      </c>
      <c r="J900" s="308">
        <v>4</v>
      </c>
      <c r="K900" s="278" t="s">
        <v>3399</v>
      </c>
      <c r="L900" s="310" t="s">
        <v>2391</v>
      </c>
      <c r="M900" s="278" t="s">
        <v>2630</v>
      </c>
      <c r="N900" s="310" t="s">
        <v>2391</v>
      </c>
    </row>
    <row r="901" spans="1:14">
      <c r="A901" s="275" t="s">
        <v>3400</v>
      </c>
      <c r="B901" s="292" t="s">
        <v>3401</v>
      </c>
      <c r="C901" s="293">
        <v>0.3</v>
      </c>
      <c r="D901" s="292" t="s">
        <v>3402</v>
      </c>
      <c r="E901" s="275" t="s">
        <v>3403</v>
      </c>
      <c r="F901" s="306">
        <v>99</v>
      </c>
      <c r="G901" s="275" t="s">
        <v>3403</v>
      </c>
      <c r="H901" s="306">
        <v>27</v>
      </c>
      <c r="I901" s="275" t="s">
        <v>3404</v>
      </c>
      <c r="J901" s="306">
        <v>30</v>
      </c>
      <c r="K901" s="275" t="s">
        <v>3405</v>
      </c>
      <c r="L901" s="306">
        <v>5</v>
      </c>
      <c r="M901" s="275" t="s">
        <v>3406</v>
      </c>
      <c r="N901" s="306">
        <v>4</v>
      </c>
    </row>
    <row r="902" spans="1:14">
      <c r="A902" s="278" t="s">
        <v>3407</v>
      </c>
      <c r="B902" s="294" t="s">
        <v>3408</v>
      </c>
      <c r="C902" s="298">
        <v>0.6</v>
      </c>
      <c r="D902" s="319">
        <v>0.2</v>
      </c>
      <c r="E902" s="278" t="s">
        <v>3409</v>
      </c>
      <c r="F902" s="308">
        <v>124</v>
      </c>
      <c r="G902" s="278" t="s">
        <v>3409</v>
      </c>
      <c r="H902" s="308">
        <v>34</v>
      </c>
      <c r="I902" s="278" t="s">
        <v>2531</v>
      </c>
      <c r="J902" s="308">
        <v>38</v>
      </c>
      <c r="K902" s="278" t="s">
        <v>3410</v>
      </c>
      <c r="L902" s="308">
        <v>6</v>
      </c>
      <c r="M902" s="278" t="s">
        <v>3411</v>
      </c>
      <c r="N902" s="308">
        <v>5</v>
      </c>
    </row>
    <row r="903" spans="1:14">
      <c r="A903" s="275" t="s">
        <v>3412</v>
      </c>
      <c r="B903" s="292" t="s">
        <v>3413</v>
      </c>
      <c r="C903" s="293">
        <v>9.8</v>
      </c>
      <c r="D903" s="318">
        <v>0.35</v>
      </c>
      <c r="E903" s="275" t="s">
        <v>3414</v>
      </c>
      <c r="F903" s="307">
        <v>3970</v>
      </c>
      <c r="G903" s="275" t="s">
        <v>3415</v>
      </c>
      <c r="H903" s="307">
        <v>1240</v>
      </c>
      <c r="I903" s="275" t="s">
        <v>3416</v>
      </c>
      <c r="J903" s="307">
        <v>2960</v>
      </c>
      <c r="K903" s="275" t="s">
        <v>3417</v>
      </c>
      <c r="L903" s="306">
        <v>467</v>
      </c>
      <c r="M903" s="275" t="s">
        <v>3418</v>
      </c>
      <c r="N903" s="306">
        <v>178</v>
      </c>
    </row>
    <row r="904" ht="15" spans="1:14">
      <c r="A904" s="278" t="s">
        <v>3419</v>
      </c>
      <c r="B904" s="294" t="s">
        <v>3420</v>
      </c>
      <c r="C904" s="298">
        <v>0.4</v>
      </c>
      <c r="D904" s="319">
        <v>0.19</v>
      </c>
      <c r="E904" s="278" t="s">
        <v>3421</v>
      </c>
      <c r="F904" s="308">
        <v>86</v>
      </c>
      <c r="G904" s="278" t="s">
        <v>3421</v>
      </c>
      <c r="H904" s="308">
        <v>23</v>
      </c>
      <c r="I904" s="278" t="s">
        <v>3422</v>
      </c>
      <c r="J904" s="308">
        <v>26</v>
      </c>
      <c r="K904" s="278" t="s">
        <v>3423</v>
      </c>
      <c r="L904" s="308">
        <v>4</v>
      </c>
      <c r="M904" s="278" t="s">
        <v>3424</v>
      </c>
      <c r="N904" s="308">
        <v>3</v>
      </c>
    </row>
    <row r="905" ht="18.75" spans="1:14">
      <c r="A905" s="292" t="s">
        <v>3425</v>
      </c>
      <c r="B905" s="292" t="s">
        <v>3426</v>
      </c>
      <c r="C905" s="286">
        <v>67</v>
      </c>
      <c r="D905" s="318">
        <v>0.58</v>
      </c>
      <c r="E905" s="275" t="s">
        <v>3427</v>
      </c>
      <c r="F905" s="307">
        <v>7940</v>
      </c>
      <c r="G905" s="275" t="s">
        <v>3428</v>
      </c>
      <c r="H905" s="307">
        <v>6490</v>
      </c>
      <c r="I905" s="275" t="s">
        <v>3429</v>
      </c>
      <c r="J905" s="307">
        <v>8140</v>
      </c>
      <c r="K905" s="275" t="s">
        <v>3430</v>
      </c>
      <c r="L905" s="307">
        <v>6960</v>
      </c>
      <c r="M905" s="275" t="s">
        <v>3431</v>
      </c>
      <c r="N905" s="306">
        <v>4380</v>
      </c>
    </row>
    <row r="906" spans="1:14">
      <c r="A906" s="278" t="s">
        <v>3432</v>
      </c>
      <c r="B906" s="294" t="s">
        <v>3433</v>
      </c>
      <c r="C906" s="278" t="s">
        <v>3434</v>
      </c>
      <c r="D906" s="319">
        <v>0.11</v>
      </c>
      <c r="E906" s="278" t="s">
        <v>3435</v>
      </c>
      <c r="F906" s="308">
        <v>48</v>
      </c>
      <c r="G906" s="278" t="s">
        <v>3435</v>
      </c>
      <c r="H906" s="308">
        <v>13</v>
      </c>
      <c r="I906" s="278" t="s">
        <v>3436</v>
      </c>
      <c r="J906" s="308">
        <v>14</v>
      </c>
      <c r="K906" s="278" t="s">
        <v>3437</v>
      </c>
      <c r="L906" s="308">
        <v>2</v>
      </c>
      <c r="M906" s="278" t="s">
        <v>3438</v>
      </c>
      <c r="N906" s="308">
        <v>2</v>
      </c>
    </row>
    <row r="907" spans="1:14">
      <c r="A907" s="275" t="s">
        <v>3439</v>
      </c>
      <c r="B907" s="292" t="s">
        <v>3440</v>
      </c>
      <c r="C907" s="275" t="s">
        <v>3441</v>
      </c>
      <c r="D907" s="318">
        <v>0.19</v>
      </c>
      <c r="E907" s="275" t="s">
        <v>3442</v>
      </c>
      <c r="F907" s="306">
        <v>63</v>
      </c>
      <c r="G907" s="275" t="s">
        <v>3442</v>
      </c>
      <c r="H907" s="306">
        <v>17</v>
      </c>
      <c r="I907" s="275" t="s">
        <v>3443</v>
      </c>
      <c r="J907" s="306">
        <v>19</v>
      </c>
      <c r="K907" s="275" t="s">
        <v>3424</v>
      </c>
      <c r="L907" s="306">
        <v>3</v>
      </c>
      <c r="M907" s="275" t="s">
        <v>3444</v>
      </c>
      <c r="N907" s="306">
        <v>2</v>
      </c>
    </row>
    <row r="908" spans="1:14">
      <c r="A908" s="278" t="s">
        <v>3445</v>
      </c>
      <c r="B908" s="294" t="s">
        <v>3446</v>
      </c>
      <c r="C908" s="298">
        <v>0.3</v>
      </c>
      <c r="D908" s="319">
        <v>0.16</v>
      </c>
      <c r="E908" s="278" t="s">
        <v>3447</v>
      </c>
      <c r="F908" s="308">
        <v>60</v>
      </c>
      <c r="G908" s="278" t="s">
        <v>3447</v>
      </c>
      <c r="H908" s="308">
        <v>16</v>
      </c>
      <c r="I908" s="278" t="s">
        <v>3448</v>
      </c>
      <c r="J908" s="308">
        <v>18</v>
      </c>
      <c r="K908" s="278" t="s">
        <v>3449</v>
      </c>
      <c r="L908" s="308">
        <v>3</v>
      </c>
      <c r="M908" s="278" t="s">
        <v>2553</v>
      </c>
      <c r="N908" s="308">
        <v>2</v>
      </c>
    </row>
    <row r="909" spans="1:14">
      <c r="A909" s="275" t="s">
        <v>3450</v>
      </c>
      <c r="B909" s="292" t="s">
        <v>3451</v>
      </c>
      <c r="C909" s="275" t="s">
        <v>3452</v>
      </c>
      <c r="D909" s="318">
        <v>0.03</v>
      </c>
      <c r="E909" s="275" t="s">
        <v>3453</v>
      </c>
      <c r="F909" s="306">
        <v>2</v>
      </c>
      <c r="G909" s="275" t="s">
        <v>3453</v>
      </c>
      <c r="H909" s="311" t="s">
        <v>2391</v>
      </c>
      <c r="I909" s="275" t="s">
        <v>3454</v>
      </c>
      <c r="J909" s="311" t="s">
        <v>2391</v>
      </c>
      <c r="K909" s="275" t="s">
        <v>3455</v>
      </c>
      <c r="L909" s="311" t="s">
        <v>2391</v>
      </c>
      <c r="M909" s="275" t="s">
        <v>3456</v>
      </c>
      <c r="N909" s="311" t="s">
        <v>2391</v>
      </c>
    </row>
    <row r="910" spans="1:14">
      <c r="A910" s="278" t="s">
        <v>3457</v>
      </c>
      <c r="B910" s="294" t="s">
        <v>3458</v>
      </c>
      <c r="C910" s="278" t="s">
        <v>2558</v>
      </c>
      <c r="D910" s="319">
        <v>0.03</v>
      </c>
      <c r="E910" s="278" t="s">
        <v>3459</v>
      </c>
      <c r="F910" s="310" t="s">
        <v>2391</v>
      </c>
      <c r="G910" s="278" t="s">
        <v>3459</v>
      </c>
      <c r="H910" s="310" t="s">
        <v>2391</v>
      </c>
      <c r="I910" s="278" t="s">
        <v>3460</v>
      </c>
      <c r="J910" s="310" t="s">
        <v>2391</v>
      </c>
      <c r="K910" s="278" t="s">
        <v>3461</v>
      </c>
      <c r="L910" s="310" t="s">
        <v>2391</v>
      </c>
      <c r="M910" s="278" t="s">
        <v>3462</v>
      </c>
      <c r="N910" s="310" t="s">
        <v>2391</v>
      </c>
    </row>
    <row r="911" spans="1:14">
      <c r="A911" s="275" t="s">
        <v>3463</v>
      </c>
      <c r="B911" s="292" t="s">
        <v>3464</v>
      </c>
      <c r="C911" s="275" t="s">
        <v>3465</v>
      </c>
      <c r="D911" s="336">
        <v>0.004</v>
      </c>
      <c r="E911" s="275" t="s">
        <v>3466</v>
      </c>
      <c r="F911" s="311" t="s">
        <v>2391</v>
      </c>
      <c r="G911" s="275" t="s">
        <v>3466</v>
      </c>
      <c r="H911" s="311" t="s">
        <v>2391</v>
      </c>
      <c r="I911" s="275" t="s">
        <v>3467</v>
      </c>
      <c r="J911" s="311" t="s">
        <v>2391</v>
      </c>
      <c r="K911" s="275" t="s">
        <v>3468</v>
      </c>
      <c r="L911" s="311" t="s">
        <v>2391</v>
      </c>
      <c r="M911" s="275" t="s">
        <v>3469</v>
      </c>
      <c r="N911" s="311" t="s">
        <v>2391</v>
      </c>
    </row>
    <row r="912" spans="1:14">
      <c r="A912" s="278" t="s">
        <v>3470</v>
      </c>
      <c r="B912" s="294" t="s">
        <v>3471</v>
      </c>
      <c r="C912" s="278" t="s">
        <v>3472</v>
      </c>
      <c r="D912" s="319">
        <v>0.02</v>
      </c>
      <c r="E912" s="278" t="s">
        <v>3473</v>
      </c>
      <c r="F912" s="308">
        <v>3</v>
      </c>
      <c r="G912" s="278" t="s">
        <v>3473</v>
      </c>
      <c r="H912" s="310" t="s">
        <v>2391</v>
      </c>
      <c r="I912" s="278" t="s">
        <v>3474</v>
      </c>
      <c r="J912" s="310" t="s">
        <v>2391</v>
      </c>
      <c r="K912" s="278" t="s">
        <v>3475</v>
      </c>
      <c r="L912" s="310" t="s">
        <v>2391</v>
      </c>
      <c r="M912" s="278" t="s">
        <v>3476</v>
      </c>
      <c r="N912" s="310" t="s">
        <v>2391</v>
      </c>
    </row>
    <row r="913" spans="1:14">
      <c r="A913" s="275" t="s">
        <v>3477</v>
      </c>
      <c r="B913" s="292" t="s">
        <v>3478</v>
      </c>
      <c r="C913" s="275" t="s">
        <v>3479</v>
      </c>
      <c r="D913" s="318">
        <v>0.04</v>
      </c>
      <c r="E913" s="275" t="s">
        <v>3480</v>
      </c>
      <c r="F913" s="306">
        <v>11</v>
      </c>
      <c r="G913" s="275" t="s">
        <v>3480</v>
      </c>
      <c r="H913" s="306">
        <v>3</v>
      </c>
      <c r="I913" s="275" t="s">
        <v>3481</v>
      </c>
      <c r="J913" s="306">
        <v>3</v>
      </c>
      <c r="K913" s="275" t="s">
        <v>3241</v>
      </c>
      <c r="L913" s="311" t="s">
        <v>2391</v>
      </c>
      <c r="M913" s="275" t="s">
        <v>3482</v>
      </c>
      <c r="N913" s="311" t="s">
        <v>2391</v>
      </c>
    </row>
    <row r="914" spans="1:14">
      <c r="A914" s="278" t="s">
        <v>3483</v>
      </c>
      <c r="B914" s="294" t="s">
        <v>3484</v>
      </c>
      <c r="C914" s="298">
        <v>0.3</v>
      </c>
      <c r="D914" s="319">
        <v>0.1</v>
      </c>
      <c r="E914" s="278" t="s">
        <v>3485</v>
      </c>
      <c r="F914" s="308">
        <v>73</v>
      </c>
      <c r="G914" s="278" t="s">
        <v>3485</v>
      </c>
      <c r="H914" s="308">
        <v>20</v>
      </c>
      <c r="I914" s="278" t="s">
        <v>3486</v>
      </c>
      <c r="J914" s="308">
        <v>22</v>
      </c>
      <c r="K914" s="278" t="s">
        <v>3487</v>
      </c>
      <c r="L914" s="308">
        <v>3</v>
      </c>
      <c r="M914" s="278" t="s">
        <v>3488</v>
      </c>
      <c r="N914" s="308">
        <v>3</v>
      </c>
    </row>
    <row r="915" ht="18.75" spans="1:14">
      <c r="A915" s="275" t="s">
        <v>3489</v>
      </c>
      <c r="B915" s="292" t="s">
        <v>3490</v>
      </c>
      <c r="C915" s="286">
        <v>26</v>
      </c>
      <c r="D915" s="292" t="s">
        <v>3491</v>
      </c>
      <c r="E915" s="275" t="s">
        <v>3492</v>
      </c>
      <c r="F915" s="307">
        <v>9910</v>
      </c>
      <c r="G915" s="275" t="s">
        <v>3493</v>
      </c>
      <c r="H915" s="307">
        <v>4920</v>
      </c>
      <c r="I915" s="275" t="s">
        <v>3494</v>
      </c>
      <c r="J915" s="307">
        <v>9320</v>
      </c>
      <c r="K915" s="275" t="s">
        <v>3495</v>
      </c>
      <c r="L915" s="307">
        <v>4460</v>
      </c>
      <c r="M915" s="275" t="s">
        <v>3496</v>
      </c>
      <c r="N915" s="306">
        <v>1360</v>
      </c>
    </row>
    <row r="916" ht="18.75" spans="1:14">
      <c r="A916" s="294" t="s">
        <v>3497</v>
      </c>
      <c r="B916" s="294" t="s">
        <v>3498</v>
      </c>
      <c r="C916" s="289">
        <v>26</v>
      </c>
      <c r="D916" s="294" t="s">
        <v>3499</v>
      </c>
      <c r="E916" s="278" t="s">
        <v>3500</v>
      </c>
      <c r="F916" s="309">
        <v>9050</v>
      </c>
      <c r="G916" s="278" t="s">
        <v>3501</v>
      </c>
      <c r="H916" s="309">
        <v>4490</v>
      </c>
      <c r="I916" s="278" t="s">
        <v>2732</v>
      </c>
      <c r="J916" s="309">
        <v>8520</v>
      </c>
      <c r="K916" s="278" t="s">
        <v>3502</v>
      </c>
      <c r="L916" s="309">
        <v>4080</v>
      </c>
      <c r="M916" s="278" t="s">
        <v>3503</v>
      </c>
      <c r="N916" s="308">
        <v>1250</v>
      </c>
    </row>
    <row r="917" ht="18.75" spans="1:14">
      <c r="A917" s="295" t="s">
        <v>3504</v>
      </c>
      <c r="B917" s="295" t="s">
        <v>3505</v>
      </c>
      <c r="C917" s="324">
        <v>26</v>
      </c>
      <c r="D917" s="295" t="s">
        <v>3506</v>
      </c>
      <c r="E917" s="281" t="s">
        <v>3507</v>
      </c>
      <c r="F917" s="325">
        <v>7320</v>
      </c>
      <c r="G917" s="281" t="s">
        <v>3508</v>
      </c>
      <c r="H917" s="325">
        <v>3630</v>
      </c>
      <c r="I917" s="281" t="s">
        <v>2197</v>
      </c>
      <c r="J917" s="325">
        <v>6880</v>
      </c>
      <c r="K917" s="281" t="s">
        <v>3416</v>
      </c>
      <c r="L917" s="325">
        <v>3300</v>
      </c>
      <c r="M917" s="281" t="s">
        <v>3509</v>
      </c>
      <c r="N917" s="312">
        <v>1010</v>
      </c>
    </row>
    <row r="918" spans="1:14">
      <c r="A918"/>
      <c r="B918"/>
      <c r="C918"/>
      <c r="D918"/>
      <c r="E918"/>
    </row>
    <row r="919" spans="1:14">
      <c r="A919" s="339"/>
      <c r="B919" s="340" t="s">
        <v>3510</v>
      </c>
      <c r="C919" s="340" t="s">
        <v>3511</v>
      </c>
      <c r="D919" s="59" t="s">
        <v>3512</v>
      </c>
      <c r="E919"/>
    </row>
    <row r="920" spans="1:14">
      <c r="A920" t="s">
        <v>1076</v>
      </c>
      <c r="B920" s="341">
        <v>1</v>
      </c>
      <c r="C920" s="341">
        <v>1</v>
      </c>
      <c r="D920" t="s">
        <v>3513</v>
      </c>
      <c r="E920"/>
    </row>
    <row r="921" spans="1:14">
      <c r="A921" t="s">
        <v>645</v>
      </c>
      <c r="B921" s="341">
        <v>16.2</v>
      </c>
      <c r="C921" s="341">
        <v>5</v>
      </c>
      <c r="D921" t="s">
        <v>3514</v>
      </c>
      <c r="E921"/>
    </row>
    <row r="922" spans="1:14">
      <c r="A922" t="s">
        <v>649</v>
      </c>
      <c r="B922" s="341">
        <v>5.6</v>
      </c>
      <c r="C922" s="341">
        <v>1.8</v>
      </c>
      <c r="D922" t="s">
        <v>3515</v>
      </c>
      <c r="E922"/>
    </row>
    <row r="923" spans="1:14">
      <c r="A923" t="s">
        <v>650</v>
      </c>
      <c r="B923" s="341">
        <v>-2.4</v>
      </c>
      <c r="C923" s="341">
        <v>-8.2</v>
      </c>
      <c r="D923" t="s">
        <v>3516</v>
      </c>
      <c r="E923"/>
    </row>
    <row r="924" spans="1:14">
      <c r="A924" t="s">
        <v>651</v>
      </c>
      <c r="B924" s="341">
        <v>0</v>
      </c>
      <c r="C924" s="341">
        <v>0</v>
      </c>
      <c r="D924" t="s">
        <v>3517</v>
      </c>
      <c r="E924"/>
    </row>
    <row r="925" spans="1:14">
      <c r="A925" t="s">
        <v>652</v>
      </c>
      <c r="B925" s="341">
        <v>0</v>
      </c>
      <c r="C925" s="341">
        <v>0</v>
      </c>
      <c r="D925" t="s">
        <v>3517</v>
      </c>
      <c r="E925"/>
    </row>
    <row r="926" spans="1:14">
      <c r="A926" t="s">
        <v>654</v>
      </c>
      <c r="B926" s="341">
        <v>0</v>
      </c>
      <c r="C926" s="341">
        <v>0</v>
      </c>
      <c r="D926" t="s">
        <v>3518</v>
      </c>
      <c r="E926"/>
    </row>
    <row r="927" spans="1:14">
      <c r="A927" t="s">
        <v>655</v>
      </c>
      <c r="B927" s="341">
        <v>1200</v>
      </c>
      <c r="C927" s="341">
        <v>345</v>
      </c>
      <c r="D927" t="s">
        <v>3519</v>
      </c>
      <c r="E927"/>
    </row>
    <row r="928" spans="1:14">
      <c r="A928" t="s">
        <v>656</v>
      </c>
      <c r="B928" s="341">
        <v>-160</v>
      </c>
      <c r="C928" s="341">
        <v>-46</v>
      </c>
      <c r="D928" t="s">
        <v>3520</v>
      </c>
      <c r="E928"/>
    </row>
    <row r="929" spans="1:5">
      <c r="A929" t="s">
        <v>657</v>
      </c>
      <c r="B929" s="341">
        <v>84</v>
      </c>
      <c r="C929" s="341">
        <v>28</v>
      </c>
      <c r="D929" t="s">
        <v>3521</v>
      </c>
      <c r="E929"/>
    </row>
    <row r="930" spans="1:5">
      <c r="A930" t="s">
        <v>659</v>
      </c>
      <c r="B930" s="341">
        <v>264</v>
      </c>
      <c r="C930" s="341">
        <v>265</v>
      </c>
      <c r="D930" t="s">
        <v>3522</v>
      </c>
      <c r="E930"/>
    </row>
    <row r="931" spans="1:5">
      <c r="A931" t="s">
        <v>3523</v>
      </c>
      <c r="B931" s="341">
        <v>1</v>
      </c>
      <c r="C931" s="341">
        <v>1</v>
      </c>
      <c r="D931" t="s">
        <v>3524</v>
      </c>
      <c r="E931"/>
    </row>
    <row r="932" spans="1:5">
      <c r="A932"/>
      <c r="B932"/>
      <c r="C932"/>
      <c r="D932" t="s">
        <v>3525</v>
      </c>
      <c r="E932"/>
    </row>
    <row r="933" spans="1:5">
      <c r="A933"/>
      <c r="B933"/>
      <c r="C933"/>
      <c r="D933" t="s">
        <v>3526</v>
      </c>
      <c r="E933"/>
    </row>
  </sheetData>
  <mergeCells count="34">
    <mergeCell ref="A2:B2"/>
    <mergeCell ref="B7:H7"/>
    <mergeCell ref="A68:B68"/>
    <mergeCell ref="B71:C71"/>
    <mergeCell ref="D71:F71"/>
    <mergeCell ref="G71:J71"/>
    <mergeCell ref="E74:F74"/>
    <mergeCell ref="G74:J74"/>
    <mergeCell ref="A409:G409"/>
    <mergeCell ref="B414:D414"/>
    <mergeCell ref="E414:G414"/>
    <mergeCell ref="H414:M414"/>
    <mergeCell ref="A466:Q466"/>
    <mergeCell ref="B471:R471"/>
    <mergeCell ref="U471:V471"/>
    <mergeCell ref="W471:AC471"/>
    <mergeCell ref="AF471:AG471"/>
    <mergeCell ref="B501:AJ501"/>
    <mergeCell ref="B518:G518"/>
    <mergeCell ref="B605:G605"/>
    <mergeCell ref="A632:B632"/>
    <mergeCell ref="B637:H637"/>
    <mergeCell ref="A6:A7"/>
    <mergeCell ref="A71:A74"/>
    <mergeCell ref="A470:A471"/>
    <mergeCell ref="A604:A605"/>
    <mergeCell ref="A636:A637"/>
    <mergeCell ref="D72:D73"/>
    <mergeCell ref="E72:E73"/>
    <mergeCell ref="F72:F73"/>
    <mergeCell ref="G72:G73"/>
    <mergeCell ref="H72:H73"/>
    <mergeCell ref="I72:I73"/>
    <mergeCell ref="B72:C73"/>
  </mergeCells>
  <dataValidations count="1">
    <dataValidation allowBlank="1" showInputMessage="1" showErrorMessage="1" sqref="A560:G587 H588:IV595"/>
  </dataValidations>
  <pageMargins left="0.7" right="0.7" top="0.75" bottom="0.75" header="0.3" footer="0.3"/>
  <pageSetup paperSize="1"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22"/>
  <sheetViews>
    <sheetView workbookViewId="0">
      <selection activeCell="A1" sqref="A1:E1"/>
    </sheetView>
  </sheetViews>
  <sheetFormatPr defaultColWidth="9.14159292035398" defaultRowHeight="13.85"/>
  <cols>
    <col min="1" max="1" width="79.4247787610619" customWidth="1"/>
    <col min="2" max="2" width="12.4247787610619" customWidth="1"/>
    <col min="3" max="3" width="17.4247787610619" customWidth="1"/>
    <col min="4" max="4" width="22" customWidth="1"/>
    <col min="5" max="5" width="19.4247787610619" customWidth="1"/>
    <col min="6" max="6" width="14.4247787610619" customWidth="1"/>
    <col min="7" max="7" width="26.141592920354" customWidth="1"/>
    <col min="8" max="8" width="26.4247787610619" customWidth="1"/>
    <col min="9" max="9" width="17.858407079646" customWidth="1"/>
    <col min="15" max="15" width="25.858407079646" customWidth="1"/>
    <col min="16" max="16" width="12.4247787610619" customWidth="1"/>
    <col min="17" max="17" width="19.858407079646" customWidth="1"/>
    <col min="18" max="19" width="12.4247787610619" customWidth="1"/>
    <col min="20" max="21" width="16.4247787610619" customWidth="1"/>
    <col min="22" max="22" width="10.858407079646" customWidth="1"/>
  </cols>
  <sheetData>
    <row r="1" spans="1:5">
      <c r="A1" s="15" t="s">
        <v>105</v>
      </c>
      <c r="B1" s="15"/>
      <c r="C1" s="15"/>
      <c r="D1" s="15"/>
      <c r="E1" s="15"/>
    </row>
    <row r="2" spans="1:5">
      <c r="A2" s="16" t="s">
        <v>3527</v>
      </c>
      <c r="B2" s="16"/>
      <c r="C2" s="16"/>
      <c r="D2" s="16"/>
      <c r="E2" s="16"/>
    </row>
    <row r="19" spans="1:5">
      <c r="A19" t="s">
        <v>3528</v>
      </c>
    </row>
    <row r="20" spans="1:5">
      <c r="A20">
        <v>155400</v>
      </c>
      <c r="B20" t="s">
        <v>3529</v>
      </c>
    </row>
    <row r="21" spans="1:5">
      <c r="A21" s="16" t="s">
        <v>3530</v>
      </c>
      <c r="B21" s="16"/>
      <c r="C21" s="16"/>
      <c r="D21" s="16"/>
      <c r="E21" s="16"/>
    </row>
    <row r="38" spans="1:5">
      <c r="A38" t="s">
        <v>3528</v>
      </c>
    </row>
    <row r="39" spans="1:5">
      <c r="A39">
        <v>100800</v>
      </c>
      <c r="B39" t="s">
        <v>3529</v>
      </c>
    </row>
    <row r="40" spans="1:5">
      <c r="A40" s="16" t="s">
        <v>3531</v>
      </c>
      <c r="B40" s="16"/>
      <c r="C40" s="16"/>
      <c r="D40" s="16"/>
      <c r="E40" s="16"/>
    </row>
    <row r="57" ht="14.6" spans="1:5">
      <c r="A57" t="s">
        <v>3528</v>
      </c>
    </row>
    <row r="58" ht="14.6" spans="1:5">
      <c r="A58" s="17">
        <v>194000</v>
      </c>
      <c r="B58" t="s">
        <v>3532</v>
      </c>
    </row>
    <row r="60" spans="1:5">
      <c r="A60" s="15" t="s">
        <v>3533</v>
      </c>
      <c r="B60" s="15"/>
      <c r="C60" s="15"/>
      <c r="D60" s="15"/>
      <c r="E60" s="15"/>
    </row>
    <row r="85" s="14" customFormat="1" spans="1:37">
      <c r="A85" t="s">
        <v>3534</v>
      </c>
      <c r="B85">
        <v>55.1</v>
      </c>
      <c r="C85" t="s">
        <v>3535</v>
      </c>
      <c r="D85"/>
      <c r="E85"/>
      <c r="F85"/>
      <c r="G85"/>
      <c r="H85"/>
      <c r="I85"/>
      <c r="J85"/>
      <c r="K85"/>
      <c r="L85"/>
      <c r="M85"/>
      <c r="N85"/>
      <c r="O85"/>
      <c r="P85"/>
      <c r="Q85"/>
      <c r="R85"/>
      <c r="S85"/>
      <c r="T85"/>
      <c r="U85"/>
      <c r="V85"/>
      <c r="W85"/>
      <c r="X85"/>
      <c r="Y85"/>
      <c r="Z85"/>
      <c r="AA85"/>
      <c r="AB85"/>
      <c r="AC85"/>
      <c r="AD85"/>
      <c r="AE85"/>
      <c r="AF85"/>
      <c r="AG85"/>
      <c r="AH85"/>
      <c r="AI85"/>
      <c r="AJ85"/>
      <c r="AK85"/>
    </row>
    <row r="86" s="14" customFormat="1" spans="1:37">
      <c r="A86" t="s">
        <v>3536</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ht="14.6"/>
    <row r="88" ht="14.6" spans="1:37">
      <c r="A88" s="18" t="s">
        <v>3537</v>
      </c>
      <c r="B88" s="19">
        <f>(B86-B85)/B85</f>
        <v>1.02540834845735</v>
      </c>
    </row>
    <row r="89" spans="1:37">
      <c r="A89" s="15" t="s">
        <v>3538</v>
      </c>
      <c r="B89" s="15"/>
      <c r="C89" s="15"/>
      <c r="D89" s="15"/>
      <c r="E89" s="15"/>
    </row>
    <row r="90" spans="1:37">
      <c r="A90">
        <v>6.629025</v>
      </c>
      <c r="B90" t="s">
        <v>3539</v>
      </c>
      <c r="E90" t="s">
        <v>3540</v>
      </c>
    </row>
    <row r="91" spans="1:37">
      <c r="A91">
        <f>1/A90</f>
        <v>0.150851746674662</v>
      </c>
      <c r="B91" t="s">
        <v>3541</v>
      </c>
      <c r="E91" t="s">
        <v>3542</v>
      </c>
    </row>
    <row r="92" spans="1:37">
      <c r="A92" s="20">
        <v>0.5</v>
      </c>
      <c r="B92" t="s">
        <v>3543</v>
      </c>
      <c r="E92" t="s">
        <v>3544</v>
      </c>
    </row>
    <row r="93" spans="1:37">
      <c r="A93">
        <f>A92*A91</f>
        <v>0.0754258733373309</v>
      </c>
      <c r="B93" t="s">
        <v>3545</v>
      </c>
      <c r="E93" t="s">
        <v>3542</v>
      </c>
    </row>
    <row r="94" spans="1:37">
      <c r="A94">
        <f>1/A93</f>
        <v>13.25805</v>
      </c>
      <c r="B94" t="s">
        <v>3546</v>
      </c>
      <c r="E94" t="s">
        <v>3542</v>
      </c>
      <c r="J94" s="20"/>
    </row>
    <row r="95" ht="14.6" spans="1:37">
      <c r="A95">
        <v>8.027492</v>
      </c>
      <c r="B95" t="s">
        <v>3547</v>
      </c>
      <c r="E95" t="s">
        <v>3548</v>
      </c>
      <c r="J95" s="20"/>
    </row>
    <row r="96" ht="14.6" spans="1:37">
      <c r="A96" s="21">
        <f>(A94-A95)/A95</f>
        <v>0.651580593291155</v>
      </c>
      <c r="B96" t="s">
        <v>3549</v>
      </c>
      <c r="C96" s="22"/>
      <c r="E96" t="s">
        <v>3542</v>
      </c>
    </row>
    <row r="98" spans="1:5">
      <c r="A98" s="15" t="s">
        <v>3550</v>
      </c>
      <c r="B98" s="15"/>
      <c r="C98" s="15"/>
      <c r="D98" s="15"/>
      <c r="E98" s="15"/>
    </row>
    <row r="99" spans="1:5">
      <c r="A99" s="22">
        <v>0.3</v>
      </c>
      <c r="B99" s="20" t="s">
        <v>3551</v>
      </c>
    </row>
    <row r="100" spans="1:5">
      <c r="A100">
        <v>63.5</v>
      </c>
      <c r="B100" t="s">
        <v>3552</v>
      </c>
    </row>
    <row r="101" spans="1:5">
      <c r="A101">
        <f>1/A100</f>
        <v>0.015748031496063</v>
      </c>
      <c r="B101" t="s">
        <v>3553</v>
      </c>
    </row>
    <row r="102" spans="1:5">
      <c r="A102" s="23">
        <f>A101*(1-A99)</f>
        <v>0.0110236220472441</v>
      </c>
      <c r="B102" t="s">
        <v>3554</v>
      </c>
    </row>
    <row r="103" spans="1:5">
      <c r="A103" s="23">
        <f>1/A102</f>
        <v>90.7142857142857</v>
      </c>
      <c r="B103" t="s">
        <v>3555</v>
      </c>
    </row>
    <row r="104" spans="1:5">
      <c r="A104" s="22">
        <v>0.35</v>
      </c>
      <c r="B104" t="s">
        <v>3556</v>
      </c>
    </row>
    <row r="105" spans="1:5">
      <c r="A105">
        <f>A102*(1-A104)</f>
        <v>0.00716535433070866</v>
      </c>
      <c r="B105" t="s">
        <v>3557</v>
      </c>
    </row>
    <row r="106" ht="14.6" spans="1:5">
      <c r="A106">
        <f>1/A105</f>
        <v>139.56043956044</v>
      </c>
      <c r="B106" t="s">
        <v>3558</v>
      </c>
    </row>
    <row r="107" ht="14.6" spans="1:5">
      <c r="A107" s="21">
        <f>(A106-A103)/A103</f>
        <v>0.538461538461538</v>
      </c>
      <c r="B107" t="s">
        <v>3559</v>
      </c>
    </row>
    <row r="108" spans="1:5">
      <c r="A108" s="24"/>
    </row>
    <row r="109" spans="1:5">
      <c r="A109" s="15" t="s">
        <v>3560</v>
      </c>
      <c r="B109" s="15"/>
      <c r="C109" s="15"/>
      <c r="D109" s="15"/>
      <c r="E109" s="15"/>
    </row>
    <row r="110" ht="14.6"/>
    <row r="111" ht="14.6" spans="1:5">
      <c r="A111" s="21">
        <f>A122</f>
        <v>0.204819277108434</v>
      </c>
      <c r="B111" t="s">
        <v>3561</v>
      </c>
    </row>
    <row r="113" spans="1:12">
      <c r="A113" s="15" t="s">
        <v>3562</v>
      </c>
      <c r="B113" s="15"/>
      <c r="C113" s="15"/>
      <c r="D113" s="15"/>
      <c r="E113" s="15"/>
    </row>
    <row r="114" spans="1:12">
      <c r="A114" s="22">
        <v>0.2</v>
      </c>
      <c r="B114" s="20" t="s">
        <v>3551</v>
      </c>
    </row>
    <row r="115" spans="1:12">
      <c r="A115">
        <v>1.95</v>
      </c>
      <c r="B115" t="s">
        <v>3563</v>
      </c>
    </row>
    <row r="116" spans="1:12">
      <c r="A116">
        <f>1/A115</f>
        <v>0.512820512820513</v>
      </c>
      <c r="B116" t="s">
        <v>3553</v>
      </c>
    </row>
    <row r="117" spans="1:12">
      <c r="A117" s="23">
        <f>A116*(1-A114)</f>
        <v>0.41025641025641</v>
      </c>
      <c r="B117" t="s">
        <v>3554</v>
      </c>
    </row>
    <row r="118" spans="1:12">
      <c r="A118" s="23">
        <f>1/A117</f>
        <v>2.4375</v>
      </c>
      <c r="B118" t="s">
        <v>3555</v>
      </c>
    </row>
    <row r="119" spans="1:12">
      <c r="A119" s="22">
        <v>0.17</v>
      </c>
      <c r="B119" t="s">
        <v>3556</v>
      </c>
    </row>
    <row r="120" spans="1:12">
      <c r="A120">
        <f>A117*(1-A119)</f>
        <v>0.340512820512821</v>
      </c>
      <c r="B120" t="s">
        <v>3557</v>
      </c>
    </row>
    <row r="121" ht="14.6" spans="1:12">
      <c r="A121">
        <f>1/A120</f>
        <v>2.93674698795181</v>
      </c>
      <c r="B121" t="s">
        <v>3558</v>
      </c>
    </row>
    <row r="122" ht="14.6" spans="1:12">
      <c r="A122" s="21">
        <f>(A121-A118)/A118</f>
        <v>0.204819277108434</v>
      </c>
      <c r="B122" t="s">
        <v>3559</v>
      </c>
    </row>
    <row r="124" spans="1:12">
      <c r="A124" s="15" t="s">
        <v>3564</v>
      </c>
      <c r="B124" s="15"/>
      <c r="C124" s="15"/>
      <c r="D124" s="15"/>
      <c r="E124" s="15"/>
      <c r="J124" s="25"/>
    </row>
    <row r="125" spans="1:12">
      <c r="A125" s="26">
        <v>0.000448245436592318</v>
      </c>
      <c r="B125" t="s">
        <v>3565</v>
      </c>
      <c r="K125" s="20"/>
      <c r="L125" s="20"/>
    </row>
    <row r="126" spans="1:12">
      <c r="A126">
        <v>1.27</v>
      </c>
      <c r="B126" t="s">
        <v>3566</v>
      </c>
      <c r="F126" s="27"/>
      <c r="J126" s="28"/>
      <c r="K126" s="26"/>
      <c r="L126" s="26"/>
    </row>
    <row r="127" spans="1:12">
      <c r="A127">
        <f>(1/CONVERT(A125/A126,"mi","km")*0.00105505585)</f>
        <v>1.8574383529629</v>
      </c>
      <c r="B127" t="s">
        <v>3567</v>
      </c>
      <c r="K127" s="26"/>
      <c r="L127" s="26"/>
    </row>
    <row r="128" spans="1:12">
      <c r="A128">
        <f>1/A127</f>
        <v>0.538375875788741</v>
      </c>
      <c r="B128" t="s">
        <v>3568</v>
      </c>
      <c r="F128" s="27"/>
      <c r="K128" s="22"/>
      <c r="L128" s="20"/>
    </row>
    <row r="129" spans="1:12">
      <c r="A129">
        <v>1.07</v>
      </c>
      <c r="B129" t="s">
        <v>3569</v>
      </c>
      <c r="F129" s="27"/>
      <c r="K129" s="22"/>
      <c r="L129" s="20"/>
    </row>
    <row r="130" ht="14.6" spans="1:12">
      <c r="A130">
        <f>1/A129</f>
        <v>0.934579439252336</v>
      </c>
      <c r="B130" t="s">
        <v>3570</v>
      </c>
      <c r="F130" s="27"/>
      <c r="K130" s="20"/>
      <c r="L130" s="20"/>
    </row>
    <row r="131" ht="14.6" spans="1:12">
      <c r="A131" s="21">
        <f>(A130-A128)/A128</f>
        <v>0.735923694357853</v>
      </c>
      <c r="B131" t="s">
        <v>3559</v>
      </c>
      <c r="F131" s="27"/>
    </row>
    <row r="133" spans="1:12">
      <c r="A133" s="25"/>
      <c r="B133" s="20"/>
      <c r="C133" s="20"/>
    </row>
    <row r="134" spans="1:12">
      <c r="A134" s="15" t="s">
        <v>149</v>
      </c>
      <c r="B134" s="15"/>
      <c r="C134" s="15"/>
      <c r="D134" s="15"/>
      <c r="E134" s="15"/>
    </row>
    <row r="135" ht="13.9" spans="1:12">
      <c r="A135" s="29" t="s">
        <v>3571</v>
      </c>
      <c r="B135" s="30"/>
      <c r="C135" s="30"/>
      <c r="D135" s="30"/>
      <c r="E135" s="30"/>
      <c r="F135" s="30"/>
      <c r="G135" s="30"/>
    </row>
    <row r="136" spans="1:12">
      <c r="A136" s="31"/>
      <c r="B136" s="32" t="s">
        <v>3572</v>
      </c>
      <c r="C136" s="33"/>
      <c r="D136" s="33"/>
      <c r="E136" s="34"/>
      <c r="F136" s="30"/>
      <c r="G136" s="30"/>
    </row>
    <row r="137" spans="1:12">
      <c r="A137" s="35"/>
      <c r="B137" s="32" t="s">
        <v>3573</v>
      </c>
      <c r="C137" s="34"/>
      <c r="D137" s="32" t="s">
        <v>3574</v>
      </c>
      <c r="E137" s="34"/>
      <c r="F137" s="30"/>
      <c r="G137" s="30"/>
    </row>
    <row r="138" spans="1:12">
      <c r="A138" s="36" t="s">
        <v>3575</v>
      </c>
      <c r="B138" s="37" t="s">
        <v>3576</v>
      </c>
      <c r="C138" s="37" t="s">
        <v>3577</v>
      </c>
      <c r="D138" s="37" t="s">
        <v>3576</v>
      </c>
      <c r="E138" s="37" t="s">
        <v>3577</v>
      </c>
      <c r="F138" s="30"/>
      <c r="G138" s="38" t="s">
        <v>3578</v>
      </c>
    </row>
    <row r="139" spans="1:12">
      <c r="A139" s="39" t="s">
        <v>3579</v>
      </c>
      <c r="B139" s="40">
        <v>95</v>
      </c>
      <c r="C139" s="41">
        <v>95</v>
      </c>
      <c r="D139" s="40">
        <v>50</v>
      </c>
      <c r="E139" s="41">
        <v>50</v>
      </c>
      <c r="F139" s="38" t="s">
        <v>692</v>
      </c>
      <c r="G139" s="30">
        <f>(C139-E139)/C139</f>
        <v>0.473684210526316</v>
      </c>
    </row>
    <row r="140" spans="1:12">
      <c r="A140" s="42" t="s">
        <v>3580</v>
      </c>
      <c r="B140" s="43">
        <v>100</v>
      </c>
      <c r="C140" s="44">
        <v>100</v>
      </c>
      <c r="D140" s="43">
        <v>70</v>
      </c>
      <c r="E140" s="44">
        <v>70</v>
      </c>
      <c r="F140" s="38" t="s">
        <v>692</v>
      </c>
      <c r="G140" s="30">
        <f t="shared" ref="G140:G156" si="0">(C140-E140)/C140</f>
        <v>0.3</v>
      </c>
    </row>
    <row r="141" spans="1:12">
      <c r="A141" s="42" t="s">
        <v>3581</v>
      </c>
      <c r="B141" s="43">
        <v>95</v>
      </c>
      <c r="C141" s="44">
        <v>95</v>
      </c>
      <c r="D141" s="43">
        <v>50</v>
      </c>
      <c r="E141" s="44">
        <v>50</v>
      </c>
      <c r="F141" s="38" t="s">
        <v>692</v>
      </c>
      <c r="G141" s="30">
        <f t="shared" si="0"/>
        <v>0.473684210526316</v>
      </c>
    </row>
    <row r="142" spans="1:12">
      <c r="A142" s="42" t="s">
        <v>3582</v>
      </c>
      <c r="B142" s="43">
        <v>105</v>
      </c>
      <c r="C142" s="44">
        <v>105</v>
      </c>
      <c r="D142" s="43">
        <v>110</v>
      </c>
      <c r="E142" s="44">
        <v>110</v>
      </c>
      <c r="F142" s="45" t="s">
        <v>3583</v>
      </c>
      <c r="G142" s="30">
        <f t="shared" si="0"/>
        <v>-0.0476190476190476</v>
      </c>
    </row>
    <row r="143" spans="1:12">
      <c r="A143" s="42" t="s">
        <v>3584</v>
      </c>
      <c r="B143" s="43">
        <v>80</v>
      </c>
      <c r="C143" s="44">
        <v>80</v>
      </c>
      <c r="D143" s="43">
        <v>35</v>
      </c>
      <c r="E143" s="44">
        <v>35</v>
      </c>
      <c r="F143" s="38" t="s">
        <v>692</v>
      </c>
      <c r="G143" s="30">
        <f t="shared" si="0"/>
        <v>0.5625</v>
      </c>
    </row>
    <row r="144" spans="1:12">
      <c r="A144" s="42" t="s">
        <v>3585</v>
      </c>
      <c r="B144" s="43">
        <v>70</v>
      </c>
      <c r="C144" s="44">
        <v>70</v>
      </c>
      <c r="D144" s="43">
        <v>50</v>
      </c>
      <c r="E144" s="44">
        <v>50</v>
      </c>
      <c r="F144" s="38" t="s">
        <v>692</v>
      </c>
      <c r="G144" s="30">
        <f t="shared" si="0"/>
        <v>0.285714285714286</v>
      </c>
    </row>
    <row r="145" spans="1:9">
      <c r="A145" s="42" t="s">
        <v>3586</v>
      </c>
      <c r="B145" s="43">
        <v>90</v>
      </c>
      <c r="C145" s="44">
        <v>90</v>
      </c>
      <c r="D145" s="43">
        <v>80</v>
      </c>
      <c r="E145" s="44">
        <v>80</v>
      </c>
      <c r="F145" s="38" t="s">
        <v>3587</v>
      </c>
      <c r="G145" s="30">
        <f t="shared" si="0"/>
        <v>0.111111111111111</v>
      </c>
    </row>
    <row r="146" spans="1:9">
      <c r="A146" s="42" t="s">
        <v>3588</v>
      </c>
      <c r="B146" s="43">
        <v>100</v>
      </c>
      <c r="C146" s="44">
        <v>100</v>
      </c>
      <c r="D146" s="43">
        <v>90</v>
      </c>
      <c r="E146" s="44">
        <v>90</v>
      </c>
      <c r="F146" s="38" t="s">
        <v>692</v>
      </c>
      <c r="G146" s="30">
        <f t="shared" si="0"/>
        <v>0.1</v>
      </c>
    </row>
    <row r="147" spans="1:9">
      <c r="A147" s="42" t="s">
        <v>3589</v>
      </c>
      <c r="B147" s="43">
        <v>80</v>
      </c>
      <c r="C147" s="44">
        <v>80</v>
      </c>
      <c r="D147" s="43">
        <v>40</v>
      </c>
      <c r="E147" s="44">
        <v>40</v>
      </c>
      <c r="F147" s="38" t="s">
        <v>692</v>
      </c>
      <c r="G147" s="30">
        <f t="shared" si="0"/>
        <v>0.5</v>
      </c>
    </row>
    <row r="148" spans="1:9">
      <c r="A148" s="42" t="s">
        <v>3590</v>
      </c>
      <c r="B148" s="43">
        <v>80</v>
      </c>
      <c r="C148" s="44">
        <v>80</v>
      </c>
      <c r="D148" s="43">
        <v>50</v>
      </c>
      <c r="E148" s="44">
        <v>50</v>
      </c>
      <c r="F148" s="38" t="s">
        <v>692</v>
      </c>
      <c r="G148" s="30">
        <f t="shared" si="0"/>
        <v>0.375</v>
      </c>
    </row>
    <row r="149" spans="1:9">
      <c r="A149" s="42" t="s">
        <v>3591</v>
      </c>
      <c r="B149" s="43">
        <v>90</v>
      </c>
      <c r="C149" s="44">
        <v>90</v>
      </c>
      <c r="D149" s="43">
        <v>80</v>
      </c>
      <c r="E149" s="44">
        <v>80</v>
      </c>
      <c r="F149" s="38" t="s">
        <v>3587</v>
      </c>
      <c r="G149" s="30">
        <f t="shared" si="0"/>
        <v>0.111111111111111</v>
      </c>
    </row>
    <row r="150" spans="1:9">
      <c r="A150" s="42" t="s">
        <v>3592</v>
      </c>
      <c r="B150" s="43">
        <v>95</v>
      </c>
      <c r="C150" s="44">
        <v>95</v>
      </c>
      <c r="D150" s="43">
        <v>90</v>
      </c>
      <c r="E150" s="44">
        <v>90</v>
      </c>
      <c r="F150" s="45" t="s">
        <v>3583</v>
      </c>
      <c r="G150" s="30">
        <f t="shared" si="0"/>
        <v>0.0526315789473684</v>
      </c>
    </row>
    <row r="151" spans="1:9">
      <c r="A151" s="42" t="s">
        <v>3593</v>
      </c>
      <c r="B151" s="43">
        <v>95</v>
      </c>
      <c r="C151" s="44">
        <v>95</v>
      </c>
      <c r="D151" s="43">
        <v>90</v>
      </c>
      <c r="E151" s="44">
        <v>90</v>
      </c>
      <c r="F151" s="45" t="s">
        <v>3583</v>
      </c>
      <c r="G151" s="30">
        <f t="shared" si="0"/>
        <v>0.0526315789473684</v>
      </c>
    </row>
    <row r="152" spans="1:9">
      <c r="A152" s="42" t="s">
        <v>3594</v>
      </c>
      <c r="B152" s="43">
        <v>80</v>
      </c>
      <c r="C152" s="44">
        <v>50</v>
      </c>
      <c r="D152" s="43">
        <v>30</v>
      </c>
      <c r="E152" s="44">
        <v>30</v>
      </c>
      <c r="F152" s="38" t="s">
        <v>690</v>
      </c>
      <c r="G152" s="30">
        <f t="shared" si="0"/>
        <v>0.4</v>
      </c>
    </row>
    <row r="153" spans="1:9">
      <c r="A153" s="42" t="s">
        <v>3595</v>
      </c>
      <c r="B153" s="43">
        <v>90</v>
      </c>
      <c r="C153" s="44">
        <v>90</v>
      </c>
      <c r="D153" s="43">
        <v>70</v>
      </c>
      <c r="E153" s="44">
        <v>70</v>
      </c>
      <c r="F153" s="38" t="s">
        <v>685</v>
      </c>
      <c r="G153" s="30">
        <f t="shared" si="0"/>
        <v>0.222222222222222</v>
      </c>
    </row>
    <row r="154" spans="1:9">
      <c r="A154" s="42" t="s">
        <v>3596</v>
      </c>
      <c r="B154" s="43">
        <v>95</v>
      </c>
      <c r="C154" s="44">
        <v>90</v>
      </c>
      <c r="D154" s="43">
        <v>80</v>
      </c>
      <c r="E154" s="44">
        <v>80</v>
      </c>
      <c r="F154" s="45" t="s">
        <v>3583</v>
      </c>
      <c r="G154" s="30">
        <f t="shared" si="0"/>
        <v>0.111111111111111</v>
      </c>
      <c r="I154" s="46"/>
    </row>
    <row r="155" spans="1:9">
      <c r="A155" s="42" t="s">
        <v>3597</v>
      </c>
      <c r="B155" s="43">
        <v>80</v>
      </c>
      <c r="C155" s="44">
        <v>65</v>
      </c>
      <c r="D155" s="43">
        <v>60</v>
      </c>
      <c r="E155" s="44">
        <v>30</v>
      </c>
      <c r="F155" s="38" t="s">
        <v>688</v>
      </c>
      <c r="G155" s="30">
        <f t="shared" si="0"/>
        <v>0.538461538461538</v>
      </c>
    </row>
    <row r="156" spans="1:9">
      <c r="A156" s="47" t="s">
        <v>3598</v>
      </c>
      <c r="B156" s="48">
        <v>90</v>
      </c>
      <c r="C156" s="49">
        <v>90</v>
      </c>
      <c r="D156" s="48">
        <v>70</v>
      </c>
      <c r="E156" s="49">
        <v>70</v>
      </c>
      <c r="F156" s="38" t="s">
        <v>688</v>
      </c>
      <c r="G156" s="30">
        <f t="shared" si="0"/>
        <v>0.222222222222222</v>
      </c>
    </row>
    <row r="157" spans="1:9">
      <c r="A157" s="30"/>
      <c r="B157" s="30"/>
      <c r="C157" s="30"/>
      <c r="D157" s="30"/>
      <c r="E157" s="30"/>
      <c r="F157" s="30"/>
      <c r="G157" s="30"/>
    </row>
    <row r="158" spans="1:9">
      <c r="A158" s="30"/>
      <c r="B158" s="30"/>
      <c r="C158" s="30"/>
      <c r="D158" s="30"/>
      <c r="E158" s="30"/>
      <c r="F158" s="30"/>
      <c r="G158" s="30"/>
    </row>
    <row r="159" spans="1:9">
      <c r="A159" s="30" t="s">
        <v>692</v>
      </c>
      <c r="B159" s="30">
        <f>AVERAGEIF(F139:F156,A159,G139:G156)</f>
        <v>0.383822838345865</v>
      </c>
      <c r="C159" s="30"/>
      <c r="D159" s="30"/>
      <c r="E159" s="30"/>
      <c r="F159" s="30"/>
      <c r="G159" s="30"/>
    </row>
    <row r="160" spans="1:9">
      <c r="A160" s="30" t="s">
        <v>3587</v>
      </c>
      <c r="B160" s="30">
        <f>AVERAGEIF(F139:F156,A160,G139:G156)</f>
        <v>0.111111111111111</v>
      </c>
      <c r="C160" s="30"/>
      <c r="D160" s="30"/>
      <c r="E160" s="30"/>
      <c r="F160" s="30"/>
      <c r="G160" s="30"/>
    </row>
    <row r="161" spans="1:7">
      <c r="A161" s="30" t="s">
        <v>690</v>
      </c>
      <c r="B161" s="30">
        <f>AVERAGEIF(F139:F156,A161,G139:G156)</f>
        <v>0.4</v>
      </c>
      <c r="C161" s="30"/>
      <c r="D161" s="30"/>
      <c r="E161" s="30"/>
      <c r="F161" s="30"/>
      <c r="G161" s="30"/>
    </row>
    <row r="162" spans="1:7">
      <c r="A162" s="30" t="s">
        <v>685</v>
      </c>
      <c r="B162" s="30">
        <f>AVERAGEIF(F139:F156,A162,G139:G156)</f>
        <v>0.222222222222222</v>
      </c>
      <c r="C162" s="30"/>
      <c r="D162" s="30"/>
      <c r="E162" s="30"/>
      <c r="F162" s="30"/>
      <c r="G162" s="30"/>
    </row>
    <row r="163" spans="1:7">
      <c r="A163" s="30" t="s">
        <v>688</v>
      </c>
      <c r="B163" s="30">
        <f>AVERAGEIF(F139:F156,A163,G139:G156)</f>
        <v>0.38034188034188</v>
      </c>
      <c r="C163" s="30"/>
      <c r="D163" s="30"/>
      <c r="E163" s="30"/>
      <c r="F163" s="30"/>
      <c r="G163" s="30"/>
    </row>
    <row r="165" spans="1:7">
      <c r="A165" s="15" t="s">
        <v>3599</v>
      </c>
      <c r="B165" s="15"/>
      <c r="C165" s="15"/>
      <c r="D165" s="15"/>
      <c r="E165" s="15"/>
    </row>
    <row r="166" ht="14.6" spans="1:7">
      <c r="A166" t="s">
        <v>3600</v>
      </c>
      <c r="B166" s="22">
        <v>0.4</v>
      </c>
    </row>
    <row r="167" ht="14.6" spans="1:7">
      <c r="A167" t="s">
        <v>3601</v>
      </c>
      <c r="B167" s="50">
        <f>(1+B166)^(1/(2020-2010))-1</f>
        <v>0.0342196941293802</v>
      </c>
    </row>
    <row r="168" spans="1:7">
      <c r="B168" s="51"/>
    </row>
    <row r="169" spans="1:7">
      <c r="A169" s="15" t="s">
        <v>3602</v>
      </c>
      <c r="B169" s="15"/>
    </row>
    <row r="170" spans="1:7">
      <c r="A170" t="s">
        <v>3603</v>
      </c>
      <c r="B170" s="52">
        <v>972.7</v>
      </c>
    </row>
    <row r="171" ht="14.6" spans="1:7">
      <c r="A171" t="s">
        <v>3604</v>
      </c>
      <c r="B171" s="53">
        <f>400.9+53.5+276.5+255.7+63.5+462.5+B170+975.4+227.6+436.5</f>
        <v>4124.8</v>
      </c>
    </row>
    <row r="172" ht="14.6" spans="1:7">
      <c r="A172" t="s">
        <v>3605</v>
      </c>
      <c r="B172" s="50">
        <f>B170/B171</f>
        <v>0.235817494181536</v>
      </c>
    </row>
    <row r="173" spans="1:7">
      <c r="B173" s="51"/>
    </row>
    <row r="174" spans="1:7">
      <c r="A174" s="15" t="s">
        <v>3606</v>
      </c>
      <c r="B174" s="15"/>
      <c r="C174" s="15"/>
      <c r="D174" s="15"/>
      <c r="E174" s="15"/>
    </row>
    <row r="175" ht="14.6" spans="1:7">
      <c r="A175" t="s">
        <v>3607</v>
      </c>
      <c r="B175" s="51">
        <v>0.1246</v>
      </c>
    </row>
    <row r="176" ht="14.6" spans="1:7">
      <c r="A176" t="s">
        <v>3608</v>
      </c>
      <c r="B176" s="50">
        <f>1-B175</f>
        <v>0.8754</v>
      </c>
    </row>
    <row r="178" spans="1:5">
      <c r="A178" s="15" t="s">
        <v>3609</v>
      </c>
      <c r="B178" s="15"/>
      <c r="C178" s="15"/>
      <c r="D178" s="15"/>
      <c r="E178" s="15"/>
    </row>
    <row r="179" spans="1:5">
      <c r="A179" t="s">
        <v>3610</v>
      </c>
      <c r="B179">
        <v>197000</v>
      </c>
    </row>
    <row r="180" ht="14.6" spans="1:5">
      <c r="A180" t="s">
        <v>3611</v>
      </c>
      <c r="B180">
        <v>175000</v>
      </c>
    </row>
    <row r="181" ht="14.6" spans="1:5">
      <c r="A181" t="s">
        <v>3612</v>
      </c>
      <c r="B181" s="21">
        <f>B179/B180</f>
        <v>1.12571428571429</v>
      </c>
    </row>
    <row r="183" spans="1:5">
      <c r="A183" s="15" t="s">
        <v>3613</v>
      </c>
      <c r="B183" s="15"/>
      <c r="C183" s="15"/>
      <c r="D183" s="15"/>
      <c r="E183" s="15"/>
    </row>
    <row r="184" spans="1:5">
      <c r="A184" t="s">
        <v>3614</v>
      </c>
      <c r="B184" s="54">
        <v>0.012</v>
      </c>
    </row>
    <row r="185" spans="1:5">
      <c r="A185" t="s">
        <v>3615</v>
      </c>
      <c r="B185" s="54">
        <v>0.024</v>
      </c>
    </row>
    <row r="186" spans="1:5">
      <c r="A186" t="s">
        <v>3616</v>
      </c>
      <c r="B186">
        <f>2050-2018+1</f>
        <v>33</v>
      </c>
    </row>
    <row r="187" spans="1:5">
      <c r="A187" t="s">
        <v>3617</v>
      </c>
      <c r="B187" s="20">
        <f>(1-B184)^B186</f>
        <v>0.671396652210097</v>
      </c>
    </row>
    <row r="188" ht="14.6" spans="1:5">
      <c r="A188" t="s">
        <v>3618</v>
      </c>
      <c r="B188" s="20">
        <f>(1-B185)^B186</f>
        <v>0.448584210507816</v>
      </c>
    </row>
    <row r="189" ht="14.6" spans="1:5">
      <c r="A189" t="s">
        <v>3619</v>
      </c>
      <c r="B189" s="21">
        <f>(B187-B188)/B187</f>
        <v>0.331864094002895</v>
      </c>
    </row>
    <row r="191" spans="1:5">
      <c r="A191" s="15" t="s">
        <v>3620</v>
      </c>
      <c r="B191" s="15"/>
      <c r="C191" s="15"/>
      <c r="D191" s="15"/>
      <c r="E191" s="15"/>
    </row>
    <row r="192" spans="1:5">
      <c r="A192" s="25" t="s">
        <v>3621</v>
      </c>
      <c r="B192" s="25" t="s">
        <v>3622</v>
      </c>
      <c r="C192" s="25"/>
    </row>
    <row r="193" spans="1:9">
      <c r="A193" t="s">
        <v>3623</v>
      </c>
      <c r="B193" s="26">
        <v>15277777.7777778</v>
      </c>
      <c r="C193" t="s">
        <v>3624</v>
      </c>
    </row>
    <row r="194" spans="1:9">
      <c r="A194" t="s">
        <v>3625</v>
      </c>
      <c r="B194" s="26">
        <f>3.4*10^6</f>
        <v>3400000</v>
      </c>
      <c r="C194" s="55"/>
    </row>
    <row r="195" spans="1:9">
      <c r="A195" t="s">
        <v>3626</v>
      </c>
      <c r="B195">
        <v>2</v>
      </c>
    </row>
    <row r="196" ht="14.6" spans="1:9">
      <c r="A196" t="s">
        <v>3627</v>
      </c>
      <c r="B196" s="26">
        <f>B195*B194</f>
        <v>6800000</v>
      </c>
    </row>
    <row r="197" ht="14.6" spans="1:9">
      <c r="A197" t="s">
        <v>3628</v>
      </c>
      <c r="B197" s="21">
        <f>B196/B193</f>
        <v>0.445090909090909</v>
      </c>
    </row>
    <row r="199" spans="1:9">
      <c r="A199" s="56" t="s">
        <v>132</v>
      </c>
    </row>
    <row r="201" spans="1:9">
      <c r="A201" s="57" t="s">
        <v>3629</v>
      </c>
      <c r="B201" s="58" t="s">
        <v>3630</v>
      </c>
      <c r="C201" s="58"/>
      <c r="D201" s="58"/>
      <c r="E201" s="58"/>
      <c r="F201" s="58"/>
      <c r="G201" s="58"/>
      <c r="H201" s="58"/>
      <c r="I201" s="58"/>
    </row>
    <row r="202" spans="1:9">
      <c r="A202" s="59" t="s">
        <v>3631</v>
      </c>
      <c r="B202" s="59" t="s">
        <v>3632</v>
      </c>
      <c r="C202" s="59" t="s">
        <v>3633</v>
      </c>
      <c r="D202" s="59" t="s">
        <v>3634</v>
      </c>
      <c r="E202" s="59" t="s">
        <v>676</v>
      </c>
      <c r="F202" s="59" t="s">
        <v>679</v>
      </c>
      <c r="G202" s="59" t="s">
        <v>3635</v>
      </c>
      <c r="H202" s="59" t="s">
        <v>3636</v>
      </c>
      <c r="I202" s="59" t="s">
        <v>3637</v>
      </c>
    </row>
    <row r="203" spans="1:9">
      <c r="A203" s="59" t="s">
        <v>3638</v>
      </c>
      <c r="B203">
        <v>0</v>
      </c>
      <c r="C203">
        <v>6</v>
      </c>
      <c r="D203">
        <v>9</v>
      </c>
      <c r="E203">
        <v>25</v>
      </c>
      <c r="F203">
        <v>21</v>
      </c>
      <c r="G203">
        <v>215</v>
      </c>
      <c r="H203">
        <v>81</v>
      </c>
      <c r="I203">
        <v>134</v>
      </c>
    </row>
    <row r="204" spans="1:9">
      <c r="A204" s="59" t="s">
        <v>3639</v>
      </c>
      <c r="B204">
        <v>4</v>
      </c>
      <c r="C204">
        <v>3</v>
      </c>
      <c r="D204">
        <v>15</v>
      </c>
      <c r="E204">
        <v>40</v>
      </c>
      <c r="F204">
        <v>43</v>
      </c>
      <c r="G204">
        <v>163</v>
      </c>
      <c r="H204">
        <v>56</v>
      </c>
      <c r="I204">
        <v>94</v>
      </c>
    </row>
    <row r="205" ht="14.6" spans="1:9">
      <c r="A205" s="59" t="s">
        <v>3640</v>
      </c>
      <c r="B205">
        <f>B204-B203</f>
        <v>4</v>
      </c>
      <c r="C205">
        <f t="shared" ref="C205:I205" si="1">C204-C203</f>
        <v>-3</v>
      </c>
      <c r="D205">
        <f t="shared" si="1"/>
        <v>6</v>
      </c>
      <c r="E205">
        <f t="shared" si="1"/>
        <v>15</v>
      </c>
      <c r="F205">
        <f t="shared" si="1"/>
        <v>22</v>
      </c>
      <c r="G205">
        <f t="shared" si="1"/>
        <v>-52</v>
      </c>
      <c r="H205">
        <f t="shared" si="1"/>
        <v>-25</v>
      </c>
      <c r="I205">
        <f t="shared" si="1"/>
        <v>-40</v>
      </c>
    </row>
    <row r="206" ht="14.6" spans="1:9">
      <c r="A206" t="s">
        <v>3641</v>
      </c>
      <c r="B206" s="21">
        <f>SUM(G205:H205)/SUM(G203:H203)</f>
        <v>-0.260135135135135</v>
      </c>
    </row>
    <row r="207" ht="14.6" spans="1:9">
      <c r="A207" t="s">
        <v>3642</v>
      </c>
      <c r="B207" s="21">
        <f>I205/I203</f>
        <v>-0.298507462686567</v>
      </c>
    </row>
    <row r="209" spans="1:9">
      <c r="A209" s="57" t="s">
        <v>3643</v>
      </c>
      <c r="B209" s="58" t="s">
        <v>3630</v>
      </c>
      <c r="C209" s="58"/>
      <c r="D209" s="58"/>
      <c r="E209" s="58"/>
      <c r="F209" s="58"/>
      <c r="G209" s="58"/>
      <c r="H209" s="58"/>
      <c r="I209" s="58"/>
    </row>
    <row r="210" spans="1:9">
      <c r="A210" s="59" t="s">
        <v>3631</v>
      </c>
      <c r="B210" s="59" t="s">
        <v>3632</v>
      </c>
      <c r="C210" s="59" t="s">
        <v>3633</v>
      </c>
      <c r="D210" s="59" t="s">
        <v>3634</v>
      </c>
      <c r="E210" s="59" t="s">
        <v>676</v>
      </c>
      <c r="F210" s="59" t="s">
        <v>679</v>
      </c>
      <c r="G210" s="59" t="s">
        <v>3635</v>
      </c>
      <c r="H210" s="59" t="s">
        <v>3636</v>
      </c>
      <c r="I210" s="59" t="s">
        <v>3637</v>
      </c>
    </row>
    <row r="211" spans="1:9">
      <c r="A211" s="59" t="s">
        <v>3638</v>
      </c>
      <c r="B211">
        <v>0</v>
      </c>
      <c r="C211">
        <v>17</v>
      </c>
      <c r="D211">
        <v>18</v>
      </c>
      <c r="E211">
        <v>22</v>
      </c>
      <c r="F211">
        <v>12</v>
      </c>
      <c r="G211">
        <v>73</v>
      </c>
      <c r="H211">
        <v>21</v>
      </c>
      <c r="I211">
        <v>21</v>
      </c>
    </row>
    <row r="212" spans="1:9">
      <c r="A212" s="59" t="s">
        <v>3639</v>
      </c>
      <c r="B212">
        <v>0</v>
      </c>
      <c r="C212">
        <v>15</v>
      </c>
      <c r="D212">
        <v>22</v>
      </c>
      <c r="E212">
        <v>39</v>
      </c>
      <c r="F212">
        <v>23</v>
      </c>
      <c r="G212">
        <v>51</v>
      </c>
      <c r="H212">
        <v>17</v>
      </c>
      <c r="I212">
        <v>19</v>
      </c>
    </row>
    <row r="213" ht="14.6" spans="1:9">
      <c r="A213" s="59" t="s">
        <v>3640</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ht="14.6" spans="1:9">
      <c r="A214" t="s">
        <v>3641</v>
      </c>
      <c r="B214" s="21">
        <f>SUM(G213:H213)/SUM(G211:H211)</f>
        <v>-0.276595744680851</v>
      </c>
    </row>
    <row r="215" ht="14.6" spans="1:9">
      <c r="A215" t="s">
        <v>3642</v>
      </c>
      <c r="B215" s="21">
        <f>I213/I211</f>
        <v>-0.0952380952380952</v>
      </c>
    </row>
    <row r="217" spans="1:9">
      <c r="A217" s="57" t="s">
        <v>3644</v>
      </c>
      <c r="B217" s="58" t="s">
        <v>3630</v>
      </c>
      <c r="C217" s="58"/>
      <c r="D217" s="58"/>
      <c r="E217" s="58"/>
    </row>
    <row r="218" spans="1:9">
      <c r="A218" s="59" t="s">
        <v>3631</v>
      </c>
      <c r="B218" s="59" t="s">
        <v>3645</v>
      </c>
      <c r="C218" s="59" t="s">
        <v>3646</v>
      </c>
      <c r="D218" s="59" t="s">
        <v>3647</v>
      </c>
      <c r="E218" s="59" t="s">
        <v>679</v>
      </c>
    </row>
    <row r="219" spans="1:9">
      <c r="A219" s="59" t="s">
        <v>3638</v>
      </c>
      <c r="B219">
        <v>112</v>
      </c>
      <c r="C219">
        <v>16</v>
      </c>
      <c r="D219">
        <v>9</v>
      </c>
      <c r="E219">
        <v>134</v>
      </c>
    </row>
    <row r="220" spans="1:9">
      <c r="A220" s="59" t="s">
        <v>3639</v>
      </c>
      <c r="B220">
        <v>87</v>
      </c>
      <c r="C220">
        <v>17</v>
      </c>
      <c r="D220">
        <v>9</v>
      </c>
      <c r="E220">
        <v>151</v>
      </c>
    </row>
    <row r="221" ht="14.6" spans="1:9">
      <c r="A221" s="59" t="s">
        <v>3640</v>
      </c>
      <c r="B221">
        <f>B220-B219</f>
        <v>-25</v>
      </c>
      <c r="C221">
        <f t="shared" ref="C221:E221" si="9">C220-C219</f>
        <v>1</v>
      </c>
      <c r="D221">
        <f t="shared" si="9"/>
        <v>0</v>
      </c>
      <c r="E221">
        <f t="shared" si="9"/>
        <v>17</v>
      </c>
    </row>
    <row r="222" ht="14.6" spans="1:9">
      <c r="A222" t="s">
        <v>3648</v>
      </c>
      <c r="B222" s="21">
        <f>B221/B219</f>
        <v>-0.223214285714286</v>
      </c>
    </row>
  </sheetData>
  <mergeCells count="23">
    <mergeCell ref="A1:E1"/>
    <mergeCell ref="A2:E2"/>
    <mergeCell ref="A21:E21"/>
    <mergeCell ref="A40:E40"/>
    <mergeCell ref="A60:E60"/>
    <mergeCell ref="A89:E89"/>
    <mergeCell ref="A98:E98"/>
    <mergeCell ref="A109:E109"/>
    <mergeCell ref="A113:E113"/>
    <mergeCell ref="A124:E124"/>
    <mergeCell ref="A134:E134"/>
    <mergeCell ref="B136:E136"/>
    <mergeCell ref="B137:C137"/>
    <mergeCell ref="D137:E137"/>
    <mergeCell ref="A165:E165"/>
    <mergeCell ref="A169:B169"/>
    <mergeCell ref="A174:E174"/>
    <mergeCell ref="A178:E178"/>
    <mergeCell ref="A183:E183"/>
    <mergeCell ref="A191:E191"/>
    <mergeCell ref="B201:I201"/>
    <mergeCell ref="B209:I209"/>
    <mergeCell ref="B217:E217"/>
  </mergeCells>
  <pageMargins left="0.7" right="0.7" top="0.75" bottom="0.75" header="0.3" footer="0.3"/>
  <pageSetup paperSize="1" orientation="portrait"/>
  <headerFooter/>
  <ignoredErrors>
    <ignoredError sqref="B206" formulaRange="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E9" sqref="E9"/>
    </sheetView>
  </sheetViews>
  <sheetFormatPr defaultColWidth="9" defaultRowHeight="13.85" outlineLevelRow="6"/>
  <cols>
    <col min="2" max="3" width="10" customWidth="1"/>
    <col min="4" max="4" width="24.5663716814159" customWidth="1"/>
    <col min="5" max="6" width="28.4247787610619" customWidth="1"/>
    <col min="7" max="7" width="28.858407079646" customWidth="1"/>
    <col min="8" max="10" width="28.4247787610619" customWidth="1"/>
  </cols>
  <sheetData>
    <row r="1" spans="1:10">
      <c r="A1" s="4" t="s">
        <v>3649</v>
      </c>
      <c r="B1" s="4" t="s">
        <v>3650</v>
      </c>
      <c r="C1" s="4" t="s">
        <v>3651</v>
      </c>
      <c r="D1" s="4" t="s">
        <v>3652</v>
      </c>
      <c r="E1" s="5" t="s">
        <v>3653</v>
      </c>
      <c r="F1" s="5"/>
      <c r="G1" s="5"/>
      <c r="H1" s="5"/>
      <c r="I1" s="5"/>
      <c r="J1" s="5"/>
    </row>
    <row r="2" s="1" customFormat="1" spans="1:10">
      <c r="A2" s="4"/>
      <c r="B2" s="4"/>
      <c r="C2" s="4"/>
      <c r="D2" s="4"/>
      <c r="E2" s="4" t="s">
        <v>3654</v>
      </c>
      <c r="F2" s="4" t="s">
        <v>3655</v>
      </c>
      <c r="G2" s="4" t="s">
        <v>3656</v>
      </c>
      <c r="H2" s="4" t="s">
        <v>3657</v>
      </c>
      <c r="I2" s="4" t="s">
        <v>3658</v>
      </c>
      <c r="J2" s="4" t="s">
        <v>3659</v>
      </c>
    </row>
    <row r="3" s="2" customFormat="1" ht="212.25" spans="1:10">
      <c r="A3" s="6" t="s">
        <v>3660</v>
      </c>
      <c r="B3" s="7">
        <v>45351</v>
      </c>
      <c r="C3" s="7" t="s">
        <v>3661</v>
      </c>
      <c r="D3" s="8" t="s">
        <v>3662</v>
      </c>
      <c r="E3" s="9" t="s">
        <v>3663</v>
      </c>
      <c r="F3" s="10" t="s">
        <v>3664</v>
      </c>
      <c r="G3" s="9" t="s">
        <v>3665</v>
      </c>
      <c r="H3" s="9" t="s">
        <v>3666</v>
      </c>
      <c r="I3" s="9" t="s">
        <v>3667</v>
      </c>
      <c r="J3" s="9" t="s">
        <v>3668</v>
      </c>
    </row>
    <row r="4" s="3" customFormat="1" ht="41.65" spans="1:10">
      <c r="A4" s="6" t="s">
        <v>3669</v>
      </c>
      <c r="B4" s="7">
        <v>45407</v>
      </c>
      <c r="C4" s="6" t="s">
        <v>3661</v>
      </c>
      <c r="D4" s="8" t="s">
        <v>3670</v>
      </c>
      <c r="E4" s="11" t="s">
        <v>3671</v>
      </c>
      <c r="F4" s="11" t="s">
        <v>3672</v>
      </c>
      <c r="G4" s="11"/>
      <c r="H4" s="11" t="s">
        <v>3673</v>
      </c>
      <c r="I4" s="11"/>
      <c r="J4" s="11"/>
    </row>
    <row r="5" s="3" customFormat="1" ht="111.4" spans="1:10">
      <c r="A5" s="6" t="s">
        <v>3674</v>
      </c>
      <c r="B5" s="7">
        <v>45421</v>
      </c>
      <c r="C5" s="6" t="s">
        <v>3661</v>
      </c>
      <c r="D5" s="8" t="s">
        <v>3675</v>
      </c>
      <c r="E5" s="12" t="s">
        <v>3676</v>
      </c>
      <c r="F5" s="11"/>
      <c r="G5" s="11"/>
      <c r="H5" s="11" t="s">
        <v>3677</v>
      </c>
      <c r="I5" s="11"/>
      <c r="J5" s="11"/>
    </row>
    <row r="6" s="3" customFormat="1" ht="70.9" spans="1:10">
      <c r="A6" s="6" t="s">
        <v>3678</v>
      </c>
      <c r="B6" s="7">
        <v>45421</v>
      </c>
      <c r="C6" s="6" t="s">
        <v>3661</v>
      </c>
      <c r="D6" s="8" t="s">
        <v>3679</v>
      </c>
      <c r="E6" s="12" t="s">
        <v>3680</v>
      </c>
      <c r="F6" s="13" t="s">
        <v>3681</v>
      </c>
      <c r="G6" s="11"/>
      <c r="H6" s="12" t="s">
        <v>3682</v>
      </c>
      <c r="I6" s="11"/>
      <c r="J6" s="11"/>
    </row>
    <row r="7" s="3" customFormat="1" ht="50.65" spans="1:10">
      <c r="A7" s="6" t="s">
        <v>3678</v>
      </c>
      <c r="B7" s="7">
        <v>45422</v>
      </c>
      <c r="C7" s="8" t="s">
        <v>3683</v>
      </c>
      <c r="D7" s="8" t="s">
        <v>3684</v>
      </c>
      <c r="E7" s="12" t="s">
        <v>3685</v>
      </c>
      <c r="F7" s="11"/>
      <c r="G7" s="11"/>
      <c r="H7" s="11"/>
      <c r="I7" s="11"/>
      <c r="J7" s="11"/>
    </row>
  </sheetData>
  <mergeCells count="5">
    <mergeCell ref="E1:J1"/>
    <mergeCell ref="A1:A2"/>
    <mergeCell ref="B1:B2"/>
    <mergeCell ref="C1:C2"/>
    <mergeCell ref="D1:D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EnergyInnovation.org</Company>
  <Application>Microsoft Excel</Application>
  <HeadingPairs>
    <vt:vector size="2" baseType="variant">
      <vt:variant>
        <vt:lpstr>工作表</vt:lpstr>
      </vt:variant>
      <vt:variant>
        <vt:i4>10</vt:i4>
      </vt:variant>
    </vt:vector>
  </HeadingPairs>
  <TitlesOfParts>
    <vt:vector size="10" baseType="lpstr">
      <vt:lpstr>About</vt:lpstr>
      <vt:lpstr>Policy Characteristics</vt:lpstr>
      <vt:lpstr>PolicyLevers</vt:lpstr>
      <vt:lpstr>UnitControlCenter</vt:lpstr>
      <vt:lpstr>OutputGraphs</vt:lpstr>
      <vt:lpstr>Output Graph Color Key</vt:lpstr>
      <vt:lpstr>ReferenceScenarios</vt:lpstr>
      <vt:lpstr>Target Calculations</vt:lpstr>
      <vt:lpstr>MaxBoundCalculations</vt:lpstr>
      <vt:lpstr>Update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仰望星空✨✨</cp:lastModifiedBy>
  <dcterms:created xsi:type="dcterms:W3CDTF">2014-07-10T20:44:00Z</dcterms:created>
  <dcterms:modified xsi:type="dcterms:W3CDTF">2026-05-11T02:50:14Z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134A9069DA7A4DB2B04BA5D95B54C118_12</vt:lpwstr>
  </property>
  <property fmtid="{D5CDD505-2E9C-101B-9397-08002B2CF9AE}" pid="3" name="KSOProductBuildVer">
    <vt:lpwstr>2052-12.1.0.25865</vt:lpwstr>
  </property>
  <property fmtid="{D5CDD505-2E9C-101B-9397-08002B2CF9AE}" pid="4" name="KSOReadingLayout">
    <vt:bool>true</vt:bool>
  </property>
  <property fmtid="{D5CDD505-2E9C-101B-9397-08002B2CF9AE}" pid="5" name="CalculationRule">
    <vt:i4>0</vt:i4>
  </property>
</Properties>
</file>